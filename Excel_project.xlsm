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Gulziya Abisheva\YandexDisk-agb.planeta\Data Science\MyPortfolio\Excel\Dashboard files\"/>
    </mc:Choice>
  </mc:AlternateContent>
  <workbookProtection workbookAlgorithmName="SHA-512" workbookHashValue="Fzr9wGuNZRyZ2j0GXnMw90xKyn4YbM84yRen/9m4+IpUu73cWyNbd2JfGerCErz/5bpRXarM5BdC/LVUNaGHGA==" workbookSaltValue="YyrL8kAGHiMYdEdcczM4aQ==" workbookSpinCount="100000" lockStructure="1"/>
  <bookViews>
    <workbookView xWindow="0" yWindow="0" windowWidth="23040" windowHeight="9192"/>
  </bookViews>
  <sheets>
    <sheet name="Dashboard" sheetId="9" r:id="rId1"/>
    <sheet name="Analysis_1" sheetId="11" state="hidden" r:id="rId2"/>
    <sheet name="Analysis_2" sheetId="13" state="hidden" r:id="rId3"/>
  </sheets>
  <definedNames>
    <definedName name="Month">Analysis_1!$C$5</definedName>
    <definedName name="Sellected_month">Analysis_1!$A$4</definedName>
    <definedName name="Срез_month">#N/A</definedName>
    <definedName name="Срез_year">#N/A</definedName>
  </definedNames>
  <calcPr calcId="162913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11" i="13" l="1"/>
  <c r="T7" i="11"/>
  <c r="T8" i="11" s="1"/>
  <c r="C5" i="11"/>
  <c r="T4" i="11"/>
  <c r="T5" i="11"/>
  <c r="R22" i="11" l="1"/>
  <c r="T10" i="11"/>
  <c r="R25" i="11" s="1"/>
  <c r="BD16" i="13" l="1"/>
  <c r="BD15" i="13"/>
  <c r="BD14" i="13"/>
  <c r="BD13" i="13"/>
  <c r="BC16" i="13"/>
  <c r="BC15" i="13"/>
  <c r="BC14" i="13"/>
  <c r="BC13" i="13"/>
  <c r="BC12" i="13"/>
  <c r="BB12" i="13" a="1"/>
  <c r="BB13" i="13" s="1"/>
  <c r="BD17" i="13" l="1"/>
  <c r="BE13" i="13" s="1"/>
  <c r="BB14" i="13"/>
  <c r="BB15" i="13"/>
  <c r="BB12" i="13"/>
  <c r="BB16" i="13"/>
  <c r="BD12" i="13" l="1"/>
  <c r="BC19" i="13" s="1"/>
  <c r="BE16" i="13"/>
  <c r="BE15" i="13"/>
  <c r="BE14" i="13"/>
  <c r="AU14" i="13" l="1"/>
  <c r="AU15" i="13"/>
  <c r="AU13" i="13"/>
  <c r="AT13" i="13"/>
  <c r="AT14" i="13"/>
  <c r="AT15" i="13"/>
  <c r="AT12" i="13"/>
  <c r="AR12" i="13" a="1"/>
  <c r="AR12" i="13" s="1"/>
  <c r="AK5" i="13"/>
  <c r="AL5" i="13" s="1"/>
  <c r="AR14" i="13" l="1"/>
  <c r="AR16" i="13"/>
  <c r="AR15" i="13"/>
  <c r="AR13" i="13"/>
  <c r="AK7" i="13"/>
  <c r="AU12" i="13" l="1"/>
  <c r="AT18" i="13" s="1"/>
  <c r="X11" i="13" l="1"/>
  <c r="Y11" i="13"/>
  <c r="X12" i="13"/>
  <c r="Y12" i="13"/>
  <c r="X13" i="13"/>
  <c r="Y13" i="13"/>
  <c r="Y10" i="13"/>
  <c r="X10" i="13"/>
  <c r="AB2" i="13"/>
  <c r="X2" i="13"/>
  <c r="X1" i="13" l="1"/>
  <c r="P2" i="13"/>
  <c r="T2" i="13"/>
  <c r="P1" i="13" l="1"/>
  <c r="F4" i="13" l="1"/>
  <c r="P5" i="11" l="1"/>
  <c r="P6" i="11"/>
  <c r="P7" i="11"/>
  <c r="P8" i="11"/>
  <c r="P9" i="11"/>
  <c r="P10" i="11"/>
  <c r="P11" i="11"/>
  <c r="P12" i="11"/>
  <c r="P13" i="11"/>
  <c r="P14" i="11"/>
  <c r="P15" i="11"/>
  <c r="P4" i="11"/>
  <c r="O15" i="11"/>
  <c r="O5" i="11"/>
  <c r="O6" i="11"/>
  <c r="O7" i="11"/>
  <c r="O8" i="11"/>
  <c r="O9" i="11"/>
  <c r="O10" i="11"/>
  <c r="O11" i="11"/>
  <c r="O12" i="11"/>
  <c r="O13" i="11"/>
  <c r="O14" i="11"/>
  <c r="O4" i="11"/>
  <c r="N5" i="11"/>
  <c r="N6" i="11"/>
  <c r="N7" i="11"/>
  <c r="N8" i="11"/>
  <c r="N9" i="11"/>
  <c r="N10" i="11"/>
  <c r="N11" i="11"/>
  <c r="N12" i="11"/>
  <c r="N13" i="11"/>
  <c r="N14" i="11"/>
  <c r="N15" i="11"/>
  <c r="N4" i="11"/>
  <c r="C8" i="11"/>
  <c r="T3" i="11" l="1"/>
  <c r="R16" i="11" l="1"/>
  <c r="R18" i="11" s="1"/>
  <c r="R14" i="11"/>
</calcChain>
</file>

<file path=xl/sharedStrings.xml><?xml version="1.0" encoding="utf-8"?>
<sst xmlns="http://schemas.openxmlformats.org/spreadsheetml/2006/main" count="1039" uniqueCount="933">
  <si>
    <t>Purchase Date</t>
  </si>
  <si>
    <t>Revenue</t>
  </si>
  <si>
    <t>City</t>
  </si>
  <si>
    <t>Customer Name</t>
  </si>
  <si>
    <t>month</t>
  </si>
  <si>
    <t>year</t>
  </si>
  <si>
    <t>Anaheim</t>
  </si>
  <si>
    <t>Antioch</t>
  </si>
  <si>
    <t>Bakersfield</t>
  </si>
  <si>
    <t>Berkeley</t>
  </si>
  <si>
    <t>Burbank</t>
  </si>
  <si>
    <t>Carlsbad</t>
  </si>
  <si>
    <t>Chula Vista</t>
  </si>
  <si>
    <t>Clovis</t>
  </si>
  <si>
    <t>Concord</t>
  </si>
  <si>
    <t>Corona</t>
  </si>
  <si>
    <t>Costa Mesa</t>
  </si>
  <si>
    <t>Daly City</t>
  </si>
  <si>
    <t>Downey</t>
  </si>
  <si>
    <t>East Los Angeles</t>
  </si>
  <si>
    <t>El Cajon</t>
  </si>
  <si>
    <t>Elk Grove</t>
  </si>
  <si>
    <t>El Monte</t>
  </si>
  <si>
    <t>Escondido</t>
  </si>
  <si>
    <t>Fairfield</t>
  </si>
  <si>
    <t>Fontana</t>
  </si>
  <si>
    <t>Fremont</t>
  </si>
  <si>
    <t>Fresno</t>
  </si>
  <si>
    <t>Fullerton</t>
  </si>
  <si>
    <t>Garden Grove</t>
  </si>
  <si>
    <t>Glendale</t>
  </si>
  <si>
    <t>Hayward</t>
  </si>
  <si>
    <t>Huntington Beach</t>
  </si>
  <si>
    <t>Inglewood</t>
  </si>
  <si>
    <t>Irvine</t>
  </si>
  <si>
    <t>Jurupa Valley</t>
  </si>
  <si>
    <t>Lancaster</t>
  </si>
  <si>
    <t>Long Beach</t>
  </si>
  <si>
    <t>Los Angeles</t>
  </si>
  <si>
    <t>Modesto</t>
  </si>
  <si>
    <t>Moreno Valley</t>
  </si>
  <si>
    <t>Murrieta</t>
  </si>
  <si>
    <t>Norwalk</t>
  </si>
  <si>
    <t>Oakland</t>
  </si>
  <si>
    <t>Oceanside</t>
  </si>
  <si>
    <t>Ontario</t>
  </si>
  <si>
    <t>Orange</t>
  </si>
  <si>
    <t>Oxnard</t>
  </si>
  <si>
    <t>Palmdale</t>
  </si>
  <si>
    <t>Pasadena</t>
  </si>
  <si>
    <t>Pomona</t>
  </si>
  <si>
    <t>Rancho Cucamonga</t>
  </si>
  <si>
    <t>Rialto</t>
  </si>
  <si>
    <t>Richmond</t>
  </si>
  <si>
    <t>Riverside</t>
  </si>
  <si>
    <t>Roseville</t>
  </si>
  <si>
    <t>Sacramento</t>
  </si>
  <si>
    <t>Salinas</t>
  </si>
  <si>
    <t>San Bernardino</t>
  </si>
  <si>
    <t>San Buenaventura (Ventura)</t>
  </si>
  <si>
    <t>San Diego</t>
  </si>
  <si>
    <t>San Francisco</t>
  </si>
  <si>
    <t>San Jose</t>
  </si>
  <si>
    <t>San Mateo</t>
  </si>
  <si>
    <t>Santa Ana</t>
  </si>
  <si>
    <t>Santa Clara</t>
  </si>
  <si>
    <t>Santa Clarita</t>
  </si>
  <si>
    <t>Santa Maria</t>
  </si>
  <si>
    <t>Santa Rosa</t>
  </si>
  <si>
    <t>Simi Valley</t>
  </si>
  <si>
    <t>Stockton</t>
  </si>
  <si>
    <t>Sunnyvale</t>
  </si>
  <si>
    <t>Temecula</t>
  </si>
  <si>
    <t>Thousand Oaks</t>
  </si>
  <si>
    <t>Torrance</t>
  </si>
  <si>
    <t>Vallejo</t>
  </si>
  <si>
    <t>Victorville</t>
  </si>
  <si>
    <t>Visalia</t>
  </si>
  <si>
    <t>Vista</t>
  </si>
  <si>
    <t>West Covina</t>
  </si>
  <si>
    <t>Jesse Evans</t>
  </si>
  <si>
    <t>Victor Ramos</t>
  </si>
  <si>
    <t>Mark Montgomery</t>
  </si>
  <si>
    <t>Dennis Morris</t>
  </si>
  <si>
    <t>Jeremy Vasquez</t>
  </si>
  <si>
    <t>Ernest Rivera</t>
  </si>
  <si>
    <t>Victor Martinez</t>
  </si>
  <si>
    <t>Bobby Burton</t>
  </si>
  <si>
    <t>Bruce Porter</t>
  </si>
  <si>
    <t>Bruce Butler</t>
  </si>
  <si>
    <t>Raymond Alexander</t>
  </si>
  <si>
    <t>Jason Duncan</t>
  </si>
  <si>
    <t>Phillip Peters</t>
  </si>
  <si>
    <t>James Castillo</t>
  </si>
  <si>
    <t>Benjamin Kim</t>
  </si>
  <si>
    <t>Paul Larson</t>
  </si>
  <si>
    <t>Adam Hernandez</t>
  </si>
  <si>
    <t>Keith Griffin</t>
  </si>
  <si>
    <t>Jerry Green</t>
  </si>
  <si>
    <t>Chris Armstrong</t>
  </si>
  <si>
    <t>Joshua Bennett</t>
  </si>
  <si>
    <t>George Lewis</t>
  </si>
  <si>
    <t>Joshua Ryan</t>
  </si>
  <si>
    <t>Paul Holmes</t>
  </si>
  <si>
    <t>Roger Alexander</t>
  </si>
  <si>
    <t>Frank Brown</t>
  </si>
  <si>
    <t>Shawn Wallace</t>
  </si>
  <si>
    <t>Anthony Torres</t>
  </si>
  <si>
    <t>Samuel Fowler</t>
  </si>
  <si>
    <t>Douglas Tucker</t>
  </si>
  <si>
    <t>Roy Rice</t>
  </si>
  <si>
    <t>Patrick Graham</t>
  </si>
  <si>
    <t>Donald Reynolds</t>
  </si>
  <si>
    <t>Shawn Torres</t>
  </si>
  <si>
    <t>Carlos Miller</t>
  </si>
  <si>
    <t>Jerry Simmons</t>
  </si>
  <si>
    <t>David Nguyen</t>
  </si>
  <si>
    <t>Joseph Walker</t>
  </si>
  <si>
    <t>Jose Williams</t>
  </si>
  <si>
    <t>Aaron Day</t>
  </si>
  <si>
    <t>Joe Rose</t>
  </si>
  <si>
    <t>David Ford</t>
  </si>
  <si>
    <t>Carlos Martinez</t>
  </si>
  <si>
    <t>Walter Watson</t>
  </si>
  <si>
    <t>Philip Wheeler</t>
  </si>
  <si>
    <t>Gerald Alvarez</t>
  </si>
  <si>
    <t>Todd Davis</t>
  </si>
  <si>
    <t>Nicholas Stanley</t>
  </si>
  <si>
    <t>Larry Ross</t>
  </si>
  <si>
    <t>James Foster</t>
  </si>
  <si>
    <t>Eric Armstrong</t>
  </si>
  <si>
    <t>Eugene Brooks</t>
  </si>
  <si>
    <t>Michael Lewis</t>
  </si>
  <si>
    <t>Clarence Greene</t>
  </si>
  <si>
    <t>Eric Ward</t>
  </si>
  <si>
    <t>Edward Wright</t>
  </si>
  <si>
    <t>Raymond Barnes</t>
  </si>
  <si>
    <t>Joshua Williams</t>
  </si>
  <si>
    <t>Keith James</t>
  </si>
  <si>
    <t>Patrick Rivera</t>
  </si>
  <si>
    <t>Brian Warren</t>
  </si>
  <si>
    <t>Jeremy Arnold</t>
  </si>
  <si>
    <t>George Stanley</t>
  </si>
  <si>
    <t>Jack Stevens</t>
  </si>
  <si>
    <t>Steve Wells</t>
  </si>
  <si>
    <t>Charles Hughes</t>
  </si>
  <si>
    <t>Philip Bailey</t>
  </si>
  <si>
    <t>Samuel Stewart</t>
  </si>
  <si>
    <t>Raymond Burke</t>
  </si>
  <si>
    <t>Clarence Cunningham</t>
  </si>
  <si>
    <t>Steven Young</t>
  </si>
  <si>
    <t>Samuel Price</t>
  </si>
  <si>
    <t>Jason Gray</t>
  </si>
  <si>
    <t>Adam Riley</t>
  </si>
  <si>
    <t>Juan Perez</t>
  </si>
  <si>
    <t>Brian Taylor</t>
  </si>
  <si>
    <t>Brandon Martin</t>
  </si>
  <si>
    <t>Jason Hudson</t>
  </si>
  <si>
    <t>Sean Olson</t>
  </si>
  <si>
    <t>Willie Day</t>
  </si>
  <si>
    <t>Benjamin Morgan</t>
  </si>
  <si>
    <t>Jeremy Peterson</t>
  </si>
  <si>
    <t>Nicholas Williamson</t>
  </si>
  <si>
    <t>Thomas Holmes</t>
  </si>
  <si>
    <t>Richard Cunningham</t>
  </si>
  <si>
    <t>Roy Shaw</t>
  </si>
  <si>
    <t>Jose Riley</t>
  </si>
  <si>
    <t>Roy Murphy</t>
  </si>
  <si>
    <t>Robert Jackson</t>
  </si>
  <si>
    <t>Jeremy Allen</t>
  </si>
  <si>
    <t>Charles Bell</t>
  </si>
  <si>
    <t>Russell Bailey</t>
  </si>
  <si>
    <t>Billy Evans</t>
  </si>
  <si>
    <t>Phillip Harvey</t>
  </si>
  <si>
    <t>Justin Rodriguez</t>
  </si>
  <si>
    <t>Randy Simpson</t>
  </si>
  <si>
    <t>Russell Boyd</t>
  </si>
  <si>
    <t>Louis Torres</t>
  </si>
  <si>
    <t>Jerry Andrews</t>
  </si>
  <si>
    <t>Todd Price</t>
  </si>
  <si>
    <t>Gregory Ramirez</t>
  </si>
  <si>
    <t>Mark Lee</t>
  </si>
  <si>
    <t>George Adams</t>
  </si>
  <si>
    <t>Joshua Anderson</t>
  </si>
  <si>
    <t>Aaron Johnson</t>
  </si>
  <si>
    <t>Daniel Barnes</t>
  </si>
  <si>
    <t>Albert Robinson</t>
  </si>
  <si>
    <t>Benjamin Carter</t>
  </si>
  <si>
    <t>Shawn Snyder</t>
  </si>
  <si>
    <t>Daniel Nguyen</t>
  </si>
  <si>
    <t>Benjamin Carpenter</t>
  </si>
  <si>
    <t>Johnny Butler</t>
  </si>
  <si>
    <t>Matthew Nguyen</t>
  </si>
  <si>
    <t>Juan Scott</t>
  </si>
  <si>
    <t>Howard Lynch</t>
  </si>
  <si>
    <t>Harold Matthews</t>
  </si>
  <si>
    <t>Willie Mason</t>
  </si>
  <si>
    <t>Eric Bowman</t>
  </si>
  <si>
    <t>Henry Stanley</t>
  </si>
  <si>
    <t>Ryan Taylor</t>
  </si>
  <si>
    <t>Victor Gutierrez</t>
  </si>
  <si>
    <t>Lawrence Sanchez</t>
  </si>
  <si>
    <t>Jeremy Porter</t>
  </si>
  <si>
    <t>Peter Castillo</t>
  </si>
  <si>
    <t>Victor Dean</t>
  </si>
  <si>
    <t>Jack Phillips</t>
  </si>
  <si>
    <t>Steve Sanchez</t>
  </si>
  <si>
    <t>Joe Carroll</t>
  </si>
  <si>
    <t>Gregory Boyd</t>
  </si>
  <si>
    <t>Fred Bryant</t>
  </si>
  <si>
    <t>Daniel Carroll</t>
  </si>
  <si>
    <t>Eric Shaw</t>
  </si>
  <si>
    <t>Juan Ramirez</t>
  </si>
  <si>
    <t>Christopher Kim</t>
  </si>
  <si>
    <t>Wayne Gardner</t>
  </si>
  <si>
    <t>Martin Berry</t>
  </si>
  <si>
    <t>Joseph Lopez</t>
  </si>
  <si>
    <t>Sean Alexander</t>
  </si>
  <si>
    <t>Charles Fields</t>
  </si>
  <si>
    <t>Carl Collins</t>
  </si>
  <si>
    <t>Juan Hunt</t>
  </si>
  <si>
    <t>Scott Mills</t>
  </si>
  <si>
    <t>Billy Kennedy</t>
  </si>
  <si>
    <t>Ralph Banks</t>
  </si>
  <si>
    <t>Raymond Fields</t>
  </si>
  <si>
    <t>Brandon Wright</t>
  </si>
  <si>
    <t>Larry Ray</t>
  </si>
  <si>
    <t>Gary Baker</t>
  </si>
  <si>
    <t>George Ellis</t>
  </si>
  <si>
    <t>Justin Butler</t>
  </si>
  <si>
    <t>Louis Harris</t>
  </si>
  <si>
    <t>Mark Simmons</t>
  </si>
  <si>
    <t>Michael Ward</t>
  </si>
  <si>
    <t>Richard Peterson</t>
  </si>
  <si>
    <t>Earl Franklin</t>
  </si>
  <si>
    <t>Anthony Parker</t>
  </si>
  <si>
    <t>Fred Evans</t>
  </si>
  <si>
    <t>Ronald Bradley</t>
  </si>
  <si>
    <t>Arthur Webb</t>
  </si>
  <si>
    <t>Clarence Austin</t>
  </si>
  <si>
    <t>Aaron Moreno</t>
  </si>
  <si>
    <t>Daniel Perry</t>
  </si>
  <si>
    <t>Gregory Jackson</t>
  </si>
  <si>
    <t>Edward Walker</t>
  </si>
  <si>
    <t>Raymond Allen</t>
  </si>
  <si>
    <t>Victor Lawson</t>
  </si>
  <si>
    <t>Timothy Howard</t>
  </si>
  <si>
    <t>Juan Wood</t>
  </si>
  <si>
    <t>Christopher Matthews</t>
  </si>
  <si>
    <t>Bobby Duncan</t>
  </si>
  <si>
    <t>Ronald Arnold</t>
  </si>
  <si>
    <t>Carlos Scott</t>
  </si>
  <si>
    <t>Justin Romero</t>
  </si>
  <si>
    <t>Brandon Dixon</t>
  </si>
  <si>
    <t>Paul Henderson</t>
  </si>
  <si>
    <t>Kenneth Ross</t>
  </si>
  <si>
    <t>Jack Reid</t>
  </si>
  <si>
    <t>John Brooks</t>
  </si>
  <si>
    <t>Bobby Hughes</t>
  </si>
  <si>
    <t>Phillip Watkins</t>
  </si>
  <si>
    <t>Daniel Berry</t>
  </si>
  <si>
    <t>Michael Thomas</t>
  </si>
  <si>
    <t>Harry Castillo</t>
  </si>
  <si>
    <t>Alan Sims</t>
  </si>
  <si>
    <t>Matthew Walker</t>
  </si>
  <si>
    <t>Nicholas West</t>
  </si>
  <si>
    <t>Sean Morris</t>
  </si>
  <si>
    <t>Chris Howard</t>
  </si>
  <si>
    <t>Robert Price</t>
  </si>
  <si>
    <t>Peter Gray</t>
  </si>
  <si>
    <t>Martin Reyes</t>
  </si>
  <si>
    <t>Richard Carr</t>
  </si>
  <si>
    <t>Philip Cunningham</t>
  </si>
  <si>
    <t>Craig Mills</t>
  </si>
  <si>
    <t>Henry Diaz</t>
  </si>
  <si>
    <t>Fred Jenkins</t>
  </si>
  <si>
    <t>Jeremy Rice</t>
  </si>
  <si>
    <t>Harry Perkins</t>
  </si>
  <si>
    <t>Ralph Oliver</t>
  </si>
  <si>
    <t>Adam Duncan</t>
  </si>
  <si>
    <t>Alan Miller</t>
  </si>
  <si>
    <t>Andrew Robinson</t>
  </si>
  <si>
    <t>Bruce Bowman</t>
  </si>
  <si>
    <t>Thomas Daniels</t>
  </si>
  <si>
    <t>Kevin Jones</t>
  </si>
  <si>
    <t>Jeremy Wilson</t>
  </si>
  <si>
    <t>Alan Scott</t>
  </si>
  <si>
    <t>Wayne Owens</t>
  </si>
  <si>
    <t>Matthew Duncan</t>
  </si>
  <si>
    <t>Robert Ferguson</t>
  </si>
  <si>
    <t>Gerald Gray</t>
  </si>
  <si>
    <t>Benjamin Murray</t>
  </si>
  <si>
    <t>Ralph Davis</t>
  </si>
  <si>
    <t>Bobby Murray</t>
  </si>
  <si>
    <t>Scott Roberts</t>
  </si>
  <si>
    <t>Charles Richards</t>
  </si>
  <si>
    <t>Roger Thompson</t>
  </si>
  <si>
    <t>Ronald Watkins</t>
  </si>
  <si>
    <t>Scott Rice</t>
  </si>
  <si>
    <t>Fred Russell</t>
  </si>
  <si>
    <t>Nicholas Garcia</t>
  </si>
  <si>
    <t>Russell Alexander</t>
  </si>
  <si>
    <t>Larry Stone</t>
  </si>
  <si>
    <t>Charles Henderson</t>
  </si>
  <si>
    <t>Nicholas Sanders</t>
  </si>
  <si>
    <t>Joshua Jones</t>
  </si>
  <si>
    <t>Howard Moore</t>
  </si>
  <si>
    <t>Victor Lopez</t>
  </si>
  <si>
    <t>William Montgomery</t>
  </si>
  <si>
    <t>Randy Hayes</t>
  </si>
  <si>
    <t>Brian Rice</t>
  </si>
  <si>
    <t>Douglas Foster</t>
  </si>
  <si>
    <t>Steven Owens</t>
  </si>
  <si>
    <t>Bobby Coleman</t>
  </si>
  <si>
    <t>James Perkins</t>
  </si>
  <si>
    <t>Antonio Diaz</t>
  </si>
  <si>
    <t>Peter Warren</t>
  </si>
  <si>
    <t>Aaron Cruz</t>
  </si>
  <si>
    <t>Craig Wright</t>
  </si>
  <si>
    <t>Fred Perez</t>
  </si>
  <si>
    <t>Roy Scott</t>
  </si>
  <si>
    <t>Earl Simpson</t>
  </si>
  <si>
    <t>Ralph Richardson</t>
  </si>
  <si>
    <t>Gary Jones</t>
  </si>
  <si>
    <t>Samuel Jenkins</t>
  </si>
  <si>
    <t>Daniel West</t>
  </si>
  <si>
    <t>Albert Jacobs</t>
  </si>
  <si>
    <t>Robert Carr</t>
  </si>
  <si>
    <t>Jesse Barnes</t>
  </si>
  <si>
    <t>Edward Williams</t>
  </si>
  <si>
    <t>Kevin Willis</t>
  </si>
  <si>
    <t>Douglas Robinson</t>
  </si>
  <si>
    <t>Brandon Wood</t>
  </si>
  <si>
    <t>Ralph Elliott</t>
  </si>
  <si>
    <t>Victor Gray</t>
  </si>
  <si>
    <t>Aaron Tucker</t>
  </si>
  <si>
    <t>Harold Adams</t>
  </si>
  <si>
    <t>Edward Gonzalez</t>
  </si>
  <si>
    <t>Adam Mccoy</t>
  </si>
  <si>
    <t>Paul Richardson</t>
  </si>
  <si>
    <t>Johnny Andrews</t>
  </si>
  <si>
    <t>Steven Carr</t>
  </si>
  <si>
    <t>Jason Ross</t>
  </si>
  <si>
    <t>Juan Collins</t>
  </si>
  <si>
    <t>Henry Harper</t>
  </si>
  <si>
    <t>Thomas Hawkins</t>
  </si>
  <si>
    <t>Richard Peters</t>
  </si>
  <si>
    <t>Shawn Stephens</t>
  </si>
  <si>
    <t>Roger Miller</t>
  </si>
  <si>
    <t>David Mendoza</t>
  </si>
  <si>
    <t>Thomas Gray</t>
  </si>
  <si>
    <t>Steve Barnes</t>
  </si>
  <si>
    <t>Jeffrey Phillips</t>
  </si>
  <si>
    <t>Mark Gonzalez</t>
  </si>
  <si>
    <t>Steven Hayes</t>
  </si>
  <si>
    <t>Jeremy Gomez</t>
  </si>
  <si>
    <t>Donald Carroll</t>
  </si>
  <si>
    <t>Shawn Scott</t>
  </si>
  <si>
    <t>Stephen Webb</t>
  </si>
  <si>
    <t>Donald Morris</t>
  </si>
  <si>
    <t>Joshua Garza</t>
  </si>
  <si>
    <t>Martin Mason</t>
  </si>
  <si>
    <t>Jose Wright</t>
  </si>
  <si>
    <t>George Thompson</t>
  </si>
  <si>
    <t>Ernest Ortiz</t>
  </si>
  <si>
    <t>Johnny Ramos</t>
  </si>
  <si>
    <t>Willie Daniels</t>
  </si>
  <si>
    <t>Lawrence Watson</t>
  </si>
  <si>
    <t>Nicholas Hernandez</t>
  </si>
  <si>
    <t>Alan Parker</t>
  </si>
  <si>
    <t>Bruce Morrison</t>
  </si>
  <si>
    <t>Adam Mcdonald</t>
  </si>
  <si>
    <t>Joe Powell</t>
  </si>
  <si>
    <t>Phillip Morrison</t>
  </si>
  <si>
    <t>Charles Sims</t>
  </si>
  <si>
    <t>Henry Bishop</t>
  </si>
  <si>
    <t>Anthony Fisher</t>
  </si>
  <si>
    <t>Christopher Nguyen</t>
  </si>
  <si>
    <t>Jesse Garrett</t>
  </si>
  <si>
    <t>Phillip Edwards</t>
  </si>
  <si>
    <t>Raymond Spencer</t>
  </si>
  <si>
    <t>Jack Howell</t>
  </si>
  <si>
    <t>David Wheeler</t>
  </si>
  <si>
    <t>Ronald George</t>
  </si>
  <si>
    <t>Benjamin Jacobs</t>
  </si>
  <si>
    <t>Kevin Gomez</t>
  </si>
  <si>
    <t>Eugene Hunter</t>
  </si>
  <si>
    <t>Ernest Austin</t>
  </si>
  <si>
    <t>Carl Martin</t>
  </si>
  <si>
    <t>Philip Foster</t>
  </si>
  <si>
    <t>Willie Hicks</t>
  </si>
  <si>
    <t>Raymond Young</t>
  </si>
  <si>
    <t>Jonathan Bowman</t>
  </si>
  <si>
    <t>Billy Adams</t>
  </si>
  <si>
    <t>James Williams</t>
  </si>
  <si>
    <t>David Wilson</t>
  </si>
  <si>
    <t>Andrew James</t>
  </si>
  <si>
    <t>Billy Nelson</t>
  </si>
  <si>
    <t>Patrick Wells</t>
  </si>
  <si>
    <t>Jeffrey Carpenter</t>
  </si>
  <si>
    <t>Dennis Scott</t>
  </si>
  <si>
    <t>Carlos Kim</t>
  </si>
  <si>
    <t>Wayne Johnson</t>
  </si>
  <si>
    <t>Donald Stanley</t>
  </si>
  <si>
    <t>Eugene Castillo</t>
  </si>
  <si>
    <t>Terry Richards</t>
  </si>
  <si>
    <t>Shawn Ray</t>
  </si>
  <si>
    <t>Ralph Wood</t>
  </si>
  <si>
    <t>Jimmy Wood</t>
  </si>
  <si>
    <t>Martin Johnston</t>
  </si>
  <si>
    <t>Eric Alvarez</t>
  </si>
  <si>
    <t>Jonathan Moreno</t>
  </si>
  <si>
    <t>Jimmy Grant</t>
  </si>
  <si>
    <t>Matthew Campbell</t>
  </si>
  <si>
    <t>Terry Harris</t>
  </si>
  <si>
    <t>Billy Cook</t>
  </si>
  <si>
    <t>Antonio Green</t>
  </si>
  <si>
    <t>Walter Russell</t>
  </si>
  <si>
    <t>Jerry Barnes</t>
  </si>
  <si>
    <t>Bobby Willis</t>
  </si>
  <si>
    <t>Andrew Martin</t>
  </si>
  <si>
    <t>Andrew Graham</t>
  </si>
  <si>
    <t>Victor Scott</t>
  </si>
  <si>
    <t>Carlos Smith</t>
  </si>
  <si>
    <t>Jesse Wells</t>
  </si>
  <si>
    <t>Matthew Phillips</t>
  </si>
  <si>
    <t>Sean Andrews</t>
  </si>
  <si>
    <t>Brian Kim</t>
  </si>
  <si>
    <t>Jonathan Jones</t>
  </si>
  <si>
    <t>Jonathan Reed</t>
  </si>
  <si>
    <t>Nicholas Arnold</t>
  </si>
  <si>
    <t>Gerald Clark</t>
  </si>
  <si>
    <t>Victor Watkins</t>
  </si>
  <si>
    <t>Patrick Morales</t>
  </si>
  <si>
    <t>Sean Snyder</t>
  </si>
  <si>
    <t>Paul Lane</t>
  </si>
  <si>
    <t>William Hawkins</t>
  </si>
  <si>
    <t>Clarence Freeman</t>
  </si>
  <si>
    <t>Kevin Wood</t>
  </si>
  <si>
    <t>David Perkins</t>
  </si>
  <si>
    <t>Adam Thompson</t>
  </si>
  <si>
    <t>Ralph Olson</t>
  </si>
  <si>
    <t>Jose Barnes</t>
  </si>
  <si>
    <t>Randy Webb</t>
  </si>
  <si>
    <t>Ronald Burns</t>
  </si>
  <si>
    <t>Thomas Chapman</t>
  </si>
  <si>
    <t>Juan Griffin</t>
  </si>
  <si>
    <t>James Sullivan</t>
  </si>
  <si>
    <t>Jason Hanson</t>
  </si>
  <si>
    <t>Stephen Reynolds</t>
  </si>
  <si>
    <t>Howard Lewis</t>
  </si>
  <si>
    <t>Anthony Turner</t>
  </si>
  <si>
    <t>Arthur Gilbert</t>
  </si>
  <si>
    <t>Jesse Hill</t>
  </si>
  <si>
    <t>Gary Porter</t>
  </si>
  <si>
    <t>Howard Harrison</t>
  </si>
  <si>
    <t>George Hill</t>
  </si>
  <si>
    <t>Gerald Reyes</t>
  </si>
  <si>
    <t>Jimmy Andrews</t>
  </si>
  <si>
    <t>Adam Bailey</t>
  </si>
  <si>
    <t>Ernest Bradley</t>
  </si>
  <si>
    <t>Louis Mccoy</t>
  </si>
  <si>
    <t>Harry Daniels</t>
  </si>
  <si>
    <t>Phillip Webb</t>
  </si>
  <si>
    <t>Samuel Fields</t>
  </si>
  <si>
    <t>Eric Bradley</t>
  </si>
  <si>
    <t>Earl Robinson</t>
  </si>
  <si>
    <t>Brandon Bailey</t>
  </si>
  <si>
    <t>Juan Harvey</t>
  </si>
  <si>
    <t>Antonio Shaw</t>
  </si>
  <si>
    <t>Keith Moore</t>
  </si>
  <si>
    <t>Scott Gordon</t>
  </si>
  <si>
    <t>Adam Hunter</t>
  </si>
  <si>
    <t>Arthur Reid</t>
  </si>
  <si>
    <t>Benjamin Vasquez</t>
  </si>
  <si>
    <t>William Andrews</t>
  </si>
  <si>
    <t>Steven Mccoy</t>
  </si>
  <si>
    <t>Todd Lynch</t>
  </si>
  <si>
    <t>Earl Phillips</t>
  </si>
  <si>
    <t>Clarence Warren</t>
  </si>
  <si>
    <t>Fred Peterson</t>
  </si>
  <si>
    <t>Joshua Rose</t>
  </si>
  <si>
    <t>Thomas Campbell</t>
  </si>
  <si>
    <t>Martin Olson</t>
  </si>
  <si>
    <t>Louis Austin</t>
  </si>
  <si>
    <t>Keith Robinson</t>
  </si>
  <si>
    <t>Terry Morris</t>
  </si>
  <si>
    <t>Billy Miller</t>
  </si>
  <si>
    <t>Willie Harrison</t>
  </si>
  <si>
    <t>Peter Freeman</t>
  </si>
  <si>
    <t>Kevin Moreno</t>
  </si>
  <si>
    <t>Matthew Smith</t>
  </si>
  <si>
    <t>Jack Lynch</t>
  </si>
  <si>
    <t>Scott Allen</t>
  </si>
  <si>
    <t>Terry Watson</t>
  </si>
  <si>
    <t>Antonio Frazier</t>
  </si>
  <si>
    <t>Louis Ellis</t>
  </si>
  <si>
    <t>Johnny Martinez</t>
  </si>
  <si>
    <t>Paul Taylor</t>
  </si>
  <si>
    <t>John Hunt</t>
  </si>
  <si>
    <t>Kevin Gilbert</t>
  </si>
  <si>
    <t>Joshua Flores</t>
  </si>
  <si>
    <t>Daniel Moreno</t>
  </si>
  <si>
    <t>Alan Perry</t>
  </si>
  <si>
    <t>Aaron Mills</t>
  </si>
  <si>
    <t>Steve Hunt</t>
  </si>
  <si>
    <t>Douglas Perkins</t>
  </si>
  <si>
    <t>Jeffrey Gibson</t>
  </si>
  <si>
    <t>Samuel Kim</t>
  </si>
  <si>
    <t>John Long</t>
  </si>
  <si>
    <t>Jose Ellis</t>
  </si>
  <si>
    <t>David Smith</t>
  </si>
  <si>
    <t>Kenneth Hill</t>
  </si>
  <si>
    <t>Joseph Murphy</t>
  </si>
  <si>
    <t>Kevin Lopez</t>
  </si>
  <si>
    <t>Benjamin Stanley</t>
  </si>
  <si>
    <t>Joshua Hunt</t>
  </si>
  <si>
    <t>Phillip Tucker</t>
  </si>
  <si>
    <t>Joe Coleman</t>
  </si>
  <si>
    <t>Adam Alexander</t>
  </si>
  <si>
    <t>Christopher Johnston</t>
  </si>
  <si>
    <t>Louis Perry</t>
  </si>
  <si>
    <t>Bruce King</t>
  </si>
  <si>
    <t>Kenneth Foster</t>
  </si>
  <si>
    <t>Antonio Cooper</t>
  </si>
  <si>
    <t>William Carpenter</t>
  </si>
  <si>
    <t>Steven Martinez</t>
  </si>
  <si>
    <t>Albert Cunningham</t>
  </si>
  <si>
    <t>Christopher Arnold</t>
  </si>
  <si>
    <t>Christopher Hudson</t>
  </si>
  <si>
    <t>Roger Elliott</t>
  </si>
  <si>
    <t>Roy Bennett</t>
  </si>
  <si>
    <t>Jeremy Jenkins</t>
  </si>
  <si>
    <t>Anthony Banks</t>
  </si>
  <si>
    <t>Jesse Castillo</t>
  </si>
  <si>
    <t>Michael Mills</t>
  </si>
  <si>
    <t>Stephen Larson</t>
  </si>
  <si>
    <t>Eugene Weaver</t>
  </si>
  <si>
    <t>Michael Austin</t>
  </si>
  <si>
    <t>Jonathan Pierce</t>
  </si>
  <si>
    <t>Steven Walker</t>
  </si>
  <si>
    <t>Arthur Welch</t>
  </si>
  <si>
    <t>Jerry Rogers</t>
  </si>
  <si>
    <t>Brandon Diaz</t>
  </si>
  <si>
    <t>Benjamin Garza</t>
  </si>
  <si>
    <t>Jason Dixon</t>
  </si>
  <si>
    <t>Bobby Greene</t>
  </si>
  <si>
    <t>Ralph Nichols</t>
  </si>
  <si>
    <t>Roy West</t>
  </si>
  <si>
    <t>William Franklin</t>
  </si>
  <si>
    <t>Paul Carpenter</t>
  </si>
  <si>
    <t>Joshua Collins</t>
  </si>
  <si>
    <t>Steve Stewart</t>
  </si>
  <si>
    <t>Victor Marshall</t>
  </si>
  <si>
    <t>William James</t>
  </si>
  <si>
    <t>Shawn Owens</t>
  </si>
  <si>
    <t>Steve Miller</t>
  </si>
  <si>
    <t>Douglas Franklin</t>
  </si>
  <si>
    <t>Gary Pierce</t>
  </si>
  <si>
    <t>Antonio Dixon</t>
  </si>
  <si>
    <t>Andrew Adams</t>
  </si>
  <si>
    <t>Ryan Bailey</t>
  </si>
  <si>
    <t>Aaron Miller</t>
  </si>
  <si>
    <t>Phillip Coleman</t>
  </si>
  <si>
    <t>Earl Ortiz</t>
  </si>
  <si>
    <t>Joe Gordon</t>
  </si>
  <si>
    <t>Juan Rivera</t>
  </si>
  <si>
    <t>Billy Olson</t>
  </si>
  <si>
    <t>James Fisher</t>
  </si>
  <si>
    <t>Henry Kelley</t>
  </si>
  <si>
    <t>Ronald Duncan</t>
  </si>
  <si>
    <t>Brian Hunter</t>
  </si>
  <si>
    <t>David Garrett</t>
  </si>
  <si>
    <t>Andrew Hansen</t>
  </si>
  <si>
    <t>Anthony Chapman</t>
  </si>
  <si>
    <t>Keith Wheeler</t>
  </si>
  <si>
    <t>Donald Andrews</t>
  </si>
  <si>
    <t>Wayne Hunter</t>
  </si>
  <si>
    <t>Bobby Jackson</t>
  </si>
  <si>
    <t>Albert Kennedy</t>
  </si>
  <si>
    <t>Sean Woods</t>
  </si>
  <si>
    <t>Keith Stephens</t>
  </si>
  <si>
    <t>Kenneth Marshall</t>
  </si>
  <si>
    <t>Keith Hamilton</t>
  </si>
  <si>
    <t>Charles Shaw</t>
  </si>
  <si>
    <t>Terry Mills</t>
  </si>
  <si>
    <t>Russell Nelson</t>
  </si>
  <si>
    <t>Kenneth Simpson</t>
  </si>
  <si>
    <t>Ralph Wheeler</t>
  </si>
  <si>
    <t>Ralph Jacobs</t>
  </si>
  <si>
    <t>Carlos Wheeler</t>
  </si>
  <si>
    <t>Jerry Smith</t>
  </si>
  <si>
    <t>Carl Murphy</t>
  </si>
  <si>
    <t>Frank Schmidt</t>
  </si>
  <si>
    <t>Joe Bryant</t>
  </si>
  <si>
    <t>Wayne Stewart</t>
  </si>
  <si>
    <t>Carlos Stewart</t>
  </si>
  <si>
    <t>Billy Gonzales</t>
  </si>
  <si>
    <t>Michael Reed</t>
  </si>
  <si>
    <t>Billy West</t>
  </si>
  <si>
    <t>Joe Baker</t>
  </si>
  <si>
    <t>Eugene Cooper</t>
  </si>
  <si>
    <t>Общий итог</t>
  </si>
  <si>
    <t>January</t>
  </si>
  <si>
    <t>March</t>
  </si>
  <si>
    <t>Febuary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</si>
  <si>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</si>
  <si>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</si>
  <si>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</si>
  <si>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</si>
  <si>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</si>
  <si>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</si>
  <si>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</si>
  <si>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</si>
  <si>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Mау</t>
  </si>
  <si>
    <t>Vlookup month</t>
  </si>
  <si>
    <t>IF&amp; counta formula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</si>
  <si>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</si>
  <si>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</si>
  <si>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</si>
  <si>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</si>
  <si>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</si>
  <si>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</si>
  <si>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</si>
  <si>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</si>
  <si>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</si>
  <si>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</si>
  <si>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</si>
  <si>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</si>
  <si>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</si>
  <si>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 Revenue</t>
  </si>
  <si>
    <t xml:space="preserve"> Revenue2</t>
  </si>
  <si>
    <t>Month no.1</t>
  </si>
  <si>
    <t>Month no.2</t>
  </si>
  <si>
    <t>Month</t>
  </si>
  <si>
    <t>%</t>
  </si>
  <si>
    <t>Current month</t>
  </si>
  <si>
    <t>Previous month</t>
  </si>
  <si>
    <t>Variance</t>
  </si>
  <si>
    <t>Captions</t>
  </si>
  <si>
    <t>% change</t>
  </si>
  <si>
    <t xml:space="preserve"> COGS</t>
  </si>
  <si>
    <t xml:space="preserve"> Quantity</t>
  </si>
  <si>
    <t>Trans</t>
  </si>
  <si>
    <t>Cities</t>
  </si>
  <si>
    <t>Top profit</t>
  </si>
  <si>
    <t>Date</t>
  </si>
  <si>
    <t>Transaction</t>
  </si>
  <si>
    <t>Сумма по полю Profit</t>
  </si>
  <si>
    <t xml:space="preserve"> Profit</t>
  </si>
  <si>
    <t>Quarter</t>
  </si>
  <si>
    <t>Total cities</t>
  </si>
  <si>
    <t>Total</t>
  </si>
  <si>
    <t>Conditioning previous month</t>
  </si>
  <si>
    <t>Bruce Harris</t>
  </si>
  <si>
    <t>Larry Dunn</t>
  </si>
  <si>
    <t>Aaron Carr</t>
  </si>
  <si>
    <t>Adam Jenkins</t>
  </si>
  <si>
    <t>Adam Myers</t>
  </si>
  <si>
    <t>Adam White</t>
  </si>
  <si>
    <t>Alan Gomez</t>
  </si>
  <si>
    <t>Alan Green</t>
  </si>
  <si>
    <t>Alan Thomas</t>
  </si>
  <si>
    <t>Albert Rice</t>
  </si>
  <si>
    <t>Albert Young</t>
  </si>
  <si>
    <t>Andrew Burns</t>
  </si>
  <si>
    <t>Andrew Fernandez</t>
  </si>
  <si>
    <t>Andrew Peters</t>
  </si>
  <si>
    <t>Andrew Reynolds</t>
  </si>
  <si>
    <t>Anthony Berry</t>
  </si>
  <si>
    <t>Antonio Morris</t>
  </si>
  <si>
    <t>Antonio Owens</t>
  </si>
  <si>
    <t>Arthur Roberts</t>
  </si>
  <si>
    <t>Benjamin Moreno</t>
  </si>
  <si>
    <t>Billy Reid</t>
  </si>
  <si>
    <t>Bobby Black</t>
  </si>
  <si>
    <t>Brian Murphy</t>
  </si>
  <si>
    <t>Bruce Chapman</t>
  </si>
  <si>
    <t>Bruce Hamilton</t>
  </si>
  <si>
    <t>Bruce Oliver</t>
  </si>
  <si>
    <t>Carl Anderson</t>
  </si>
  <si>
    <t>Carl Reid</t>
  </si>
  <si>
    <t>Carlos Hunt</t>
  </si>
  <si>
    <t>Charles Montgomery</t>
  </si>
  <si>
    <t>Charles Perry</t>
  </si>
  <si>
    <t>Chris Burke</t>
  </si>
  <si>
    <t>Chris Hall</t>
  </si>
  <si>
    <t>Christopher Miller</t>
  </si>
  <si>
    <t>Christopher Weaver</t>
  </si>
  <si>
    <t>Clarence Grant</t>
  </si>
  <si>
    <t>Daniel Fernandez</t>
  </si>
  <si>
    <t>Dennis Myers</t>
  </si>
  <si>
    <t>Dennis Ruiz</t>
  </si>
  <si>
    <t>Douglas Greene</t>
  </si>
  <si>
    <t>Douglas Kennedy</t>
  </si>
  <si>
    <t>Edward Mason</t>
  </si>
  <si>
    <t>Eric Moore</t>
  </si>
  <si>
    <t>Ernest Fox</t>
  </si>
  <si>
    <t>Ernest Knight</t>
  </si>
  <si>
    <t>Eugene Cunningham</t>
  </si>
  <si>
    <t>Eugene Murphy</t>
  </si>
  <si>
    <t>Eugene Ryan</t>
  </si>
  <si>
    <t>Eugene Scott</t>
  </si>
  <si>
    <t>Frank Gibson</t>
  </si>
  <si>
    <t>Frank Hawkins</t>
  </si>
  <si>
    <t>Frank Ortiz</t>
  </si>
  <si>
    <t>Frank Webb</t>
  </si>
  <si>
    <t>Fred Reid</t>
  </si>
  <si>
    <t>Gary Hudson</t>
  </si>
  <si>
    <t>George Fowler</t>
  </si>
  <si>
    <t>George Lee</t>
  </si>
  <si>
    <t>George Nichols</t>
  </si>
  <si>
    <t>Gerald Andrews</t>
  </si>
  <si>
    <t>Gerald Henry</t>
  </si>
  <si>
    <t>Gerald Palmer</t>
  </si>
  <si>
    <t>Gerald Porter</t>
  </si>
  <si>
    <t>Gregory Chapman</t>
  </si>
  <si>
    <t>Gregory Welch</t>
  </si>
  <si>
    <t>Harold Turner</t>
  </si>
  <si>
    <t>Harry Diaz</t>
  </si>
  <si>
    <t>Harry Hudson</t>
  </si>
  <si>
    <t>Henry Andrews</t>
  </si>
  <si>
    <t>Henry Boyd</t>
  </si>
  <si>
    <t>Henry Elliott</t>
  </si>
  <si>
    <t>Henry Reyes</t>
  </si>
  <si>
    <t>Jack Jackson</t>
  </si>
  <si>
    <t>James Armstrong</t>
  </si>
  <si>
    <t>James Dean</t>
  </si>
  <si>
    <t>Jason Diaz</t>
  </si>
  <si>
    <t>Jason Murphy</t>
  </si>
  <si>
    <t>Jeffrey Sanders</t>
  </si>
  <si>
    <t>Jeremy Schmidt</t>
  </si>
  <si>
    <t>Jerry Harvey</t>
  </si>
  <si>
    <t>Jesse Bishop</t>
  </si>
  <si>
    <t>Jesse Graham</t>
  </si>
  <si>
    <t>Jesse Hernandez</t>
  </si>
  <si>
    <t>Jimmy Harper</t>
  </si>
  <si>
    <t>Joe Griffin</t>
  </si>
  <si>
    <t>Joe Hanson</t>
  </si>
  <si>
    <t>Joe Price</t>
  </si>
  <si>
    <t>Johnny Hawkins</t>
  </si>
  <si>
    <t>Jonathan Harris</t>
  </si>
  <si>
    <t>Jonathan Lynch</t>
  </si>
  <si>
    <t>Jose Griffin</t>
  </si>
  <si>
    <t>Jose Lewis</t>
  </si>
  <si>
    <t>Jose Watson</t>
  </si>
  <si>
    <t>Joseph Warren</t>
  </si>
  <si>
    <t>Joshua Little</t>
  </si>
  <si>
    <t>Joshua Romero</t>
  </si>
  <si>
    <t>Joshua Watkins</t>
  </si>
  <si>
    <t>Justin Miller</t>
  </si>
  <si>
    <t>Keith Campbell</t>
  </si>
  <si>
    <t>Keith Murphy</t>
  </si>
  <si>
    <t>Keith Murray</t>
  </si>
  <si>
    <t>Kenneth Arnold</t>
  </si>
  <si>
    <t>Kenneth Dunn</t>
  </si>
  <si>
    <t>Kevin Campbell</t>
  </si>
  <si>
    <t>Kevin Kim</t>
  </si>
  <si>
    <t>Kevin Webb</t>
  </si>
  <si>
    <t>Kevin Wheeler</t>
  </si>
  <si>
    <t>Larry Freeman</t>
  </si>
  <si>
    <t>Lawrence Kelly</t>
  </si>
  <si>
    <t>Louis Chavez</t>
  </si>
  <si>
    <t>Louis White</t>
  </si>
  <si>
    <t>Mark Morales</t>
  </si>
  <si>
    <t>Mark Spencer</t>
  </si>
  <si>
    <t>Matthew Fernandez</t>
  </si>
  <si>
    <t>Matthew Lewis</t>
  </si>
  <si>
    <t>Michael Allen</t>
  </si>
  <si>
    <t>Michael Lane</t>
  </si>
  <si>
    <t>Nicholas Morrison</t>
  </si>
  <si>
    <t>Nicholas Simmons</t>
  </si>
  <si>
    <t>Nicholas Ward</t>
  </si>
  <si>
    <t>Patrick Brown</t>
  </si>
  <si>
    <t>Patrick Williamson</t>
  </si>
  <si>
    <t>Paul Chapman</t>
  </si>
  <si>
    <t>Paul Johnson</t>
  </si>
  <si>
    <t>Peter Bradley</t>
  </si>
  <si>
    <t>Peter Cook</t>
  </si>
  <si>
    <t>Peter Fernandez</t>
  </si>
  <si>
    <t>Peter Gilbert</t>
  </si>
  <si>
    <t>Peter Meyer</t>
  </si>
  <si>
    <t>Peter Wells</t>
  </si>
  <si>
    <t>Philip Burton</t>
  </si>
  <si>
    <t>Philip Crawford</t>
  </si>
  <si>
    <t>Phillip Carpenter</t>
  </si>
  <si>
    <t>Phillip Ellis</t>
  </si>
  <si>
    <t>Ralph Cooper</t>
  </si>
  <si>
    <t>Ralph Kelley</t>
  </si>
  <si>
    <t>Ralph Willis</t>
  </si>
  <si>
    <t>Raymond Arnold</t>
  </si>
  <si>
    <t>Raymond Hall</t>
  </si>
  <si>
    <t>Raymond Roberts</t>
  </si>
  <si>
    <t>Richard Hudson</t>
  </si>
  <si>
    <t>Richard Jordan</t>
  </si>
  <si>
    <t>Richard Young</t>
  </si>
  <si>
    <t>Robert Murphy</t>
  </si>
  <si>
    <t>Roger Mills</t>
  </si>
  <si>
    <t>Ronald Barnes</t>
  </si>
  <si>
    <t>Russell Grant</t>
  </si>
  <si>
    <t>Ryan Ford</t>
  </si>
  <si>
    <t>Ryan Price</t>
  </si>
  <si>
    <t>Ryan Ruiz</t>
  </si>
  <si>
    <t>Ryan Schmidt</t>
  </si>
  <si>
    <t>Samuel Burke</t>
  </si>
  <si>
    <t>Samuel Hamilton</t>
  </si>
  <si>
    <t>Sean Black</t>
  </si>
  <si>
    <t>Sean Kelly</t>
  </si>
  <si>
    <t>Sean Knight</t>
  </si>
  <si>
    <t>Shawn Cook</t>
  </si>
  <si>
    <t>Shawn Day</t>
  </si>
  <si>
    <t>Shawn Henderson</t>
  </si>
  <si>
    <t>Shawn Long</t>
  </si>
  <si>
    <t>Shawn Ramos</t>
  </si>
  <si>
    <t>Shawn Reynolds</t>
  </si>
  <si>
    <t>Stephen Andrews</t>
  </si>
  <si>
    <t>Stephen Greene</t>
  </si>
  <si>
    <t>Stephen Kelly</t>
  </si>
  <si>
    <t>Stephen Payne</t>
  </si>
  <si>
    <t>Steve Bennett</t>
  </si>
  <si>
    <t>Steve Diaz</t>
  </si>
  <si>
    <t>Steve Tucker</t>
  </si>
  <si>
    <t>Steven Howard</t>
  </si>
  <si>
    <t>Steven Nichols</t>
  </si>
  <si>
    <t>Terry Payne</t>
  </si>
  <si>
    <t>Thomas Duncan</t>
  </si>
  <si>
    <t>Thomas James</t>
  </si>
  <si>
    <t>Timothy Hamilton</t>
  </si>
  <si>
    <t>Todd George</t>
  </si>
  <si>
    <t>Todd Watson</t>
  </si>
  <si>
    <t>Victor Hughes</t>
  </si>
  <si>
    <t>Victor Medina</t>
  </si>
  <si>
    <t>Walter Duncan</t>
  </si>
  <si>
    <t>Walter Woods</t>
  </si>
  <si>
    <t>Wayne Gordon</t>
  </si>
  <si>
    <t>Wayne Ortiz</t>
  </si>
  <si>
    <t>Wayne Rodriguez</t>
  </si>
  <si>
    <t>Wayne Williams</t>
  </si>
  <si>
    <t>William Schmidt</t>
  </si>
  <si>
    <t>Walter Baker</t>
  </si>
  <si>
    <t>Andrew Butler</t>
  </si>
  <si>
    <t>Anthony Little</t>
  </si>
  <si>
    <t>Antonio Nelson</t>
  </si>
  <si>
    <t>Benjamin Lynch</t>
  </si>
  <si>
    <t>Benjamin Ryan</t>
  </si>
  <si>
    <t>Bruce Armstrong</t>
  </si>
  <si>
    <t>Carl Nguyen</t>
  </si>
  <si>
    <t>Carlos Reed</t>
  </si>
  <si>
    <t>Chris Chapman</t>
  </si>
  <si>
    <t>Craig Reyes</t>
  </si>
  <si>
    <t>Craig Rodriguez</t>
  </si>
  <si>
    <t>David Olson</t>
  </si>
  <si>
    <t>Douglas Wallace</t>
  </si>
  <si>
    <t>Eugene Sims</t>
  </si>
  <si>
    <t>Frank Mason</t>
  </si>
  <si>
    <t>Frank Weaver</t>
  </si>
  <si>
    <t>Fred Howell</t>
  </si>
  <si>
    <t>Fred Romero</t>
  </si>
  <si>
    <t>Gerald Rogers</t>
  </si>
  <si>
    <t>Gregory Porter</t>
  </si>
  <si>
    <t>Gregory Simmons</t>
  </si>
  <si>
    <t>Henry Cox</t>
  </si>
  <si>
    <t>Howard Morgan</t>
  </si>
  <si>
    <t>James Simmons</t>
  </si>
  <si>
    <t>Jason Walker</t>
  </si>
  <si>
    <t>Jerry Reed</t>
  </si>
  <si>
    <t>Jesse Alvarez</t>
  </si>
  <si>
    <t>Jimmy Morrison</t>
  </si>
  <si>
    <t>Jimmy Ray</t>
  </si>
  <si>
    <t>Joe Fuller</t>
  </si>
  <si>
    <t>Johnny Ward</t>
  </si>
  <si>
    <t>Jonathan Cox</t>
  </si>
  <si>
    <t>Jonathan Hawkins</t>
  </si>
  <si>
    <t>Juan Lawrence</t>
  </si>
  <si>
    <t>Justin Graham</t>
  </si>
  <si>
    <t>Keith Jordan</t>
  </si>
  <si>
    <t>Keith Schmidt</t>
  </si>
  <si>
    <t>Kenneth Ryan</t>
  </si>
  <si>
    <t>Lawrence Rogers</t>
  </si>
  <si>
    <t>Louis Johnston</t>
  </si>
  <si>
    <t>Mark Elliott</t>
  </si>
  <si>
    <t>Mark Kim</t>
  </si>
  <si>
    <t>Michael Cole</t>
  </si>
  <si>
    <t>Michael Hill</t>
  </si>
  <si>
    <t>Nicholas Cunningham</t>
  </si>
  <si>
    <t>Nicholas Hamilton</t>
  </si>
  <si>
    <t>Patrick Hall</t>
  </si>
  <si>
    <t>Peter Boyd</t>
  </si>
  <si>
    <t>Roger Price</t>
  </si>
  <si>
    <t>Ronald Anderson</t>
  </si>
  <si>
    <t>Roy Carpenter</t>
  </si>
  <si>
    <t>Roy Hamilton</t>
  </si>
  <si>
    <t>Roy Jenkins</t>
  </si>
  <si>
    <t>Samuel Palmer</t>
  </si>
  <si>
    <t>Shawn Fields</t>
  </si>
  <si>
    <t>Terry Robinson</t>
  </si>
  <si>
    <t>Thomas Gonzales</t>
  </si>
  <si>
    <t>Timothy Lawrence</t>
  </si>
  <si>
    <t>Todd Roberts</t>
  </si>
  <si>
    <t>Victor Chapman</t>
  </si>
  <si>
    <t>Victor Rogers</t>
  </si>
  <si>
    <t>Walter Harris</t>
  </si>
  <si>
    <t>Wayne Stone</t>
  </si>
  <si>
    <t>William Medina</t>
  </si>
  <si>
    <t>Daniel Dixon</t>
  </si>
  <si>
    <t>Donald Collins</t>
  </si>
  <si>
    <t>Fred Stone</t>
  </si>
  <si>
    <t>John Robertson</t>
  </si>
  <si>
    <t>Justin Johnston</t>
  </si>
  <si>
    <t>Sean Vasquez</t>
  </si>
  <si>
    <t>Shawn Bishop</t>
  </si>
  <si>
    <t>Stephen Cook</t>
  </si>
  <si>
    <t>Christopher Wright</t>
  </si>
  <si>
    <t>Adam Wheeler</t>
  </si>
  <si>
    <t>Anthony Simpson</t>
  </si>
  <si>
    <t>Carl Jones</t>
  </si>
  <si>
    <t>Carlos Young</t>
  </si>
  <si>
    <t>Chris Fuller</t>
  </si>
  <si>
    <t>Christopher Ramos</t>
  </si>
  <si>
    <t>Clarence Kelley</t>
  </si>
  <si>
    <t>Donald Diaz</t>
  </si>
  <si>
    <t>Douglas Diaz</t>
  </si>
  <si>
    <t>Jack Lewis</t>
  </si>
  <si>
    <t>Jonathan Freeman</t>
  </si>
  <si>
    <t>Joseph Lawson</t>
  </si>
  <si>
    <t>Joshua Brooks</t>
  </si>
  <si>
    <t>Joshua Peterson</t>
  </si>
  <si>
    <t>Juan Cruz</t>
  </si>
  <si>
    <t>Nicholas Gilbert</t>
  </si>
  <si>
    <t>Roger Tucker</t>
  </si>
  <si>
    <t>Sean Price</t>
  </si>
  <si>
    <t>Thomas Sims</t>
  </si>
  <si>
    <t>Timothy Bowman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</si>
</sst>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\ _₽_-;\-* #,##0.00\ _₽_-;_-* &quot;-&quot;??\ _₽_-;_-@_-"/>
    <numFmt numFmtId="164" formatCode="ddd"/>
    <numFmt numFmtId="165" formatCode="0.0%"/>
    <numFmt numFmtId="166" formatCode="[$$-409]#,##0"/>
    <numFmt numFmtId="167" formatCode="[$-409]d\-mmm;@"/>
    <numFmt numFmtId="168" formatCode="#,##0_ ;\-#,##0\ 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0172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D0F8A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0" borderId="0" xfId="0" pivotButton="1"/>
    <xf numFmtId="0" fontId="4" fillId="0" borderId="0" xfId="0" applyFont="1"/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3" borderId="0" xfId="0" applyFont="1" applyFill="1"/>
    <xf numFmtId="0" fontId="3" fillId="4" borderId="0" xfId="0" applyFont="1" applyFill="1"/>
    <xf numFmtId="3" fontId="0" fillId="0" borderId="0" xfId="0" applyNumberFormat="1"/>
    <xf numFmtId="165" fontId="0" fillId="0" borderId="0" xfId="2" applyNumberFormat="1" applyFont="1"/>
    <xf numFmtId="0" fontId="0" fillId="0" borderId="0" xfId="0" applyNumberFormat="1"/>
    <xf numFmtId="1" fontId="0" fillId="0" borderId="0" xfId="0" applyNumberFormat="1"/>
    <xf numFmtId="167" fontId="0" fillId="0" borderId="0" xfId="0" applyNumberFormat="1"/>
    <xf numFmtId="1" fontId="0" fillId="0" borderId="0" xfId="3" applyNumberFormat="1" applyFont="1"/>
    <xf numFmtId="168" fontId="0" fillId="0" borderId="0" xfId="3" applyNumberFormat="1" applyFont="1"/>
    <xf numFmtId="168" fontId="0" fillId="0" borderId="0" xfId="0" applyNumberFormat="1"/>
    <xf numFmtId="9" fontId="0" fillId="0" borderId="0" xfId="2" applyFont="1"/>
  </cellXfs>
  <cellStyles count="4">
    <cellStyle name="Обычный" xfId="0" builtinId="0"/>
    <cellStyle name="Обычный 2" xfId="1"/>
    <cellStyle name="Процентный" xfId="2" builtinId="5"/>
    <cellStyle name="Финансовый" xfId="3" builtinId="3"/>
  </cellStyles>
  <dxfs count="18">
    <dxf>
      <numFmt numFmtId="3" formatCode="#,##0"/>
    </dxf>
    <dxf>
      <numFmt numFmtId="166" formatCode="[$$-409]#,##0"/>
    </dxf>
    <dxf>
      <numFmt numFmtId="166" formatCode="[$$-409]#,##0"/>
    </dxf>
    <dxf>
      <numFmt numFmtId="165" formatCode="0.0%"/>
    </dxf>
    <dxf>
      <numFmt numFmtId="166" formatCode="[$$-409]#,##0"/>
    </dxf>
    <dxf>
      <numFmt numFmtId="166" formatCode="[$$-409]#,##0"/>
    </dxf>
    <dxf>
      <numFmt numFmtId="166" formatCode="[$$-409]#,##0"/>
    </dxf>
    <dxf>
      <numFmt numFmtId="166" formatCode="[$$-409]#,##0"/>
    </dxf>
    <dxf>
      <numFmt numFmtId="166" formatCode="[$$-409]#,##0"/>
    </dxf>
    <dxf>
      <numFmt numFmtId="3" formatCode="#,##0"/>
    </dxf>
    <dxf>
      <numFmt numFmtId="166" formatCode="[$$-409]#,##0"/>
    </dxf>
    <dxf>
      <numFmt numFmtId="166" formatCode="[$$-409]#,##0"/>
    </dxf>
    <dxf>
      <numFmt numFmtId="3" formatCode="#,##0"/>
    </dxf>
    <dxf>
      <numFmt numFmtId="166" formatCode="[$$-409]#,##0"/>
    </dxf>
    <dxf>
      <numFmt numFmtId="166" formatCode="[$$-409]#,##0"/>
    </dxf>
    <dxf>
      <numFmt numFmtId="166" formatCode="[$$-409]#,##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172144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>
      <tableStyleElement type="wholeTable" dxfId="17"/>
      <tableStyleElement type="headerRow" dxfId="16"/>
    </tableStyle>
  </tableStyles>
  <colors>
    <mruColors>
      <color rgb="FF158BBF"/>
      <color rgb="FF291473"/>
      <color rgb="FFAD0F8A"/>
      <color rgb="FF101727"/>
      <color rgb="FF172144"/>
    </mruColors>
  </colors>
  <extLst>
    <ext xmlns:x14="http://schemas.microsoft.com/office/spreadsheetml/2009/9/main" uri="{46F421CA-312F-682f-3DD2-61675219B42D}">
      <x14:dxfs count="8">
        <dxf>
          <font>
            <color theme="9" tint="0.39994506668294322"/>
          </font>
          <fill>
            <patternFill patternType="solid">
              <fgColor auto="1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4"/>
            <color rgb="FFAD0F8A"/>
          </font>
          <fill>
            <patternFill patternType="solid">
              <fgColor auto="1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B0F0"/>
          </font>
          <fill>
            <patternFill patternType="solid">
              <fgColor auto="1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4" tint="0.79995117038483843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rgb="FFAD0F8A"/>
          </font>
          <fill>
            <patternFill patternType="solid">
              <fgColor theme="4" tint="0.59999389629810485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24994659260841701"/>
          </font>
          <fill>
            <patternFill patternType="solid">
              <fgColor rgb="FFFFFFFF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24994659260841701"/>
          </font>
          <fill>
            <patternFill patternType="solid">
              <fgColor rgb="FFFFFFFF"/>
              <bgColor rgb="FF172144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[Excel_project.xlsm]Analysis_2!Сводная таблица8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Analysis_2!$Q$3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Analysis_2!$P$4:$P$8</c:f>
              <c:strCache>
                <c:ptCount val="5"/>
                <c:pt idx="0">
                  <c:v>Brandon Diaz</c:v>
                </c:pt>
                <c:pt idx="1">
                  <c:v>Craig Mills</c:v>
                </c:pt>
                <c:pt idx="2">
                  <c:v>Craig Wright</c:v>
                </c:pt>
                <c:pt idx="3">
                  <c:v>Douglas Franklin</c:v>
                </c:pt>
                <c:pt idx="4">
                  <c:v>Ronald Bradley</c:v>
                </c:pt>
              </c:strCache>
            </c:strRef>
          </c:cat>
          <c:val>
            <c:numRef>
              <c:f>Analysis_2!$Q$4:$Q$8</c:f>
              <c:numCache>
                <c:formatCode>[$$-409]#\ ##0</c:formatCode>
                <c:ptCount val="5"/>
                <c:pt idx="0">
                  <c:v>66242</c:v>
                </c:pt>
                <c:pt idx="1">
                  <c:v>65506</c:v>
                </c:pt>
                <c:pt idx="2">
                  <c:v>69689</c:v>
                </c:pt>
                <c:pt idx="3">
                  <c:v>65202</c:v>
                </c:pt>
                <c:pt idx="4">
                  <c:v>67824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2-41B0-B0F3-9763E4C1D3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214608"/>
        <c:axId val="769215024"/>
      </c:barChart>
      <c:catAx>
        <c:axId val="76921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15024"/>
        <c:crosses val="autoZero"/>
        <c:auto val="1"/>
        <c:lblAlgn val="ctr"/>
        <c:lblOffset val="100"/>
        <c:noMultiLvlLbl val="0"/>
      </c:catAx>
      <c:valAx>
        <c:axId val="769215024"/>
        <c:scaling>
          <c:orientation val="minMax"/>
        </c:scaling>
        <c:delete val="1"/>
        <c:axPos val="l"/>
        <c:numFmt formatCode="[$$-409]#\ ##0" sourceLinked="1"/>
        <c:majorTickMark val="none"/>
        <c:minorTickMark val="none"/>
        <c:tickLblPos val="nextTo"/>
        <c:crossAx val="7692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93278664364816"/>
          <c:y val="8.2125754017589911E-2"/>
          <c:w val="0.54675249484188804"/>
          <c:h val="0.806508355321020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AD0F8A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178502252726433"/>
                      <c:h val="0.149569807722359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752-4609-B448-23BE7AA44D60}"/>
                </c:ext>
              </c:extLst>
            </c:dLbl>
            <c:dLbl>
              <c:idx val="1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705461282583"/>
                      <c:h val="0.149570016722360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752-4609-B448-23BE7AA44D60}"/>
                </c:ext>
              </c:extLst>
            </c:dLbl>
            <c:dLbl>
              <c:idx val="2"/>
              <c:layout>
                <c:manualLayout>
                  <c:x val="-0.12366336477325367"/>
                  <c:y val="1.4195552249569165E-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825561076255837"/>
                      <c:h val="0.149570016722360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752-4609-B448-23BE7AA44D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Analysis_2!$X$11:$X$13</c:f>
              <c:strCache>
                <c:ptCount val="3"/>
                <c:pt idx="0">
                  <c:v>Rialto</c:v>
                </c:pt>
                <c:pt idx="1">
                  <c:v>Roseville</c:v>
                </c:pt>
                <c:pt idx="2">
                  <c:v>Victorville</c:v>
                </c:pt>
              </c:strCache>
            </c:strRef>
          </c:cat>
          <c:val>
            <c:numRef>
              <c:f>Analysis_2!$Y$11:$Y$13</c:f>
              <c:numCache>
                <c:formatCode>[$$-409]#\ ##0</c:formatCode>
                <c:ptCount val="3"/>
                <c:pt idx="0">
                  <c:v>465604</c:v>
                </c:pt>
                <c:pt idx="1">
                  <c:v>436995</c:v>
                </c:pt>
                <c:pt idx="2">
                  <c:v>423411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2-4609-B448-23BE7AA44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06399007"/>
        <c:axId val="206394015"/>
      </c:barChart>
      <c:catAx>
        <c:axId val="206399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4015"/>
        <c:crosses val="autoZero"/>
        <c:auto val="1"/>
        <c:lblAlgn val="ctr"/>
        <c:lblOffset val="100"/>
        <c:noMultiLvlLbl val="0"/>
      </c:catAx>
      <c:valAx>
        <c:axId val="206394015"/>
        <c:scaling>
          <c:orientation val="minMax"/>
        </c:scaling>
        <c:delete val="1"/>
        <c:axPos val="b"/>
        <c:numFmt formatCode="[$$-409]#\ ##0" sourceLinked="1"/>
        <c:majorTickMark val="none"/>
        <c:minorTickMark val="none"/>
        <c:tickLblPos val="nextTo"/>
        <c:crossAx val="20639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[Excel_project.xlsm]Analysis_2!Сводная таблица14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Analysis_2!$AI$3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Analysis_2!$AH$4:$AH$808</c:f>
              <c:strCache>
                <c:ptCount val="805"/>
                <c:pt idx="0">
                  <c:v>1-Jan</c:v>
                </c:pt>
                <c:pt idx="1">
                  <c:v>2-Jan</c:v>
                </c:pt>
                <c:pt idx="2">
                  <c:v>3-Jan</c:v>
                </c:pt>
                <c:pt idx="3">
                  <c:v>4-Jan</c:v>
                </c:pt>
                <c:pt idx="4">
                  <c:v>5-Jan</c:v>
                </c:pt>
                <c:pt idx="5">
                  <c:v>6-Jan</c:v>
                </c:pt>
                <c:pt idx="6">
                  <c:v>7-Jan</c:v>
                </c:pt>
                <c:pt idx="7">
                  <c:v>8-Jan</c:v>
                </c:pt>
                <c:pt idx="8">
                  <c:v>9-Jan</c:v>
                </c:pt>
                <c:pt idx="9">
                  <c:v>10-Jan</c:v>
                </c:pt>
                <c:pt idx="10">
                  <c:v>11-Jan</c:v>
                </c:pt>
                <c:pt idx="11">
                  <c:v>12-Jan</c:v>
                </c:pt>
                <c:pt idx="12">
                  <c:v>13-Jan</c:v>
                </c:pt>
                <c:pt idx="13">
                  <c:v>14-Jan</c:v>
                </c:pt>
                <c:pt idx="14">
                  <c:v>15-Jan</c:v>
                </c:pt>
                <c:pt idx="15">
                  <c:v>16-Jan</c:v>
                </c:pt>
                <c:pt idx="16">
                  <c:v>17-Jan</c:v>
                </c:pt>
                <c:pt idx="17">
                  <c:v>18-Jan</c:v>
                </c:pt>
                <c:pt idx="18">
                  <c:v>19-Jan</c:v>
                </c:pt>
                <c:pt idx="19">
                  <c:v>20-Jan</c:v>
                </c:pt>
                <c:pt idx="20">
                  <c:v>21-Jan</c:v>
                </c:pt>
                <c:pt idx="21">
                  <c:v>22-Jan</c:v>
                </c:pt>
                <c:pt idx="22">
                  <c:v>23-Jan</c:v>
                </c:pt>
                <c:pt idx="23">
                  <c:v>24-Jan</c:v>
                </c:pt>
                <c:pt idx="24">
                  <c:v>25-Jan</c:v>
                </c:pt>
                <c:pt idx="25">
                  <c:v>26-Jan</c:v>
                </c:pt>
                <c:pt idx="26">
                  <c:v>27-Jan</c:v>
                </c:pt>
                <c:pt idx="27">
                  <c:v>28-Jan</c:v>
                </c:pt>
                <c:pt idx="28">
                  <c:v>29-Jan</c:v>
                </c:pt>
                <c:pt idx="29">
                  <c:v>30-Jan</c:v>
                </c:pt>
                <c:pt idx="30">
                  <c:v>31-Jan</c:v>
                </c:pt>
                <c:pt idx="31">
                  <c:v>1-Feb</c:v>
                </c:pt>
                <c:pt idx="32">
                  <c:v>2-Feb</c:v>
                </c:pt>
                <c:pt idx="33">
                  <c:v>3-Feb</c:v>
                </c:pt>
                <c:pt idx="34">
                  <c:v>4-Feb</c:v>
                </c:pt>
                <c:pt idx="35">
                  <c:v>5-Feb</c:v>
                </c:pt>
                <c:pt idx="36">
                  <c:v>6-Feb</c:v>
                </c:pt>
                <c:pt idx="37">
                  <c:v>7-Feb</c:v>
                </c:pt>
                <c:pt idx="38">
                  <c:v>8-Feb</c:v>
                </c:pt>
                <c:pt idx="39">
                  <c:v>9-Feb</c:v>
                </c:pt>
                <c:pt idx="40">
                  <c:v>10-Feb</c:v>
                </c:pt>
                <c:pt idx="41">
                  <c:v>11-Feb</c:v>
                </c:pt>
                <c:pt idx="42">
                  <c:v>12-Feb</c:v>
                </c:pt>
                <c:pt idx="43">
                  <c:v>13-Feb</c:v>
                </c:pt>
                <c:pt idx="44">
                  <c:v>14-Feb</c:v>
                </c:pt>
                <c:pt idx="45">
                  <c:v>15-Feb</c:v>
                </c:pt>
                <c:pt idx="46">
                  <c:v>16-Feb</c:v>
                </c:pt>
                <c:pt idx="47">
                  <c:v>17-Feb</c:v>
                </c:pt>
                <c:pt idx="48">
                  <c:v>18-Feb</c:v>
                </c:pt>
                <c:pt idx="49">
                  <c:v>19-Feb</c:v>
                </c:pt>
                <c:pt idx="50">
                  <c:v>20-Feb</c:v>
                </c:pt>
                <c:pt idx="51">
                  <c:v>21-Feb</c:v>
                </c:pt>
                <c:pt idx="52">
                  <c:v>22-Feb</c:v>
                </c:pt>
                <c:pt idx="53">
                  <c:v>23-Feb</c:v>
                </c:pt>
                <c:pt idx="54">
                  <c:v>24-Feb</c:v>
                </c:pt>
                <c:pt idx="55">
                  <c:v>25-Feb</c:v>
                </c:pt>
                <c:pt idx="56">
                  <c:v>26-Feb</c:v>
                </c:pt>
                <c:pt idx="57">
                  <c:v>27-Feb</c:v>
                </c:pt>
                <c:pt idx="58">
                  <c:v>28-Feb</c:v>
                </c:pt>
                <c:pt idx="59">
                  <c:v>1-Mar</c:v>
                </c:pt>
                <c:pt idx="60">
                  <c:v>2-Mar</c:v>
                </c:pt>
                <c:pt idx="61">
                  <c:v>3-Mar</c:v>
                </c:pt>
                <c:pt idx="62">
                  <c:v>4-Mar</c:v>
                </c:pt>
                <c:pt idx="63">
                  <c:v>5-Mar</c:v>
                </c:pt>
                <c:pt idx="64">
                  <c:v>6-Mar</c:v>
                </c:pt>
                <c:pt idx="65">
                  <c:v>7-Mar</c:v>
                </c:pt>
                <c:pt idx="66">
                  <c:v>8-Mar</c:v>
                </c:pt>
                <c:pt idx="67">
                  <c:v>9-Mar</c:v>
                </c:pt>
                <c:pt idx="68">
                  <c:v>10-Mar</c:v>
                </c:pt>
                <c:pt idx="69">
                  <c:v>11-Mar</c:v>
                </c:pt>
                <c:pt idx="70">
                  <c:v>12-Mar</c:v>
                </c:pt>
                <c:pt idx="71">
                  <c:v>13-Mar</c:v>
                </c:pt>
                <c:pt idx="72">
                  <c:v>14-Mar</c:v>
                </c:pt>
                <c:pt idx="73">
                  <c:v>15-Mar</c:v>
                </c:pt>
                <c:pt idx="74">
                  <c:v>16-Mar</c:v>
                </c:pt>
                <c:pt idx="75">
                  <c:v>17-Mar</c:v>
                </c:pt>
                <c:pt idx="76">
                  <c:v>18-Mar</c:v>
                </c:pt>
                <c:pt idx="77">
                  <c:v>19-Mar</c:v>
                </c:pt>
                <c:pt idx="78">
                  <c:v>20-Mar</c:v>
                </c:pt>
                <c:pt idx="79">
                  <c:v>21-Mar</c:v>
                </c:pt>
                <c:pt idx="80">
                  <c:v>22-Mar</c:v>
                </c:pt>
                <c:pt idx="81">
                  <c:v>23-Mar</c:v>
                </c:pt>
                <c:pt idx="82">
                  <c:v>24-Mar</c:v>
                </c:pt>
                <c:pt idx="83">
                  <c:v>25-Mar</c:v>
                </c:pt>
                <c:pt idx="84">
                  <c:v>26-Mar</c:v>
                </c:pt>
                <c:pt idx="85">
                  <c:v>27-Mar</c:v>
                </c:pt>
                <c:pt idx="86">
                  <c:v>28-Mar</c:v>
                </c:pt>
                <c:pt idx="87">
                  <c:v>29-Mar</c:v>
                </c:pt>
                <c:pt idx="88">
                  <c:v>30-Mar</c:v>
                </c:pt>
                <c:pt idx="89">
                  <c:v>31-Mar</c:v>
                </c:pt>
                <c:pt idx="90">
                  <c:v>1-Apr</c:v>
                </c:pt>
                <c:pt idx="91">
                  <c:v>2-Apr</c:v>
                </c:pt>
                <c:pt idx="92">
                  <c:v>3-Apr</c:v>
                </c:pt>
                <c:pt idx="93">
                  <c:v>4-Apr</c:v>
                </c:pt>
                <c:pt idx="94">
                  <c:v>5-Apr</c:v>
                </c:pt>
                <c:pt idx="95">
                  <c:v>6-Apr</c:v>
                </c:pt>
                <c:pt idx="96">
                  <c:v>7-Apr</c:v>
                </c:pt>
                <c:pt idx="97">
                  <c:v>8-Apr</c:v>
                </c:pt>
                <c:pt idx="98">
                  <c:v>9-Apr</c:v>
                </c:pt>
                <c:pt idx="99">
                  <c:v>10-Apr</c:v>
                </c:pt>
                <c:pt idx="100">
                  <c:v>11-Apr</c:v>
                </c:pt>
                <c:pt idx="101">
                  <c:v>12-Apr</c:v>
                </c:pt>
                <c:pt idx="102">
                  <c:v>13-Apr</c:v>
                </c:pt>
                <c:pt idx="103">
                  <c:v>14-Apr</c:v>
                </c:pt>
                <c:pt idx="104">
                  <c:v>15-Apr</c:v>
                </c:pt>
                <c:pt idx="105">
                  <c:v>16-Apr</c:v>
                </c:pt>
                <c:pt idx="106">
                  <c:v>17-Apr</c:v>
                </c:pt>
                <c:pt idx="107">
                  <c:v>18-Apr</c:v>
                </c:pt>
                <c:pt idx="108">
                  <c:v>19-Apr</c:v>
                </c:pt>
                <c:pt idx="109">
                  <c:v>20-Apr</c:v>
                </c:pt>
                <c:pt idx="110">
                  <c:v>21-Apr</c:v>
                </c:pt>
                <c:pt idx="111">
                  <c:v>22-Apr</c:v>
                </c:pt>
                <c:pt idx="112">
                  <c:v>23-Apr</c:v>
                </c:pt>
                <c:pt idx="113">
                  <c:v>24-Apr</c:v>
                </c:pt>
                <c:pt idx="114">
                  <c:v>25-Apr</c:v>
                </c:pt>
                <c:pt idx="115">
                  <c:v>26-Apr</c:v>
                </c:pt>
                <c:pt idx="116">
                  <c:v>27-Apr</c:v>
                </c:pt>
                <c:pt idx="117">
                  <c:v>28-Apr</c:v>
                </c:pt>
                <c:pt idx="118">
                  <c:v>29-Apr</c:v>
                </c:pt>
                <c:pt idx="119">
                  <c:v>30-Apr</c:v>
                </c:pt>
                <c:pt idx="120">
                  <c:v>1-May</c:v>
                </c:pt>
                <c:pt idx="121">
                  <c:v>2-May</c:v>
                </c:pt>
                <c:pt idx="122">
                  <c:v>3-May</c:v>
                </c:pt>
                <c:pt idx="123">
                  <c:v>4-May</c:v>
                </c:pt>
                <c:pt idx="124">
                  <c:v>5-May</c:v>
                </c:pt>
                <c:pt idx="125">
                  <c:v>6-May</c:v>
                </c:pt>
                <c:pt idx="126">
                  <c:v>7-May</c:v>
                </c:pt>
                <c:pt idx="127">
                  <c:v>8-May</c:v>
                </c:pt>
                <c:pt idx="128">
                  <c:v>9-May</c:v>
                </c:pt>
                <c:pt idx="129">
                  <c:v>10-May</c:v>
                </c:pt>
                <c:pt idx="130">
                  <c:v>11-May</c:v>
                </c:pt>
                <c:pt idx="131">
                  <c:v>12-May</c:v>
                </c:pt>
                <c:pt idx="132">
                  <c:v>13-May</c:v>
                </c:pt>
                <c:pt idx="133">
                  <c:v>14-May</c:v>
                </c:pt>
                <c:pt idx="134">
                  <c:v>15-May</c:v>
                </c:pt>
                <c:pt idx="135">
                  <c:v>16-May</c:v>
                </c:pt>
                <c:pt idx="136">
                  <c:v>17-May</c:v>
                </c:pt>
                <c:pt idx="137">
                  <c:v>18-May</c:v>
                </c:pt>
                <c:pt idx="138">
                  <c:v>19-May</c:v>
                </c:pt>
                <c:pt idx="139">
                  <c:v>20-May</c:v>
                </c:pt>
                <c:pt idx="140">
                  <c:v>21-May</c:v>
                </c:pt>
                <c:pt idx="141">
                  <c:v>22-May</c:v>
                </c:pt>
                <c:pt idx="142">
                  <c:v>23-May</c:v>
                </c:pt>
                <c:pt idx="143">
                  <c:v>24-May</c:v>
                </c:pt>
                <c:pt idx="144">
                  <c:v>25-May</c:v>
                </c:pt>
                <c:pt idx="145">
                  <c:v>26-May</c:v>
                </c:pt>
                <c:pt idx="146">
                  <c:v>27-May</c:v>
                </c:pt>
                <c:pt idx="147">
                  <c:v>28-May</c:v>
                </c:pt>
                <c:pt idx="148">
                  <c:v>29-May</c:v>
                </c:pt>
                <c:pt idx="149">
                  <c:v>30-May</c:v>
                </c:pt>
                <c:pt idx="150">
                  <c:v>31-May</c:v>
                </c:pt>
                <c:pt idx="151">
                  <c:v>1-Jun</c:v>
                </c:pt>
                <c:pt idx="152">
                  <c:v>2-Jun</c:v>
                </c:pt>
                <c:pt idx="153">
                  <c:v>3-Jun</c:v>
                </c:pt>
                <c:pt idx="154">
                  <c:v>4-Jun</c:v>
                </c:pt>
                <c:pt idx="155">
                  <c:v>5-Jun</c:v>
                </c:pt>
                <c:pt idx="156">
                  <c:v>6-Jun</c:v>
                </c:pt>
                <c:pt idx="157">
                  <c:v>7-Jun</c:v>
                </c:pt>
                <c:pt idx="158">
                  <c:v>8-Jun</c:v>
                </c:pt>
                <c:pt idx="159">
                  <c:v>9-Jun</c:v>
                </c:pt>
                <c:pt idx="160">
                  <c:v>10-Jun</c:v>
                </c:pt>
                <c:pt idx="161">
                  <c:v>11-Jun</c:v>
                </c:pt>
                <c:pt idx="162">
                  <c:v>12-Jun</c:v>
                </c:pt>
                <c:pt idx="163">
                  <c:v>13-Jun</c:v>
                </c:pt>
                <c:pt idx="164">
                  <c:v>14-Jun</c:v>
                </c:pt>
                <c:pt idx="165">
                  <c:v>15-Jun</c:v>
                </c:pt>
                <c:pt idx="166">
                  <c:v>16-Jun</c:v>
                </c:pt>
                <c:pt idx="167">
                  <c:v>17-Jun</c:v>
                </c:pt>
                <c:pt idx="168">
                  <c:v>18-Jun</c:v>
                </c:pt>
                <c:pt idx="169">
                  <c:v>19-Jun</c:v>
                </c:pt>
                <c:pt idx="170">
                  <c:v>20-Jun</c:v>
                </c:pt>
                <c:pt idx="171">
                  <c:v>21-Jun</c:v>
                </c:pt>
                <c:pt idx="172">
                  <c:v>22-Jun</c:v>
                </c:pt>
                <c:pt idx="173">
                  <c:v>23-Jun</c:v>
                </c:pt>
                <c:pt idx="174">
                  <c:v>24-Jun</c:v>
                </c:pt>
                <c:pt idx="175">
                  <c:v>25-Jun</c:v>
                </c:pt>
                <c:pt idx="176">
                  <c:v>26-Jun</c:v>
                </c:pt>
                <c:pt idx="177">
                  <c:v>27-Jun</c:v>
                </c:pt>
                <c:pt idx="178">
                  <c:v>28-Jun</c:v>
                </c:pt>
                <c:pt idx="179">
                  <c:v>29-Jun</c:v>
                </c:pt>
                <c:pt idx="180">
                  <c:v>30-Jun</c:v>
                </c:pt>
                <c:pt idx="181">
                  <c:v>1-Jul</c:v>
                </c:pt>
                <c:pt idx="182">
                  <c:v>2-Jul</c:v>
                </c:pt>
                <c:pt idx="183">
                  <c:v>3-Jul</c:v>
                </c:pt>
                <c:pt idx="184">
                  <c:v>4-Jul</c:v>
                </c:pt>
                <c:pt idx="185">
                  <c:v>5-Jul</c:v>
                </c:pt>
                <c:pt idx="186">
                  <c:v>6-Jul</c:v>
                </c:pt>
                <c:pt idx="187">
                  <c:v>7-Jul</c:v>
                </c:pt>
                <c:pt idx="188">
                  <c:v>8-Jul</c:v>
                </c:pt>
                <c:pt idx="189">
                  <c:v>9-Jul</c:v>
                </c:pt>
                <c:pt idx="190">
                  <c:v>10-Jul</c:v>
                </c:pt>
                <c:pt idx="191">
                  <c:v>11-Jul</c:v>
                </c:pt>
                <c:pt idx="192">
                  <c:v>12-Jul</c:v>
                </c:pt>
                <c:pt idx="193">
                  <c:v>13-Jul</c:v>
                </c:pt>
                <c:pt idx="194">
                  <c:v>14-Jul</c:v>
                </c:pt>
                <c:pt idx="195">
                  <c:v>15-Jul</c:v>
                </c:pt>
                <c:pt idx="196">
                  <c:v>16-Jul</c:v>
                </c:pt>
                <c:pt idx="197">
                  <c:v>17-Jul</c:v>
                </c:pt>
                <c:pt idx="198">
                  <c:v>18-Jul</c:v>
                </c:pt>
                <c:pt idx="199">
                  <c:v>19-Jul</c:v>
                </c:pt>
                <c:pt idx="200">
                  <c:v>20-Jul</c:v>
                </c:pt>
                <c:pt idx="201">
                  <c:v>21-Jul</c:v>
                </c:pt>
                <c:pt idx="202">
                  <c:v>22-Jul</c:v>
                </c:pt>
                <c:pt idx="203">
                  <c:v>23-Jul</c:v>
                </c:pt>
                <c:pt idx="204">
                  <c:v>24-Jul</c:v>
                </c:pt>
                <c:pt idx="205">
                  <c:v>25-Jul</c:v>
                </c:pt>
                <c:pt idx="206">
                  <c:v>26-Jul</c:v>
                </c:pt>
                <c:pt idx="207">
                  <c:v>27-Jul</c:v>
                </c:pt>
                <c:pt idx="208">
                  <c:v>28-Jul</c:v>
                </c:pt>
                <c:pt idx="209">
                  <c:v>29-Jul</c:v>
                </c:pt>
                <c:pt idx="210">
                  <c:v>30-Jul</c:v>
                </c:pt>
                <c:pt idx="211">
                  <c:v>31-Jul</c:v>
                </c:pt>
                <c:pt idx="212">
                  <c:v>1-Aug</c:v>
                </c:pt>
                <c:pt idx="213">
                  <c:v>2-Aug</c:v>
                </c:pt>
                <c:pt idx="214">
                  <c:v>3-Aug</c:v>
                </c:pt>
                <c:pt idx="215">
                  <c:v>4-Aug</c:v>
                </c:pt>
                <c:pt idx="216">
                  <c:v>5-Aug</c:v>
                </c:pt>
                <c:pt idx="217">
                  <c:v>6-Aug</c:v>
                </c:pt>
                <c:pt idx="218">
                  <c:v>7-Aug</c:v>
                </c:pt>
                <c:pt idx="219">
                  <c:v>8-Aug</c:v>
                </c:pt>
                <c:pt idx="220">
                  <c:v>9-Aug</c:v>
                </c:pt>
                <c:pt idx="221">
                  <c:v>10-Aug</c:v>
                </c:pt>
                <c:pt idx="222">
                  <c:v>11-Aug</c:v>
                </c:pt>
                <c:pt idx="223">
                  <c:v>12-Aug</c:v>
                </c:pt>
                <c:pt idx="224">
                  <c:v>13-Aug</c:v>
                </c:pt>
                <c:pt idx="225">
                  <c:v>14-Aug</c:v>
                </c:pt>
                <c:pt idx="226">
                  <c:v>15-Aug</c:v>
                </c:pt>
                <c:pt idx="227">
                  <c:v>16-Aug</c:v>
                </c:pt>
                <c:pt idx="228">
                  <c:v>17-Aug</c:v>
                </c:pt>
                <c:pt idx="229">
                  <c:v>18-Aug</c:v>
                </c:pt>
                <c:pt idx="230">
                  <c:v>19-Aug</c:v>
                </c:pt>
                <c:pt idx="231">
                  <c:v>20-Aug</c:v>
                </c:pt>
                <c:pt idx="232">
                  <c:v>21-Aug</c:v>
                </c:pt>
                <c:pt idx="233">
                  <c:v>22-Aug</c:v>
                </c:pt>
                <c:pt idx="234">
                  <c:v>23-Aug</c:v>
                </c:pt>
                <c:pt idx="235">
                  <c:v>24-Aug</c:v>
                </c:pt>
                <c:pt idx="236">
                  <c:v>25-Aug</c:v>
                </c:pt>
                <c:pt idx="237">
                  <c:v>26-Aug</c:v>
                </c:pt>
                <c:pt idx="238">
                  <c:v>27-Aug</c:v>
                </c:pt>
                <c:pt idx="239">
                  <c:v>28-Aug</c:v>
                </c:pt>
                <c:pt idx="240">
                  <c:v>29-Aug</c:v>
                </c:pt>
                <c:pt idx="241">
                  <c:v>30-Aug</c:v>
                </c:pt>
                <c:pt idx="242">
                  <c:v>31-Aug</c:v>
                </c:pt>
                <c:pt idx="243">
                  <c:v>1-Sep</c:v>
                </c:pt>
                <c:pt idx="244">
                  <c:v>2-Sep</c:v>
                </c:pt>
                <c:pt idx="245">
                  <c:v>3-Sep</c:v>
                </c:pt>
                <c:pt idx="246">
                  <c:v>4-Sep</c:v>
                </c:pt>
                <c:pt idx="247">
                  <c:v>5-Sep</c:v>
                </c:pt>
                <c:pt idx="248">
                  <c:v>6-Sep</c:v>
                </c:pt>
                <c:pt idx="249">
                  <c:v>7-Sep</c:v>
                </c:pt>
                <c:pt idx="250">
                  <c:v>8-Sep</c:v>
                </c:pt>
                <c:pt idx="251">
                  <c:v>9-Sep</c:v>
                </c:pt>
                <c:pt idx="252">
                  <c:v>10-Sep</c:v>
                </c:pt>
                <c:pt idx="253">
                  <c:v>11-Sep</c:v>
                </c:pt>
                <c:pt idx="254">
                  <c:v>12-Sep</c:v>
                </c:pt>
                <c:pt idx="255">
                  <c:v>13-Sep</c:v>
                </c:pt>
                <c:pt idx="256">
                  <c:v>14-Sep</c:v>
                </c:pt>
                <c:pt idx="257">
                  <c:v>15-Sep</c:v>
                </c:pt>
                <c:pt idx="258">
                  <c:v>16-Sep</c:v>
                </c:pt>
                <c:pt idx="259">
                  <c:v>17-Sep</c:v>
                </c:pt>
                <c:pt idx="260">
                  <c:v>18-Sep</c:v>
                </c:pt>
                <c:pt idx="261">
                  <c:v>19-Sep</c:v>
                </c:pt>
                <c:pt idx="262">
                  <c:v>20-Sep</c:v>
                </c:pt>
                <c:pt idx="263">
                  <c:v>21-Sep</c:v>
                </c:pt>
                <c:pt idx="264">
                  <c:v>22-Sep</c:v>
                </c:pt>
                <c:pt idx="265">
                  <c:v>23-Sep</c:v>
                </c:pt>
                <c:pt idx="266">
                  <c:v>24-Sep</c:v>
                </c:pt>
                <c:pt idx="267">
                  <c:v>25-Sep</c:v>
                </c:pt>
                <c:pt idx="268">
                  <c:v>26-Sep</c:v>
                </c:pt>
                <c:pt idx="269">
                  <c:v>27-Sep</c:v>
                </c:pt>
                <c:pt idx="270">
                  <c:v>28-Sep</c:v>
                </c:pt>
                <c:pt idx="271">
                  <c:v>29-Sep</c:v>
                </c:pt>
                <c:pt idx="272">
                  <c:v>30-Sep</c:v>
                </c:pt>
                <c:pt idx="273">
                  <c:v>1-Oct</c:v>
                </c:pt>
                <c:pt idx="274">
                  <c:v>2-Oct</c:v>
                </c:pt>
                <c:pt idx="275">
                  <c:v>3-Oct</c:v>
                </c:pt>
                <c:pt idx="276">
                  <c:v>4-Oct</c:v>
                </c:pt>
                <c:pt idx="277">
                  <c:v>5-Oct</c:v>
                </c:pt>
                <c:pt idx="278">
                  <c:v>6-Oct</c:v>
                </c:pt>
                <c:pt idx="279">
                  <c:v>7-Oct</c:v>
                </c:pt>
                <c:pt idx="280">
                  <c:v>8-Oct</c:v>
                </c:pt>
                <c:pt idx="281">
                  <c:v>9-Oct</c:v>
                </c:pt>
                <c:pt idx="282">
                  <c:v>10-Oct</c:v>
                </c:pt>
                <c:pt idx="283">
                  <c:v>11-Oct</c:v>
                </c:pt>
                <c:pt idx="284">
                  <c:v>12-Oct</c:v>
                </c:pt>
                <c:pt idx="285">
                  <c:v>13-Oct</c:v>
                </c:pt>
                <c:pt idx="286">
                  <c:v>14-Oct</c:v>
                </c:pt>
                <c:pt idx="287">
                  <c:v>15-Oct</c:v>
                </c:pt>
                <c:pt idx="288">
                  <c:v>16-Oct</c:v>
                </c:pt>
                <c:pt idx="289">
                  <c:v>17-Oct</c:v>
                </c:pt>
                <c:pt idx="290">
                  <c:v>18-Oct</c:v>
                </c:pt>
                <c:pt idx="291">
                  <c:v>19-Oct</c:v>
                </c:pt>
                <c:pt idx="292">
                  <c:v>20-Oct</c:v>
                </c:pt>
                <c:pt idx="293">
                  <c:v>21-Oct</c:v>
                </c:pt>
                <c:pt idx="294">
                  <c:v>22-Oct</c:v>
                </c:pt>
                <c:pt idx="295">
                  <c:v>23-Oct</c:v>
                </c:pt>
                <c:pt idx="296">
                  <c:v>24-Oct</c:v>
                </c:pt>
                <c:pt idx="297">
                  <c:v>25-Oct</c:v>
                </c:pt>
                <c:pt idx="298">
                  <c:v>26-Oct</c:v>
                </c:pt>
                <c:pt idx="299">
                  <c:v>27-Oct</c:v>
                </c:pt>
                <c:pt idx="300">
                  <c:v>28-Oct</c:v>
                </c:pt>
                <c:pt idx="301">
                  <c:v>29-Oct</c:v>
                </c:pt>
                <c:pt idx="302">
                  <c:v>30-Oct</c:v>
                </c:pt>
                <c:pt idx="303">
                  <c:v>31-Oct</c:v>
                </c:pt>
                <c:pt idx="304">
                  <c:v>1-Nov</c:v>
                </c:pt>
                <c:pt idx="305">
                  <c:v>2-Nov</c:v>
                </c:pt>
                <c:pt idx="306">
                  <c:v>3-Nov</c:v>
                </c:pt>
                <c:pt idx="307">
                  <c:v>4-Nov</c:v>
                </c:pt>
                <c:pt idx="308">
                  <c:v>5-Nov</c:v>
                </c:pt>
                <c:pt idx="309">
                  <c:v>6-Nov</c:v>
                </c:pt>
                <c:pt idx="310">
                  <c:v>7-Nov</c:v>
                </c:pt>
                <c:pt idx="311">
                  <c:v>8-Nov</c:v>
                </c:pt>
                <c:pt idx="312">
                  <c:v>9-Nov</c:v>
                </c:pt>
                <c:pt idx="313">
                  <c:v>10-Nov</c:v>
                </c:pt>
                <c:pt idx="314">
                  <c:v>11-Nov</c:v>
                </c:pt>
                <c:pt idx="315">
                  <c:v>12-Nov</c:v>
                </c:pt>
                <c:pt idx="316">
                  <c:v>13-Nov</c:v>
                </c:pt>
                <c:pt idx="317">
                  <c:v>14-Nov</c:v>
                </c:pt>
                <c:pt idx="318">
                  <c:v>15-Nov</c:v>
                </c:pt>
                <c:pt idx="319">
                  <c:v>16-Nov</c:v>
                </c:pt>
                <c:pt idx="320">
                  <c:v>17-Nov</c:v>
                </c:pt>
                <c:pt idx="321">
                  <c:v>18-Nov</c:v>
                </c:pt>
                <c:pt idx="322">
                  <c:v>19-Nov</c:v>
                </c:pt>
                <c:pt idx="323">
                  <c:v>20-Nov</c:v>
                </c:pt>
                <c:pt idx="324">
                  <c:v>21-Nov</c:v>
                </c:pt>
                <c:pt idx="325">
                  <c:v>22-Nov</c:v>
                </c:pt>
                <c:pt idx="326">
                  <c:v>23-Nov</c:v>
                </c:pt>
                <c:pt idx="327">
                  <c:v>24-Nov</c:v>
                </c:pt>
                <c:pt idx="328">
                  <c:v>25-Nov</c:v>
                </c:pt>
                <c:pt idx="329">
                  <c:v>26-Nov</c:v>
                </c:pt>
                <c:pt idx="330">
                  <c:v>27-Nov</c:v>
                </c:pt>
                <c:pt idx="331">
                  <c:v>28-Nov</c:v>
                </c:pt>
                <c:pt idx="332">
                  <c:v>29-Nov</c:v>
                </c:pt>
                <c:pt idx="333">
                  <c:v>30-Nov</c:v>
                </c:pt>
                <c:pt idx="334">
                  <c:v>1-Dec</c:v>
                </c:pt>
                <c:pt idx="335">
                  <c:v>2-Dec</c:v>
                </c:pt>
                <c:pt idx="336">
                  <c:v>3-Dec</c:v>
                </c:pt>
                <c:pt idx="337">
                  <c:v>4-Dec</c:v>
                </c:pt>
                <c:pt idx="338">
                  <c:v>5-Dec</c:v>
                </c:pt>
                <c:pt idx="339">
                  <c:v>6-Dec</c:v>
                </c:pt>
                <c:pt idx="340">
                  <c:v>7-Dec</c:v>
                </c:pt>
                <c:pt idx="341">
                  <c:v>8-Dec</c:v>
                </c:pt>
                <c:pt idx="342">
                  <c:v>9-Dec</c:v>
                </c:pt>
                <c:pt idx="343">
                  <c:v>10-Dec</c:v>
                </c:pt>
                <c:pt idx="344">
                  <c:v>11-Dec</c:v>
                </c:pt>
                <c:pt idx="345">
                  <c:v>12-Dec</c:v>
                </c:pt>
                <c:pt idx="346">
                  <c:v>13-Dec</c:v>
                </c:pt>
                <c:pt idx="347">
                  <c:v>14-Dec</c:v>
                </c:pt>
                <c:pt idx="348">
                  <c:v>15-Dec</c:v>
                </c:pt>
                <c:pt idx="349">
                  <c:v>16-Dec</c:v>
                </c:pt>
                <c:pt idx="350">
                  <c:v>17-Dec</c:v>
                </c:pt>
                <c:pt idx="351">
                  <c:v>18-Dec</c:v>
                </c:pt>
                <c:pt idx="352">
                  <c:v>19-Dec</c:v>
                </c:pt>
                <c:pt idx="353">
                  <c:v>20-Dec</c:v>
                </c:pt>
                <c:pt idx="354">
                  <c:v>21-Dec</c:v>
                </c:pt>
                <c:pt idx="355">
                  <c:v>22-Dec</c:v>
                </c:pt>
                <c:pt idx="356">
                  <c:v>23-Dec</c:v>
                </c:pt>
                <c:pt idx="357">
                  <c:v>24-Dec</c:v>
                </c:pt>
                <c:pt idx="358">
                  <c:v>25-Dec</c:v>
                </c:pt>
                <c:pt idx="359">
                  <c:v>26-Dec</c:v>
                </c:pt>
                <c:pt idx="360">
                  <c:v>27-Dec</c:v>
                </c:pt>
                <c:pt idx="361">
                  <c:v>28-Dec</c:v>
                </c:pt>
                <c:pt idx="362">
                  <c:v>29-Dec</c:v>
                </c:pt>
                <c:pt idx="363">
                  <c:v>30-Dec</c:v>
                </c:pt>
                <c:pt idx="364">
                  <c:v>31-Dec</c:v>
                </c:pt>
                <c:pt idx="365">
                  <c:v>1-Jan</c:v>
                </c:pt>
                <c:pt idx="366">
                  <c:v>2-Jan</c:v>
                </c:pt>
                <c:pt idx="367">
                  <c:v>3-Jan</c:v>
                </c:pt>
                <c:pt idx="368">
                  <c:v>4-Jan</c:v>
                </c:pt>
                <c:pt idx="369">
                  <c:v>5-Jan</c:v>
                </c:pt>
                <c:pt idx="370">
                  <c:v>6-Jan</c:v>
                </c:pt>
                <c:pt idx="371">
                  <c:v>7-Jan</c:v>
                </c:pt>
                <c:pt idx="372">
                  <c:v>8-Jan</c:v>
                </c:pt>
                <c:pt idx="373">
                  <c:v>9-Jan</c:v>
                </c:pt>
                <c:pt idx="374">
                  <c:v>10-Jan</c:v>
                </c:pt>
                <c:pt idx="375">
                  <c:v>11-Jan</c:v>
                </c:pt>
                <c:pt idx="376">
                  <c:v>12-Jan</c:v>
                </c:pt>
                <c:pt idx="377">
                  <c:v>13-Jan</c:v>
                </c:pt>
                <c:pt idx="378">
                  <c:v>14-Jan</c:v>
                </c:pt>
                <c:pt idx="379">
                  <c:v>15-Jan</c:v>
                </c:pt>
                <c:pt idx="380">
                  <c:v>16-Jan</c:v>
                </c:pt>
                <c:pt idx="381">
                  <c:v>17-Jan</c:v>
                </c:pt>
                <c:pt idx="382">
                  <c:v>18-Jan</c:v>
                </c:pt>
                <c:pt idx="383">
                  <c:v>19-Jan</c:v>
                </c:pt>
                <c:pt idx="384">
                  <c:v>20-Jan</c:v>
                </c:pt>
                <c:pt idx="385">
                  <c:v>21-Jan</c:v>
                </c:pt>
                <c:pt idx="386">
                  <c:v>22-Jan</c:v>
                </c:pt>
                <c:pt idx="387">
                  <c:v>23-Jan</c:v>
                </c:pt>
                <c:pt idx="388">
                  <c:v>24-Jan</c:v>
                </c:pt>
                <c:pt idx="389">
                  <c:v>25-Jan</c:v>
                </c:pt>
                <c:pt idx="390">
                  <c:v>26-Jan</c:v>
                </c:pt>
                <c:pt idx="391">
                  <c:v>27-Jan</c:v>
                </c:pt>
                <c:pt idx="392">
                  <c:v>28-Jan</c:v>
                </c:pt>
                <c:pt idx="393">
                  <c:v>29-Jan</c:v>
                </c:pt>
                <c:pt idx="394">
                  <c:v>30-Jan</c:v>
                </c:pt>
                <c:pt idx="395">
                  <c:v>31-Jan</c:v>
                </c:pt>
                <c:pt idx="396">
                  <c:v>1-Feb</c:v>
                </c:pt>
                <c:pt idx="397">
                  <c:v>2-Feb</c:v>
                </c:pt>
                <c:pt idx="398">
                  <c:v>3-Feb</c:v>
                </c:pt>
                <c:pt idx="399">
                  <c:v>4-Feb</c:v>
                </c:pt>
                <c:pt idx="400">
                  <c:v>5-Feb</c:v>
                </c:pt>
                <c:pt idx="401">
                  <c:v>6-Feb</c:v>
                </c:pt>
                <c:pt idx="402">
                  <c:v>7-Feb</c:v>
                </c:pt>
                <c:pt idx="403">
                  <c:v>8-Feb</c:v>
                </c:pt>
                <c:pt idx="404">
                  <c:v>9-Feb</c:v>
                </c:pt>
                <c:pt idx="405">
                  <c:v>10-Feb</c:v>
                </c:pt>
                <c:pt idx="406">
                  <c:v>11-Feb</c:v>
                </c:pt>
                <c:pt idx="407">
                  <c:v>12-Feb</c:v>
                </c:pt>
                <c:pt idx="408">
                  <c:v>13-Feb</c:v>
                </c:pt>
                <c:pt idx="409">
                  <c:v>14-Feb</c:v>
                </c:pt>
                <c:pt idx="410">
                  <c:v>15-Feb</c:v>
                </c:pt>
                <c:pt idx="411">
                  <c:v>16-Feb</c:v>
                </c:pt>
                <c:pt idx="412">
                  <c:v>17-Feb</c:v>
                </c:pt>
                <c:pt idx="413">
                  <c:v>18-Feb</c:v>
                </c:pt>
                <c:pt idx="414">
                  <c:v>19-Feb</c:v>
                </c:pt>
                <c:pt idx="415">
                  <c:v>20-Feb</c:v>
                </c:pt>
                <c:pt idx="416">
                  <c:v>21-Feb</c:v>
                </c:pt>
                <c:pt idx="417">
                  <c:v>22-Feb</c:v>
                </c:pt>
                <c:pt idx="418">
                  <c:v>23-Feb</c:v>
                </c:pt>
                <c:pt idx="419">
                  <c:v>24-Feb</c:v>
                </c:pt>
                <c:pt idx="420">
                  <c:v>25-Feb</c:v>
                </c:pt>
                <c:pt idx="421">
                  <c:v>26-Feb</c:v>
                </c:pt>
                <c:pt idx="422">
                  <c:v>27-Feb</c:v>
                </c:pt>
                <c:pt idx="423">
                  <c:v>28-Feb</c:v>
                </c:pt>
                <c:pt idx="424">
                  <c:v>29-Feb</c:v>
                </c:pt>
                <c:pt idx="425">
                  <c:v>1-Mar</c:v>
                </c:pt>
                <c:pt idx="426">
                  <c:v>2-Mar</c:v>
                </c:pt>
                <c:pt idx="427">
                  <c:v>3-Mar</c:v>
                </c:pt>
                <c:pt idx="428">
                  <c:v>4-Mar</c:v>
                </c:pt>
                <c:pt idx="429">
                  <c:v>5-Mar</c:v>
                </c:pt>
                <c:pt idx="430">
                  <c:v>6-Mar</c:v>
                </c:pt>
                <c:pt idx="431">
                  <c:v>7-Mar</c:v>
                </c:pt>
                <c:pt idx="432">
                  <c:v>8-Mar</c:v>
                </c:pt>
                <c:pt idx="433">
                  <c:v>9-Mar</c:v>
                </c:pt>
                <c:pt idx="434">
                  <c:v>10-Mar</c:v>
                </c:pt>
                <c:pt idx="435">
                  <c:v>11-Mar</c:v>
                </c:pt>
                <c:pt idx="436">
                  <c:v>12-Mar</c:v>
                </c:pt>
                <c:pt idx="437">
                  <c:v>13-Mar</c:v>
                </c:pt>
                <c:pt idx="438">
                  <c:v>14-Mar</c:v>
                </c:pt>
                <c:pt idx="439">
                  <c:v>15-Mar</c:v>
                </c:pt>
                <c:pt idx="440">
                  <c:v>16-Mar</c:v>
                </c:pt>
                <c:pt idx="441">
                  <c:v>17-Mar</c:v>
                </c:pt>
                <c:pt idx="442">
                  <c:v>18-Mar</c:v>
                </c:pt>
                <c:pt idx="443">
                  <c:v>19-Mar</c:v>
                </c:pt>
                <c:pt idx="444">
                  <c:v>20-Mar</c:v>
                </c:pt>
                <c:pt idx="445">
                  <c:v>21-Mar</c:v>
                </c:pt>
                <c:pt idx="446">
                  <c:v>22-Mar</c:v>
                </c:pt>
                <c:pt idx="447">
                  <c:v>23-Mar</c:v>
                </c:pt>
                <c:pt idx="448">
                  <c:v>24-Mar</c:v>
                </c:pt>
                <c:pt idx="449">
                  <c:v>25-Mar</c:v>
                </c:pt>
                <c:pt idx="450">
                  <c:v>26-Mar</c:v>
                </c:pt>
                <c:pt idx="451">
                  <c:v>27-Mar</c:v>
                </c:pt>
                <c:pt idx="452">
                  <c:v>28-Mar</c:v>
                </c:pt>
                <c:pt idx="453">
                  <c:v>29-Mar</c:v>
                </c:pt>
                <c:pt idx="454">
                  <c:v>30-Mar</c:v>
                </c:pt>
                <c:pt idx="455">
                  <c:v>31-Mar</c:v>
                </c:pt>
                <c:pt idx="456">
                  <c:v>1-Apr</c:v>
                </c:pt>
                <c:pt idx="457">
                  <c:v>2-Apr</c:v>
                </c:pt>
                <c:pt idx="458">
                  <c:v>3-Apr</c:v>
                </c:pt>
                <c:pt idx="459">
                  <c:v>4-Apr</c:v>
                </c:pt>
                <c:pt idx="460">
                  <c:v>5-Apr</c:v>
                </c:pt>
                <c:pt idx="461">
                  <c:v>6-Apr</c:v>
                </c:pt>
                <c:pt idx="462">
                  <c:v>7-Apr</c:v>
                </c:pt>
                <c:pt idx="463">
                  <c:v>8-Apr</c:v>
                </c:pt>
                <c:pt idx="464">
                  <c:v>9-Apr</c:v>
                </c:pt>
                <c:pt idx="465">
                  <c:v>10-Apr</c:v>
                </c:pt>
                <c:pt idx="466">
                  <c:v>11-Apr</c:v>
                </c:pt>
                <c:pt idx="467">
                  <c:v>12-Apr</c:v>
                </c:pt>
                <c:pt idx="468">
                  <c:v>13-Apr</c:v>
                </c:pt>
                <c:pt idx="469">
                  <c:v>14-Apr</c:v>
                </c:pt>
                <c:pt idx="470">
                  <c:v>15-Apr</c:v>
                </c:pt>
                <c:pt idx="471">
                  <c:v>16-Apr</c:v>
                </c:pt>
                <c:pt idx="472">
                  <c:v>17-Apr</c:v>
                </c:pt>
                <c:pt idx="473">
                  <c:v>18-Apr</c:v>
                </c:pt>
                <c:pt idx="474">
                  <c:v>19-Apr</c:v>
                </c:pt>
                <c:pt idx="475">
                  <c:v>20-Apr</c:v>
                </c:pt>
                <c:pt idx="476">
                  <c:v>21-Apr</c:v>
                </c:pt>
                <c:pt idx="477">
                  <c:v>22-Apr</c:v>
                </c:pt>
                <c:pt idx="478">
                  <c:v>23-Apr</c:v>
                </c:pt>
                <c:pt idx="479">
                  <c:v>24-Apr</c:v>
                </c:pt>
                <c:pt idx="480">
                  <c:v>25-Apr</c:v>
                </c:pt>
                <c:pt idx="481">
                  <c:v>26-Apr</c:v>
                </c:pt>
                <c:pt idx="482">
                  <c:v>27-Apr</c:v>
                </c:pt>
                <c:pt idx="483">
                  <c:v>28-Apr</c:v>
                </c:pt>
                <c:pt idx="484">
                  <c:v>29-Apr</c:v>
                </c:pt>
                <c:pt idx="485">
                  <c:v>30-Apr</c:v>
                </c:pt>
                <c:pt idx="486">
                  <c:v>1-May</c:v>
                </c:pt>
                <c:pt idx="487">
                  <c:v>2-May</c:v>
                </c:pt>
                <c:pt idx="488">
                  <c:v>3-May</c:v>
                </c:pt>
                <c:pt idx="489">
                  <c:v>4-May</c:v>
                </c:pt>
                <c:pt idx="490">
                  <c:v>5-May</c:v>
                </c:pt>
                <c:pt idx="491">
                  <c:v>6-May</c:v>
                </c:pt>
                <c:pt idx="492">
                  <c:v>7-May</c:v>
                </c:pt>
                <c:pt idx="493">
                  <c:v>8-May</c:v>
                </c:pt>
                <c:pt idx="494">
                  <c:v>9-May</c:v>
                </c:pt>
                <c:pt idx="495">
                  <c:v>10-May</c:v>
                </c:pt>
                <c:pt idx="496">
                  <c:v>11-May</c:v>
                </c:pt>
                <c:pt idx="497">
                  <c:v>12-May</c:v>
                </c:pt>
                <c:pt idx="498">
                  <c:v>13-May</c:v>
                </c:pt>
                <c:pt idx="499">
                  <c:v>14-May</c:v>
                </c:pt>
                <c:pt idx="500">
                  <c:v>15-May</c:v>
                </c:pt>
                <c:pt idx="501">
                  <c:v>16-May</c:v>
                </c:pt>
                <c:pt idx="502">
                  <c:v>17-May</c:v>
                </c:pt>
                <c:pt idx="503">
                  <c:v>18-May</c:v>
                </c:pt>
                <c:pt idx="504">
                  <c:v>19-May</c:v>
                </c:pt>
                <c:pt idx="505">
                  <c:v>20-May</c:v>
                </c:pt>
                <c:pt idx="506">
                  <c:v>21-May</c:v>
                </c:pt>
                <c:pt idx="507">
                  <c:v>22-May</c:v>
                </c:pt>
                <c:pt idx="508">
                  <c:v>23-May</c:v>
                </c:pt>
                <c:pt idx="509">
                  <c:v>24-May</c:v>
                </c:pt>
                <c:pt idx="510">
                  <c:v>25-May</c:v>
                </c:pt>
                <c:pt idx="511">
                  <c:v>26-May</c:v>
                </c:pt>
                <c:pt idx="512">
                  <c:v>27-May</c:v>
                </c:pt>
                <c:pt idx="513">
                  <c:v>28-May</c:v>
                </c:pt>
                <c:pt idx="514">
                  <c:v>29-May</c:v>
                </c:pt>
                <c:pt idx="515">
                  <c:v>30-May</c:v>
                </c:pt>
                <c:pt idx="516">
                  <c:v>31-May</c:v>
                </c:pt>
                <c:pt idx="517">
                  <c:v>1-Jun</c:v>
                </c:pt>
                <c:pt idx="518">
                  <c:v>2-Jun</c:v>
                </c:pt>
                <c:pt idx="519">
                  <c:v>3-Jun</c:v>
                </c:pt>
                <c:pt idx="520">
                  <c:v>4-Jun</c:v>
                </c:pt>
                <c:pt idx="521">
                  <c:v>5-Jun</c:v>
                </c:pt>
                <c:pt idx="522">
                  <c:v>6-Jun</c:v>
                </c:pt>
                <c:pt idx="523">
                  <c:v>7-Jun</c:v>
                </c:pt>
                <c:pt idx="524">
                  <c:v>8-Jun</c:v>
                </c:pt>
                <c:pt idx="525">
                  <c:v>9-Jun</c:v>
                </c:pt>
                <c:pt idx="526">
                  <c:v>10-Jun</c:v>
                </c:pt>
                <c:pt idx="527">
                  <c:v>11-Jun</c:v>
                </c:pt>
                <c:pt idx="528">
                  <c:v>12-Jun</c:v>
                </c:pt>
                <c:pt idx="529">
                  <c:v>13-Jun</c:v>
                </c:pt>
                <c:pt idx="530">
                  <c:v>14-Jun</c:v>
                </c:pt>
                <c:pt idx="531">
                  <c:v>15-Jun</c:v>
                </c:pt>
                <c:pt idx="532">
                  <c:v>16-Jun</c:v>
                </c:pt>
                <c:pt idx="533">
                  <c:v>17-Jun</c:v>
                </c:pt>
                <c:pt idx="534">
                  <c:v>18-Jun</c:v>
                </c:pt>
                <c:pt idx="535">
                  <c:v>19-Jun</c:v>
                </c:pt>
                <c:pt idx="536">
                  <c:v>20-Jun</c:v>
                </c:pt>
                <c:pt idx="537">
                  <c:v>21-Jun</c:v>
                </c:pt>
                <c:pt idx="538">
                  <c:v>22-Jun</c:v>
                </c:pt>
                <c:pt idx="539">
                  <c:v>23-Jun</c:v>
                </c:pt>
                <c:pt idx="540">
                  <c:v>24-Jun</c:v>
                </c:pt>
                <c:pt idx="541">
                  <c:v>25-Jun</c:v>
                </c:pt>
                <c:pt idx="542">
                  <c:v>26-Jun</c:v>
                </c:pt>
                <c:pt idx="543">
                  <c:v>27-Jun</c:v>
                </c:pt>
                <c:pt idx="544">
                  <c:v>28-Jun</c:v>
                </c:pt>
                <c:pt idx="545">
                  <c:v>29-Jun</c:v>
                </c:pt>
                <c:pt idx="546">
                  <c:v>30-Jun</c:v>
                </c:pt>
                <c:pt idx="547">
                  <c:v>1-Jul</c:v>
                </c:pt>
                <c:pt idx="548">
                  <c:v>2-Jul</c:v>
                </c:pt>
                <c:pt idx="549">
                  <c:v>3-Jul</c:v>
                </c:pt>
                <c:pt idx="550">
                  <c:v>4-Jul</c:v>
                </c:pt>
                <c:pt idx="551">
                  <c:v>5-Jul</c:v>
                </c:pt>
                <c:pt idx="552">
                  <c:v>6-Jul</c:v>
                </c:pt>
                <c:pt idx="553">
                  <c:v>7-Jul</c:v>
                </c:pt>
                <c:pt idx="554">
                  <c:v>8-Jul</c:v>
                </c:pt>
                <c:pt idx="555">
                  <c:v>9-Jul</c:v>
                </c:pt>
                <c:pt idx="556">
                  <c:v>10-Jul</c:v>
                </c:pt>
                <c:pt idx="557">
                  <c:v>11-Jul</c:v>
                </c:pt>
                <c:pt idx="558">
                  <c:v>12-Jul</c:v>
                </c:pt>
                <c:pt idx="559">
                  <c:v>13-Jul</c:v>
                </c:pt>
                <c:pt idx="560">
                  <c:v>14-Jul</c:v>
                </c:pt>
                <c:pt idx="561">
                  <c:v>15-Jul</c:v>
                </c:pt>
                <c:pt idx="562">
                  <c:v>16-Jul</c:v>
                </c:pt>
                <c:pt idx="563">
                  <c:v>17-Jul</c:v>
                </c:pt>
                <c:pt idx="564">
                  <c:v>18-Jul</c:v>
                </c:pt>
                <c:pt idx="565">
                  <c:v>19-Jul</c:v>
                </c:pt>
                <c:pt idx="566">
                  <c:v>20-Jul</c:v>
                </c:pt>
                <c:pt idx="567">
                  <c:v>21-Jul</c:v>
                </c:pt>
                <c:pt idx="568">
                  <c:v>22-Jul</c:v>
                </c:pt>
                <c:pt idx="569">
                  <c:v>23-Jul</c:v>
                </c:pt>
                <c:pt idx="570">
                  <c:v>24-Jul</c:v>
                </c:pt>
                <c:pt idx="571">
                  <c:v>25-Jul</c:v>
                </c:pt>
                <c:pt idx="572">
                  <c:v>26-Jul</c:v>
                </c:pt>
                <c:pt idx="573">
                  <c:v>27-Jul</c:v>
                </c:pt>
                <c:pt idx="574">
                  <c:v>28-Jul</c:v>
                </c:pt>
                <c:pt idx="575">
                  <c:v>29-Jul</c:v>
                </c:pt>
                <c:pt idx="576">
                  <c:v>30-Jul</c:v>
                </c:pt>
                <c:pt idx="577">
                  <c:v>31-Jul</c:v>
                </c:pt>
                <c:pt idx="578">
                  <c:v>1-Aug</c:v>
                </c:pt>
                <c:pt idx="579">
                  <c:v>2-Aug</c:v>
                </c:pt>
                <c:pt idx="580">
                  <c:v>3-Aug</c:v>
                </c:pt>
                <c:pt idx="581">
                  <c:v>4-Aug</c:v>
                </c:pt>
                <c:pt idx="582">
                  <c:v>5-Aug</c:v>
                </c:pt>
                <c:pt idx="583">
                  <c:v>6-Aug</c:v>
                </c:pt>
                <c:pt idx="584">
                  <c:v>7-Aug</c:v>
                </c:pt>
                <c:pt idx="585">
                  <c:v>8-Aug</c:v>
                </c:pt>
                <c:pt idx="586">
                  <c:v>9-Aug</c:v>
                </c:pt>
                <c:pt idx="587">
                  <c:v>10-Aug</c:v>
                </c:pt>
                <c:pt idx="588">
                  <c:v>11-Aug</c:v>
                </c:pt>
                <c:pt idx="589">
                  <c:v>12-Aug</c:v>
                </c:pt>
                <c:pt idx="590">
                  <c:v>13-Aug</c:v>
                </c:pt>
                <c:pt idx="591">
                  <c:v>14-Aug</c:v>
                </c:pt>
                <c:pt idx="592">
                  <c:v>15-Aug</c:v>
                </c:pt>
                <c:pt idx="593">
                  <c:v>16-Aug</c:v>
                </c:pt>
                <c:pt idx="594">
                  <c:v>17-Aug</c:v>
                </c:pt>
                <c:pt idx="595">
                  <c:v>18-Aug</c:v>
                </c:pt>
                <c:pt idx="596">
                  <c:v>19-Aug</c:v>
                </c:pt>
                <c:pt idx="597">
                  <c:v>20-Aug</c:v>
                </c:pt>
                <c:pt idx="598">
                  <c:v>21-Aug</c:v>
                </c:pt>
                <c:pt idx="599">
                  <c:v>22-Aug</c:v>
                </c:pt>
                <c:pt idx="600">
                  <c:v>23-Aug</c:v>
                </c:pt>
                <c:pt idx="601">
                  <c:v>24-Aug</c:v>
                </c:pt>
                <c:pt idx="602">
                  <c:v>25-Aug</c:v>
                </c:pt>
                <c:pt idx="603">
                  <c:v>26-Aug</c:v>
                </c:pt>
                <c:pt idx="604">
                  <c:v>27-Aug</c:v>
                </c:pt>
                <c:pt idx="605">
                  <c:v>28-Aug</c:v>
                </c:pt>
                <c:pt idx="606">
                  <c:v>29-Aug</c:v>
                </c:pt>
                <c:pt idx="607">
                  <c:v>30-Aug</c:v>
                </c:pt>
                <c:pt idx="608">
                  <c:v>31-Aug</c:v>
                </c:pt>
                <c:pt idx="609">
                  <c:v>1-Sep</c:v>
                </c:pt>
                <c:pt idx="610">
                  <c:v>2-Sep</c:v>
                </c:pt>
                <c:pt idx="611">
                  <c:v>3-Sep</c:v>
                </c:pt>
                <c:pt idx="612">
                  <c:v>4-Sep</c:v>
                </c:pt>
                <c:pt idx="613">
                  <c:v>5-Sep</c:v>
                </c:pt>
                <c:pt idx="614">
                  <c:v>6-Sep</c:v>
                </c:pt>
                <c:pt idx="615">
                  <c:v>7-Sep</c:v>
                </c:pt>
                <c:pt idx="616">
                  <c:v>8-Sep</c:v>
                </c:pt>
                <c:pt idx="617">
                  <c:v>9-Sep</c:v>
                </c:pt>
                <c:pt idx="618">
                  <c:v>10-Sep</c:v>
                </c:pt>
                <c:pt idx="619">
                  <c:v>11-Sep</c:v>
                </c:pt>
                <c:pt idx="620">
                  <c:v>12-Sep</c:v>
                </c:pt>
                <c:pt idx="621">
                  <c:v>13-Sep</c:v>
                </c:pt>
                <c:pt idx="622">
                  <c:v>14-Sep</c:v>
                </c:pt>
                <c:pt idx="623">
                  <c:v>15-Sep</c:v>
                </c:pt>
                <c:pt idx="624">
                  <c:v>16-Sep</c:v>
                </c:pt>
                <c:pt idx="625">
                  <c:v>17-Sep</c:v>
                </c:pt>
                <c:pt idx="626">
                  <c:v>18-Sep</c:v>
                </c:pt>
                <c:pt idx="627">
                  <c:v>19-Sep</c:v>
                </c:pt>
                <c:pt idx="628">
                  <c:v>20-Sep</c:v>
                </c:pt>
                <c:pt idx="629">
                  <c:v>21-Sep</c:v>
                </c:pt>
                <c:pt idx="630">
                  <c:v>22-Sep</c:v>
                </c:pt>
                <c:pt idx="631">
                  <c:v>23-Sep</c:v>
                </c:pt>
                <c:pt idx="632">
                  <c:v>24-Sep</c:v>
                </c:pt>
                <c:pt idx="633">
                  <c:v>25-Sep</c:v>
                </c:pt>
                <c:pt idx="634">
                  <c:v>26-Sep</c:v>
                </c:pt>
                <c:pt idx="635">
                  <c:v>27-Sep</c:v>
                </c:pt>
                <c:pt idx="636">
                  <c:v>28-Sep</c:v>
                </c:pt>
                <c:pt idx="637">
                  <c:v>29-Sep</c:v>
                </c:pt>
                <c:pt idx="638">
                  <c:v>30-Sep</c:v>
                </c:pt>
                <c:pt idx="639">
                  <c:v>1-Oct</c:v>
                </c:pt>
                <c:pt idx="640">
                  <c:v>2-Oct</c:v>
                </c:pt>
                <c:pt idx="641">
                  <c:v>3-Oct</c:v>
                </c:pt>
                <c:pt idx="642">
                  <c:v>4-Oct</c:v>
                </c:pt>
                <c:pt idx="643">
                  <c:v>5-Oct</c:v>
                </c:pt>
                <c:pt idx="644">
                  <c:v>6-Oct</c:v>
                </c:pt>
                <c:pt idx="645">
                  <c:v>7-Oct</c:v>
                </c:pt>
                <c:pt idx="646">
                  <c:v>8-Oct</c:v>
                </c:pt>
                <c:pt idx="647">
                  <c:v>9-Oct</c:v>
                </c:pt>
                <c:pt idx="648">
                  <c:v>10-Oct</c:v>
                </c:pt>
                <c:pt idx="649">
                  <c:v>11-Oct</c:v>
                </c:pt>
                <c:pt idx="650">
                  <c:v>12-Oct</c:v>
                </c:pt>
                <c:pt idx="651">
                  <c:v>13-Oct</c:v>
                </c:pt>
                <c:pt idx="652">
                  <c:v>14-Oct</c:v>
                </c:pt>
                <c:pt idx="653">
                  <c:v>15-Oct</c:v>
                </c:pt>
                <c:pt idx="654">
                  <c:v>16-Oct</c:v>
                </c:pt>
                <c:pt idx="655">
                  <c:v>17-Oct</c:v>
                </c:pt>
                <c:pt idx="656">
                  <c:v>18-Oct</c:v>
                </c:pt>
                <c:pt idx="657">
                  <c:v>19-Oct</c:v>
                </c:pt>
                <c:pt idx="658">
                  <c:v>20-Oct</c:v>
                </c:pt>
                <c:pt idx="659">
                  <c:v>21-Oct</c:v>
                </c:pt>
                <c:pt idx="660">
                  <c:v>22-Oct</c:v>
                </c:pt>
                <c:pt idx="661">
                  <c:v>23-Oct</c:v>
                </c:pt>
                <c:pt idx="662">
                  <c:v>24-Oct</c:v>
                </c:pt>
                <c:pt idx="663">
                  <c:v>25-Oct</c:v>
                </c:pt>
                <c:pt idx="664">
                  <c:v>26-Oct</c:v>
                </c:pt>
                <c:pt idx="665">
                  <c:v>27-Oct</c:v>
                </c:pt>
                <c:pt idx="666">
                  <c:v>28-Oct</c:v>
                </c:pt>
                <c:pt idx="667">
                  <c:v>29-Oct</c:v>
                </c:pt>
                <c:pt idx="668">
                  <c:v>30-Oct</c:v>
                </c:pt>
                <c:pt idx="669">
                  <c:v>31-Oct</c:v>
                </c:pt>
                <c:pt idx="670">
                  <c:v>1-Nov</c:v>
                </c:pt>
                <c:pt idx="671">
                  <c:v>2-Nov</c:v>
                </c:pt>
                <c:pt idx="672">
                  <c:v>3-Nov</c:v>
                </c:pt>
                <c:pt idx="673">
                  <c:v>4-Nov</c:v>
                </c:pt>
                <c:pt idx="674">
                  <c:v>5-Nov</c:v>
                </c:pt>
                <c:pt idx="675">
                  <c:v>6-Nov</c:v>
                </c:pt>
                <c:pt idx="676">
                  <c:v>7-Nov</c:v>
                </c:pt>
                <c:pt idx="677">
                  <c:v>8-Nov</c:v>
                </c:pt>
                <c:pt idx="678">
                  <c:v>9-Nov</c:v>
                </c:pt>
                <c:pt idx="679">
                  <c:v>10-Nov</c:v>
                </c:pt>
                <c:pt idx="680">
                  <c:v>11-Nov</c:v>
                </c:pt>
                <c:pt idx="681">
                  <c:v>12-Nov</c:v>
                </c:pt>
                <c:pt idx="682">
                  <c:v>13-Nov</c:v>
                </c:pt>
                <c:pt idx="683">
                  <c:v>14-Nov</c:v>
                </c:pt>
                <c:pt idx="684">
                  <c:v>15-Nov</c:v>
                </c:pt>
                <c:pt idx="685">
                  <c:v>16-Nov</c:v>
                </c:pt>
                <c:pt idx="686">
                  <c:v>17-Nov</c:v>
                </c:pt>
                <c:pt idx="687">
                  <c:v>18-Nov</c:v>
                </c:pt>
                <c:pt idx="688">
                  <c:v>19-Nov</c:v>
                </c:pt>
                <c:pt idx="689">
                  <c:v>20-Nov</c:v>
                </c:pt>
                <c:pt idx="690">
                  <c:v>21-Nov</c:v>
                </c:pt>
                <c:pt idx="691">
                  <c:v>22-Nov</c:v>
                </c:pt>
                <c:pt idx="692">
                  <c:v>23-Nov</c:v>
                </c:pt>
                <c:pt idx="693">
                  <c:v>24-Nov</c:v>
                </c:pt>
                <c:pt idx="694">
                  <c:v>25-Nov</c:v>
                </c:pt>
                <c:pt idx="695">
                  <c:v>26-Nov</c:v>
                </c:pt>
                <c:pt idx="696">
                  <c:v>27-Nov</c:v>
                </c:pt>
                <c:pt idx="697">
                  <c:v>28-Nov</c:v>
                </c:pt>
                <c:pt idx="698">
                  <c:v>29-Nov</c:v>
                </c:pt>
                <c:pt idx="699">
                  <c:v>30-Nov</c:v>
                </c:pt>
                <c:pt idx="700">
                  <c:v>1-Dec</c:v>
                </c:pt>
                <c:pt idx="701">
                  <c:v>2-Dec</c:v>
                </c:pt>
                <c:pt idx="702">
                  <c:v>3-Dec</c:v>
                </c:pt>
                <c:pt idx="703">
                  <c:v>4-Dec</c:v>
                </c:pt>
                <c:pt idx="704">
                  <c:v>5-Dec</c:v>
                </c:pt>
                <c:pt idx="705">
                  <c:v>6-Dec</c:v>
                </c:pt>
                <c:pt idx="706">
                  <c:v>7-Dec</c:v>
                </c:pt>
                <c:pt idx="707">
                  <c:v>8-Dec</c:v>
                </c:pt>
                <c:pt idx="708">
                  <c:v>9-Dec</c:v>
                </c:pt>
                <c:pt idx="709">
                  <c:v>10-Dec</c:v>
                </c:pt>
                <c:pt idx="710">
                  <c:v>11-Dec</c:v>
                </c:pt>
                <c:pt idx="711">
                  <c:v>12-Dec</c:v>
                </c:pt>
                <c:pt idx="712">
                  <c:v>13-Dec</c:v>
                </c:pt>
                <c:pt idx="713">
                  <c:v>14-Dec</c:v>
                </c:pt>
                <c:pt idx="714">
                  <c:v>15-Dec</c:v>
                </c:pt>
                <c:pt idx="715">
                  <c:v>16-Dec</c:v>
                </c:pt>
                <c:pt idx="716">
                  <c:v>17-Dec</c:v>
                </c:pt>
                <c:pt idx="717">
                  <c:v>18-Dec</c:v>
                </c:pt>
                <c:pt idx="718">
                  <c:v>19-Dec</c:v>
                </c:pt>
                <c:pt idx="719">
                  <c:v>20-Dec</c:v>
                </c:pt>
                <c:pt idx="720">
                  <c:v>21-Dec</c:v>
                </c:pt>
                <c:pt idx="721">
                  <c:v>22-Dec</c:v>
                </c:pt>
                <c:pt idx="722">
                  <c:v>23-Dec</c:v>
                </c:pt>
                <c:pt idx="723">
                  <c:v>24-Dec</c:v>
                </c:pt>
                <c:pt idx="724">
                  <c:v>25-Dec</c:v>
                </c:pt>
                <c:pt idx="725">
                  <c:v>26-Dec</c:v>
                </c:pt>
                <c:pt idx="726">
                  <c:v>27-Dec</c:v>
                </c:pt>
                <c:pt idx="727">
                  <c:v>28-Dec</c:v>
                </c:pt>
                <c:pt idx="728">
                  <c:v>29-Dec</c:v>
                </c:pt>
                <c:pt idx="729">
                  <c:v>30-Dec</c:v>
                </c:pt>
                <c:pt idx="730">
                  <c:v>31-Dec</c:v>
                </c:pt>
                <c:pt idx="731">
                  <c:v>1-Jan</c:v>
                </c:pt>
                <c:pt idx="732">
                  <c:v>2-Jan</c:v>
                </c:pt>
                <c:pt idx="733">
                  <c:v>3-Jan</c:v>
                </c:pt>
                <c:pt idx="734">
                  <c:v>4-Jan</c:v>
                </c:pt>
                <c:pt idx="735">
                  <c:v>5-Jan</c:v>
                </c:pt>
                <c:pt idx="736">
                  <c:v>6-Jan</c:v>
                </c:pt>
                <c:pt idx="737">
                  <c:v>7-Jan</c:v>
                </c:pt>
                <c:pt idx="738">
                  <c:v>8-Jan</c:v>
                </c:pt>
                <c:pt idx="739">
                  <c:v>9-Jan</c:v>
                </c:pt>
                <c:pt idx="740">
                  <c:v>10-Jan</c:v>
                </c:pt>
                <c:pt idx="741">
                  <c:v>11-Jan</c:v>
                </c:pt>
                <c:pt idx="742">
                  <c:v>12-Jan</c:v>
                </c:pt>
                <c:pt idx="743">
                  <c:v>13-Jan</c:v>
                </c:pt>
                <c:pt idx="744">
                  <c:v>14-Jan</c:v>
                </c:pt>
                <c:pt idx="745">
                  <c:v>15-Jan</c:v>
                </c:pt>
                <c:pt idx="746">
                  <c:v>16-Jan</c:v>
                </c:pt>
                <c:pt idx="747">
                  <c:v>17-Jan</c:v>
                </c:pt>
                <c:pt idx="748">
                  <c:v>18-Jan</c:v>
                </c:pt>
                <c:pt idx="749">
                  <c:v>19-Jan</c:v>
                </c:pt>
                <c:pt idx="750">
                  <c:v>20-Jan</c:v>
                </c:pt>
                <c:pt idx="751">
                  <c:v>21-Jan</c:v>
                </c:pt>
                <c:pt idx="752">
                  <c:v>22-Jan</c:v>
                </c:pt>
                <c:pt idx="753">
                  <c:v>23-Jan</c:v>
                </c:pt>
                <c:pt idx="754">
                  <c:v>24-Jan</c:v>
                </c:pt>
                <c:pt idx="755">
                  <c:v>25-Jan</c:v>
                </c:pt>
                <c:pt idx="756">
                  <c:v>26-Jan</c:v>
                </c:pt>
                <c:pt idx="757">
                  <c:v>27-Jan</c:v>
                </c:pt>
                <c:pt idx="758">
                  <c:v>28-Jan</c:v>
                </c:pt>
                <c:pt idx="759">
                  <c:v>29-Jan</c:v>
                </c:pt>
                <c:pt idx="760">
                  <c:v>30-Jan</c:v>
                </c:pt>
                <c:pt idx="761">
                  <c:v>31-Jan</c:v>
                </c:pt>
                <c:pt idx="762">
                  <c:v>1-Feb</c:v>
                </c:pt>
                <c:pt idx="763">
                  <c:v>2-Feb</c:v>
                </c:pt>
                <c:pt idx="764">
                  <c:v>3-Feb</c:v>
                </c:pt>
                <c:pt idx="765">
                  <c:v>4-Feb</c:v>
                </c:pt>
                <c:pt idx="766">
                  <c:v>5-Feb</c:v>
                </c:pt>
                <c:pt idx="767">
                  <c:v>6-Feb</c:v>
                </c:pt>
                <c:pt idx="768">
                  <c:v>7-Feb</c:v>
                </c:pt>
                <c:pt idx="769">
                  <c:v>8-Feb</c:v>
                </c:pt>
                <c:pt idx="770">
                  <c:v>9-Feb</c:v>
                </c:pt>
                <c:pt idx="771">
                  <c:v>10-Feb</c:v>
                </c:pt>
                <c:pt idx="772">
                  <c:v>11-Feb</c:v>
                </c:pt>
                <c:pt idx="773">
                  <c:v>12-Feb</c:v>
                </c:pt>
                <c:pt idx="774">
                  <c:v>13-Feb</c:v>
                </c:pt>
                <c:pt idx="775">
                  <c:v>14-Feb</c:v>
                </c:pt>
                <c:pt idx="776">
                  <c:v>15-Feb</c:v>
                </c:pt>
                <c:pt idx="777">
                  <c:v>16-Feb</c:v>
                </c:pt>
                <c:pt idx="778">
                  <c:v>17-Feb</c:v>
                </c:pt>
                <c:pt idx="779">
                  <c:v>18-Feb</c:v>
                </c:pt>
                <c:pt idx="780">
                  <c:v>19-Feb</c:v>
                </c:pt>
                <c:pt idx="781">
                  <c:v>20-Feb</c:v>
                </c:pt>
                <c:pt idx="782">
                  <c:v>21-Feb</c:v>
                </c:pt>
                <c:pt idx="783">
                  <c:v>22-Feb</c:v>
                </c:pt>
                <c:pt idx="784">
                  <c:v>23-Feb</c:v>
                </c:pt>
                <c:pt idx="785">
                  <c:v>24-Feb</c:v>
                </c:pt>
                <c:pt idx="786">
                  <c:v>25-Feb</c:v>
                </c:pt>
                <c:pt idx="787">
                  <c:v>26-Feb</c:v>
                </c:pt>
                <c:pt idx="788">
                  <c:v>27-Feb</c:v>
                </c:pt>
                <c:pt idx="789">
                  <c:v>28-Feb</c:v>
                </c:pt>
                <c:pt idx="790">
                  <c:v>1-Mar</c:v>
                </c:pt>
                <c:pt idx="791">
                  <c:v>2-Mar</c:v>
                </c:pt>
                <c:pt idx="792">
                  <c:v>3-Mar</c:v>
                </c:pt>
                <c:pt idx="793">
                  <c:v>4-Mar</c:v>
                </c:pt>
                <c:pt idx="794">
                  <c:v>5-Mar</c:v>
                </c:pt>
                <c:pt idx="795">
                  <c:v>6-Mar</c:v>
                </c:pt>
                <c:pt idx="796">
                  <c:v>7-Mar</c:v>
                </c:pt>
                <c:pt idx="797">
                  <c:v>8-Mar</c:v>
                </c:pt>
                <c:pt idx="798">
                  <c:v>9-Mar</c:v>
                </c:pt>
                <c:pt idx="799">
                  <c:v>10-Mar</c:v>
                </c:pt>
                <c:pt idx="800">
                  <c:v>11-Mar</c:v>
                </c:pt>
                <c:pt idx="801">
                  <c:v>12-Mar</c:v>
                </c:pt>
                <c:pt idx="802">
                  <c:v>13-Mar</c:v>
                </c:pt>
                <c:pt idx="803">
                  <c:v>14-Mar</c:v>
                </c:pt>
                <c:pt idx="804">
                  <c:v>15-Mar</c:v>
                </c:pt>
              </c:strCache>
            </c:strRef>
          </c:cat>
          <c:val>
            <c:numRef>
              <c:f>Analysis_2!$AI$4:$AI$808</c:f>
              <c:numCache>
                <c:formatCode>General</c:formatCode>
                <c:ptCount val="805"/>
                <c:pt idx="0">
                  <c:v>8104</c:v>
                </c:pt>
                <c:pt idx="1">
                  <c:v>10677</c:v>
                </c:pt>
                <c:pt idx="2">
                  <c:v>11684</c:v>
                </c:pt>
                <c:pt idx="3">
                  <c:v>7087</c:v>
                </c:pt>
                <c:pt idx="4">
                  <c:v>9230</c:v>
                </c:pt>
                <c:pt idx="5">
                  <c:v>7945</c:v>
                </c:pt>
                <c:pt idx="6">
                  <c:v>4286</c:v>
                </c:pt>
                <c:pt idx="7">
                  <c:v>4579</c:v>
                </c:pt>
                <c:pt idx="8">
                  <c:v>9204</c:v>
                </c:pt>
                <c:pt idx="9">
                  <c:v>7384</c:v>
                </c:pt>
                <c:pt idx="10">
                  <c:v>19377</c:v>
                </c:pt>
                <c:pt idx="11">
                  <c:v>17277</c:v>
                </c:pt>
                <c:pt idx="12">
                  <c:v>7076</c:v>
                </c:pt>
                <c:pt idx="13">
                  <c:v>20987</c:v>
                </c:pt>
                <c:pt idx="14">
                  <c:v>8896</c:v>
                </c:pt>
                <c:pt idx="15">
                  <c:v>23158</c:v>
                </c:pt>
                <c:pt idx="16">
                  <c:v>3327</c:v>
                </c:pt>
                <c:pt idx="17">
                  <c:v>18291</c:v>
                </c:pt>
                <c:pt idx="18">
                  <c:v>6331</c:v>
                </c:pt>
                <c:pt idx="19">
                  <c:v>13256</c:v>
                </c:pt>
                <c:pt idx="20">
                  <c:v>9406</c:v>
                </c:pt>
                <c:pt idx="21">
                  <c:v>9617</c:v>
                </c:pt>
                <c:pt idx="22">
                  <c:v>12558</c:v>
                </c:pt>
                <c:pt idx="23">
                  <c:v>12203</c:v>
                </c:pt>
                <c:pt idx="24">
                  <c:v>5494</c:v>
                </c:pt>
                <c:pt idx="25">
                  <c:v>9778</c:v>
                </c:pt>
                <c:pt idx="26">
                  <c:v>14100</c:v>
                </c:pt>
                <c:pt idx="27">
                  <c:v>12715</c:v>
                </c:pt>
                <c:pt idx="28">
                  <c:v>10312</c:v>
                </c:pt>
                <c:pt idx="29">
                  <c:v>7761</c:v>
                </c:pt>
                <c:pt idx="30">
                  <c:v>9637</c:v>
                </c:pt>
                <c:pt idx="31">
                  <c:v>13206</c:v>
                </c:pt>
                <c:pt idx="32">
                  <c:v>16192</c:v>
                </c:pt>
                <c:pt idx="33">
                  <c:v>9088</c:v>
                </c:pt>
                <c:pt idx="34">
                  <c:v>7558</c:v>
                </c:pt>
                <c:pt idx="35">
                  <c:v>16302</c:v>
                </c:pt>
                <c:pt idx="36">
                  <c:v>8445</c:v>
                </c:pt>
                <c:pt idx="37">
                  <c:v>6190</c:v>
                </c:pt>
                <c:pt idx="38">
                  <c:v>16412</c:v>
                </c:pt>
                <c:pt idx="39">
                  <c:v>6163</c:v>
                </c:pt>
                <c:pt idx="40">
                  <c:v>7434</c:v>
                </c:pt>
                <c:pt idx="41">
                  <c:v>12042</c:v>
                </c:pt>
                <c:pt idx="42">
                  <c:v>5264</c:v>
                </c:pt>
                <c:pt idx="43">
                  <c:v>16019</c:v>
                </c:pt>
                <c:pt idx="44">
                  <c:v>7352</c:v>
                </c:pt>
                <c:pt idx="45">
                  <c:v>20527</c:v>
                </c:pt>
                <c:pt idx="46">
                  <c:v>9866</c:v>
                </c:pt>
                <c:pt idx="47">
                  <c:v>10363</c:v>
                </c:pt>
                <c:pt idx="48">
                  <c:v>18507</c:v>
                </c:pt>
                <c:pt idx="49">
                  <c:v>16499</c:v>
                </c:pt>
                <c:pt idx="50">
                  <c:v>10856</c:v>
                </c:pt>
                <c:pt idx="51">
                  <c:v>12589</c:v>
                </c:pt>
                <c:pt idx="52">
                  <c:v>13262</c:v>
                </c:pt>
                <c:pt idx="53">
                  <c:v>10452</c:v>
                </c:pt>
                <c:pt idx="54">
                  <c:v>15857</c:v>
                </c:pt>
                <c:pt idx="55">
                  <c:v>13004</c:v>
                </c:pt>
                <c:pt idx="56">
                  <c:v>7082</c:v>
                </c:pt>
                <c:pt idx="57">
                  <c:v>7662</c:v>
                </c:pt>
                <c:pt idx="58">
                  <c:v>4985</c:v>
                </c:pt>
                <c:pt idx="59">
                  <c:v>13366</c:v>
                </c:pt>
                <c:pt idx="60">
                  <c:v>4132</c:v>
                </c:pt>
                <c:pt idx="61">
                  <c:v>4065</c:v>
                </c:pt>
                <c:pt idx="62">
                  <c:v>11600</c:v>
                </c:pt>
                <c:pt idx="63">
                  <c:v>7087</c:v>
                </c:pt>
                <c:pt idx="64">
                  <c:v>8205</c:v>
                </c:pt>
                <c:pt idx="65">
                  <c:v>8638</c:v>
                </c:pt>
                <c:pt idx="66">
                  <c:v>17031</c:v>
                </c:pt>
                <c:pt idx="67">
                  <c:v>6267</c:v>
                </c:pt>
                <c:pt idx="68">
                  <c:v>10083</c:v>
                </c:pt>
                <c:pt idx="69">
                  <c:v>5336</c:v>
                </c:pt>
                <c:pt idx="70">
                  <c:v>16662</c:v>
                </c:pt>
                <c:pt idx="71">
                  <c:v>12628</c:v>
                </c:pt>
                <c:pt idx="72">
                  <c:v>11340</c:v>
                </c:pt>
                <c:pt idx="73">
                  <c:v>16183</c:v>
                </c:pt>
                <c:pt idx="74">
                  <c:v>11650</c:v>
                </c:pt>
                <c:pt idx="75">
                  <c:v>9859</c:v>
                </c:pt>
                <c:pt idx="76">
                  <c:v>10564</c:v>
                </c:pt>
                <c:pt idx="77">
                  <c:v>6194</c:v>
                </c:pt>
                <c:pt idx="78">
                  <c:v>9450</c:v>
                </c:pt>
                <c:pt idx="79">
                  <c:v>18040</c:v>
                </c:pt>
                <c:pt idx="80">
                  <c:v>5086</c:v>
                </c:pt>
                <c:pt idx="81">
                  <c:v>8560</c:v>
                </c:pt>
                <c:pt idx="82">
                  <c:v>10314</c:v>
                </c:pt>
                <c:pt idx="83">
                  <c:v>7325</c:v>
                </c:pt>
                <c:pt idx="84">
                  <c:v>12019</c:v>
                </c:pt>
                <c:pt idx="85">
                  <c:v>8321</c:v>
                </c:pt>
                <c:pt idx="86">
                  <c:v>10272</c:v>
                </c:pt>
                <c:pt idx="87">
                  <c:v>5193</c:v>
                </c:pt>
                <c:pt idx="88">
                  <c:v>12310</c:v>
                </c:pt>
                <c:pt idx="89">
                  <c:v>2337</c:v>
                </c:pt>
                <c:pt idx="90">
                  <c:v>7978</c:v>
                </c:pt>
                <c:pt idx="91">
                  <c:v>5954</c:v>
                </c:pt>
                <c:pt idx="92">
                  <c:v>11396</c:v>
                </c:pt>
                <c:pt idx="93">
                  <c:v>7672</c:v>
                </c:pt>
                <c:pt idx="94">
                  <c:v>9078</c:v>
                </c:pt>
                <c:pt idx="95">
                  <c:v>9158</c:v>
                </c:pt>
                <c:pt idx="96">
                  <c:v>10158</c:v>
                </c:pt>
                <c:pt idx="97">
                  <c:v>13853</c:v>
                </c:pt>
                <c:pt idx="98">
                  <c:v>6553</c:v>
                </c:pt>
                <c:pt idx="99">
                  <c:v>5893</c:v>
                </c:pt>
                <c:pt idx="100">
                  <c:v>9803</c:v>
                </c:pt>
                <c:pt idx="101">
                  <c:v>4506</c:v>
                </c:pt>
                <c:pt idx="102">
                  <c:v>6882</c:v>
                </c:pt>
                <c:pt idx="103">
                  <c:v>10119</c:v>
                </c:pt>
                <c:pt idx="104">
                  <c:v>10041</c:v>
                </c:pt>
                <c:pt idx="105">
                  <c:v>14128</c:v>
                </c:pt>
                <c:pt idx="106">
                  <c:v>11813</c:v>
                </c:pt>
                <c:pt idx="107">
                  <c:v>13229</c:v>
                </c:pt>
                <c:pt idx="108">
                  <c:v>6978</c:v>
                </c:pt>
                <c:pt idx="109">
                  <c:v>6942</c:v>
                </c:pt>
                <c:pt idx="110">
                  <c:v>17758</c:v>
                </c:pt>
                <c:pt idx="111">
                  <c:v>10533</c:v>
                </c:pt>
                <c:pt idx="112">
                  <c:v>11441</c:v>
                </c:pt>
                <c:pt idx="113">
                  <c:v>8891</c:v>
                </c:pt>
                <c:pt idx="114">
                  <c:v>15462</c:v>
                </c:pt>
                <c:pt idx="115">
                  <c:v>12042</c:v>
                </c:pt>
                <c:pt idx="116">
                  <c:v>15228</c:v>
                </c:pt>
                <c:pt idx="117">
                  <c:v>14172</c:v>
                </c:pt>
                <c:pt idx="118">
                  <c:v>16363</c:v>
                </c:pt>
                <c:pt idx="119">
                  <c:v>3870</c:v>
                </c:pt>
                <c:pt idx="120">
                  <c:v>16319</c:v>
                </c:pt>
                <c:pt idx="121">
                  <c:v>17442</c:v>
                </c:pt>
                <c:pt idx="122">
                  <c:v>12206</c:v>
                </c:pt>
                <c:pt idx="123">
                  <c:v>12525</c:v>
                </c:pt>
                <c:pt idx="124">
                  <c:v>12398</c:v>
                </c:pt>
                <c:pt idx="125">
                  <c:v>5744</c:v>
                </c:pt>
                <c:pt idx="126">
                  <c:v>8658</c:v>
                </c:pt>
                <c:pt idx="127">
                  <c:v>15883</c:v>
                </c:pt>
                <c:pt idx="128">
                  <c:v>6938</c:v>
                </c:pt>
                <c:pt idx="129">
                  <c:v>14778</c:v>
                </c:pt>
                <c:pt idx="130">
                  <c:v>14215</c:v>
                </c:pt>
                <c:pt idx="131">
                  <c:v>10750</c:v>
                </c:pt>
                <c:pt idx="132">
                  <c:v>5114</c:v>
                </c:pt>
                <c:pt idx="133">
                  <c:v>4548</c:v>
                </c:pt>
                <c:pt idx="134">
                  <c:v>6576</c:v>
                </c:pt>
                <c:pt idx="135">
                  <c:v>9097</c:v>
                </c:pt>
                <c:pt idx="136">
                  <c:v>8365</c:v>
                </c:pt>
                <c:pt idx="137">
                  <c:v>15924</c:v>
                </c:pt>
                <c:pt idx="138">
                  <c:v>13452</c:v>
                </c:pt>
                <c:pt idx="139">
                  <c:v>11993</c:v>
                </c:pt>
                <c:pt idx="140">
                  <c:v>4683</c:v>
                </c:pt>
                <c:pt idx="141">
                  <c:v>8170</c:v>
                </c:pt>
                <c:pt idx="142">
                  <c:v>7736</c:v>
                </c:pt>
                <c:pt idx="143">
                  <c:v>6000</c:v>
                </c:pt>
                <c:pt idx="144">
                  <c:v>17403</c:v>
                </c:pt>
                <c:pt idx="145">
                  <c:v>8079</c:v>
                </c:pt>
                <c:pt idx="146">
                  <c:v>13951</c:v>
                </c:pt>
                <c:pt idx="147">
                  <c:v>10088</c:v>
                </c:pt>
                <c:pt idx="148">
                  <c:v>6732</c:v>
                </c:pt>
                <c:pt idx="149">
                  <c:v>15304</c:v>
                </c:pt>
                <c:pt idx="150">
                  <c:v>9265</c:v>
                </c:pt>
                <c:pt idx="151">
                  <c:v>8708</c:v>
                </c:pt>
                <c:pt idx="152">
                  <c:v>16217</c:v>
                </c:pt>
                <c:pt idx="153">
                  <c:v>14912</c:v>
                </c:pt>
                <c:pt idx="154">
                  <c:v>16902</c:v>
                </c:pt>
                <c:pt idx="155">
                  <c:v>13400</c:v>
                </c:pt>
                <c:pt idx="156">
                  <c:v>10058</c:v>
                </c:pt>
                <c:pt idx="157">
                  <c:v>5517</c:v>
                </c:pt>
                <c:pt idx="158">
                  <c:v>10621</c:v>
                </c:pt>
                <c:pt idx="159">
                  <c:v>8307</c:v>
                </c:pt>
                <c:pt idx="160">
                  <c:v>5580</c:v>
                </c:pt>
                <c:pt idx="161">
                  <c:v>5924</c:v>
                </c:pt>
                <c:pt idx="162">
                  <c:v>8235</c:v>
                </c:pt>
                <c:pt idx="163">
                  <c:v>17780</c:v>
                </c:pt>
                <c:pt idx="164">
                  <c:v>14115</c:v>
                </c:pt>
                <c:pt idx="165">
                  <c:v>9658</c:v>
                </c:pt>
                <c:pt idx="166">
                  <c:v>15052</c:v>
                </c:pt>
                <c:pt idx="167">
                  <c:v>9252</c:v>
                </c:pt>
                <c:pt idx="168">
                  <c:v>7641</c:v>
                </c:pt>
                <c:pt idx="169">
                  <c:v>6363</c:v>
                </c:pt>
                <c:pt idx="170">
                  <c:v>24038</c:v>
                </c:pt>
                <c:pt idx="171">
                  <c:v>6471</c:v>
                </c:pt>
                <c:pt idx="172">
                  <c:v>12836</c:v>
                </c:pt>
                <c:pt idx="173">
                  <c:v>7332</c:v>
                </c:pt>
                <c:pt idx="174">
                  <c:v>17105</c:v>
                </c:pt>
                <c:pt idx="175">
                  <c:v>10576</c:v>
                </c:pt>
                <c:pt idx="176">
                  <c:v>24266</c:v>
                </c:pt>
                <c:pt idx="177">
                  <c:v>10789</c:v>
                </c:pt>
                <c:pt idx="178">
                  <c:v>13108</c:v>
                </c:pt>
                <c:pt idx="179">
                  <c:v>5885</c:v>
                </c:pt>
                <c:pt idx="180">
                  <c:v>5863</c:v>
                </c:pt>
                <c:pt idx="181">
                  <c:v>7042</c:v>
                </c:pt>
                <c:pt idx="182">
                  <c:v>8644</c:v>
                </c:pt>
                <c:pt idx="183">
                  <c:v>3232</c:v>
                </c:pt>
                <c:pt idx="184">
                  <c:v>7888</c:v>
                </c:pt>
                <c:pt idx="185">
                  <c:v>12803</c:v>
                </c:pt>
                <c:pt idx="186">
                  <c:v>11099</c:v>
                </c:pt>
                <c:pt idx="187">
                  <c:v>6611</c:v>
                </c:pt>
                <c:pt idx="188">
                  <c:v>15317</c:v>
                </c:pt>
                <c:pt idx="189">
                  <c:v>7911</c:v>
                </c:pt>
                <c:pt idx="190">
                  <c:v>7223</c:v>
                </c:pt>
                <c:pt idx="191">
                  <c:v>13712</c:v>
                </c:pt>
                <c:pt idx="192">
                  <c:v>8884</c:v>
                </c:pt>
                <c:pt idx="193">
                  <c:v>11156</c:v>
                </c:pt>
                <c:pt idx="194">
                  <c:v>7045</c:v>
                </c:pt>
                <c:pt idx="195">
                  <c:v>10267</c:v>
                </c:pt>
                <c:pt idx="196">
                  <c:v>12908</c:v>
                </c:pt>
                <c:pt idx="197">
                  <c:v>5613</c:v>
                </c:pt>
                <c:pt idx="198">
                  <c:v>6884</c:v>
                </c:pt>
                <c:pt idx="199">
                  <c:v>8531</c:v>
                </c:pt>
                <c:pt idx="200">
                  <c:v>6997</c:v>
                </c:pt>
                <c:pt idx="201">
                  <c:v>3823</c:v>
                </c:pt>
                <c:pt idx="202">
                  <c:v>12323</c:v>
                </c:pt>
                <c:pt idx="203">
                  <c:v>12431</c:v>
                </c:pt>
                <c:pt idx="204">
                  <c:v>7347</c:v>
                </c:pt>
                <c:pt idx="205">
                  <c:v>4730</c:v>
                </c:pt>
                <c:pt idx="206">
                  <c:v>7752</c:v>
                </c:pt>
                <c:pt idx="207">
                  <c:v>11725</c:v>
                </c:pt>
                <c:pt idx="208">
                  <c:v>20777</c:v>
                </c:pt>
                <c:pt idx="209">
                  <c:v>8481</c:v>
                </c:pt>
                <c:pt idx="210">
                  <c:v>6557</c:v>
                </c:pt>
                <c:pt idx="211">
                  <c:v>17105</c:v>
                </c:pt>
                <c:pt idx="212">
                  <c:v>10162</c:v>
                </c:pt>
                <c:pt idx="213">
                  <c:v>10694</c:v>
                </c:pt>
                <c:pt idx="214">
                  <c:v>16036</c:v>
                </c:pt>
                <c:pt idx="215">
                  <c:v>10676</c:v>
                </c:pt>
                <c:pt idx="216">
                  <c:v>14010</c:v>
                </c:pt>
                <c:pt idx="217">
                  <c:v>8363</c:v>
                </c:pt>
                <c:pt idx="218">
                  <c:v>10055</c:v>
                </c:pt>
                <c:pt idx="219">
                  <c:v>14649</c:v>
                </c:pt>
                <c:pt idx="220">
                  <c:v>9505</c:v>
                </c:pt>
                <c:pt idx="221">
                  <c:v>11026</c:v>
                </c:pt>
                <c:pt idx="222">
                  <c:v>5183</c:v>
                </c:pt>
                <c:pt idx="223">
                  <c:v>4596</c:v>
                </c:pt>
                <c:pt idx="224">
                  <c:v>5841</c:v>
                </c:pt>
                <c:pt idx="225">
                  <c:v>6258</c:v>
                </c:pt>
                <c:pt idx="226">
                  <c:v>6032</c:v>
                </c:pt>
                <c:pt idx="227">
                  <c:v>11577</c:v>
                </c:pt>
                <c:pt idx="228">
                  <c:v>7607</c:v>
                </c:pt>
                <c:pt idx="229">
                  <c:v>13956</c:v>
                </c:pt>
                <c:pt idx="230">
                  <c:v>3700</c:v>
                </c:pt>
                <c:pt idx="231">
                  <c:v>5157</c:v>
                </c:pt>
                <c:pt idx="232">
                  <c:v>9723</c:v>
                </c:pt>
                <c:pt idx="233">
                  <c:v>11713</c:v>
                </c:pt>
                <c:pt idx="234">
                  <c:v>15840</c:v>
                </c:pt>
                <c:pt idx="235">
                  <c:v>6959</c:v>
                </c:pt>
                <c:pt idx="236">
                  <c:v>11299</c:v>
                </c:pt>
                <c:pt idx="237">
                  <c:v>6673</c:v>
                </c:pt>
                <c:pt idx="238">
                  <c:v>9684</c:v>
                </c:pt>
                <c:pt idx="239">
                  <c:v>7697</c:v>
                </c:pt>
                <c:pt idx="240">
                  <c:v>11974</c:v>
                </c:pt>
                <c:pt idx="241">
                  <c:v>9122</c:v>
                </c:pt>
                <c:pt idx="242">
                  <c:v>16231</c:v>
                </c:pt>
                <c:pt idx="243">
                  <c:v>8104</c:v>
                </c:pt>
                <c:pt idx="244">
                  <c:v>11531</c:v>
                </c:pt>
                <c:pt idx="245">
                  <c:v>10381</c:v>
                </c:pt>
                <c:pt idx="246">
                  <c:v>7741</c:v>
                </c:pt>
                <c:pt idx="247">
                  <c:v>18318</c:v>
                </c:pt>
                <c:pt idx="248">
                  <c:v>22444</c:v>
                </c:pt>
                <c:pt idx="249">
                  <c:v>17422</c:v>
                </c:pt>
                <c:pt idx="250">
                  <c:v>13156</c:v>
                </c:pt>
                <c:pt idx="251">
                  <c:v>4998</c:v>
                </c:pt>
                <c:pt idx="252">
                  <c:v>10382</c:v>
                </c:pt>
                <c:pt idx="253">
                  <c:v>12097</c:v>
                </c:pt>
                <c:pt idx="254">
                  <c:v>7062</c:v>
                </c:pt>
                <c:pt idx="255">
                  <c:v>9491</c:v>
                </c:pt>
                <c:pt idx="256">
                  <c:v>11839</c:v>
                </c:pt>
                <c:pt idx="257">
                  <c:v>12795</c:v>
                </c:pt>
                <c:pt idx="258">
                  <c:v>11992</c:v>
                </c:pt>
                <c:pt idx="259">
                  <c:v>10672</c:v>
                </c:pt>
                <c:pt idx="260">
                  <c:v>8874</c:v>
                </c:pt>
                <c:pt idx="261">
                  <c:v>5025</c:v>
                </c:pt>
                <c:pt idx="262">
                  <c:v>12870</c:v>
                </c:pt>
                <c:pt idx="263">
                  <c:v>7599</c:v>
                </c:pt>
                <c:pt idx="264">
                  <c:v>8921</c:v>
                </c:pt>
                <c:pt idx="265">
                  <c:v>4112</c:v>
                </c:pt>
                <c:pt idx="266">
                  <c:v>14971</c:v>
                </c:pt>
                <c:pt idx="267">
                  <c:v>12857</c:v>
                </c:pt>
                <c:pt idx="268">
                  <c:v>20619</c:v>
                </c:pt>
                <c:pt idx="269">
                  <c:v>4909</c:v>
                </c:pt>
                <c:pt idx="270">
                  <c:v>5639</c:v>
                </c:pt>
                <c:pt idx="271">
                  <c:v>12857</c:v>
                </c:pt>
                <c:pt idx="272">
                  <c:v>4839</c:v>
                </c:pt>
                <c:pt idx="273">
                  <c:v>6361</c:v>
                </c:pt>
                <c:pt idx="274">
                  <c:v>8533</c:v>
                </c:pt>
                <c:pt idx="275">
                  <c:v>9163</c:v>
                </c:pt>
                <c:pt idx="276">
                  <c:v>22309</c:v>
                </c:pt>
                <c:pt idx="277">
                  <c:v>8564</c:v>
                </c:pt>
                <c:pt idx="278">
                  <c:v>5881</c:v>
                </c:pt>
                <c:pt idx="279">
                  <c:v>8276</c:v>
                </c:pt>
                <c:pt idx="280">
                  <c:v>17763</c:v>
                </c:pt>
                <c:pt idx="281">
                  <c:v>4613</c:v>
                </c:pt>
                <c:pt idx="282">
                  <c:v>3734</c:v>
                </c:pt>
                <c:pt idx="283">
                  <c:v>7592</c:v>
                </c:pt>
                <c:pt idx="284">
                  <c:v>19349</c:v>
                </c:pt>
                <c:pt idx="285">
                  <c:v>6542</c:v>
                </c:pt>
                <c:pt idx="286">
                  <c:v>3613</c:v>
                </c:pt>
                <c:pt idx="287">
                  <c:v>12027</c:v>
                </c:pt>
                <c:pt idx="288">
                  <c:v>12324</c:v>
                </c:pt>
                <c:pt idx="289">
                  <c:v>15611</c:v>
                </c:pt>
                <c:pt idx="290">
                  <c:v>17264</c:v>
                </c:pt>
                <c:pt idx="291">
                  <c:v>4978</c:v>
                </c:pt>
                <c:pt idx="292">
                  <c:v>9420</c:v>
                </c:pt>
                <c:pt idx="293">
                  <c:v>16097</c:v>
                </c:pt>
                <c:pt idx="294">
                  <c:v>10637</c:v>
                </c:pt>
                <c:pt idx="295">
                  <c:v>8636</c:v>
                </c:pt>
                <c:pt idx="296">
                  <c:v>3569</c:v>
                </c:pt>
                <c:pt idx="297">
                  <c:v>3617</c:v>
                </c:pt>
                <c:pt idx="298">
                  <c:v>6141</c:v>
                </c:pt>
                <c:pt idx="299">
                  <c:v>12590</c:v>
                </c:pt>
                <c:pt idx="300">
                  <c:v>5799</c:v>
                </c:pt>
                <c:pt idx="301">
                  <c:v>4440</c:v>
                </c:pt>
                <c:pt idx="302">
                  <c:v>11107</c:v>
                </c:pt>
                <c:pt idx="303">
                  <c:v>5193</c:v>
                </c:pt>
                <c:pt idx="304">
                  <c:v>18234</c:v>
                </c:pt>
                <c:pt idx="305">
                  <c:v>12157</c:v>
                </c:pt>
                <c:pt idx="306">
                  <c:v>6571</c:v>
                </c:pt>
                <c:pt idx="307">
                  <c:v>8420</c:v>
                </c:pt>
                <c:pt idx="308">
                  <c:v>5945</c:v>
                </c:pt>
                <c:pt idx="309">
                  <c:v>18053</c:v>
                </c:pt>
                <c:pt idx="310">
                  <c:v>7524</c:v>
                </c:pt>
                <c:pt idx="311">
                  <c:v>6659</c:v>
                </c:pt>
                <c:pt idx="312">
                  <c:v>6458</c:v>
                </c:pt>
                <c:pt idx="313">
                  <c:v>12508</c:v>
                </c:pt>
                <c:pt idx="314">
                  <c:v>9573</c:v>
                </c:pt>
                <c:pt idx="315">
                  <c:v>9789</c:v>
                </c:pt>
                <c:pt idx="316">
                  <c:v>7719</c:v>
                </c:pt>
                <c:pt idx="317">
                  <c:v>12639</c:v>
                </c:pt>
                <c:pt idx="318">
                  <c:v>8649</c:v>
                </c:pt>
                <c:pt idx="319">
                  <c:v>10679</c:v>
                </c:pt>
                <c:pt idx="320">
                  <c:v>8059</c:v>
                </c:pt>
                <c:pt idx="321">
                  <c:v>14888</c:v>
                </c:pt>
                <c:pt idx="322">
                  <c:v>17323</c:v>
                </c:pt>
                <c:pt idx="323">
                  <c:v>18086</c:v>
                </c:pt>
                <c:pt idx="324">
                  <c:v>11813</c:v>
                </c:pt>
                <c:pt idx="325">
                  <c:v>19874</c:v>
                </c:pt>
                <c:pt idx="326">
                  <c:v>9350</c:v>
                </c:pt>
                <c:pt idx="327">
                  <c:v>7141</c:v>
                </c:pt>
                <c:pt idx="328">
                  <c:v>10945</c:v>
                </c:pt>
                <c:pt idx="329">
                  <c:v>13083</c:v>
                </c:pt>
                <c:pt idx="330">
                  <c:v>9031</c:v>
                </c:pt>
                <c:pt idx="331">
                  <c:v>11680</c:v>
                </c:pt>
                <c:pt idx="332">
                  <c:v>15997</c:v>
                </c:pt>
                <c:pt idx="333">
                  <c:v>5983</c:v>
                </c:pt>
                <c:pt idx="334">
                  <c:v>8599</c:v>
                </c:pt>
                <c:pt idx="335">
                  <c:v>2880</c:v>
                </c:pt>
                <c:pt idx="336">
                  <c:v>8866</c:v>
                </c:pt>
                <c:pt idx="337">
                  <c:v>11272</c:v>
                </c:pt>
                <c:pt idx="338">
                  <c:v>9983</c:v>
                </c:pt>
                <c:pt idx="339">
                  <c:v>9712</c:v>
                </c:pt>
                <c:pt idx="340">
                  <c:v>5836</c:v>
                </c:pt>
                <c:pt idx="341">
                  <c:v>2341</c:v>
                </c:pt>
                <c:pt idx="342">
                  <c:v>18143</c:v>
                </c:pt>
                <c:pt idx="343">
                  <c:v>9606</c:v>
                </c:pt>
                <c:pt idx="344">
                  <c:v>10335</c:v>
                </c:pt>
                <c:pt idx="345">
                  <c:v>7254</c:v>
                </c:pt>
                <c:pt idx="346">
                  <c:v>10578</c:v>
                </c:pt>
                <c:pt idx="347">
                  <c:v>16862</c:v>
                </c:pt>
                <c:pt idx="348">
                  <c:v>13358</c:v>
                </c:pt>
                <c:pt idx="349">
                  <c:v>6924</c:v>
                </c:pt>
                <c:pt idx="350">
                  <c:v>13184</c:v>
                </c:pt>
                <c:pt idx="351">
                  <c:v>13363</c:v>
                </c:pt>
                <c:pt idx="352">
                  <c:v>8790</c:v>
                </c:pt>
                <c:pt idx="353">
                  <c:v>17462</c:v>
                </c:pt>
                <c:pt idx="354">
                  <c:v>4803</c:v>
                </c:pt>
                <c:pt idx="355">
                  <c:v>9880</c:v>
                </c:pt>
                <c:pt idx="356">
                  <c:v>8307</c:v>
                </c:pt>
                <c:pt idx="357">
                  <c:v>10202</c:v>
                </c:pt>
                <c:pt idx="358">
                  <c:v>12826</c:v>
                </c:pt>
                <c:pt idx="359">
                  <c:v>2447</c:v>
                </c:pt>
                <c:pt idx="360">
                  <c:v>18041</c:v>
                </c:pt>
                <c:pt idx="361">
                  <c:v>8442</c:v>
                </c:pt>
                <c:pt idx="362">
                  <c:v>21157</c:v>
                </c:pt>
                <c:pt idx="363">
                  <c:v>14756</c:v>
                </c:pt>
                <c:pt idx="364">
                  <c:v>11592</c:v>
                </c:pt>
                <c:pt idx="365">
                  <c:v>10672</c:v>
                </c:pt>
                <c:pt idx="366">
                  <c:v>13042</c:v>
                </c:pt>
                <c:pt idx="367">
                  <c:v>10359</c:v>
                </c:pt>
                <c:pt idx="368">
                  <c:v>10897</c:v>
                </c:pt>
                <c:pt idx="369">
                  <c:v>10708</c:v>
                </c:pt>
                <c:pt idx="370">
                  <c:v>4722</c:v>
                </c:pt>
                <c:pt idx="371">
                  <c:v>14149</c:v>
                </c:pt>
                <c:pt idx="372">
                  <c:v>6760</c:v>
                </c:pt>
                <c:pt idx="373">
                  <c:v>10811</c:v>
                </c:pt>
                <c:pt idx="374">
                  <c:v>9344</c:v>
                </c:pt>
                <c:pt idx="375">
                  <c:v>11347</c:v>
                </c:pt>
                <c:pt idx="376">
                  <c:v>16976</c:v>
                </c:pt>
                <c:pt idx="377">
                  <c:v>10999</c:v>
                </c:pt>
                <c:pt idx="378">
                  <c:v>14610</c:v>
                </c:pt>
                <c:pt idx="379">
                  <c:v>17530</c:v>
                </c:pt>
                <c:pt idx="380">
                  <c:v>8844</c:v>
                </c:pt>
                <c:pt idx="381">
                  <c:v>6973</c:v>
                </c:pt>
                <c:pt idx="382">
                  <c:v>6539</c:v>
                </c:pt>
                <c:pt idx="383">
                  <c:v>11330</c:v>
                </c:pt>
                <c:pt idx="384">
                  <c:v>3782</c:v>
                </c:pt>
                <c:pt idx="385">
                  <c:v>11634</c:v>
                </c:pt>
                <c:pt idx="386">
                  <c:v>9162</c:v>
                </c:pt>
                <c:pt idx="387">
                  <c:v>5326</c:v>
                </c:pt>
                <c:pt idx="388">
                  <c:v>1694</c:v>
                </c:pt>
                <c:pt idx="389">
                  <c:v>8989</c:v>
                </c:pt>
                <c:pt idx="390">
                  <c:v>14554</c:v>
                </c:pt>
                <c:pt idx="391">
                  <c:v>9712</c:v>
                </c:pt>
                <c:pt idx="392">
                  <c:v>5363</c:v>
                </c:pt>
                <c:pt idx="393">
                  <c:v>5044</c:v>
                </c:pt>
                <c:pt idx="394">
                  <c:v>9795</c:v>
                </c:pt>
                <c:pt idx="395">
                  <c:v>9927</c:v>
                </c:pt>
                <c:pt idx="396">
                  <c:v>10108</c:v>
                </c:pt>
                <c:pt idx="397">
                  <c:v>7300</c:v>
                </c:pt>
                <c:pt idx="398">
                  <c:v>9749</c:v>
                </c:pt>
                <c:pt idx="399">
                  <c:v>15097</c:v>
                </c:pt>
                <c:pt idx="400">
                  <c:v>9603</c:v>
                </c:pt>
                <c:pt idx="401">
                  <c:v>5792</c:v>
                </c:pt>
                <c:pt idx="402">
                  <c:v>16289</c:v>
                </c:pt>
                <c:pt idx="403">
                  <c:v>10578</c:v>
                </c:pt>
                <c:pt idx="404">
                  <c:v>12110</c:v>
                </c:pt>
                <c:pt idx="405">
                  <c:v>7380</c:v>
                </c:pt>
                <c:pt idx="406">
                  <c:v>4261</c:v>
                </c:pt>
                <c:pt idx="407">
                  <c:v>6539</c:v>
                </c:pt>
                <c:pt idx="408">
                  <c:v>9756</c:v>
                </c:pt>
                <c:pt idx="409">
                  <c:v>6182</c:v>
                </c:pt>
                <c:pt idx="410">
                  <c:v>15549</c:v>
                </c:pt>
                <c:pt idx="411">
                  <c:v>7890</c:v>
                </c:pt>
                <c:pt idx="412">
                  <c:v>10608</c:v>
                </c:pt>
                <c:pt idx="413">
                  <c:v>15357</c:v>
                </c:pt>
                <c:pt idx="414">
                  <c:v>13265</c:v>
                </c:pt>
                <c:pt idx="415">
                  <c:v>9271</c:v>
                </c:pt>
                <c:pt idx="416">
                  <c:v>12086</c:v>
                </c:pt>
                <c:pt idx="417">
                  <c:v>14174</c:v>
                </c:pt>
                <c:pt idx="418">
                  <c:v>10693</c:v>
                </c:pt>
                <c:pt idx="419">
                  <c:v>17204</c:v>
                </c:pt>
                <c:pt idx="420">
                  <c:v>2641</c:v>
                </c:pt>
                <c:pt idx="421">
                  <c:v>8176</c:v>
                </c:pt>
                <c:pt idx="422">
                  <c:v>6775</c:v>
                </c:pt>
                <c:pt idx="423">
                  <c:v>9939</c:v>
                </c:pt>
                <c:pt idx="424">
                  <c:v>15006</c:v>
                </c:pt>
                <c:pt idx="425">
                  <c:v>7355</c:v>
                </c:pt>
                <c:pt idx="426">
                  <c:v>8337</c:v>
                </c:pt>
                <c:pt idx="427">
                  <c:v>12826</c:v>
                </c:pt>
                <c:pt idx="428">
                  <c:v>16212</c:v>
                </c:pt>
                <c:pt idx="429">
                  <c:v>12163</c:v>
                </c:pt>
                <c:pt idx="430">
                  <c:v>9243</c:v>
                </c:pt>
                <c:pt idx="431">
                  <c:v>8132</c:v>
                </c:pt>
                <c:pt idx="432">
                  <c:v>10710</c:v>
                </c:pt>
                <c:pt idx="433">
                  <c:v>6904</c:v>
                </c:pt>
                <c:pt idx="434">
                  <c:v>10047</c:v>
                </c:pt>
                <c:pt idx="435">
                  <c:v>6586</c:v>
                </c:pt>
                <c:pt idx="436">
                  <c:v>12491</c:v>
                </c:pt>
                <c:pt idx="437">
                  <c:v>10277</c:v>
                </c:pt>
                <c:pt idx="438">
                  <c:v>5845</c:v>
                </c:pt>
                <c:pt idx="439">
                  <c:v>7703</c:v>
                </c:pt>
                <c:pt idx="440">
                  <c:v>9539</c:v>
                </c:pt>
                <c:pt idx="441">
                  <c:v>10023</c:v>
                </c:pt>
                <c:pt idx="442">
                  <c:v>14929</c:v>
                </c:pt>
                <c:pt idx="443">
                  <c:v>14040</c:v>
                </c:pt>
                <c:pt idx="444">
                  <c:v>11042</c:v>
                </c:pt>
                <c:pt idx="445">
                  <c:v>9680</c:v>
                </c:pt>
                <c:pt idx="446">
                  <c:v>5669</c:v>
                </c:pt>
                <c:pt idx="447">
                  <c:v>16935</c:v>
                </c:pt>
                <c:pt idx="448">
                  <c:v>9313</c:v>
                </c:pt>
                <c:pt idx="449">
                  <c:v>15381</c:v>
                </c:pt>
                <c:pt idx="450">
                  <c:v>9190</c:v>
                </c:pt>
                <c:pt idx="451">
                  <c:v>8174</c:v>
                </c:pt>
                <c:pt idx="452">
                  <c:v>13443</c:v>
                </c:pt>
                <c:pt idx="453">
                  <c:v>12667</c:v>
                </c:pt>
                <c:pt idx="454">
                  <c:v>10206</c:v>
                </c:pt>
                <c:pt idx="455">
                  <c:v>6128</c:v>
                </c:pt>
                <c:pt idx="456">
                  <c:v>12958</c:v>
                </c:pt>
                <c:pt idx="457">
                  <c:v>3014</c:v>
                </c:pt>
                <c:pt idx="458">
                  <c:v>14708</c:v>
                </c:pt>
                <c:pt idx="459">
                  <c:v>13282</c:v>
                </c:pt>
                <c:pt idx="460">
                  <c:v>12621</c:v>
                </c:pt>
                <c:pt idx="461">
                  <c:v>14945</c:v>
                </c:pt>
                <c:pt idx="462">
                  <c:v>8578</c:v>
                </c:pt>
                <c:pt idx="463">
                  <c:v>8070</c:v>
                </c:pt>
                <c:pt idx="464">
                  <c:v>18310</c:v>
                </c:pt>
                <c:pt idx="465">
                  <c:v>13728</c:v>
                </c:pt>
                <c:pt idx="466">
                  <c:v>10837</c:v>
                </c:pt>
                <c:pt idx="467">
                  <c:v>8111</c:v>
                </c:pt>
                <c:pt idx="468">
                  <c:v>8738</c:v>
                </c:pt>
                <c:pt idx="469">
                  <c:v>14406</c:v>
                </c:pt>
                <c:pt idx="470">
                  <c:v>10749</c:v>
                </c:pt>
                <c:pt idx="471">
                  <c:v>2938</c:v>
                </c:pt>
                <c:pt idx="472">
                  <c:v>9201</c:v>
                </c:pt>
                <c:pt idx="473">
                  <c:v>8483</c:v>
                </c:pt>
                <c:pt idx="474">
                  <c:v>6335</c:v>
                </c:pt>
                <c:pt idx="475">
                  <c:v>28954</c:v>
                </c:pt>
                <c:pt idx="476">
                  <c:v>19924</c:v>
                </c:pt>
                <c:pt idx="477">
                  <c:v>9683</c:v>
                </c:pt>
                <c:pt idx="478">
                  <c:v>6883</c:v>
                </c:pt>
                <c:pt idx="479">
                  <c:v>13993</c:v>
                </c:pt>
                <c:pt idx="480">
                  <c:v>6014</c:v>
                </c:pt>
                <c:pt idx="481">
                  <c:v>8635</c:v>
                </c:pt>
                <c:pt idx="482">
                  <c:v>13534</c:v>
                </c:pt>
                <c:pt idx="483">
                  <c:v>6599</c:v>
                </c:pt>
                <c:pt idx="484">
                  <c:v>9023</c:v>
                </c:pt>
                <c:pt idx="485">
                  <c:v>9712</c:v>
                </c:pt>
                <c:pt idx="486">
                  <c:v>19593</c:v>
                </c:pt>
                <c:pt idx="487">
                  <c:v>5929</c:v>
                </c:pt>
                <c:pt idx="488">
                  <c:v>5529</c:v>
                </c:pt>
                <c:pt idx="489">
                  <c:v>8307</c:v>
                </c:pt>
                <c:pt idx="490">
                  <c:v>8323</c:v>
                </c:pt>
                <c:pt idx="491">
                  <c:v>4894</c:v>
                </c:pt>
                <c:pt idx="492">
                  <c:v>10001</c:v>
                </c:pt>
                <c:pt idx="493">
                  <c:v>10104</c:v>
                </c:pt>
                <c:pt idx="494">
                  <c:v>11332</c:v>
                </c:pt>
                <c:pt idx="495">
                  <c:v>5926</c:v>
                </c:pt>
                <c:pt idx="496">
                  <c:v>11321</c:v>
                </c:pt>
                <c:pt idx="497">
                  <c:v>14106</c:v>
                </c:pt>
                <c:pt idx="498">
                  <c:v>14994</c:v>
                </c:pt>
                <c:pt idx="499">
                  <c:v>8544</c:v>
                </c:pt>
                <c:pt idx="500">
                  <c:v>7203</c:v>
                </c:pt>
                <c:pt idx="501">
                  <c:v>8641</c:v>
                </c:pt>
                <c:pt idx="502">
                  <c:v>12330</c:v>
                </c:pt>
                <c:pt idx="503">
                  <c:v>7884</c:v>
                </c:pt>
                <c:pt idx="504">
                  <c:v>8778</c:v>
                </c:pt>
                <c:pt idx="505">
                  <c:v>11284</c:v>
                </c:pt>
                <c:pt idx="506">
                  <c:v>7631</c:v>
                </c:pt>
                <c:pt idx="507">
                  <c:v>10886</c:v>
                </c:pt>
                <c:pt idx="508">
                  <c:v>7364</c:v>
                </c:pt>
                <c:pt idx="509">
                  <c:v>13768</c:v>
                </c:pt>
                <c:pt idx="510">
                  <c:v>5180</c:v>
                </c:pt>
                <c:pt idx="511">
                  <c:v>4312</c:v>
                </c:pt>
                <c:pt idx="512">
                  <c:v>3959</c:v>
                </c:pt>
                <c:pt idx="513">
                  <c:v>7666</c:v>
                </c:pt>
                <c:pt idx="514">
                  <c:v>16991</c:v>
                </c:pt>
                <c:pt idx="515">
                  <c:v>10436</c:v>
                </c:pt>
                <c:pt idx="516">
                  <c:v>9079</c:v>
                </c:pt>
                <c:pt idx="517">
                  <c:v>10763</c:v>
                </c:pt>
                <c:pt idx="518">
                  <c:v>12426</c:v>
                </c:pt>
                <c:pt idx="519">
                  <c:v>10740</c:v>
                </c:pt>
                <c:pt idx="520">
                  <c:v>11899</c:v>
                </c:pt>
                <c:pt idx="521">
                  <c:v>8086</c:v>
                </c:pt>
                <c:pt idx="522">
                  <c:v>14762</c:v>
                </c:pt>
                <c:pt idx="523">
                  <c:v>8058</c:v>
                </c:pt>
                <c:pt idx="524">
                  <c:v>12038</c:v>
                </c:pt>
                <c:pt idx="525">
                  <c:v>11853</c:v>
                </c:pt>
                <c:pt idx="526">
                  <c:v>8431</c:v>
                </c:pt>
                <c:pt idx="527">
                  <c:v>8868</c:v>
                </c:pt>
                <c:pt idx="528">
                  <c:v>13522</c:v>
                </c:pt>
                <c:pt idx="529">
                  <c:v>15382</c:v>
                </c:pt>
                <c:pt idx="530">
                  <c:v>12026</c:v>
                </c:pt>
                <c:pt idx="531">
                  <c:v>7588</c:v>
                </c:pt>
                <c:pt idx="532">
                  <c:v>7357</c:v>
                </c:pt>
                <c:pt idx="533">
                  <c:v>7228</c:v>
                </c:pt>
                <c:pt idx="534">
                  <c:v>7364</c:v>
                </c:pt>
                <c:pt idx="535">
                  <c:v>8225</c:v>
                </c:pt>
                <c:pt idx="536">
                  <c:v>7852</c:v>
                </c:pt>
                <c:pt idx="537">
                  <c:v>7972</c:v>
                </c:pt>
                <c:pt idx="538">
                  <c:v>15509</c:v>
                </c:pt>
                <c:pt idx="539">
                  <c:v>14249</c:v>
                </c:pt>
                <c:pt idx="540">
                  <c:v>11991</c:v>
                </c:pt>
                <c:pt idx="541">
                  <c:v>17234</c:v>
                </c:pt>
                <c:pt idx="542">
                  <c:v>6831</c:v>
                </c:pt>
                <c:pt idx="543">
                  <c:v>10471</c:v>
                </c:pt>
                <c:pt idx="544">
                  <c:v>7278</c:v>
                </c:pt>
                <c:pt idx="545">
                  <c:v>12470</c:v>
                </c:pt>
                <c:pt idx="546">
                  <c:v>19847</c:v>
                </c:pt>
                <c:pt idx="547">
                  <c:v>10483</c:v>
                </c:pt>
                <c:pt idx="548">
                  <c:v>6420</c:v>
                </c:pt>
                <c:pt idx="549">
                  <c:v>5439</c:v>
                </c:pt>
                <c:pt idx="550">
                  <c:v>14868</c:v>
                </c:pt>
                <c:pt idx="551">
                  <c:v>16266</c:v>
                </c:pt>
                <c:pt idx="552">
                  <c:v>16499</c:v>
                </c:pt>
                <c:pt idx="553">
                  <c:v>13003</c:v>
                </c:pt>
                <c:pt idx="554">
                  <c:v>7830</c:v>
                </c:pt>
                <c:pt idx="555">
                  <c:v>7901</c:v>
                </c:pt>
                <c:pt idx="556">
                  <c:v>12070</c:v>
                </c:pt>
                <c:pt idx="557">
                  <c:v>6730</c:v>
                </c:pt>
                <c:pt idx="558">
                  <c:v>8829</c:v>
                </c:pt>
                <c:pt idx="559">
                  <c:v>11169</c:v>
                </c:pt>
                <c:pt idx="560">
                  <c:v>9236</c:v>
                </c:pt>
                <c:pt idx="561">
                  <c:v>16336</c:v>
                </c:pt>
                <c:pt idx="562">
                  <c:v>3503</c:v>
                </c:pt>
                <c:pt idx="563">
                  <c:v>11080</c:v>
                </c:pt>
                <c:pt idx="564">
                  <c:v>11347</c:v>
                </c:pt>
                <c:pt idx="565">
                  <c:v>7299</c:v>
                </c:pt>
                <c:pt idx="566">
                  <c:v>4556</c:v>
                </c:pt>
                <c:pt idx="567">
                  <c:v>4874</c:v>
                </c:pt>
                <c:pt idx="568">
                  <c:v>8895</c:v>
                </c:pt>
                <c:pt idx="569">
                  <c:v>3596</c:v>
                </c:pt>
                <c:pt idx="570">
                  <c:v>5931</c:v>
                </c:pt>
                <c:pt idx="571">
                  <c:v>10144</c:v>
                </c:pt>
                <c:pt idx="572">
                  <c:v>14015</c:v>
                </c:pt>
                <c:pt idx="573">
                  <c:v>12367</c:v>
                </c:pt>
                <c:pt idx="574">
                  <c:v>8899</c:v>
                </c:pt>
                <c:pt idx="575">
                  <c:v>14639</c:v>
                </c:pt>
                <c:pt idx="576">
                  <c:v>4570</c:v>
                </c:pt>
                <c:pt idx="577">
                  <c:v>9304</c:v>
                </c:pt>
                <c:pt idx="578">
                  <c:v>11805</c:v>
                </c:pt>
                <c:pt idx="579">
                  <c:v>11216</c:v>
                </c:pt>
                <c:pt idx="580">
                  <c:v>12273</c:v>
                </c:pt>
                <c:pt idx="581">
                  <c:v>7312</c:v>
                </c:pt>
                <c:pt idx="582">
                  <c:v>13945</c:v>
                </c:pt>
                <c:pt idx="583">
                  <c:v>8919</c:v>
                </c:pt>
                <c:pt idx="584">
                  <c:v>6296</c:v>
                </c:pt>
                <c:pt idx="585">
                  <c:v>11694</c:v>
                </c:pt>
                <c:pt idx="586">
                  <c:v>7129</c:v>
                </c:pt>
                <c:pt idx="587">
                  <c:v>8163</c:v>
                </c:pt>
                <c:pt idx="588">
                  <c:v>4718</c:v>
                </c:pt>
                <c:pt idx="589">
                  <c:v>3560</c:v>
                </c:pt>
                <c:pt idx="590">
                  <c:v>6656</c:v>
                </c:pt>
                <c:pt idx="591">
                  <c:v>9848</c:v>
                </c:pt>
                <c:pt idx="592">
                  <c:v>20679</c:v>
                </c:pt>
                <c:pt idx="593">
                  <c:v>6834</c:v>
                </c:pt>
                <c:pt idx="594">
                  <c:v>6152</c:v>
                </c:pt>
                <c:pt idx="595">
                  <c:v>17362</c:v>
                </c:pt>
                <c:pt idx="596">
                  <c:v>14846</c:v>
                </c:pt>
                <c:pt idx="597">
                  <c:v>9909</c:v>
                </c:pt>
                <c:pt idx="598">
                  <c:v>10475</c:v>
                </c:pt>
                <c:pt idx="599">
                  <c:v>6429</c:v>
                </c:pt>
                <c:pt idx="600">
                  <c:v>10849</c:v>
                </c:pt>
                <c:pt idx="601">
                  <c:v>11661</c:v>
                </c:pt>
                <c:pt idx="602">
                  <c:v>8255</c:v>
                </c:pt>
                <c:pt idx="603">
                  <c:v>15930</c:v>
                </c:pt>
                <c:pt idx="604">
                  <c:v>4966</c:v>
                </c:pt>
                <c:pt idx="605">
                  <c:v>5086</c:v>
                </c:pt>
                <c:pt idx="606">
                  <c:v>8887</c:v>
                </c:pt>
                <c:pt idx="607">
                  <c:v>2726</c:v>
                </c:pt>
                <c:pt idx="608">
                  <c:v>7155</c:v>
                </c:pt>
                <c:pt idx="609">
                  <c:v>9560</c:v>
                </c:pt>
                <c:pt idx="610">
                  <c:v>15489</c:v>
                </c:pt>
                <c:pt idx="611">
                  <c:v>3916</c:v>
                </c:pt>
                <c:pt idx="612">
                  <c:v>9760</c:v>
                </c:pt>
                <c:pt idx="613">
                  <c:v>8305</c:v>
                </c:pt>
                <c:pt idx="614">
                  <c:v>16960</c:v>
                </c:pt>
                <c:pt idx="615">
                  <c:v>13295</c:v>
                </c:pt>
                <c:pt idx="616">
                  <c:v>6961</c:v>
                </c:pt>
                <c:pt idx="617">
                  <c:v>7740</c:v>
                </c:pt>
                <c:pt idx="618">
                  <c:v>15179</c:v>
                </c:pt>
                <c:pt idx="619">
                  <c:v>7686</c:v>
                </c:pt>
                <c:pt idx="620">
                  <c:v>8097</c:v>
                </c:pt>
                <c:pt idx="621">
                  <c:v>6739</c:v>
                </c:pt>
                <c:pt idx="622">
                  <c:v>5639</c:v>
                </c:pt>
                <c:pt idx="623">
                  <c:v>9180</c:v>
                </c:pt>
                <c:pt idx="624">
                  <c:v>19666</c:v>
                </c:pt>
                <c:pt idx="625">
                  <c:v>3911</c:v>
                </c:pt>
                <c:pt idx="626">
                  <c:v>3093</c:v>
                </c:pt>
                <c:pt idx="627">
                  <c:v>10538</c:v>
                </c:pt>
                <c:pt idx="628">
                  <c:v>12197</c:v>
                </c:pt>
                <c:pt idx="629">
                  <c:v>7368</c:v>
                </c:pt>
                <c:pt idx="630">
                  <c:v>6127</c:v>
                </c:pt>
                <c:pt idx="631">
                  <c:v>10332</c:v>
                </c:pt>
                <c:pt idx="632">
                  <c:v>8216</c:v>
                </c:pt>
                <c:pt idx="633">
                  <c:v>10598</c:v>
                </c:pt>
                <c:pt idx="634">
                  <c:v>9942</c:v>
                </c:pt>
                <c:pt idx="635">
                  <c:v>14228</c:v>
                </c:pt>
                <c:pt idx="636">
                  <c:v>9996</c:v>
                </c:pt>
                <c:pt idx="637">
                  <c:v>6446</c:v>
                </c:pt>
                <c:pt idx="638">
                  <c:v>16693</c:v>
                </c:pt>
                <c:pt idx="639">
                  <c:v>3407</c:v>
                </c:pt>
                <c:pt idx="640">
                  <c:v>7959</c:v>
                </c:pt>
                <c:pt idx="641">
                  <c:v>10173</c:v>
                </c:pt>
                <c:pt idx="642">
                  <c:v>14523</c:v>
                </c:pt>
                <c:pt idx="643">
                  <c:v>11690</c:v>
                </c:pt>
                <c:pt idx="644">
                  <c:v>10893</c:v>
                </c:pt>
                <c:pt idx="645">
                  <c:v>11726</c:v>
                </c:pt>
                <c:pt idx="646">
                  <c:v>6603</c:v>
                </c:pt>
                <c:pt idx="647">
                  <c:v>6060</c:v>
                </c:pt>
                <c:pt idx="648">
                  <c:v>13069</c:v>
                </c:pt>
                <c:pt idx="649">
                  <c:v>9127</c:v>
                </c:pt>
                <c:pt idx="650">
                  <c:v>16356</c:v>
                </c:pt>
                <c:pt idx="651">
                  <c:v>14234</c:v>
                </c:pt>
                <c:pt idx="652">
                  <c:v>10669</c:v>
                </c:pt>
                <c:pt idx="653">
                  <c:v>4614</c:v>
                </c:pt>
                <c:pt idx="654">
                  <c:v>6728</c:v>
                </c:pt>
                <c:pt idx="655">
                  <c:v>14810</c:v>
                </c:pt>
                <c:pt idx="656">
                  <c:v>6135</c:v>
                </c:pt>
                <c:pt idx="657">
                  <c:v>14001</c:v>
                </c:pt>
                <c:pt idx="658">
                  <c:v>12430</c:v>
                </c:pt>
                <c:pt idx="659">
                  <c:v>4456</c:v>
                </c:pt>
                <c:pt idx="660">
                  <c:v>7182</c:v>
                </c:pt>
                <c:pt idx="661">
                  <c:v>6797</c:v>
                </c:pt>
                <c:pt idx="662">
                  <c:v>10972</c:v>
                </c:pt>
                <c:pt idx="663">
                  <c:v>10482</c:v>
                </c:pt>
                <c:pt idx="664">
                  <c:v>20208</c:v>
                </c:pt>
                <c:pt idx="665">
                  <c:v>12565</c:v>
                </c:pt>
                <c:pt idx="666">
                  <c:v>11213</c:v>
                </c:pt>
                <c:pt idx="667">
                  <c:v>12242</c:v>
                </c:pt>
                <c:pt idx="668">
                  <c:v>10680</c:v>
                </c:pt>
                <c:pt idx="669">
                  <c:v>8710</c:v>
                </c:pt>
                <c:pt idx="670">
                  <c:v>10612</c:v>
                </c:pt>
                <c:pt idx="671">
                  <c:v>12180</c:v>
                </c:pt>
                <c:pt idx="672">
                  <c:v>13907</c:v>
                </c:pt>
                <c:pt idx="673">
                  <c:v>13221</c:v>
                </c:pt>
                <c:pt idx="674">
                  <c:v>16034</c:v>
                </c:pt>
                <c:pt idx="675">
                  <c:v>11516</c:v>
                </c:pt>
                <c:pt idx="676">
                  <c:v>12850</c:v>
                </c:pt>
                <c:pt idx="677">
                  <c:v>6737</c:v>
                </c:pt>
                <c:pt idx="678">
                  <c:v>8610</c:v>
                </c:pt>
                <c:pt idx="679">
                  <c:v>7568</c:v>
                </c:pt>
                <c:pt idx="680">
                  <c:v>12050</c:v>
                </c:pt>
                <c:pt idx="681">
                  <c:v>17289</c:v>
                </c:pt>
                <c:pt idx="682">
                  <c:v>13077</c:v>
                </c:pt>
                <c:pt idx="683">
                  <c:v>10147</c:v>
                </c:pt>
                <c:pt idx="684">
                  <c:v>3956</c:v>
                </c:pt>
                <c:pt idx="685">
                  <c:v>10382</c:v>
                </c:pt>
                <c:pt idx="686">
                  <c:v>18994</c:v>
                </c:pt>
                <c:pt idx="687">
                  <c:v>12739</c:v>
                </c:pt>
                <c:pt idx="688">
                  <c:v>8926</c:v>
                </c:pt>
                <c:pt idx="689">
                  <c:v>15454</c:v>
                </c:pt>
                <c:pt idx="690">
                  <c:v>15168</c:v>
                </c:pt>
                <c:pt idx="691">
                  <c:v>6824</c:v>
                </c:pt>
                <c:pt idx="692">
                  <c:v>6122</c:v>
                </c:pt>
                <c:pt idx="693">
                  <c:v>8442</c:v>
                </c:pt>
                <c:pt idx="694">
                  <c:v>8848</c:v>
                </c:pt>
                <c:pt idx="695">
                  <c:v>10595</c:v>
                </c:pt>
                <c:pt idx="696">
                  <c:v>9535</c:v>
                </c:pt>
                <c:pt idx="697">
                  <c:v>8590</c:v>
                </c:pt>
                <c:pt idx="698">
                  <c:v>11796</c:v>
                </c:pt>
                <c:pt idx="699">
                  <c:v>4916</c:v>
                </c:pt>
                <c:pt idx="700">
                  <c:v>15448</c:v>
                </c:pt>
                <c:pt idx="701">
                  <c:v>8781</c:v>
                </c:pt>
                <c:pt idx="702">
                  <c:v>5083</c:v>
                </c:pt>
                <c:pt idx="703">
                  <c:v>8901</c:v>
                </c:pt>
                <c:pt idx="704">
                  <c:v>8090</c:v>
                </c:pt>
                <c:pt idx="705">
                  <c:v>18526</c:v>
                </c:pt>
                <c:pt idx="706">
                  <c:v>11361</c:v>
                </c:pt>
                <c:pt idx="707">
                  <c:v>10093</c:v>
                </c:pt>
                <c:pt idx="708">
                  <c:v>7797</c:v>
                </c:pt>
                <c:pt idx="709">
                  <c:v>8278</c:v>
                </c:pt>
                <c:pt idx="710">
                  <c:v>25595</c:v>
                </c:pt>
                <c:pt idx="711">
                  <c:v>12710</c:v>
                </c:pt>
                <c:pt idx="712">
                  <c:v>4742</c:v>
                </c:pt>
                <c:pt idx="713">
                  <c:v>12213</c:v>
                </c:pt>
                <c:pt idx="714">
                  <c:v>11318</c:v>
                </c:pt>
                <c:pt idx="715">
                  <c:v>10032</c:v>
                </c:pt>
                <c:pt idx="716">
                  <c:v>5815</c:v>
                </c:pt>
                <c:pt idx="717">
                  <c:v>7318</c:v>
                </c:pt>
                <c:pt idx="718">
                  <c:v>15737</c:v>
                </c:pt>
                <c:pt idx="719">
                  <c:v>7178</c:v>
                </c:pt>
                <c:pt idx="720">
                  <c:v>14768</c:v>
                </c:pt>
                <c:pt idx="721">
                  <c:v>12623</c:v>
                </c:pt>
                <c:pt idx="722">
                  <c:v>14601</c:v>
                </c:pt>
                <c:pt idx="723">
                  <c:v>8655</c:v>
                </c:pt>
                <c:pt idx="724">
                  <c:v>17830</c:v>
                </c:pt>
                <c:pt idx="725">
                  <c:v>11191</c:v>
                </c:pt>
                <c:pt idx="726">
                  <c:v>13537</c:v>
                </c:pt>
                <c:pt idx="727">
                  <c:v>8083</c:v>
                </c:pt>
                <c:pt idx="728">
                  <c:v>5970</c:v>
                </c:pt>
                <c:pt idx="729">
                  <c:v>16022</c:v>
                </c:pt>
                <c:pt idx="730">
                  <c:v>11077</c:v>
                </c:pt>
                <c:pt idx="731">
                  <c:v>4448</c:v>
                </c:pt>
                <c:pt idx="732">
                  <c:v>4111</c:v>
                </c:pt>
                <c:pt idx="733">
                  <c:v>8905</c:v>
                </c:pt>
                <c:pt idx="734">
                  <c:v>11578</c:v>
                </c:pt>
                <c:pt idx="735">
                  <c:v>11700</c:v>
                </c:pt>
                <c:pt idx="736">
                  <c:v>8882</c:v>
                </c:pt>
                <c:pt idx="737">
                  <c:v>15550</c:v>
                </c:pt>
                <c:pt idx="738">
                  <c:v>7893</c:v>
                </c:pt>
                <c:pt idx="739">
                  <c:v>15526</c:v>
                </c:pt>
                <c:pt idx="740">
                  <c:v>6589</c:v>
                </c:pt>
                <c:pt idx="741">
                  <c:v>4845</c:v>
                </c:pt>
                <c:pt idx="742">
                  <c:v>2957</c:v>
                </c:pt>
                <c:pt idx="743">
                  <c:v>16612</c:v>
                </c:pt>
                <c:pt idx="744">
                  <c:v>5456</c:v>
                </c:pt>
                <c:pt idx="745">
                  <c:v>8349</c:v>
                </c:pt>
                <c:pt idx="746">
                  <c:v>13335</c:v>
                </c:pt>
                <c:pt idx="747">
                  <c:v>12589</c:v>
                </c:pt>
                <c:pt idx="748">
                  <c:v>6262</c:v>
                </c:pt>
                <c:pt idx="749">
                  <c:v>12186</c:v>
                </c:pt>
                <c:pt idx="750">
                  <c:v>9160</c:v>
                </c:pt>
                <c:pt idx="751">
                  <c:v>3221</c:v>
                </c:pt>
                <c:pt idx="752">
                  <c:v>6844</c:v>
                </c:pt>
                <c:pt idx="753">
                  <c:v>7257</c:v>
                </c:pt>
                <c:pt idx="754">
                  <c:v>6099</c:v>
                </c:pt>
                <c:pt idx="755">
                  <c:v>12260</c:v>
                </c:pt>
                <c:pt idx="756">
                  <c:v>10451</c:v>
                </c:pt>
                <c:pt idx="757">
                  <c:v>7189</c:v>
                </c:pt>
                <c:pt idx="758">
                  <c:v>6604</c:v>
                </c:pt>
                <c:pt idx="759">
                  <c:v>14874</c:v>
                </c:pt>
                <c:pt idx="760">
                  <c:v>5721</c:v>
                </c:pt>
                <c:pt idx="761">
                  <c:v>15494</c:v>
                </c:pt>
                <c:pt idx="762">
                  <c:v>10060</c:v>
                </c:pt>
                <c:pt idx="763">
                  <c:v>11020</c:v>
                </c:pt>
                <c:pt idx="764">
                  <c:v>15491</c:v>
                </c:pt>
                <c:pt idx="765">
                  <c:v>9325</c:v>
                </c:pt>
                <c:pt idx="766">
                  <c:v>11969</c:v>
                </c:pt>
                <c:pt idx="767">
                  <c:v>14717</c:v>
                </c:pt>
                <c:pt idx="768">
                  <c:v>17993</c:v>
                </c:pt>
                <c:pt idx="769">
                  <c:v>8611</c:v>
                </c:pt>
                <c:pt idx="770">
                  <c:v>12409</c:v>
                </c:pt>
                <c:pt idx="771">
                  <c:v>8271</c:v>
                </c:pt>
                <c:pt idx="772">
                  <c:v>18883</c:v>
                </c:pt>
                <c:pt idx="773">
                  <c:v>12928</c:v>
                </c:pt>
                <c:pt idx="774">
                  <c:v>9336</c:v>
                </c:pt>
                <c:pt idx="775">
                  <c:v>8819</c:v>
                </c:pt>
                <c:pt idx="776">
                  <c:v>12067</c:v>
                </c:pt>
                <c:pt idx="777">
                  <c:v>3738</c:v>
                </c:pt>
                <c:pt idx="778">
                  <c:v>9578</c:v>
                </c:pt>
                <c:pt idx="779">
                  <c:v>3409</c:v>
                </c:pt>
                <c:pt idx="780">
                  <c:v>10730</c:v>
                </c:pt>
                <c:pt idx="781">
                  <c:v>11352</c:v>
                </c:pt>
                <c:pt idx="782">
                  <c:v>12524</c:v>
                </c:pt>
                <c:pt idx="783">
                  <c:v>13297</c:v>
                </c:pt>
                <c:pt idx="784">
                  <c:v>18039</c:v>
                </c:pt>
                <c:pt idx="785">
                  <c:v>15884</c:v>
                </c:pt>
                <c:pt idx="786">
                  <c:v>6358</c:v>
                </c:pt>
                <c:pt idx="787">
                  <c:v>13414</c:v>
                </c:pt>
                <c:pt idx="788">
                  <c:v>11339</c:v>
                </c:pt>
                <c:pt idx="789">
                  <c:v>12169</c:v>
                </c:pt>
                <c:pt idx="790">
                  <c:v>10197</c:v>
                </c:pt>
                <c:pt idx="791">
                  <c:v>15431</c:v>
                </c:pt>
                <c:pt idx="792">
                  <c:v>12715</c:v>
                </c:pt>
                <c:pt idx="793">
                  <c:v>7371</c:v>
                </c:pt>
                <c:pt idx="794">
                  <c:v>25133</c:v>
                </c:pt>
                <c:pt idx="795">
                  <c:v>12050</c:v>
                </c:pt>
                <c:pt idx="796">
                  <c:v>12106</c:v>
                </c:pt>
                <c:pt idx="797">
                  <c:v>8823</c:v>
                </c:pt>
                <c:pt idx="798">
                  <c:v>14581</c:v>
                </c:pt>
                <c:pt idx="799">
                  <c:v>13739</c:v>
                </c:pt>
                <c:pt idx="800">
                  <c:v>6695</c:v>
                </c:pt>
                <c:pt idx="801">
                  <c:v>7969</c:v>
                </c:pt>
                <c:pt idx="802">
                  <c:v>12493</c:v>
                </c:pt>
                <c:pt idx="803">
                  <c:v>8717</c:v>
                </c:pt>
                <c:pt idx="804">
                  <c:v>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E-4977-B060-9DF6C13B5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0358399"/>
        <c:axId val="1270359231"/>
      </c:barChart>
      <c:catAx>
        <c:axId val="127035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359231"/>
        <c:crosses val="autoZero"/>
        <c:auto val="1"/>
        <c:lblAlgn val="ctr"/>
        <c:lblOffset val="100"/>
        <c:noMultiLvlLbl val="0"/>
      </c:catAx>
      <c:valAx>
        <c:axId val="1270359231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7035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Analysis_2!$AU$12</c:f>
              <c:strCache>
                <c:ptCount val="1"/>
                <c:pt idx="0">
                  <c:v> COGS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Analysis_2!$AT$13:$AT$15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Analysis_2!$AU$13:$AU$15</c:f>
              <c:numCache>
                <c:formatCode>#\ ##0_ ;\-#\ ##0\ </c:formatCode>
                <c:ptCount val="3"/>
                <c:pt idx="0">
                  <c:v>7885283</c:v>
                </c:pt>
                <c:pt idx="1">
                  <c:v>7808940</c:v>
                </c:pt>
                <c:pt idx="2">
                  <c:v>1623093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C-4A1B-BF87-C9F10EBD70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3031423"/>
        <c:axId val="1363033919"/>
      </c:barChart>
      <c:catAx>
        <c:axId val="136303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033919"/>
        <c:crosses val="autoZero"/>
        <c:auto val="1"/>
        <c:lblAlgn val="ctr"/>
        <c:lblOffset val="100"/>
        <c:noMultiLvlLbl val="0"/>
      </c:catAx>
      <c:valAx>
        <c:axId val="136303391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\ ##0_ ;\-#\ ##0\ " sourceLinked="1"/>
        <c:majorTickMark val="none"/>
        <c:minorTickMark val="none"/>
        <c:tickLblPos val="nextTo"/>
        <c:crossAx val="136303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0" fmlaLink="Analysis_2!$AR$11" fmlaRange="Analysis_2!$AR$12:$AR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464820</xdr:colOff>
      <xdr:row>0</xdr:row>
      <xdr:rowOff>105878</xdr:rowOff>
    </xdr:from>
    <xdr:to>
      <xdr:col>4</xdr:col>
      <xdr:colOff>230124</xdr:colOff>
      <xdr:row>9</xdr:row>
      <xdr:rowOff>148827</xdr:rowOff>
    </xdr:to>
    <xdr:sp macro="" textlink="">
      <xdr:nvSpPr>
        <xdr:cNvPr id="3" name="Скругленный прямоугольник 2"/>
        <xdr:cNvSpPr/>
      </xdr:nvSpPr>
      <xdr:spPr>
        <a:xfrm>
          <a:off x="464820" y="105878"/>
          <a:ext cx="2203704" cy="1663931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400640</xdr:colOff>
      <xdr:row>0</xdr:row>
      <xdr:rowOff>105878</xdr:rowOff>
    </xdr:from>
    <xdr:to>
      <xdr:col>9</xdr:col>
      <xdr:colOff>242144</xdr:colOff>
      <xdr:row>9</xdr:row>
      <xdr:rowOff>150732</xdr:rowOff>
    </xdr:to>
    <xdr:sp macro="" textlink="">
      <xdr:nvSpPr>
        <xdr:cNvPr id="4" name="Скругленный прямоугольник 3"/>
        <xdr:cNvSpPr/>
      </xdr:nvSpPr>
      <xdr:spPr>
        <a:xfrm>
          <a:off x="2839040" y="105878"/>
          <a:ext cx="2889504" cy="1665836"/>
        </a:xfrm>
        <a:prstGeom prst="roundRect">
          <a:avLst>
            <a:gd name="adj" fmla="val 7763"/>
          </a:avLst>
        </a:prstGeom>
        <a:gradFill flip="none" rotWithShape="1">
          <a:gsLst>
            <a:gs pos="0">
              <a:srgbClr val="AD0F8A"/>
            </a:gs>
            <a:gs pos="97000">
              <a:srgbClr val="291473"/>
            </a:gs>
          </a:gsLst>
          <a:lin ang="90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412659</xdr:colOff>
      <xdr:row>0</xdr:row>
      <xdr:rowOff>105878</xdr:rowOff>
    </xdr:from>
    <xdr:to>
      <xdr:col>19</xdr:col>
      <xdr:colOff>562011</xdr:colOff>
      <xdr:row>9</xdr:row>
      <xdr:rowOff>151598</xdr:rowOff>
    </xdr:to>
    <xdr:sp macro="" textlink="">
      <xdr:nvSpPr>
        <xdr:cNvPr id="5" name="Скругленный прямоугольник 4"/>
        <xdr:cNvSpPr/>
      </xdr:nvSpPr>
      <xdr:spPr>
        <a:xfrm>
          <a:off x="5899059" y="105878"/>
          <a:ext cx="6245352" cy="166670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495300</xdr:colOff>
      <xdr:row>10</xdr:row>
      <xdr:rowOff>120344</xdr:rowOff>
    </xdr:from>
    <xdr:to>
      <xdr:col>9</xdr:col>
      <xdr:colOff>74676</xdr:colOff>
      <xdr:row>28</xdr:row>
      <xdr:rowOff>166064</xdr:rowOff>
    </xdr:to>
    <xdr:sp macro="" textlink="">
      <xdr:nvSpPr>
        <xdr:cNvPr id="6" name="Скругленный прямоугольник 5"/>
        <xdr:cNvSpPr/>
      </xdr:nvSpPr>
      <xdr:spPr>
        <a:xfrm>
          <a:off x="495300" y="1999248"/>
          <a:ext cx="5028198" cy="3427748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207542</xdr:colOff>
      <xdr:row>10</xdr:row>
      <xdr:rowOff>120344</xdr:rowOff>
    </xdr:from>
    <xdr:to>
      <xdr:col>13</xdr:col>
      <xdr:colOff>55142</xdr:colOff>
      <xdr:row>16</xdr:row>
      <xdr:rowOff>10616</xdr:rowOff>
    </xdr:to>
    <xdr:sp macro="" textlink="">
      <xdr:nvSpPr>
        <xdr:cNvPr id="7" name="Скругленный прямоугольник 6"/>
        <xdr:cNvSpPr/>
      </xdr:nvSpPr>
      <xdr:spPr>
        <a:xfrm>
          <a:off x="5693942" y="1921435"/>
          <a:ext cx="2286000" cy="970926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215162</xdr:colOff>
      <xdr:row>16</xdr:row>
      <xdr:rowOff>181696</xdr:rowOff>
    </xdr:from>
    <xdr:to>
      <xdr:col>13</xdr:col>
      <xdr:colOff>62762</xdr:colOff>
      <xdr:row>22</xdr:row>
      <xdr:rowOff>71968</xdr:rowOff>
    </xdr:to>
    <xdr:sp macro="" textlink="">
      <xdr:nvSpPr>
        <xdr:cNvPr id="8" name="Скругленный прямоугольник 7"/>
        <xdr:cNvSpPr/>
      </xdr:nvSpPr>
      <xdr:spPr>
        <a:xfrm>
          <a:off x="5701562" y="3107776"/>
          <a:ext cx="2286000" cy="98755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238022</xdr:colOff>
      <xdr:row>23</xdr:row>
      <xdr:rowOff>60168</xdr:rowOff>
    </xdr:from>
    <xdr:to>
      <xdr:col>13</xdr:col>
      <xdr:colOff>85622</xdr:colOff>
      <xdr:row>28</xdr:row>
      <xdr:rowOff>133320</xdr:rowOff>
    </xdr:to>
    <xdr:sp macro="" textlink="">
      <xdr:nvSpPr>
        <xdr:cNvPr id="9" name="Скругленный прямоугольник 8"/>
        <xdr:cNvSpPr/>
      </xdr:nvSpPr>
      <xdr:spPr>
        <a:xfrm>
          <a:off x="5724422" y="4266408"/>
          <a:ext cx="2286000" cy="98755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207542</xdr:colOff>
      <xdr:row>29</xdr:row>
      <xdr:rowOff>121520</xdr:rowOff>
    </xdr:from>
    <xdr:to>
      <xdr:col>13</xdr:col>
      <xdr:colOff>55142</xdr:colOff>
      <xdr:row>35</xdr:row>
      <xdr:rowOff>11792</xdr:rowOff>
    </xdr:to>
    <xdr:sp macro="" textlink="">
      <xdr:nvSpPr>
        <xdr:cNvPr id="10" name="Скругленный прямоугольник 9"/>
        <xdr:cNvSpPr/>
      </xdr:nvSpPr>
      <xdr:spPr>
        <a:xfrm>
          <a:off x="5693942" y="5425040"/>
          <a:ext cx="2286000" cy="98755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187107</xdr:colOff>
      <xdr:row>10</xdr:row>
      <xdr:rowOff>120344</xdr:rowOff>
    </xdr:from>
    <xdr:to>
      <xdr:col>19</xdr:col>
      <xdr:colOff>562011</xdr:colOff>
      <xdr:row>28</xdr:row>
      <xdr:rowOff>147776</xdr:rowOff>
    </xdr:to>
    <xdr:sp macro="" textlink="">
      <xdr:nvSpPr>
        <xdr:cNvPr id="11" name="Скругленный прямоугольник 10"/>
        <xdr:cNvSpPr/>
      </xdr:nvSpPr>
      <xdr:spPr>
        <a:xfrm>
          <a:off x="8111907" y="1983011"/>
          <a:ext cx="4032504" cy="338023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538873</xdr:colOff>
      <xdr:row>29</xdr:row>
      <xdr:rowOff>121520</xdr:rowOff>
    </xdr:from>
    <xdr:to>
      <xdr:col>9</xdr:col>
      <xdr:colOff>93865</xdr:colOff>
      <xdr:row>35</xdr:row>
      <xdr:rowOff>11792</xdr:rowOff>
    </xdr:to>
    <xdr:sp macro="" textlink="">
      <xdr:nvSpPr>
        <xdr:cNvPr id="13" name="Скругленный прямоугольник 12"/>
        <xdr:cNvSpPr/>
      </xdr:nvSpPr>
      <xdr:spPr>
        <a:xfrm>
          <a:off x="3586873" y="5369795"/>
          <a:ext cx="1993392" cy="97612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464820</xdr:colOff>
      <xdr:row>29</xdr:row>
      <xdr:rowOff>121520</xdr:rowOff>
    </xdr:from>
    <xdr:to>
      <xdr:col>5</xdr:col>
      <xdr:colOff>425196</xdr:colOff>
      <xdr:row>35</xdr:row>
      <xdr:rowOff>11792</xdr:rowOff>
    </xdr:to>
    <xdr:sp macro="" textlink="">
      <xdr:nvSpPr>
        <xdr:cNvPr id="14" name="Скругленный прямоугольник 13"/>
        <xdr:cNvSpPr/>
      </xdr:nvSpPr>
      <xdr:spPr>
        <a:xfrm>
          <a:off x="464820" y="5369795"/>
          <a:ext cx="3008376" cy="976122"/>
        </a:xfrm>
        <a:prstGeom prst="roundRect">
          <a:avLst>
            <a:gd name="adj" fmla="val 7763"/>
          </a:avLst>
        </a:prstGeom>
        <a:solidFill>
          <a:srgbClr val="1721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287214</xdr:colOff>
      <xdr:row>11</xdr:row>
      <xdr:rowOff>60288</xdr:rowOff>
    </xdr:from>
    <xdr:to>
      <xdr:col>14</xdr:col>
      <xdr:colOff>263769</xdr:colOff>
      <xdr:row>12</xdr:row>
      <xdr:rowOff>140678</xdr:rowOff>
    </xdr:to>
    <xdr:sp macro="[0]!_xludf.Clear" textlink="">
      <xdr:nvSpPr>
        <xdr:cNvPr id="19" name="Скругленный прямоугольник 18"/>
        <xdr:cNvSpPr/>
      </xdr:nvSpPr>
      <xdr:spPr>
        <a:xfrm>
          <a:off x="8212014" y="2059073"/>
          <a:ext cx="586155" cy="262097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14</xdr:col>
      <xdr:colOff>205152</xdr:colOff>
      <xdr:row>11</xdr:row>
      <xdr:rowOff>48565</xdr:rowOff>
    </xdr:from>
    <xdr:to>
      <xdr:col>16</xdr:col>
      <xdr:colOff>17585</xdr:colOff>
      <xdr:row>12</xdr:row>
      <xdr:rowOff>128955</xdr:rowOff>
    </xdr:to>
    <xdr:sp macro="" textlink="Analysis_1!C8">
      <xdr:nvSpPr>
        <xdr:cNvPr id="15" name="Скругленный прямоугольник 14"/>
        <xdr:cNvSpPr/>
      </xdr:nvSpPr>
      <xdr:spPr>
        <a:xfrm>
          <a:off x="8739552" y="2097498"/>
          <a:ext cx="1031633" cy="266657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AD0F8A"/>
            </a:gs>
            <a:gs pos="97000">
              <a:srgbClr val="291473"/>
            </a:gs>
          </a:gsLst>
          <a:lin ang="90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485CC7E-5584-4DA7-8EF1-0DA9EDFC67E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Select month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488453</xdr:colOff>
      <xdr:row>14</xdr:row>
      <xdr:rowOff>93133</xdr:rowOff>
    </xdr:from>
    <xdr:to>
      <xdr:col>19</xdr:col>
      <xdr:colOff>369521</xdr:colOff>
      <xdr:row>19</xdr:row>
      <xdr:rowOff>177799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onth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3253" y="2675912"/>
              <a:ext cx="3538668" cy="10070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 fLocksWithSheet="0"/>
  </xdr:twoCellAnchor>
  <xdr:twoCellAnchor editAs="absolute">
    <xdr:from>
      <xdr:col>15</xdr:col>
      <xdr:colOff>489857</xdr:colOff>
      <xdr:row>12</xdr:row>
      <xdr:rowOff>163286</xdr:rowOff>
    </xdr:from>
    <xdr:to>
      <xdr:col>18</xdr:col>
      <xdr:colOff>562187</xdr:colOff>
      <xdr:row>14</xdr:row>
      <xdr:rowOff>154093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yea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7204" y="2402633"/>
              <a:ext cx="1891799" cy="3640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 fLocksWithSheet="0"/>
  </xdr:twoCellAnchor>
  <xdr:twoCellAnchor>
    <xdr:from>
      <xdr:col>3</xdr:col>
      <xdr:colOff>559308</xdr:colOff>
      <xdr:row>19</xdr:row>
      <xdr:rowOff>7620</xdr:rowOff>
    </xdr:from>
    <xdr:to>
      <xdr:col>6</xdr:col>
      <xdr:colOff>10668</xdr:colOff>
      <xdr:row>21</xdr:row>
      <xdr:rowOff>127133</xdr:rowOff>
    </xdr:to>
    <xdr:sp macro="" textlink="Analysis_1!T4">
      <xdr:nvSpPr>
        <xdr:cNvPr id="2" name="TextBox 1"/>
        <xdr:cNvSpPr txBox="1"/>
      </xdr:nvSpPr>
      <xdr:spPr>
        <a:xfrm>
          <a:off x="2388108" y="3482340"/>
          <a:ext cx="1280160" cy="4852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E7E45A3-8FE3-42F7-9A4D-1C09E2B0AA1B}" type="TxLink">
            <a:rPr lang="en-US" sz="2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0,0%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548640</xdr:colOff>
      <xdr:row>20</xdr:row>
      <xdr:rowOff>111893</xdr:rowOff>
    </xdr:from>
    <xdr:to>
      <xdr:col>9</xdr:col>
      <xdr:colOff>22860</xdr:colOff>
      <xdr:row>22</xdr:row>
      <xdr:rowOff>172853</xdr:rowOff>
    </xdr:to>
    <xdr:sp macro="" textlink="Analysis_1!R14">
      <xdr:nvSpPr>
        <xdr:cNvPr id="29" name="TextBox 28"/>
        <xdr:cNvSpPr txBox="1"/>
      </xdr:nvSpPr>
      <xdr:spPr>
        <a:xfrm>
          <a:off x="548640" y="3769493"/>
          <a:ext cx="4960620" cy="426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22CDC8-FE93-4698-AC71-B51450347D81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Comparing January to January</a:t>
          </a:fld>
          <a:endParaRPr lang="en-US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563880</xdr:colOff>
      <xdr:row>21</xdr:row>
      <xdr:rowOff>165233</xdr:rowOff>
    </xdr:from>
    <xdr:to>
      <xdr:col>9</xdr:col>
      <xdr:colOff>38100</xdr:colOff>
      <xdr:row>24</xdr:row>
      <xdr:rowOff>43313</xdr:rowOff>
    </xdr:to>
    <xdr:sp macro="" textlink="Analysis_1!R18">
      <xdr:nvSpPr>
        <xdr:cNvPr id="30" name="TextBox 29"/>
        <xdr:cNvSpPr txBox="1"/>
      </xdr:nvSpPr>
      <xdr:spPr>
        <a:xfrm>
          <a:off x="563880" y="4005713"/>
          <a:ext cx="4960620" cy="426720"/>
        </a:xfrm>
        <a:prstGeom prst="rect">
          <a:avLst/>
        </a:prstGeom>
        <a:noFill/>
        <a:ln w="9525" cmpd="sng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EA4281-A602-402D-BC54-0C28A7CF502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JANUARY revenue is 100%, select next MONTH to compare</a:t>
          </a:fld>
          <a:endParaRPr lang="en-US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207867</xdr:colOff>
      <xdr:row>0</xdr:row>
      <xdr:rowOff>150166</xdr:rowOff>
    </xdr:from>
    <xdr:to>
      <xdr:col>15</xdr:col>
      <xdr:colOff>379317</xdr:colOff>
      <xdr:row>1</xdr:row>
      <xdr:rowOff>133887</xdr:rowOff>
    </xdr:to>
    <xdr:sp macro="" textlink="">
      <xdr:nvSpPr>
        <xdr:cNvPr id="32" name="Oval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9351867" y="150166"/>
          <a:ext cx="171450" cy="169988"/>
        </a:xfrm>
        <a:prstGeom prst="ellipse">
          <a:avLst/>
        </a:prstGeom>
        <a:noFill/>
        <a:ln w="47625"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80010</xdr:colOff>
      <xdr:row>25</xdr:row>
      <xdr:rowOff>56263</xdr:rowOff>
    </xdr:from>
    <xdr:to>
      <xdr:col>4</xdr:col>
      <xdr:colOff>251460</xdr:colOff>
      <xdr:row>26</xdr:row>
      <xdr:rowOff>33827</xdr:rowOff>
    </xdr:to>
    <xdr:sp macro="" textlink="">
      <xdr:nvSpPr>
        <xdr:cNvPr id="33" name="Oval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>
          <a:off x="2518410" y="4712930"/>
          <a:ext cx="171450" cy="163830"/>
        </a:xfrm>
        <a:prstGeom prst="ellipse">
          <a:avLst/>
        </a:prstGeom>
        <a:noFill/>
        <a:ln w="47625"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148590</xdr:colOff>
      <xdr:row>25</xdr:row>
      <xdr:rowOff>56263</xdr:rowOff>
    </xdr:from>
    <xdr:to>
      <xdr:col>1</xdr:col>
      <xdr:colOff>320040</xdr:colOff>
      <xdr:row>26</xdr:row>
      <xdr:rowOff>33827</xdr:rowOff>
    </xdr:to>
    <xdr:sp macro="" textlink="">
      <xdr:nvSpPr>
        <xdr:cNvPr id="34" name="Oval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58190" y="4712930"/>
          <a:ext cx="171450" cy="163830"/>
        </a:xfrm>
        <a:prstGeom prst="ellipse">
          <a:avLst/>
        </a:prstGeom>
        <a:noFill/>
        <a:ln w="47625"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462915</xdr:colOff>
      <xdr:row>24</xdr:row>
      <xdr:rowOff>115703</xdr:rowOff>
    </xdr:from>
    <xdr:to>
      <xdr:col>6</xdr:col>
      <xdr:colOff>462915</xdr:colOff>
      <xdr:row>27</xdr:row>
      <xdr:rowOff>77603</xdr:rowOff>
    </xdr:to>
    <xdr:cxnSp macro="">
      <xdr:nvCxnSpPr>
        <xdr:cNvPr id="35" name="Straight Connector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4120515" y="4504823"/>
          <a:ext cx="0" cy="510540"/>
        </a:xfrm>
        <a:prstGeom prst="line">
          <a:avLst/>
        </a:prstGeom>
        <a:ln w="19050">
          <a:gradFill>
            <a:gsLst>
              <a:gs pos="0">
                <a:schemeClr val="tx1">
                  <a:alpha val="0"/>
                  <a:lumMod val="74000"/>
                  <a:lumOff val="26000"/>
                </a:schemeClr>
              </a:gs>
              <a:gs pos="100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531495</xdr:colOff>
      <xdr:row>24</xdr:row>
      <xdr:rowOff>115703</xdr:rowOff>
    </xdr:from>
    <xdr:to>
      <xdr:col>8</xdr:col>
      <xdr:colOff>531495</xdr:colOff>
      <xdr:row>27</xdr:row>
      <xdr:rowOff>77603</xdr:rowOff>
    </xdr:to>
    <xdr:cxnSp macro="">
      <xdr:nvCxnSpPr>
        <xdr:cNvPr id="36" name="Straight Connector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CxnSpPr/>
      </xdr:nvCxnSpPr>
      <xdr:spPr>
        <a:xfrm>
          <a:off x="5408295" y="4504823"/>
          <a:ext cx="0" cy="510540"/>
        </a:xfrm>
        <a:prstGeom prst="line">
          <a:avLst/>
        </a:prstGeom>
        <a:ln w="19050">
          <a:gradFill>
            <a:gsLst>
              <a:gs pos="0">
                <a:schemeClr val="tx1">
                  <a:alpha val="0"/>
                  <a:lumMod val="74000"/>
                  <a:lumOff val="26000"/>
                </a:schemeClr>
              </a:gs>
              <a:gs pos="100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455295</xdr:colOff>
      <xdr:row>24</xdr:row>
      <xdr:rowOff>115703</xdr:rowOff>
    </xdr:from>
    <xdr:to>
      <xdr:col>3</xdr:col>
      <xdr:colOff>455295</xdr:colOff>
      <xdr:row>27</xdr:row>
      <xdr:rowOff>77603</xdr:rowOff>
    </xdr:to>
    <xdr:cxnSp macro="">
      <xdr:nvCxnSpPr>
        <xdr:cNvPr id="37" name="Straight Connector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CxnSpPr/>
      </xdr:nvCxnSpPr>
      <xdr:spPr>
        <a:xfrm>
          <a:off x="2284095" y="4504823"/>
          <a:ext cx="0" cy="510540"/>
        </a:xfrm>
        <a:prstGeom prst="line">
          <a:avLst/>
        </a:prstGeom>
        <a:ln w="19050">
          <a:gradFill>
            <a:gsLst>
              <a:gs pos="0">
                <a:schemeClr val="tx1">
                  <a:alpha val="0"/>
                  <a:lumMod val="74000"/>
                  <a:lumOff val="26000"/>
                </a:schemeClr>
              </a:gs>
              <a:gs pos="100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34290</xdr:colOff>
      <xdr:row>24</xdr:row>
      <xdr:rowOff>115703</xdr:rowOff>
    </xdr:from>
    <xdr:to>
      <xdr:col>1</xdr:col>
      <xdr:colOff>34290</xdr:colOff>
      <xdr:row>27</xdr:row>
      <xdr:rowOff>77603</xdr:rowOff>
    </xdr:to>
    <xdr:cxnSp macro="">
      <xdr:nvCxnSpPr>
        <xdr:cNvPr id="38" name="Straight Connector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CxnSpPr/>
      </xdr:nvCxnSpPr>
      <xdr:spPr>
        <a:xfrm>
          <a:off x="643890" y="4504823"/>
          <a:ext cx="0" cy="510540"/>
        </a:xfrm>
        <a:prstGeom prst="line">
          <a:avLst/>
        </a:prstGeom>
        <a:ln w="19050">
          <a:gradFill>
            <a:gsLst>
              <a:gs pos="0">
                <a:schemeClr val="tx1">
                  <a:alpha val="0"/>
                  <a:lumMod val="74000"/>
                  <a:lumOff val="26000"/>
                </a:schemeClr>
              </a:gs>
              <a:gs pos="100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</xdr:colOff>
      <xdr:row>23</xdr:row>
      <xdr:rowOff>172853</xdr:rowOff>
    </xdr:from>
    <xdr:to>
      <xdr:col>8</xdr:col>
      <xdr:colOff>588645</xdr:colOff>
      <xdr:row>24</xdr:row>
      <xdr:rowOff>87128</xdr:rowOff>
    </xdr:to>
    <xdr:sp macro="" textlink="">
      <xdr:nvSpPr>
        <xdr:cNvPr id="39" name="Rounded 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624840" y="4379093"/>
          <a:ext cx="4840605" cy="97155"/>
        </a:xfrm>
        <a:prstGeom prst="roundRect">
          <a:avLst>
            <a:gd name="adj" fmla="val 50000"/>
          </a:avLst>
        </a:prstGeom>
        <a:gradFill flip="none" rotWithShape="1">
          <a:gsLst>
            <a:gs pos="18255">
              <a:srgbClr val="0070C0"/>
            </a:gs>
            <a:gs pos="37952">
              <a:schemeClr val="accent1">
                <a:lumMod val="60000"/>
                <a:lumOff val="40000"/>
              </a:schemeClr>
            </a:gs>
            <a:gs pos="54765">
              <a:srgbClr val="00B0F0"/>
            </a:gs>
            <a:gs pos="75000">
              <a:schemeClr val="accent1">
                <a:lumMod val="60000"/>
                <a:lumOff val="40000"/>
              </a:schemeClr>
            </a:gs>
            <a:gs pos="0">
              <a:srgbClr val="0070C0"/>
            </a:gs>
            <a:gs pos="100000">
              <a:srgbClr val="0070C0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289560</xdr:colOff>
      <xdr:row>25</xdr:row>
      <xdr:rowOff>182378</xdr:rowOff>
    </xdr:from>
    <xdr:to>
      <xdr:col>3</xdr:col>
      <xdr:colOff>215264</xdr:colOff>
      <xdr:row>28</xdr:row>
      <xdr:rowOff>67177</xdr:rowOff>
    </xdr:to>
    <xdr:sp macro="" textlink="">
      <xdr:nvSpPr>
        <xdr:cNvPr id="48" name="Rounded Rectangl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>
          <a:off x="899160" y="4754378"/>
          <a:ext cx="11449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+mn-cs"/>
            </a:rPr>
            <a:t>Current month </a:t>
          </a:r>
        </a:p>
      </xdr:txBody>
    </xdr:sp>
    <xdr:clientData/>
  </xdr:twoCellAnchor>
  <xdr:twoCellAnchor>
    <xdr:from>
      <xdr:col>4</xdr:col>
      <xdr:colOff>182879</xdr:colOff>
      <xdr:row>25</xdr:row>
      <xdr:rowOff>182378</xdr:rowOff>
    </xdr:from>
    <xdr:to>
      <xdr:col>6</xdr:col>
      <xdr:colOff>218650</xdr:colOff>
      <xdr:row>28</xdr:row>
      <xdr:rowOff>67177</xdr:rowOff>
    </xdr:to>
    <xdr:sp macro="" textlink="">
      <xdr:nvSpPr>
        <xdr:cNvPr id="49" name="Rounded Rectangle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>
          <a:off x="2621279" y="4754378"/>
          <a:ext cx="1254971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+mn-cs"/>
            </a:rPr>
            <a:t>Previous month </a:t>
          </a:r>
        </a:p>
      </xdr:txBody>
    </xdr:sp>
    <xdr:clientData/>
  </xdr:twoCellAnchor>
  <xdr:twoCellAnchor>
    <xdr:from>
      <xdr:col>6</xdr:col>
      <xdr:colOff>575310</xdr:colOff>
      <xdr:row>25</xdr:row>
      <xdr:rowOff>172853</xdr:rowOff>
    </xdr:from>
    <xdr:to>
      <xdr:col>9</xdr:col>
      <xdr:colOff>135254</xdr:colOff>
      <xdr:row>28</xdr:row>
      <xdr:rowOff>57652</xdr:rowOff>
    </xdr:to>
    <xdr:sp macro="" textlink="">
      <xdr:nvSpPr>
        <xdr:cNvPr id="50" name="Rounded Rectangle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>
          <a:off x="4232910" y="4744853"/>
          <a:ext cx="138874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+mn-cs"/>
            </a:rPr>
            <a:t>Variance</a:t>
          </a:r>
        </a:p>
      </xdr:txBody>
    </xdr:sp>
    <xdr:clientData/>
  </xdr:twoCellAnchor>
  <xdr:twoCellAnchor>
    <xdr:from>
      <xdr:col>1</xdr:col>
      <xdr:colOff>304800</xdr:colOff>
      <xdr:row>24</xdr:row>
      <xdr:rowOff>105650</xdr:rowOff>
    </xdr:from>
    <xdr:to>
      <xdr:col>3</xdr:col>
      <xdr:colOff>230504</xdr:colOff>
      <xdr:row>26</xdr:row>
      <xdr:rowOff>173329</xdr:rowOff>
    </xdr:to>
    <xdr:sp macro="" textlink="Analysis_1!T5">
      <xdr:nvSpPr>
        <xdr:cNvPr id="51" name="Rounded Rectangl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>
          <a:off x="914400" y="4576050"/>
          <a:ext cx="1144904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44E93C8-B8B4-4257-89AE-D1E0B9838193}" type="TxLink">
            <a:rPr lang="en-US" sz="14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$2 869 155</a:t>
          </a:fld>
          <a:endParaRPr lang="en-US" sz="1400" b="1" i="1" u="none" strike="noStrike">
            <a:solidFill>
              <a:schemeClr val="bg1">
                <a:lumMod val="9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198119</xdr:colOff>
      <xdr:row>24</xdr:row>
      <xdr:rowOff>105650</xdr:rowOff>
    </xdr:from>
    <xdr:to>
      <xdr:col>6</xdr:col>
      <xdr:colOff>233890</xdr:colOff>
      <xdr:row>26</xdr:row>
      <xdr:rowOff>173329</xdr:rowOff>
    </xdr:to>
    <xdr:sp macro="" textlink="Analysis_1!R22">
      <xdr:nvSpPr>
        <xdr:cNvPr id="52" name="Rounded Rectangle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>
          <a:off x="2636519" y="4576050"/>
          <a:ext cx="1254971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B578D0D-8D75-4E63-A4F2-F25A5699608D}" type="TxLink">
            <a:rPr lang="en-US" sz="14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$0</a:t>
          </a:fld>
          <a:endParaRPr lang="en-US" sz="1400" b="1" i="0" u="none" strike="noStrike">
            <a:solidFill>
              <a:schemeClr val="bg1">
                <a:lumMod val="9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590550</xdr:colOff>
      <xdr:row>24</xdr:row>
      <xdr:rowOff>105650</xdr:rowOff>
    </xdr:from>
    <xdr:to>
      <xdr:col>9</xdr:col>
      <xdr:colOff>150494</xdr:colOff>
      <xdr:row>26</xdr:row>
      <xdr:rowOff>173329</xdr:rowOff>
    </xdr:to>
    <xdr:sp macro="" textlink="Analysis_1!R25">
      <xdr:nvSpPr>
        <xdr:cNvPr id="53" name="Rounded Rectangle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>
          <a:off x="4248150" y="4576050"/>
          <a:ext cx="1388744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8292339-7A12-471F-A6A0-B450A046E32A}" type="TxLink">
            <a:rPr lang="en-US" sz="14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$0</a:t>
          </a:fld>
          <a:endParaRPr lang="en-US" sz="1400" b="1" i="0" u="none" strike="noStrike">
            <a:solidFill>
              <a:schemeClr val="bg1">
                <a:lumMod val="9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165735</xdr:colOff>
      <xdr:row>0</xdr:row>
      <xdr:rowOff>167640</xdr:rowOff>
    </xdr:from>
    <xdr:to>
      <xdr:col>8</xdr:col>
      <xdr:colOff>59055</xdr:colOff>
      <xdr:row>2</xdr:row>
      <xdr:rowOff>110491</xdr:rowOff>
    </xdr:to>
    <xdr:sp macro="" textlink="">
      <xdr:nvSpPr>
        <xdr:cNvPr id="54" name="Rounded Rectangl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3213735" y="167640"/>
          <a:ext cx="1722120" cy="308611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Key performance</a:t>
          </a:r>
        </a:p>
      </xdr:txBody>
    </xdr:sp>
    <xdr:clientData/>
  </xdr:twoCellAnchor>
  <xdr:twoCellAnchor>
    <xdr:from>
      <xdr:col>5</xdr:col>
      <xdr:colOff>127635</xdr:colOff>
      <xdr:row>2</xdr:row>
      <xdr:rowOff>53341</xdr:rowOff>
    </xdr:from>
    <xdr:to>
      <xdr:col>8</xdr:col>
      <xdr:colOff>20955</xdr:colOff>
      <xdr:row>3</xdr:row>
      <xdr:rowOff>100967</xdr:rowOff>
    </xdr:to>
    <xdr:sp macro="" textlink="">
      <xdr:nvSpPr>
        <xdr:cNvPr id="55" name="Rounded Rectangl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3175635" y="419101"/>
          <a:ext cx="1722120" cy="230506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Indicator</a:t>
          </a:r>
        </a:p>
      </xdr:txBody>
    </xdr:sp>
    <xdr:clientData/>
  </xdr:twoCellAnchor>
  <xdr:twoCellAnchor>
    <xdr:from>
      <xdr:col>5</xdr:col>
      <xdr:colOff>22860</xdr:colOff>
      <xdr:row>1</xdr:row>
      <xdr:rowOff>72391</xdr:rowOff>
    </xdr:from>
    <xdr:to>
      <xdr:col>5</xdr:col>
      <xdr:colOff>203835</xdr:colOff>
      <xdr:row>2</xdr:row>
      <xdr:rowOff>43816</xdr:rowOff>
    </xdr:to>
    <xdr:sp macro="" textlink="">
      <xdr:nvSpPr>
        <xdr:cNvPr id="56" name="Pentago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070860" y="255271"/>
          <a:ext cx="180975" cy="154305"/>
        </a:xfrm>
        <a:prstGeom prst="homePlate">
          <a:avLst>
            <a:gd name="adj" fmla="val 4473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297179</xdr:colOff>
      <xdr:row>1</xdr:row>
      <xdr:rowOff>74987</xdr:rowOff>
    </xdr:from>
    <xdr:to>
      <xdr:col>9</xdr:col>
      <xdr:colOff>45720</xdr:colOff>
      <xdr:row>3</xdr:row>
      <xdr:rowOff>44508</xdr:rowOff>
    </xdr:to>
    <xdr:pic>
      <xdr:nvPicPr>
        <xdr:cNvPr id="57" name="Picture 223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979" y="257867"/>
          <a:ext cx="358141" cy="335281"/>
        </a:xfrm>
        <a:prstGeom prst="rect">
          <a:avLst/>
        </a:prstGeom>
      </xdr:spPr>
    </xdr:pic>
    <xdr:clientData/>
  </xdr:twoCellAnchor>
  <xdr:twoCellAnchor>
    <xdr:from>
      <xdr:col>4</xdr:col>
      <xdr:colOff>452628</xdr:colOff>
      <xdr:row>4</xdr:row>
      <xdr:rowOff>144781</xdr:rowOff>
    </xdr:from>
    <xdr:to>
      <xdr:col>7</xdr:col>
      <xdr:colOff>396240</xdr:colOff>
      <xdr:row>7</xdr:row>
      <xdr:rowOff>60960</xdr:rowOff>
    </xdr:to>
    <xdr:sp macro="" textlink="Analysis_2!E4">
      <xdr:nvSpPr>
        <xdr:cNvPr id="58" name="TextBox 57"/>
        <xdr:cNvSpPr txBox="1"/>
      </xdr:nvSpPr>
      <xdr:spPr>
        <a:xfrm>
          <a:off x="2891028" y="876301"/>
          <a:ext cx="1772412" cy="464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F36530-E3B1-4CA4-8EFD-1F75B883498C}" type="TxLink">
            <a:rPr lang="en-US" sz="4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10 889</a:t>
          </a:fld>
          <a:endParaRPr lang="en-US" sz="42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102108</xdr:colOff>
      <xdr:row>4</xdr:row>
      <xdr:rowOff>152400</xdr:rowOff>
    </xdr:from>
    <xdr:to>
      <xdr:col>10</xdr:col>
      <xdr:colOff>45720</xdr:colOff>
      <xdr:row>7</xdr:row>
      <xdr:rowOff>60960</xdr:rowOff>
    </xdr:to>
    <xdr:sp macro="" textlink="Analysis_2!F4">
      <xdr:nvSpPr>
        <xdr:cNvPr id="59" name="TextBox 58"/>
        <xdr:cNvSpPr txBox="1"/>
      </xdr:nvSpPr>
      <xdr:spPr>
        <a:xfrm>
          <a:off x="4369308" y="883920"/>
          <a:ext cx="1772412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B99C4BD-E5B3-4E39-9945-52282A93BAEC}" type="TxLink">
            <a:rPr lang="en-US" sz="42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75</a:t>
          </a:fld>
          <a:endParaRPr lang="en-US" sz="42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152400</xdr:colOff>
      <xdr:row>6</xdr:row>
      <xdr:rowOff>180975</xdr:rowOff>
    </xdr:from>
    <xdr:to>
      <xdr:col>7</xdr:col>
      <xdr:colOff>188171</xdr:colOff>
      <xdr:row>9</xdr:row>
      <xdr:rowOff>50534</xdr:rowOff>
    </xdr:to>
    <xdr:sp macro="" textlink="Analysis_2!C9">
      <xdr:nvSpPr>
        <xdr:cNvPr id="60" name="Rounded Rectangle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3200400" y="1278255"/>
          <a:ext cx="1254971" cy="41819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0DA4C86-9B7F-4009-90E4-0D27D3688C8C}" type="TxLink">
            <a:rPr lang="en-US" sz="1100" b="0" i="1" u="none" strike="noStrike">
              <a:solidFill>
                <a:schemeClr val="bg1">
                  <a:lumMod val="9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Transaction</a:t>
          </a:fld>
          <a:endParaRPr lang="en-US" sz="1100" b="0" i="1" u="none" strike="noStrike">
            <a:solidFill>
              <a:schemeClr val="bg1">
                <a:lumMod val="9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329563</xdr:colOff>
      <xdr:row>6</xdr:row>
      <xdr:rowOff>165735</xdr:rowOff>
    </xdr:from>
    <xdr:to>
      <xdr:col>9</xdr:col>
      <xdr:colOff>340994</xdr:colOff>
      <xdr:row>9</xdr:row>
      <xdr:rowOff>50534</xdr:rowOff>
    </xdr:to>
    <xdr:sp macro="" textlink="Analysis_2!C10">
      <xdr:nvSpPr>
        <xdr:cNvPr id="61" name="Rounded Rectangle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4596763" y="1263015"/>
          <a:ext cx="1230631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BBB9B12-88F6-46BD-9306-CB099F420A9B}" type="TxLink">
            <a:rPr lang="en-US" sz="1100" b="0" i="1" u="none" strike="noStrike">
              <a:solidFill>
                <a:schemeClr val="bg1">
                  <a:lumMod val="9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Total cities</a:t>
          </a:fld>
          <a:endParaRPr lang="en-US" sz="1100" b="0" i="1" u="none" strike="noStrike">
            <a:solidFill>
              <a:schemeClr val="bg1">
                <a:lumMod val="9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558165</xdr:colOff>
      <xdr:row>20</xdr:row>
      <xdr:rowOff>73392</xdr:rowOff>
    </xdr:from>
    <xdr:to>
      <xdr:col>12</xdr:col>
      <xdr:colOff>291459</xdr:colOff>
      <xdr:row>20</xdr:row>
      <xdr:rowOff>119115</xdr:rowOff>
    </xdr:to>
    <xdr:grpSp>
      <xdr:nvGrpSpPr>
        <xdr:cNvPr id="62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6016573" y="3805637"/>
          <a:ext cx="1552764" cy="45723"/>
          <a:chOff x="6715128" y="2943222"/>
          <a:chExt cx="1531614" cy="45723"/>
        </a:xfrm>
      </xdr:grpSpPr>
      <xdr:grpSp>
        <xdr:nvGrpSpPr>
          <xdr:cNvPr id="63" name="Group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 rot="5400000">
            <a:off x="6829425" y="2828925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84" name="Oval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5" name="Oval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6" name="Oval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7" name="Oval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4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 rot="5400000">
            <a:off x="7143750" y="2828926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80" name="Oval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1" name="Oval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2" name="Oval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3" name="Oval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5" name="Group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 rot="5400000">
            <a:off x="7458075" y="2828927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76" name="Oval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7" name="Oval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8" name="Oval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9" name="Oval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6" name="Group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 rot="5400000">
            <a:off x="7772400" y="2828928"/>
            <a:ext cx="45719" cy="274314"/>
            <a:chOff x="752475" y="2019300"/>
            <a:chExt cx="47625" cy="285750"/>
          </a:xfrm>
          <a:solidFill>
            <a:schemeClr val="bg1">
              <a:alpha val="40000"/>
            </a:schemeClr>
          </a:solidFill>
        </xdr:grpSpPr>
        <xdr:sp macro="" textlink="">
          <xdr:nvSpPr>
            <xdr:cNvPr id="72" name="Oval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3" name="Oval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Oval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5" name="Oval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7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 rot="5400000">
            <a:off x="8086725" y="2828929"/>
            <a:ext cx="45719" cy="274314"/>
            <a:chOff x="752475" y="2019300"/>
            <a:chExt cx="47625" cy="285750"/>
          </a:xfrm>
          <a:solidFill>
            <a:schemeClr val="bg1">
              <a:alpha val="10000"/>
            </a:schemeClr>
          </a:solidFill>
        </xdr:grpSpPr>
        <xdr:sp macro="" textlink="">
          <xdr:nvSpPr>
            <xdr:cNvPr id="68" name="Oval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9" name="Oval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0" name="Oval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1" name="Oval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10</xdr:col>
      <xdr:colOff>72389</xdr:colOff>
      <xdr:row>20</xdr:row>
      <xdr:rowOff>78105</xdr:rowOff>
    </xdr:from>
    <xdr:to>
      <xdr:col>12</xdr:col>
      <xdr:colOff>226693</xdr:colOff>
      <xdr:row>22</xdr:row>
      <xdr:rowOff>145784</xdr:rowOff>
    </xdr:to>
    <xdr:sp macro="" textlink="Analysis_2!C3">
      <xdr:nvSpPr>
        <xdr:cNvPr id="88" name="Rounded Rectangle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6168389" y="3735705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7350983-3528-472B-9933-707E07DCB663}" type="TxLink"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 COGS</a:t>
          </a:fld>
          <a:endParaRPr lang="en-US" sz="1100" b="0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567690</xdr:colOff>
      <xdr:row>14</xdr:row>
      <xdr:rowOff>25767</xdr:rowOff>
    </xdr:from>
    <xdr:to>
      <xdr:col>12</xdr:col>
      <xdr:colOff>300984</xdr:colOff>
      <xdr:row>14</xdr:row>
      <xdr:rowOff>71490</xdr:rowOff>
    </xdr:to>
    <xdr:grpSp>
      <xdr:nvGrpSpPr>
        <xdr:cNvPr id="89" name="Group 233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GrpSpPr/>
      </xdr:nvGrpSpPr>
      <xdr:grpSpPr>
        <a:xfrm>
          <a:off x="6026098" y="2638338"/>
          <a:ext cx="1552764" cy="45723"/>
          <a:chOff x="6715128" y="2943222"/>
          <a:chExt cx="1531614" cy="45723"/>
        </a:xfrm>
      </xdr:grpSpPr>
      <xdr:grpSp>
        <xdr:nvGrpSpPr>
          <xdr:cNvPr id="90" name="Group 234">
            <a:extLst>
              <a:ext uri="{FF2B5EF4-FFF2-40B4-BE49-F238E27FC236}">
                <a16:creationId xmlns:a16="http://schemas.microsoft.com/office/drawing/2014/main" id="{00000000-0008-0000-0000-0000EB000000}"/>
              </a:ext>
            </a:extLst>
          </xdr:cNvPr>
          <xdr:cNvGrpSpPr/>
        </xdr:nvGrpSpPr>
        <xdr:grpSpPr>
          <a:xfrm rot="5400000">
            <a:off x="6829425" y="2828925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11" name="Oval 255">
              <a:extLst>
                <a:ext uri="{FF2B5EF4-FFF2-40B4-BE49-F238E27FC236}">
                  <a16:creationId xmlns:a16="http://schemas.microsoft.com/office/drawing/2014/main" id="{00000000-0008-0000-0000-000000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2" name="Oval 256">
              <a:extLst>
                <a:ext uri="{FF2B5EF4-FFF2-40B4-BE49-F238E27FC236}">
                  <a16:creationId xmlns:a16="http://schemas.microsoft.com/office/drawing/2014/main" id="{00000000-0008-0000-0000-000001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3" name="Oval 257">
              <a:extLst>
                <a:ext uri="{FF2B5EF4-FFF2-40B4-BE49-F238E27FC236}">
                  <a16:creationId xmlns:a16="http://schemas.microsoft.com/office/drawing/2014/main" id="{00000000-0008-0000-0000-000002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4" name="Oval 258">
              <a:extLst>
                <a:ext uri="{FF2B5EF4-FFF2-40B4-BE49-F238E27FC236}">
                  <a16:creationId xmlns:a16="http://schemas.microsoft.com/office/drawing/2014/main" id="{00000000-0008-0000-0000-000003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91" name="Group 235">
            <a:extLst>
              <a:ext uri="{FF2B5EF4-FFF2-40B4-BE49-F238E27FC236}">
                <a16:creationId xmlns:a16="http://schemas.microsoft.com/office/drawing/2014/main" id="{00000000-0008-0000-0000-0000EC000000}"/>
              </a:ext>
            </a:extLst>
          </xdr:cNvPr>
          <xdr:cNvGrpSpPr/>
        </xdr:nvGrpSpPr>
        <xdr:grpSpPr>
          <a:xfrm rot="5400000">
            <a:off x="7143750" y="2828926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07" name="Oval 251">
              <a:extLst>
                <a:ext uri="{FF2B5EF4-FFF2-40B4-BE49-F238E27FC236}">
                  <a16:creationId xmlns:a16="http://schemas.microsoft.com/office/drawing/2014/main" id="{00000000-0008-0000-0000-0000FC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8" name="Oval 252">
              <a:extLst>
                <a:ext uri="{FF2B5EF4-FFF2-40B4-BE49-F238E27FC236}">
                  <a16:creationId xmlns:a16="http://schemas.microsoft.com/office/drawing/2014/main" id="{00000000-0008-0000-0000-0000FD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9" name="Oval 253">
              <a:extLst>
                <a:ext uri="{FF2B5EF4-FFF2-40B4-BE49-F238E27FC236}">
                  <a16:creationId xmlns:a16="http://schemas.microsoft.com/office/drawing/2014/main" id="{00000000-0008-0000-0000-0000FE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0" name="Oval 254">
              <a:extLst>
                <a:ext uri="{FF2B5EF4-FFF2-40B4-BE49-F238E27FC236}">
                  <a16:creationId xmlns:a16="http://schemas.microsoft.com/office/drawing/2014/main" id="{00000000-0008-0000-0000-0000FF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92" name="Group 236">
            <a:extLst>
              <a:ext uri="{FF2B5EF4-FFF2-40B4-BE49-F238E27FC236}">
                <a16:creationId xmlns:a16="http://schemas.microsoft.com/office/drawing/2014/main" id="{00000000-0008-0000-0000-0000ED000000}"/>
              </a:ext>
            </a:extLst>
          </xdr:cNvPr>
          <xdr:cNvGrpSpPr/>
        </xdr:nvGrpSpPr>
        <xdr:grpSpPr>
          <a:xfrm rot="5400000">
            <a:off x="7458075" y="2828927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03" name="Oval 247">
              <a:extLst>
                <a:ext uri="{FF2B5EF4-FFF2-40B4-BE49-F238E27FC236}">
                  <a16:creationId xmlns:a16="http://schemas.microsoft.com/office/drawing/2014/main" id="{00000000-0008-0000-0000-0000F8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4" name="Oval 248">
              <a:extLst>
                <a:ext uri="{FF2B5EF4-FFF2-40B4-BE49-F238E27FC236}">
                  <a16:creationId xmlns:a16="http://schemas.microsoft.com/office/drawing/2014/main" id="{00000000-0008-0000-0000-0000F9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5" name="Oval 249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6" name="Oval 250">
              <a:extLst>
                <a:ext uri="{FF2B5EF4-FFF2-40B4-BE49-F238E27FC236}">
                  <a16:creationId xmlns:a16="http://schemas.microsoft.com/office/drawing/2014/main" id="{00000000-0008-0000-0000-0000FB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93" name="Group 237">
            <a:extLst>
              <a:ext uri="{FF2B5EF4-FFF2-40B4-BE49-F238E27FC236}">
                <a16:creationId xmlns:a16="http://schemas.microsoft.com/office/drawing/2014/main" id="{00000000-0008-0000-0000-0000EE000000}"/>
              </a:ext>
            </a:extLst>
          </xdr:cNvPr>
          <xdr:cNvGrpSpPr/>
        </xdr:nvGrpSpPr>
        <xdr:grpSpPr>
          <a:xfrm rot="5400000">
            <a:off x="7772400" y="2828928"/>
            <a:ext cx="45719" cy="274314"/>
            <a:chOff x="752475" y="2019300"/>
            <a:chExt cx="47625" cy="285750"/>
          </a:xfrm>
          <a:solidFill>
            <a:schemeClr val="bg1">
              <a:alpha val="40000"/>
            </a:schemeClr>
          </a:solidFill>
        </xdr:grpSpPr>
        <xdr:sp macro="" textlink="">
          <xdr:nvSpPr>
            <xdr:cNvPr id="99" name="Oval 243">
              <a:extLst>
                <a:ext uri="{FF2B5EF4-FFF2-40B4-BE49-F238E27FC236}">
                  <a16:creationId xmlns:a16="http://schemas.microsoft.com/office/drawing/2014/main" id="{00000000-0008-0000-0000-0000F4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244">
              <a:extLst>
                <a:ext uri="{FF2B5EF4-FFF2-40B4-BE49-F238E27FC236}">
                  <a16:creationId xmlns:a16="http://schemas.microsoft.com/office/drawing/2014/main" id="{00000000-0008-0000-0000-0000F5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val 245">
              <a:extLst>
                <a:ext uri="{FF2B5EF4-FFF2-40B4-BE49-F238E27FC236}">
                  <a16:creationId xmlns:a16="http://schemas.microsoft.com/office/drawing/2014/main" id="{00000000-0008-0000-0000-0000F6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2" name="Oval 246">
              <a:extLst>
                <a:ext uri="{FF2B5EF4-FFF2-40B4-BE49-F238E27FC236}">
                  <a16:creationId xmlns:a16="http://schemas.microsoft.com/office/drawing/2014/main" id="{00000000-0008-0000-0000-0000F7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94" name="Group 238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 rot="5400000">
            <a:off x="8086725" y="2828929"/>
            <a:ext cx="45719" cy="274314"/>
            <a:chOff x="752475" y="2019300"/>
            <a:chExt cx="47625" cy="285750"/>
          </a:xfrm>
          <a:solidFill>
            <a:schemeClr val="bg1">
              <a:alpha val="10000"/>
            </a:schemeClr>
          </a:solidFill>
        </xdr:grpSpPr>
        <xdr:sp macro="" textlink="">
          <xdr:nvSpPr>
            <xdr:cNvPr id="95" name="Oval 239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6" name="Oval 240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7" name="Oval 241">
              <a:extLst>
                <a:ext uri="{FF2B5EF4-FFF2-40B4-BE49-F238E27FC236}">
                  <a16:creationId xmlns:a16="http://schemas.microsoft.com/office/drawing/2014/main" id="{00000000-0008-0000-0000-0000F200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Oval 242">
              <a:extLst>
                <a:ext uri="{FF2B5EF4-FFF2-40B4-BE49-F238E27FC236}">
                  <a16:creationId xmlns:a16="http://schemas.microsoft.com/office/drawing/2014/main" id="{00000000-0008-0000-0000-0000F300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10</xdr:col>
      <xdr:colOff>72389</xdr:colOff>
      <xdr:row>14</xdr:row>
      <xdr:rowOff>0</xdr:rowOff>
    </xdr:from>
    <xdr:to>
      <xdr:col>12</xdr:col>
      <xdr:colOff>226693</xdr:colOff>
      <xdr:row>16</xdr:row>
      <xdr:rowOff>67679</xdr:rowOff>
    </xdr:to>
    <xdr:sp macro="" textlink="Analysis_2!D3">
      <xdr:nvSpPr>
        <xdr:cNvPr id="115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6168389" y="256032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58BF046-3CDF-42F4-AB6F-4AE9CAD10328}" type="TxLink"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 Quantity</a:t>
          </a:fld>
          <a:endParaRPr lang="en-US" sz="1100" b="0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548640</xdr:colOff>
      <xdr:row>26</xdr:row>
      <xdr:rowOff>145782</xdr:rowOff>
    </xdr:from>
    <xdr:to>
      <xdr:col>12</xdr:col>
      <xdr:colOff>281934</xdr:colOff>
      <xdr:row>27</xdr:row>
      <xdr:rowOff>8625</xdr:rowOff>
    </xdr:to>
    <xdr:grpSp>
      <xdr:nvGrpSpPr>
        <xdr:cNvPr id="116" name="Group 26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GrpSpPr/>
      </xdr:nvGrpSpPr>
      <xdr:grpSpPr>
        <a:xfrm>
          <a:off x="6007048" y="4997700"/>
          <a:ext cx="1552764" cy="49456"/>
          <a:chOff x="6715128" y="2943222"/>
          <a:chExt cx="1531614" cy="45723"/>
        </a:xfrm>
      </xdr:grpSpPr>
      <xdr:grpSp>
        <xdr:nvGrpSpPr>
          <xdr:cNvPr id="117" name="Group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GrpSpPr/>
        </xdr:nvGrpSpPr>
        <xdr:grpSpPr>
          <a:xfrm rot="5400000">
            <a:off x="6829425" y="2828925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38" name="Oval 283">
              <a:extLst>
                <a:ext uri="{FF2B5EF4-FFF2-40B4-BE49-F238E27FC236}">
                  <a16:creationId xmlns:a16="http://schemas.microsoft.com/office/drawing/2014/main" id="{00000000-0008-0000-0000-00001C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9" name="Oval 284">
              <a:extLst>
                <a:ext uri="{FF2B5EF4-FFF2-40B4-BE49-F238E27FC236}">
                  <a16:creationId xmlns:a16="http://schemas.microsoft.com/office/drawing/2014/main" id="{00000000-0008-0000-0000-00001D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0" name="Oval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1" name="Oval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18" name="Group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GrpSpPr/>
        </xdr:nvGrpSpPr>
        <xdr:grpSpPr>
          <a:xfrm rot="5400000">
            <a:off x="7143750" y="2828926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34" name="Oval 279">
              <a:extLst>
                <a:ext uri="{FF2B5EF4-FFF2-40B4-BE49-F238E27FC236}">
                  <a16:creationId xmlns:a16="http://schemas.microsoft.com/office/drawing/2014/main" id="{00000000-0008-0000-0000-000018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5" name="Oval 280">
              <a:extLst>
                <a:ext uri="{FF2B5EF4-FFF2-40B4-BE49-F238E27FC236}">
                  <a16:creationId xmlns:a16="http://schemas.microsoft.com/office/drawing/2014/main" id="{00000000-0008-0000-0000-000019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6" name="Oval 281">
              <a:extLst>
                <a:ext uri="{FF2B5EF4-FFF2-40B4-BE49-F238E27FC236}">
                  <a16:creationId xmlns:a16="http://schemas.microsoft.com/office/drawing/2014/main" id="{00000000-0008-0000-0000-00001A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7" name="Oval 282">
              <a:extLst>
                <a:ext uri="{FF2B5EF4-FFF2-40B4-BE49-F238E27FC236}">
                  <a16:creationId xmlns:a16="http://schemas.microsoft.com/office/drawing/2014/main" id="{00000000-0008-0000-0000-00001B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19" name="Group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GrpSpPr/>
        </xdr:nvGrpSpPr>
        <xdr:grpSpPr>
          <a:xfrm rot="5400000">
            <a:off x="7458075" y="2828927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30" name="Oval 275">
              <a:extLst>
                <a:ext uri="{FF2B5EF4-FFF2-40B4-BE49-F238E27FC236}">
                  <a16:creationId xmlns:a16="http://schemas.microsoft.com/office/drawing/2014/main" id="{00000000-0008-0000-0000-000014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1" name="Oval 276">
              <a:extLst>
                <a:ext uri="{FF2B5EF4-FFF2-40B4-BE49-F238E27FC236}">
                  <a16:creationId xmlns:a16="http://schemas.microsoft.com/office/drawing/2014/main" id="{00000000-0008-0000-0000-000015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2" name="Oval 277">
              <a:extLst>
                <a:ext uri="{FF2B5EF4-FFF2-40B4-BE49-F238E27FC236}">
                  <a16:creationId xmlns:a16="http://schemas.microsoft.com/office/drawing/2014/main" id="{00000000-0008-0000-0000-000016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" name="Oval 278">
              <a:extLst>
                <a:ext uri="{FF2B5EF4-FFF2-40B4-BE49-F238E27FC236}">
                  <a16:creationId xmlns:a16="http://schemas.microsoft.com/office/drawing/2014/main" id="{00000000-0008-0000-0000-000017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20" name="Group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GrpSpPr/>
        </xdr:nvGrpSpPr>
        <xdr:grpSpPr>
          <a:xfrm rot="5400000">
            <a:off x="7772400" y="2828928"/>
            <a:ext cx="45719" cy="274314"/>
            <a:chOff x="752475" y="2019300"/>
            <a:chExt cx="47625" cy="285750"/>
          </a:xfrm>
          <a:solidFill>
            <a:schemeClr val="bg1">
              <a:alpha val="40000"/>
            </a:schemeClr>
          </a:solidFill>
        </xdr:grpSpPr>
        <xdr:sp macro="" textlink="">
          <xdr:nvSpPr>
            <xdr:cNvPr id="126" name="Oval 271">
              <a:extLst>
                <a:ext uri="{FF2B5EF4-FFF2-40B4-BE49-F238E27FC236}">
                  <a16:creationId xmlns:a16="http://schemas.microsoft.com/office/drawing/2014/main" id="{00000000-0008-0000-0000-000010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7" name="Oval 272">
              <a:extLst>
                <a:ext uri="{FF2B5EF4-FFF2-40B4-BE49-F238E27FC236}">
                  <a16:creationId xmlns:a16="http://schemas.microsoft.com/office/drawing/2014/main" id="{00000000-0008-0000-0000-000011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8" name="Oval 273">
              <a:extLst>
                <a:ext uri="{FF2B5EF4-FFF2-40B4-BE49-F238E27FC236}">
                  <a16:creationId xmlns:a16="http://schemas.microsoft.com/office/drawing/2014/main" id="{00000000-0008-0000-0000-000012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9" name="Oval 274">
              <a:extLst>
                <a:ext uri="{FF2B5EF4-FFF2-40B4-BE49-F238E27FC236}">
                  <a16:creationId xmlns:a16="http://schemas.microsoft.com/office/drawing/2014/main" id="{00000000-0008-0000-0000-000013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21" name="Group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GrpSpPr/>
        </xdr:nvGrpSpPr>
        <xdr:grpSpPr>
          <a:xfrm rot="5400000">
            <a:off x="8086725" y="2828929"/>
            <a:ext cx="45719" cy="274314"/>
            <a:chOff x="752475" y="2019300"/>
            <a:chExt cx="47625" cy="285750"/>
          </a:xfrm>
          <a:solidFill>
            <a:schemeClr val="bg1">
              <a:alpha val="10000"/>
            </a:schemeClr>
          </a:solidFill>
        </xdr:grpSpPr>
        <xdr:sp macro="" textlink="">
          <xdr:nvSpPr>
            <xdr:cNvPr id="122" name="Oval 267">
              <a:extLst>
                <a:ext uri="{FF2B5EF4-FFF2-40B4-BE49-F238E27FC236}">
                  <a16:creationId xmlns:a16="http://schemas.microsoft.com/office/drawing/2014/main" id="{00000000-0008-0000-0000-00000C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3" name="Oval 268">
              <a:extLst>
                <a:ext uri="{FF2B5EF4-FFF2-40B4-BE49-F238E27FC236}">
                  <a16:creationId xmlns:a16="http://schemas.microsoft.com/office/drawing/2014/main" id="{00000000-0008-0000-0000-00000D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4" name="Oval 269">
              <a:extLst>
                <a:ext uri="{FF2B5EF4-FFF2-40B4-BE49-F238E27FC236}">
                  <a16:creationId xmlns:a16="http://schemas.microsoft.com/office/drawing/2014/main" id="{00000000-0008-0000-0000-00000E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5" name="Oval 270">
              <a:extLst>
                <a:ext uri="{FF2B5EF4-FFF2-40B4-BE49-F238E27FC236}">
                  <a16:creationId xmlns:a16="http://schemas.microsoft.com/office/drawing/2014/main" id="{00000000-0008-0000-0000-00000F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10</xdr:col>
      <xdr:colOff>72389</xdr:colOff>
      <xdr:row>26</xdr:row>
      <xdr:rowOff>144780</xdr:rowOff>
    </xdr:from>
    <xdr:to>
      <xdr:col>12</xdr:col>
      <xdr:colOff>226693</xdr:colOff>
      <xdr:row>29</xdr:row>
      <xdr:rowOff>29579</xdr:rowOff>
    </xdr:to>
    <xdr:sp macro="" textlink="Analysis_2!B3">
      <xdr:nvSpPr>
        <xdr:cNvPr id="142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6168389" y="489966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F340410-3FD2-427E-B8CA-90F292F0CF05}" type="TxLink"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 Revenue</a:t>
          </a:fld>
          <a:endParaRPr lang="en-US" sz="1100" b="0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567690</xdr:colOff>
      <xdr:row>33</xdr:row>
      <xdr:rowOff>1002</xdr:rowOff>
    </xdr:from>
    <xdr:to>
      <xdr:col>12</xdr:col>
      <xdr:colOff>300984</xdr:colOff>
      <xdr:row>33</xdr:row>
      <xdr:rowOff>39105</xdr:rowOff>
    </xdr:to>
    <xdr:grpSp>
      <xdr:nvGrpSpPr>
        <xdr:cNvPr id="143" name="Group 290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GrpSpPr/>
      </xdr:nvGrpSpPr>
      <xdr:grpSpPr>
        <a:xfrm>
          <a:off x="6026098" y="6159206"/>
          <a:ext cx="1552764" cy="38103"/>
          <a:chOff x="6715128" y="2943222"/>
          <a:chExt cx="1531614" cy="45723"/>
        </a:xfrm>
      </xdr:grpSpPr>
      <xdr:grpSp>
        <xdr:nvGrpSpPr>
          <xdr:cNvPr id="144" name="Group 291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GrpSpPr/>
        </xdr:nvGrpSpPr>
        <xdr:grpSpPr>
          <a:xfrm rot="5400000">
            <a:off x="6829425" y="2828925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65" name="Oval 312">
              <a:extLst>
                <a:ext uri="{FF2B5EF4-FFF2-40B4-BE49-F238E27FC236}">
                  <a16:creationId xmlns:a16="http://schemas.microsoft.com/office/drawing/2014/main" id="{00000000-0008-0000-0000-000039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6" name="Oval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7" name="Oval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8" name="Oval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45" name="Group 292">
            <a:extLst>
              <a:ext uri="{FF2B5EF4-FFF2-40B4-BE49-F238E27FC236}">
                <a16:creationId xmlns:a16="http://schemas.microsoft.com/office/drawing/2014/main" id="{00000000-0008-0000-0000-000025010000}"/>
              </a:ext>
            </a:extLst>
          </xdr:cNvPr>
          <xdr:cNvGrpSpPr/>
        </xdr:nvGrpSpPr>
        <xdr:grpSpPr>
          <a:xfrm rot="5400000">
            <a:off x="7143750" y="2828926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61" name="Oval 308">
              <a:extLst>
                <a:ext uri="{FF2B5EF4-FFF2-40B4-BE49-F238E27FC236}">
                  <a16:creationId xmlns:a16="http://schemas.microsoft.com/office/drawing/2014/main" id="{00000000-0008-0000-0000-000035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2" name="Oval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3" name="Oval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4" name="Oval 311">
              <a:extLst>
                <a:ext uri="{FF2B5EF4-FFF2-40B4-BE49-F238E27FC236}">
                  <a16:creationId xmlns:a16="http://schemas.microsoft.com/office/drawing/2014/main" id="{00000000-0008-0000-0000-000038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46" name="Group 293">
            <a:extLst>
              <a:ext uri="{FF2B5EF4-FFF2-40B4-BE49-F238E27FC236}">
                <a16:creationId xmlns:a16="http://schemas.microsoft.com/office/drawing/2014/main" id="{00000000-0008-0000-0000-000026010000}"/>
              </a:ext>
            </a:extLst>
          </xdr:cNvPr>
          <xdr:cNvGrpSpPr/>
        </xdr:nvGrpSpPr>
        <xdr:grpSpPr>
          <a:xfrm rot="5400000">
            <a:off x="7458075" y="2828927"/>
            <a:ext cx="45719" cy="274314"/>
            <a:chOff x="752475" y="2019300"/>
            <a:chExt cx="47625" cy="285750"/>
          </a:xfrm>
          <a:solidFill>
            <a:srgbClr val="BC14B4">
              <a:alpha val="59000"/>
            </a:srgbClr>
          </a:solidFill>
        </xdr:grpSpPr>
        <xdr:sp macro="" textlink="">
          <xdr:nvSpPr>
            <xdr:cNvPr id="157" name="Oval 304">
              <a:extLst>
                <a:ext uri="{FF2B5EF4-FFF2-40B4-BE49-F238E27FC236}">
                  <a16:creationId xmlns:a16="http://schemas.microsoft.com/office/drawing/2014/main" id="{00000000-0008-0000-0000-000031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8" name="Oval 305">
              <a:extLst>
                <a:ext uri="{FF2B5EF4-FFF2-40B4-BE49-F238E27FC236}">
                  <a16:creationId xmlns:a16="http://schemas.microsoft.com/office/drawing/2014/main" id="{00000000-0008-0000-0000-000032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9" name="Oval 306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60" name="Oval 307">
              <a:extLst>
                <a:ext uri="{FF2B5EF4-FFF2-40B4-BE49-F238E27FC236}">
                  <a16:creationId xmlns:a16="http://schemas.microsoft.com/office/drawing/2014/main" id="{00000000-0008-0000-0000-000034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47" name="Group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GrpSpPr/>
        </xdr:nvGrpSpPr>
        <xdr:grpSpPr>
          <a:xfrm rot="5400000">
            <a:off x="7772400" y="2828928"/>
            <a:ext cx="45719" cy="274314"/>
            <a:chOff x="752475" y="2019300"/>
            <a:chExt cx="47625" cy="285750"/>
          </a:xfrm>
          <a:solidFill>
            <a:schemeClr val="bg1">
              <a:alpha val="40000"/>
            </a:schemeClr>
          </a:solidFill>
        </xdr:grpSpPr>
        <xdr:sp macro="" textlink="">
          <xdr:nvSpPr>
            <xdr:cNvPr id="153" name="Oval 300">
              <a:extLst>
                <a:ext uri="{FF2B5EF4-FFF2-40B4-BE49-F238E27FC236}">
                  <a16:creationId xmlns:a16="http://schemas.microsoft.com/office/drawing/2014/main" id="{00000000-0008-0000-0000-00002D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4" name="Oval 301">
              <a:extLst>
                <a:ext uri="{FF2B5EF4-FFF2-40B4-BE49-F238E27FC236}">
                  <a16:creationId xmlns:a16="http://schemas.microsoft.com/office/drawing/2014/main" id="{00000000-0008-0000-0000-00002E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5" name="Oval 302">
              <a:extLst>
                <a:ext uri="{FF2B5EF4-FFF2-40B4-BE49-F238E27FC236}">
                  <a16:creationId xmlns:a16="http://schemas.microsoft.com/office/drawing/2014/main" id="{00000000-0008-0000-0000-00002F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6" name="Oval 303">
              <a:extLst>
                <a:ext uri="{FF2B5EF4-FFF2-40B4-BE49-F238E27FC236}">
                  <a16:creationId xmlns:a16="http://schemas.microsoft.com/office/drawing/2014/main" id="{00000000-0008-0000-0000-000030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48" name="Group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GrpSpPr/>
        </xdr:nvGrpSpPr>
        <xdr:grpSpPr>
          <a:xfrm rot="5400000">
            <a:off x="8086725" y="2828929"/>
            <a:ext cx="45719" cy="274314"/>
            <a:chOff x="752475" y="2019300"/>
            <a:chExt cx="47625" cy="285750"/>
          </a:xfrm>
          <a:solidFill>
            <a:schemeClr val="bg1">
              <a:alpha val="10000"/>
            </a:schemeClr>
          </a:solidFill>
        </xdr:grpSpPr>
        <xdr:sp macro="" textlink="">
          <xdr:nvSpPr>
            <xdr:cNvPr id="149" name="Oval 296">
              <a:extLst>
                <a:ext uri="{FF2B5EF4-FFF2-40B4-BE49-F238E27FC236}">
                  <a16:creationId xmlns:a16="http://schemas.microsoft.com/office/drawing/2014/main" id="{00000000-0008-0000-0000-000029010000}"/>
                </a:ext>
              </a:extLst>
            </xdr:cNvPr>
            <xdr:cNvSpPr/>
          </xdr:nvSpPr>
          <xdr:spPr>
            <a:xfrm>
              <a:off x="752475" y="201930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0" name="Oval 297">
              <a:extLst>
                <a:ext uri="{FF2B5EF4-FFF2-40B4-BE49-F238E27FC236}">
                  <a16:creationId xmlns:a16="http://schemas.microsoft.com/office/drawing/2014/main" id="{00000000-0008-0000-0000-00002A010000}"/>
                </a:ext>
              </a:extLst>
            </xdr:cNvPr>
            <xdr:cNvSpPr/>
          </xdr:nvSpPr>
          <xdr:spPr>
            <a:xfrm>
              <a:off x="752475" y="209867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1" name="Oval 298">
              <a:extLst>
                <a:ext uri="{FF2B5EF4-FFF2-40B4-BE49-F238E27FC236}">
                  <a16:creationId xmlns:a16="http://schemas.microsoft.com/office/drawing/2014/main" id="{00000000-0008-0000-0000-00002B010000}"/>
                </a:ext>
              </a:extLst>
            </xdr:cNvPr>
            <xdr:cNvSpPr/>
          </xdr:nvSpPr>
          <xdr:spPr>
            <a:xfrm>
              <a:off x="752475" y="2178050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2" name="Oval 299">
              <a:extLst>
                <a:ext uri="{FF2B5EF4-FFF2-40B4-BE49-F238E27FC236}">
                  <a16:creationId xmlns:a16="http://schemas.microsoft.com/office/drawing/2014/main" id="{00000000-0008-0000-0000-00002C010000}"/>
                </a:ext>
              </a:extLst>
            </xdr:cNvPr>
            <xdr:cNvSpPr/>
          </xdr:nvSpPr>
          <xdr:spPr>
            <a:xfrm>
              <a:off x="752475" y="2257425"/>
              <a:ext cx="47625" cy="47625"/>
            </a:xfrm>
            <a:prstGeom prst="ellipse">
              <a:avLst/>
            </a:prstGeom>
            <a:grpFill/>
            <a:ln>
              <a:solidFill>
                <a:schemeClr val="bg1">
                  <a:alpha val="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10</xdr:col>
      <xdr:colOff>72389</xdr:colOff>
      <xdr:row>32</xdr:row>
      <xdr:rowOff>175260</xdr:rowOff>
    </xdr:from>
    <xdr:to>
      <xdr:col>12</xdr:col>
      <xdr:colOff>226693</xdr:colOff>
      <xdr:row>35</xdr:row>
      <xdr:rowOff>52439</xdr:rowOff>
    </xdr:to>
    <xdr:sp macro="" textlink="Analysis_2!A3">
      <xdr:nvSpPr>
        <xdr:cNvPr id="169" name="Rounded Rectangle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>
          <a:off x="6168389" y="6027420"/>
          <a:ext cx="1373504" cy="42581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B6F9588-3646-4489-B38A-CEC9C7DE21AB}" type="TxLink"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 Profit</a:t>
          </a:fld>
          <a:endParaRPr lang="en-US" sz="1100" b="0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546735</xdr:colOff>
      <xdr:row>11</xdr:row>
      <xdr:rowOff>53340</xdr:rowOff>
    </xdr:from>
    <xdr:to>
      <xdr:col>12</xdr:col>
      <xdr:colOff>466726</xdr:colOff>
      <xdr:row>13</xdr:row>
      <xdr:rowOff>121019</xdr:rowOff>
    </xdr:to>
    <xdr:sp macro="" textlink="Analysis_2!D4">
      <xdr:nvSpPr>
        <xdr:cNvPr id="240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6033135" y="2065020"/>
          <a:ext cx="1748791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211B2118-0D50-45CE-9A34-7E5501BB3123}" type="TxLink">
            <a:rPr lang="en-US" sz="3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21 078</a:t>
          </a:fld>
          <a:endParaRPr lang="en-US" sz="3000" b="0" i="1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331470</xdr:colOff>
      <xdr:row>17</xdr:row>
      <xdr:rowOff>116840</xdr:rowOff>
    </xdr:from>
    <xdr:to>
      <xdr:col>13</xdr:col>
      <xdr:colOff>72390</xdr:colOff>
      <xdr:row>20</xdr:row>
      <xdr:rowOff>1639</xdr:rowOff>
    </xdr:to>
    <xdr:sp macro="" textlink="Analysis_2!C4">
      <xdr:nvSpPr>
        <xdr:cNvPr id="242" name="Rounded Rectangle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5817870" y="3225800"/>
          <a:ext cx="2179320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E3A7532-011F-4423-BE47-C55430FB6338}" type="TxLink">
            <a:rPr lang="en-US" sz="3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$17 317 316</a:t>
          </a:fld>
          <a:endParaRPr lang="en-US" sz="300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320040</xdr:colOff>
      <xdr:row>23</xdr:row>
      <xdr:rowOff>180340</xdr:rowOff>
    </xdr:from>
    <xdr:to>
      <xdr:col>13</xdr:col>
      <xdr:colOff>83820</xdr:colOff>
      <xdr:row>26</xdr:row>
      <xdr:rowOff>65139</xdr:rowOff>
    </xdr:to>
    <xdr:sp macro="" textlink="Analysis_2!B4">
      <xdr:nvSpPr>
        <xdr:cNvPr id="243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5806440" y="4386580"/>
          <a:ext cx="2202180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92EE176-A161-4320-8F15-6ACC346079E4}" type="TxLink">
            <a:rPr lang="en-US" sz="3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$25 661 209</a:t>
          </a:fld>
          <a:endParaRPr lang="en-US" sz="300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377190</xdr:colOff>
      <xdr:row>30</xdr:row>
      <xdr:rowOff>60960</xdr:rowOff>
    </xdr:from>
    <xdr:to>
      <xdr:col>13</xdr:col>
      <xdr:colOff>26670</xdr:colOff>
      <xdr:row>32</xdr:row>
      <xdr:rowOff>121019</xdr:rowOff>
    </xdr:to>
    <xdr:sp macro="" textlink="Analysis_2!A4">
      <xdr:nvSpPr>
        <xdr:cNvPr id="245" name="Rounded Rectangle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>
          <a:off x="5863590" y="5547360"/>
          <a:ext cx="2087880" cy="42581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2967D078-DCCE-454C-9686-319EBEF269E3}" type="TxLink">
            <a:rPr lang="en-US" sz="3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$8 343 893</a:t>
          </a:fld>
          <a:endParaRPr lang="en-US" sz="300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403860</xdr:colOff>
      <xdr:row>20</xdr:row>
      <xdr:rowOff>91441</xdr:rowOff>
    </xdr:from>
    <xdr:to>
      <xdr:col>19</xdr:col>
      <xdr:colOff>330239</xdr:colOff>
      <xdr:row>24</xdr:row>
      <xdr:rowOff>10359</xdr:rowOff>
    </xdr:to>
    <xdr:grpSp>
      <xdr:nvGrpSpPr>
        <xdr:cNvPr id="293" name="Group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8288227" y="3823686"/>
          <a:ext cx="3565318" cy="665367"/>
          <a:chOff x="8490724" y="3943350"/>
          <a:chExt cx="3492539" cy="679688"/>
        </a:xfrm>
      </xdr:grpSpPr>
      <xdr:cxnSp macro="">
        <xdr:nvCxnSpPr>
          <xdr:cNvPr id="294" name="Straight Connector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CxnSpPr/>
        </xdr:nvCxnSpPr>
        <xdr:spPr>
          <a:xfrm>
            <a:off x="8948908" y="4192003"/>
            <a:ext cx="520947" cy="0"/>
          </a:xfrm>
          <a:prstGeom prst="line">
            <a:avLst/>
          </a:prstGeom>
          <a:ln w="15875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95" name="Group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GrpSpPr/>
        </xdr:nvGrpSpPr>
        <xdr:grpSpPr>
          <a:xfrm>
            <a:off x="8490724" y="3943350"/>
            <a:ext cx="515976" cy="679688"/>
            <a:chOff x="11071999" y="4000500"/>
            <a:chExt cx="515976" cy="679688"/>
          </a:xfrm>
        </xdr:grpSpPr>
        <xdr:grpSp>
          <xdr:nvGrpSpPr>
            <xdr:cNvPr id="318" name="Group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11071999" y="4000500"/>
              <a:ext cx="515976" cy="457200"/>
              <a:chOff x="11096626" y="4000500"/>
              <a:chExt cx="515976" cy="457200"/>
            </a:xfrm>
          </xdr:grpSpPr>
          <xdr:grpSp>
            <xdr:nvGrpSpPr>
              <xdr:cNvPr id="320" name="Group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GrpSpPr/>
            </xdr:nvGrpSpPr>
            <xdr:grpSpPr>
              <a:xfrm>
                <a:off x="11096626" y="4000500"/>
                <a:ext cx="456934" cy="457200"/>
                <a:chOff x="8982076" y="4286250"/>
                <a:chExt cx="457200" cy="457200"/>
              </a:xfrm>
            </xdr:grpSpPr>
            <xdr:sp macro="" textlink="">
              <xdr:nvSpPr>
                <xdr:cNvPr id="322" name="Oval 51">
                  <a:extLst>
                    <a:ext uri="{FF2B5EF4-FFF2-40B4-BE49-F238E27FC236}">
                      <a16:creationId xmlns:a16="http://schemas.microsoft.com/office/drawing/2014/main" id="{00000000-0008-0000-0000-000034000000}"/>
                    </a:ext>
                  </a:extLst>
                </xdr:cNvPr>
                <xdr:cNvSpPr/>
              </xdr:nvSpPr>
              <xdr:spPr>
                <a:xfrm>
                  <a:off x="9020407" y="4324601"/>
                  <a:ext cx="390525" cy="390525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rgbClr val="BC14B4"/>
                    </a:gs>
                    <a:gs pos="100000">
                      <a:srgbClr val="0070C0"/>
                    </a:gs>
                  </a:gsLst>
                  <a:lin ang="54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323" name="Oval 52">
                  <a:extLst>
                    <a:ext uri="{FF2B5EF4-FFF2-40B4-BE49-F238E27FC236}">
                      <a16:creationId xmlns:a16="http://schemas.microsoft.com/office/drawing/2014/main" id="{00000000-0008-0000-0000-000035000000}"/>
                    </a:ext>
                  </a:extLst>
                </xdr:cNvPr>
                <xdr:cNvSpPr/>
              </xdr:nvSpPr>
              <xdr:spPr>
                <a:xfrm>
                  <a:off x="8982076" y="4286250"/>
                  <a:ext cx="457200" cy="457200"/>
                </a:xfrm>
                <a:prstGeom prst="ellipse">
                  <a:avLst/>
                </a:prstGeom>
                <a:noFill/>
                <a:ln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321" name="Rounded Rectangle 73">
                <a:extLst>
                  <a:ext uri="{FF2B5EF4-FFF2-40B4-BE49-F238E27FC236}">
                    <a16:creationId xmlns:a16="http://schemas.microsoft.com/office/drawing/2014/main" id="{00000000-0008-0000-0000-00004A000000}"/>
                  </a:ext>
                </a:extLst>
              </xdr:cNvPr>
              <xdr:cNvSpPr/>
            </xdr:nvSpPr>
            <xdr:spPr>
              <a:xfrm>
                <a:off x="11105221" y="4070427"/>
                <a:ext cx="507381" cy="297134"/>
              </a:xfrm>
              <a:prstGeom prst="roundRect">
                <a:avLst>
                  <a:gd name="adj" fmla="val 0"/>
                </a:avLst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400" b="1">
                    <a:solidFill>
                      <a:schemeClr val="bg1"/>
                    </a:solidFill>
                  </a:rPr>
                  <a:t>Q-1</a:t>
                </a:r>
              </a:p>
            </xdr:txBody>
          </xdr:sp>
        </xdr:grpSp>
        <xdr:cxnSp macro="">
          <xdr:nvCxnSpPr>
            <xdr:cNvPr id="319" name="Straight Connector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CxnSpPr/>
          </xdr:nvCxnSpPr>
          <xdr:spPr>
            <a:xfrm rot="5400000">
              <a:off x="11207617" y="4562713"/>
              <a:ext cx="234951" cy="0"/>
            </a:xfrm>
            <a:prstGeom prst="line">
              <a:avLst/>
            </a:prstGeom>
            <a:ln w="15875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96" name="Group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GrpSpPr/>
        </xdr:nvGrpSpPr>
        <xdr:grpSpPr>
          <a:xfrm>
            <a:off x="9477884" y="3943350"/>
            <a:ext cx="516506" cy="679688"/>
            <a:chOff x="10779634" y="3981450"/>
            <a:chExt cx="516506" cy="679688"/>
          </a:xfrm>
        </xdr:grpSpPr>
        <xdr:grpSp>
          <xdr:nvGrpSpPr>
            <xdr:cNvPr id="312" name="Group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10779634" y="3981450"/>
              <a:ext cx="516506" cy="457200"/>
              <a:chOff x="10788740" y="3981450"/>
              <a:chExt cx="516506" cy="457200"/>
            </a:xfrm>
          </xdr:grpSpPr>
          <xdr:grpSp>
            <xdr:nvGrpSpPr>
              <xdr:cNvPr id="314" name="Group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GrpSpPr/>
            </xdr:nvGrpSpPr>
            <xdr:grpSpPr>
              <a:xfrm>
                <a:off x="10788740" y="3981450"/>
                <a:ext cx="456934" cy="457200"/>
                <a:chOff x="8982076" y="4286250"/>
                <a:chExt cx="457200" cy="457200"/>
              </a:xfrm>
            </xdr:grpSpPr>
            <xdr:sp macro="" textlink="">
              <xdr:nvSpPr>
                <xdr:cNvPr id="316" name="Oval 55">
                  <a:extLst>
                    <a:ext uri="{FF2B5EF4-FFF2-40B4-BE49-F238E27FC236}">
                      <a16:creationId xmlns:a16="http://schemas.microsoft.com/office/drawing/2014/main" id="{00000000-0008-0000-0000-000038000000}"/>
                    </a:ext>
                  </a:extLst>
                </xdr:cNvPr>
                <xdr:cNvSpPr/>
              </xdr:nvSpPr>
              <xdr:spPr>
                <a:xfrm>
                  <a:off x="9019940" y="4324601"/>
                  <a:ext cx="390525" cy="390525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rgbClr val="BC14B4"/>
                    </a:gs>
                    <a:gs pos="100000">
                      <a:srgbClr val="0070C0"/>
                    </a:gs>
                  </a:gsLst>
                  <a:lin ang="54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317" name="Oval 56">
                  <a:extLst>
                    <a:ext uri="{FF2B5EF4-FFF2-40B4-BE49-F238E27FC236}">
                      <a16:creationId xmlns:a16="http://schemas.microsoft.com/office/drawing/2014/main" id="{00000000-0008-0000-0000-000039000000}"/>
                    </a:ext>
                  </a:extLst>
                </xdr:cNvPr>
                <xdr:cNvSpPr/>
              </xdr:nvSpPr>
              <xdr:spPr>
                <a:xfrm>
                  <a:off x="8982076" y="4286250"/>
                  <a:ext cx="457200" cy="457200"/>
                </a:xfrm>
                <a:prstGeom prst="ellipse">
                  <a:avLst/>
                </a:prstGeom>
                <a:noFill/>
                <a:ln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315" name="Rounded Rectangle 116">
                <a:extLst>
                  <a:ext uri="{FF2B5EF4-FFF2-40B4-BE49-F238E27FC236}">
                    <a16:creationId xmlns:a16="http://schemas.microsoft.com/office/drawing/2014/main" id="{00000000-0008-0000-0000-000075000000}"/>
                  </a:ext>
                </a:extLst>
              </xdr:cNvPr>
              <xdr:cNvSpPr/>
            </xdr:nvSpPr>
            <xdr:spPr>
              <a:xfrm>
                <a:off x="10797865" y="4051145"/>
                <a:ext cx="507381" cy="297134"/>
              </a:xfrm>
              <a:prstGeom prst="roundRect">
                <a:avLst>
                  <a:gd name="adj" fmla="val 0"/>
                </a:avLst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400" b="1">
                    <a:solidFill>
                      <a:schemeClr val="bg1"/>
                    </a:solidFill>
                  </a:rPr>
                  <a:t>Q-2</a:t>
                </a:r>
              </a:p>
            </xdr:txBody>
          </xdr:sp>
        </xdr:grpSp>
        <xdr:cxnSp macro="">
          <xdr:nvCxnSpPr>
            <xdr:cNvPr id="313" name="Straight Connector 70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:cNvPr>
            <xdr:cNvCxnSpPr/>
          </xdr:nvCxnSpPr>
          <xdr:spPr>
            <a:xfrm rot="5400000">
              <a:off x="10918781" y="4543663"/>
              <a:ext cx="234951" cy="0"/>
            </a:xfrm>
            <a:prstGeom prst="line">
              <a:avLst/>
            </a:prstGeom>
            <a:ln w="15875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97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10479861" y="3943350"/>
            <a:ext cx="506452" cy="679688"/>
            <a:chOff x="10530661" y="3905250"/>
            <a:chExt cx="506452" cy="679688"/>
          </a:xfrm>
        </xdr:grpSpPr>
        <xdr:grpSp>
          <xdr:nvGrpSpPr>
            <xdr:cNvPr id="306" name="Group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GrpSpPr/>
          </xdr:nvGrpSpPr>
          <xdr:grpSpPr>
            <a:xfrm>
              <a:off x="10530661" y="3905250"/>
              <a:ext cx="506452" cy="457200"/>
              <a:chOff x="10548821" y="3905250"/>
              <a:chExt cx="506452" cy="457200"/>
            </a:xfrm>
          </xdr:grpSpPr>
          <xdr:grpSp>
            <xdr:nvGrpSpPr>
              <xdr:cNvPr id="308" name="Group 57">
                <a:extLst>
                  <a:ext uri="{FF2B5EF4-FFF2-40B4-BE49-F238E27FC236}">
                    <a16:creationId xmlns:a16="http://schemas.microsoft.com/office/drawing/2014/main" id="{00000000-0008-0000-0000-00003A000000}"/>
                  </a:ext>
                </a:extLst>
              </xdr:cNvPr>
              <xdr:cNvGrpSpPr/>
            </xdr:nvGrpSpPr>
            <xdr:grpSpPr>
              <a:xfrm>
                <a:off x="10556123" y="3905250"/>
                <a:ext cx="457864" cy="457200"/>
                <a:chOff x="8982076" y="4286250"/>
                <a:chExt cx="457200" cy="457200"/>
              </a:xfrm>
            </xdr:grpSpPr>
            <xdr:sp macro="" textlink="">
              <xdr:nvSpPr>
                <xdr:cNvPr id="310" name="Oval 58">
                  <a:extLst>
                    <a:ext uri="{FF2B5EF4-FFF2-40B4-BE49-F238E27FC236}">
                      <a16:creationId xmlns:a16="http://schemas.microsoft.com/office/drawing/2014/main" id="{00000000-0008-0000-0000-00003B000000}"/>
                    </a:ext>
                  </a:extLst>
                </xdr:cNvPr>
                <xdr:cNvSpPr/>
              </xdr:nvSpPr>
              <xdr:spPr>
                <a:xfrm>
                  <a:off x="9020397" y="4324601"/>
                  <a:ext cx="390525" cy="390525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rgbClr val="BC14B4"/>
                    </a:gs>
                    <a:gs pos="100000">
                      <a:srgbClr val="0070C0"/>
                    </a:gs>
                  </a:gsLst>
                  <a:lin ang="54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311" name="Oval 59">
                  <a:extLst>
                    <a:ext uri="{FF2B5EF4-FFF2-40B4-BE49-F238E27FC236}">
                      <a16:creationId xmlns:a16="http://schemas.microsoft.com/office/drawing/2014/main" id="{00000000-0008-0000-0000-00003C000000}"/>
                    </a:ext>
                  </a:extLst>
                </xdr:cNvPr>
                <xdr:cNvSpPr/>
              </xdr:nvSpPr>
              <xdr:spPr>
                <a:xfrm>
                  <a:off x="8982076" y="4286250"/>
                  <a:ext cx="457200" cy="457200"/>
                </a:xfrm>
                <a:prstGeom prst="ellipse">
                  <a:avLst/>
                </a:prstGeom>
                <a:noFill/>
                <a:ln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309" name="Rounded Rectangle 117">
                <a:extLst>
                  <a:ext uri="{FF2B5EF4-FFF2-40B4-BE49-F238E27FC236}">
                    <a16:creationId xmlns:a16="http://schemas.microsoft.com/office/drawing/2014/main" id="{00000000-0008-0000-0000-000076000000}"/>
                  </a:ext>
                </a:extLst>
              </xdr:cNvPr>
              <xdr:cNvSpPr/>
            </xdr:nvSpPr>
            <xdr:spPr>
              <a:xfrm>
                <a:off x="10548821" y="3969834"/>
                <a:ext cx="506452" cy="297134"/>
              </a:xfrm>
              <a:prstGeom prst="roundRect">
                <a:avLst>
                  <a:gd name="adj" fmla="val 0"/>
                </a:avLst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400" b="1">
                    <a:solidFill>
                      <a:schemeClr val="bg1"/>
                    </a:solidFill>
                  </a:rPr>
                  <a:t>Q-3</a:t>
                </a:r>
              </a:p>
            </xdr:txBody>
          </xdr:sp>
        </xdr:grpSp>
        <xdr:cxnSp macro="">
          <xdr:nvCxnSpPr>
            <xdr:cNvPr id="307" name="Straight Connector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CxnSpPr/>
          </xdr:nvCxnSpPr>
          <xdr:spPr>
            <a:xfrm rot="5400000">
              <a:off x="10677105" y="4467463"/>
              <a:ext cx="234951" cy="0"/>
            </a:xfrm>
            <a:prstGeom prst="line">
              <a:avLst/>
            </a:prstGeom>
            <a:ln w="15875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98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1476811" y="3943350"/>
            <a:ext cx="506452" cy="679688"/>
            <a:chOff x="11238686" y="4057650"/>
            <a:chExt cx="506452" cy="679688"/>
          </a:xfrm>
        </xdr:grpSpPr>
        <xdr:grpSp>
          <xdr:nvGrpSpPr>
            <xdr:cNvPr id="301" name="Group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pSpPr/>
          </xdr:nvGrpSpPr>
          <xdr:grpSpPr>
            <a:xfrm>
              <a:off x="11238686" y="4057650"/>
              <a:ext cx="506452" cy="457200"/>
              <a:chOff x="11223005" y="4057650"/>
              <a:chExt cx="506452" cy="457200"/>
            </a:xfrm>
          </xdr:grpSpPr>
          <xdr:sp macro="" textlink="">
            <xdr:nvSpPr>
              <xdr:cNvPr id="303" name="Oval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SpPr/>
            </xdr:nvSpPr>
            <xdr:spPr>
              <a:xfrm>
                <a:off x="11267222" y="4096001"/>
                <a:ext cx="391092" cy="390525"/>
              </a:xfrm>
              <a:prstGeom prst="ellipse">
                <a:avLst/>
              </a:prstGeom>
              <a:gradFill flip="none" rotWithShape="1">
                <a:gsLst>
                  <a:gs pos="0">
                    <a:srgbClr val="BC14B4"/>
                  </a:gs>
                  <a:gs pos="100000">
                    <a:srgbClr val="0070C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304" name="Oval 62">
                <a:extLst>
                  <a:ext uri="{FF2B5EF4-FFF2-40B4-BE49-F238E27FC236}">
                    <a16:creationId xmlns:a16="http://schemas.microsoft.com/office/drawing/2014/main" id="{00000000-0008-0000-0000-00003F000000}"/>
                  </a:ext>
                </a:extLst>
              </xdr:cNvPr>
              <xdr:cNvSpPr/>
            </xdr:nvSpPr>
            <xdr:spPr>
              <a:xfrm>
                <a:off x="11229312" y="4057650"/>
                <a:ext cx="457864" cy="457200"/>
              </a:xfrm>
              <a:prstGeom prst="ellipse">
                <a:avLst/>
              </a:prstGeom>
              <a:noFill/>
              <a:ln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305" name="Rounded Rectangle 118">
                <a:extLst>
                  <a:ext uri="{FF2B5EF4-FFF2-40B4-BE49-F238E27FC236}">
                    <a16:creationId xmlns:a16="http://schemas.microsoft.com/office/drawing/2014/main" id="{00000000-0008-0000-0000-000077000000}"/>
                  </a:ext>
                </a:extLst>
              </xdr:cNvPr>
              <xdr:cNvSpPr/>
            </xdr:nvSpPr>
            <xdr:spPr>
              <a:xfrm>
                <a:off x="11223005" y="4127112"/>
                <a:ext cx="506452" cy="297134"/>
              </a:xfrm>
              <a:prstGeom prst="roundRect">
                <a:avLst>
                  <a:gd name="adj" fmla="val 0"/>
                </a:avLst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400" b="1">
                    <a:solidFill>
                      <a:schemeClr val="bg1"/>
                    </a:solidFill>
                  </a:rPr>
                  <a:t>Q-4</a:t>
                </a:r>
              </a:p>
            </xdr:txBody>
          </xdr:sp>
        </xdr:grpSp>
        <xdr:cxnSp macro="">
          <xdr:nvCxnSpPr>
            <xdr:cNvPr id="302" name="Straight Connector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CxnSpPr/>
          </xdr:nvCxnSpPr>
          <xdr:spPr>
            <a:xfrm rot="5400000">
              <a:off x="11378869" y="4619863"/>
              <a:ext cx="234951" cy="0"/>
            </a:xfrm>
            <a:prstGeom prst="line">
              <a:avLst/>
            </a:prstGeom>
            <a:ln w="15875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9" name="Straight Connector 182">
            <a:extLst>
              <a:ext uri="{FF2B5EF4-FFF2-40B4-BE49-F238E27FC236}">
                <a16:creationId xmlns:a16="http://schemas.microsoft.com/office/drawing/2014/main" id="{00000000-0008-0000-0000-0000B7000000}"/>
              </a:ext>
            </a:extLst>
          </xdr:cNvPr>
          <xdr:cNvCxnSpPr/>
        </xdr:nvCxnSpPr>
        <xdr:spPr>
          <a:xfrm>
            <a:off x="9952543" y="4192003"/>
            <a:ext cx="520947" cy="0"/>
          </a:xfrm>
          <a:prstGeom prst="line">
            <a:avLst/>
          </a:prstGeom>
          <a:ln w="15875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Straight Connector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CxnSpPr/>
        </xdr:nvCxnSpPr>
        <xdr:spPr>
          <a:xfrm>
            <a:off x="10967708" y="4192003"/>
            <a:ext cx="520946" cy="0"/>
          </a:xfrm>
          <a:prstGeom prst="line">
            <a:avLst/>
          </a:prstGeom>
          <a:ln w="15875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213360</xdr:colOff>
      <xdr:row>23</xdr:row>
      <xdr:rowOff>139065</xdr:rowOff>
    </xdr:from>
    <xdr:to>
      <xdr:col>14</xdr:col>
      <xdr:colOff>501014</xdr:colOff>
      <xdr:row>26</xdr:row>
      <xdr:rowOff>23864</xdr:rowOff>
    </xdr:to>
    <xdr:sp macro="" textlink="Analysis_2!BC19">
      <xdr:nvSpPr>
        <xdr:cNvPr id="324" name="Rounded Rectangle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>
          <a:off x="8138160" y="4345305"/>
          <a:ext cx="89725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280D547-6D17-48D4-AB21-F705076E1E3E}" type="TxLink">
            <a:rPr lang="en-US" sz="105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Quarterly  COGS</a:t>
          </a:fld>
          <a:endParaRPr lang="en-US" sz="105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15240</xdr:colOff>
      <xdr:row>23</xdr:row>
      <xdr:rowOff>139065</xdr:rowOff>
    </xdr:from>
    <xdr:to>
      <xdr:col>16</xdr:col>
      <xdr:colOff>287654</xdr:colOff>
      <xdr:row>26</xdr:row>
      <xdr:rowOff>23864</xdr:rowOff>
    </xdr:to>
    <xdr:sp macro="" textlink="Analysis_2!BC19">
      <xdr:nvSpPr>
        <xdr:cNvPr id="325" name="Rounded Rectangle 225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>
          <a:off x="9159240" y="4345305"/>
          <a:ext cx="88201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FB644D5-3BE1-4525-BE9E-31927ADD8E05}" type="TxLink">
            <a:rPr lang="en-US" sz="105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Quarterly  COGS</a:t>
          </a:fld>
          <a:endParaRPr lang="en-US" sz="105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411480</xdr:colOff>
      <xdr:row>23</xdr:row>
      <xdr:rowOff>129540</xdr:rowOff>
    </xdr:from>
    <xdr:to>
      <xdr:col>18</xdr:col>
      <xdr:colOff>89534</xdr:colOff>
      <xdr:row>26</xdr:row>
      <xdr:rowOff>14339</xdr:rowOff>
    </xdr:to>
    <xdr:sp macro="" textlink="Analysis_2!BC19">
      <xdr:nvSpPr>
        <xdr:cNvPr id="326" name="Rounded Rectangle 226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>
          <a:off x="10165080" y="4372677"/>
          <a:ext cx="897254" cy="438251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703A4B3-E64B-47F5-A452-686368B76B49}" type="TxLink">
            <a:rPr lang="en-US" sz="105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Quarterly  COGS</a:t>
          </a:fld>
          <a:endParaRPr lang="en-US" sz="105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203835</xdr:colOff>
      <xdr:row>23</xdr:row>
      <xdr:rowOff>129540</xdr:rowOff>
    </xdr:from>
    <xdr:to>
      <xdr:col>19</xdr:col>
      <xdr:colOff>476249</xdr:colOff>
      <xdr:row>26</xdr:row>
      <xdr:rowOff>14339</xdr:rowOff>
    </xdr:to>
    <xdr:sp macro="" textlink="Analysis_2!BC19">
      <xdr:nvSpPr>
        <xdr:cNvPr id="327" name="Rounded Rectangle 227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>
          <a:off x="11176635" y="4335780"/>
          <a:ext cx="88201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3EDAA4F-FFD7-46A5-8B05-C0E0B9D279E0}" type="TxLink">
            <a:rPr lang="en-US" sz="105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Quarterly  COGS</a:t>
          </a:fld>
          <a:endParaRPr lang="en-US" sz="1050" b="0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572347</xdr:colOff>
      <xdr:row>25</xdr:row>
      <xdr:rowOff>82973</xdr:rowOff>
    </xdr:from>
    <xdr:to>
      <xdr:col>15</xdr:col>
      <xdr:colOff>117051</xdr:colOff>
      <xdr:row>27</xdr:row>
      <xdr:rowOff>150652</xdr:rowOff>
    </xdr:to>
    <xdr:sp macro="" textlink="Analysis_2!BD13">
      <xdr:nvSpPr>
        <xdr:cNvPr id="328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7887547" y="4739640"/>
          <a:ext cx="1373504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4D62955-C6B0-46A4-BB52-C57E6704405A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$5 522 734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330200</xdr:colOff>
      <xdr:row>25</xdr:row>
      <xdr:rowOff>91440</xdr:rowOff>
    </xdr:from>
    <xdr:to>
      <xdr:col>16</xdr:col>
      <xdr:colOff>484504</xdr:colOff>
      <xdr:row>27</xdr:row>
      <xdr:rowOff>159119</xdr:rowOff>
    </xdr:to>
    <xdr:sp macro="" textlink="Analysis_2!BD14">
      <xdr:nvSpPr>
        <xdr:cNvPr id="329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8864600" y="466344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C6418D-AF21-4DCE-B7F2-158123EDF8A6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$3 948 985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96520</xdr:colOff>
      <xdr:row>25</xdr:row>
      <xdr:rowOff>91440</xdr:rowOff>
    </xdr:from>
    <xdr:to>
      <xdr:col>18</xdr:col>
      <xdr:colOff>250824</xdr:colOff>
      <xdr:row>27</xdr:row>
      <xdr:rowOff>159119</xdr:rowOff>
    </xdr:to>
    <xdr:sp macro="" textlink="Analysis_2!BD15">
      <xdr:nvSpPr>
        <xdr:cNvPr id="330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9850120" y="466344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ED39C06-177B-4E58-9CF2-AB5A2D5717D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$3 792 241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472440</xdr:colOff>
      <xdr:row>25</xdr:row>
      <xdr:rowOff>91440</xdr:rowOff>
    </xdr:from>
    <xdr:to>
      <xdr:col>20</xdr:col>
      <xdr:colOff>17144</xdr:colOff>
      <xdr:row>27</xdr:row>
      <xdr:rowOff>159119</xdr:rowOff>
    </xdr:to>
    <xdr:sp macro="" textlink="Analysis_2!BD16">
      <xdr:nvSpPr>
        <xdr:cNvPr id="332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10835640" y="466344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90FFFCC-E3C8-4CEE-9FF1-1B878E5F940F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$4 053 356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579120</xdr:colOff>
      <xdr:row>26</xdr:row>
      <xdr:rowOff>133350</xdr:rowOff>
    </xdr:from>
    <xdr:to>
      <xdr:col>15</xdr:col>
      <xdr:colOff>123824</xdr:colOff>
      <xdr:row>29</xdr:row>
      <xdr:rowOff>18149</xdr:rowOff>
    </xdr:to>
    <xdr:sp macro="" textlink="Analysis_2!BE13">
      <xdr:nvSpPr>
        <xdr:cNvPr id="333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7894320" y="488823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D8404DE-0849-49F1-BC8B-FEFBA809EDB9}" type="TxLink">
            <a:rPr lang="en-US" sz="1100" b="1" i="0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31,9%</a:t>
          </a:fld>
          <a:endParaRPr lang="en-US" sz="11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347980</xdr:colOff>
      <xdr:row>26</xdr:row>
      <xdr:rowOff>133350</xdr:rowOff>
    </xdr:from>
    <xdr:to>
      <xdr:col>16</xdr:col>
      <xdr:colOff>502284</xdr:colOff>
      <xdr:row>29</xdr:row>
      <xdr:rowOff>18149</xdr:rowOff>
    </xdr:to>
    <xdr:sp macro="" textlink="Analysis_2!BE14">
      <xdr:nvSpPr>
        <xdr:cNvPr id="335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8882380" y="4888230"/>
          <a:ext cx="1373504" cy="43343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339D204-C86D-4C63-8DD0-C0C8DB479E37}" type="TxLink">
            <a:rPr lang="en-US" sz="1100" b="1" i="0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22,8%</a:t>
          </a:fld>
          <a:endParaRPr lang="en-US" sz="11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116840</xdr:colOff>
      <xdr:row>26</xdr:row>
      <xdr:rowOff>133350</xdr:rowOff>
    </xdr:from>
    <xdr:to>
      <xdr:col>18</xdr:col>
      <xdr:colOff>271144</xdr:colOff>
      <xdr:row>29</xdr:row>
      <xdr:rowOff>18149</xdr:rowOff>
    </xdr:to>
    <xdr:sp macro="" textlink="Analysis_2!BE15">
      <xdr:nvSpPr>
        <xdr:cNvPr id="336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9870440" y="4976283"/>
          <a:ext cx="1373504" cy="44359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5CB80E9-1A42-45A5-A516-AED261C0A709}" type="TxLink">
            <a:rPr lang="en-US" sz="1100" b="1" i="0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21,9%</a:t>
          </a:fld>
          <a:endParaRPr lang="en-US" sz="11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495300</xdr:colOff>
      <xdr:row>26</xdr:row>
      <xdr:rowOff>133350</xdr:rowOff>
    </xdr:from>
    <xdr:to>
      <xdr:col>20</xdr:col>
      <xdr:colOff>40004</xdr:colOff>
      <xdr:row>29</xdr:row>
      <xdr:rowOff>18149</xdr:rowOff>
    </xdr:to>
    <xdr:sp macro="" textlink="Analysis_2!BE16">
      <xdr:nvSpPr>
        <xdr:cNvPr id="337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10858500" y="4976283"/>
          <a:ext cx="1373504" cy="44359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3976C9E-5F2B-4F09-BEB7-D942B7298DC3}" type="TxLink">
            <a:rPr lang="en-US" sz="1100" b="1" i="0" u="none" strike="noStrike">
              <a:solidFill>
                <a:schemeClr val="bg1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23,4%</a:t>
          </a:fld>
          <a:endParaRPr lang="en-US" sz="11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529772</xdr:colOff>
      <xdr:row>30</xdr:row>
      <xdr:rowOff>123825</xdr:rowOff>
    </xdr:from>
    <xdr:to>
      <xdr:col>5</xdr:col>
      <xdr:colOff>374470</xdr:colOff>
      <xdr:row>34</xdr:row>
      <xdr:rowOff>146956</xdr:rowOff>
    </xdr:to>
    <xdr:graphicFrame macro="">
      <xdr:nvGraphicFramePr>
        <xdr:cNvPr id="338" name="Диаграмма 3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572928</xdr:colOff>
      <xdr:row>30</xdr:row>
      <xdr:rowOff>161925</xdr:rowOff>
    </xdr:from>
    <xdr:to>
      <xdr:col>9</xdr:col>
      <xdr:colOff>34448</xdr:colOff>
      <xdr:row>34</xdr:row>
      <xdr:rowOff>132080</xdr:rowOff>
    </xdr:to>
    <xdr:graphicFrame macro="">
      <xdr:nvGraphicFramePr>
        <xdr:cNvPr id="200" name="Диаграмма 1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44824</xdr:colOff>
      <xdr:row>29</xdr:row>
      <xdr:rowOff>171824</xdr:rowOff>
    </xdr:from>
    <xdr:to>
      <xdr:col>8</xdr:col>
      <xdr:colOff>225584</xdr:colOff>
      <xdr:row>30</xdr:row>
      <xdr:rowOff>111919</xdr:rowOff>
    </xdr:to>
    <xdr:sp macro="" textlink="">
      <xdr:nvSpPr>
        <xdr:cNvPr id="201" name="Rounded Rectangle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>
          <a:off x="3720353" y="5371353"/>
          <a:ext cx="1405937" cy="119390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9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t>Our profitable cities</a:t>
          </a:r>
        </a:p>
      </xdr:txBody>
    </xdr:sp>
    <xdr:clientData/>
  </xdr:twoCellAnchor>
  <xdr:twoCellAnchor>
    <xdr:from>
      <xdr:col>8</xdr:col>
      <xdr:colOff>100012</xdr:colOff>
      <xdr:row>29</xdr:row>
      <xdr:rowOff>114300</xdr:rowOff>
    </xdr:from>
    <xdr:to>
      <xdr:col>9</xdr:col>
      <xdr:colOff>109537</xdr:colOff>
      <xdr:row>30</xdr:row>
      <xdr:rowOff>147638</xdr:rowOff>
    </xdr:to>
    <xdr:sp macro="" textlink="Analysis_2!$X$1">
      <xdr:nvSpPr>
        <xdr:cNvPr id="202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4976812" y="5362575"/>
          <a:ext cx="619125" cy="214313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7DA94F0-19A0-4306-BFA9-7BF1BFF1AAFA}" type="TxLink">
            <a:rPr lang="en-US" sz="1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5,2%</a:t>
          </a:fld>
          <a:endParaRPr lang="en-US" sz="10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542925</xdr:colOff>
      <xdr:row>29</xdr:row>
      <xdr:rowOff>114300</xdr:rowOff>
    </xdr:from>
    <xdr:to>
      <xdr:col>4</xdr:col>
      <xdr:colOff>552450</xdr:colOff>
      <xdr:row>30</xdr:row>
      <xdr:rowOff>147638</xdr:rowOff>
    </xdr:to>
    <xdr:sp macro="" textlink="Analysis_2!$P$1">
      <xdr:nvSpPr>
        <xdr:cNvPr id="204" name="Rounded Rectangle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2371725" y="5362575"/>
          <a:ext cx="619125" cy="214313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D923809-A7F7-4929-8DE6-39955062B71D}" type="TxLink">
            <a:rPr lang="en-US" sz="1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1,3%</a:t>
          </a:fld>
          <a:endParaRPr lang="en-US" sz="10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306294</xdr:colOff>
      <xdr:row>29</xdr:row>
      <xdr:rowOff>156883</xdr:rowOff>
    </xdr:from>
    <xdr:to>
      <xdr:col>4</xdr:col>
      <xdr:colOff>333566</xdr:colOff>
      <xdr:row>30</xdr:row>
      <xdr:rowOff>109538</xdr:rowOff>
    </xdr:to>
    <xdr:sp macro="" textlink="">
      <xdr:nvSpPr>
        <xdr:cNvPr id="205" name="Rounded Rectangle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>
          <a:off x="918882" y="5356412"/>
          <a:ext cx="1865037" cy="131950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9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+mn-cs"/>
            </a:rPr>
            <a:t>Our profitable customers</a:t>
          </a:r>
        </a:p>
      </xdr:txBody>
    </xdr:sp>
    <xdr:clientData/>
  </xdr:twoCellAnchor>
  <xdr:twoCellAnchor>
    <xdr:from>
      <xdr:col>13</xdr:col>
      <xdr:colOff>85313</xdr:colOff>
      <xdr:row>24</xdr:row>
      <xdr:rowOff>101246</xdr:rowOff>
    </xdr:from>
    <xdr:to>
      <xdr:col>19</xdr:col>
      <xdr:colOff>478505</xdr:colOff>
      <xdr:row>29</xdr:row>
      <xdr:rowOff>179410</xdr:rowOff>
    </xdr:to>
    <xdr:sp macro="" textlink="">
      <xdr:nvSpPr>
        <xdr:cNvPr id="206" name="INFO" hidden="1"/>
        <xdr:cNvSpPr/>
      </xdr:nvSpPr>
      <xdr:spPr>
        <a:xfrm>
          <a:off x="8010113" y="4490366"/>
          <a:ext cx="4050792" cy="992564"/>
        </a:xfrm>
        <a:prstGeom prst="roundRect">
          <a:avLst>
            <a:gd name="adj" fmla="val 7763"/>
          </a:avLst>
        </a:prstGeom>
        <a:solidFill>
          <a:srgbClr val="1017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This dashboard tells story about transactional historical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from 2019 to 2021. There are </a:t>
          </a:r>
          <a:r>
            <a:rPr lang="en-US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10,889 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raws or transactions. </a:t>
          </a:r>
          <a:endParaRPr lang="en-US">
            <a:effectLst/>
          </a:endParaRPr>
        </a:p>
        <a:p>
          <a:pPr algn="ctr"/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data is contained in two workbooks and lookuped into one worksheet to create this ananlysis. </a:t>
          </a:r>
          <a:endParaRPr lang="en-US">
            <a:effectLst/>
          </a:endParaRPr>
        </a:p>
      </xdr:txBody>
    </xdr:sp>
    <xdr:clientData/>
  </xdr:twoCellAnchor>
  <xdr:twoCellAnchor>
    <xdr:from>
      <xdr:col>13</xdr:col>
      <xdr:colOff>168819</xdr:colOff>
      <xdr:row>29</xdr:row>
      <xdr:rowOff>121520</xdr:rowOff>
    </xdr:from>
    <xdr:to>
      <xdr:col>19</xdr:col>
      <xdr:colOff>562011</xdr:colOff>
      <xdr:row>35</xdr:row>
      <xdr:rowOff>11792</xdr:rowOff>
    </xdr:to>
    <xdr:sp macro="" textlink="">
      <xdr:nvSpPr>
        <xdr:cNvPr id="12" name="Скругленный прямоугольник 11"/>
        <xdr:cNvSpPr/>
      </xdr:nvSpPr>
      <xdr:spPr>
        <a:xfrm>
          <a:off x="8039340" y="5570342"/>
          <a:ext cx="4025739" cy="1017614"/>
        </a:xfrm>
        <a:prstGeom prst="roundRect">
          <a:avLst>
            <a:gd name="adj" fmla="val 7763"/>
          </a:avLst>
        </a:prstGeom>
        <a:gradFill flip="none" rotWithShape="1">
          <a:gsLst>
            <a:gs pos="0">
              <a:srgbClr val="AD0F8A"/>
            </a:gs>
            <a:gs pos="97000">
              <a:srgbClr val="291473"/>
            </a:gs>
          </a:gsLst>
          <a:lin ang="90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321236</xdr:colOff>
      <xdr:row>31</xdr:row>
      <xdr:rowOff>22411</xdr:rowOff>
    </xdr:from>
    <xdr:to>
      <xdr:col>19</xdr:col>
      <xdr:colOff>283883</xdr:colOff>
      <xdr:row>34</xdr:row>
      <xdr:rowOff>59764</xdr:rowOff>
    </xdr:to>
    <xdr:sp macro="" textlink="">
      <xdr:nvSpPr>
        <xdr:cNvPr id="16" name="Овал 15"/>
        <xdr:cNvSpPr/>
      </xdr:nvSpPr>
      <xdr:spPr>
        <a:xfrm>
          <a:off x="11347824" y="5580529"/>
          <a:ext cx="575235" cy="575235"/>
        </a:xfrm>
        <a:prstGeom prst="ellipse">
          <a:avLst/>
        </a:prstGeom>
        <a:solidFill>
          <a:srgbClr val="172144">
            <a:alpha val="7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469726</xdr:colOff>
      <xdr:row>30</xdr:row>
      <xdr:rowOff>4177</xdr:rowOff>
    </xdr:from>
    <xdr:to>
      <xdr:col>17</xdr:col>
      <xdr:colOff>434717</xdr:colOff>
      <xdr:row>32</xdr:row>
      <xdr:rowOff>44307</xdr:rowOff>
    </xdr:to>
    <xdr:sp macro="" textlink="">
      <xdr:nvSpPr>
        <xdr:cNvPr id="215" name="ABOUT" hidden="1"/>
        <xdr:cNvSpPr/>
      </xdr:nvSpPr>
      <xdr:spPr>
        <a:xfrm>
          <a:off x="9613726" y="5592177"/>
          <a:ext cx="1184191" cy="412663"/>
        </a:xfrm>
        <a:prstGeom prst="roundRect">
          <a:avLst>
            <a:gd name="adj" fmla="val 50000"/>
          </a:avLst>
        </a:prstGeom>
        <a:solidFill>
          <a:srgbClr val="29147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 Black" panose="020B0A04020102020204" pitchFamily="34" charset="0"/>
            </a:rPr>
            <a:t>About</a:t>
          </a:r>
        </a:p>
      </xdr:txBody>
    </xdr:sp>
    <xdr:clientData/>
  </xdr:twoCellAnchor>
  <xdr:twoCellAnchor>
    <xdr:from>
      <xdr:col>18</xdr:col>
      <xdr:colOff>338100</xdr:colOff>
      <xdr:row>31</xdr:row>
      <xdr:rowOff>10570</xdr:rowOff>
    </xdr:from>
    <xdr:to>
      <xdr:col>19</xdr:col>
      <xdr:colOff>300748</xdr:colOff>
      <xdr:row>34</xdr:row>
      <xdr:rowOff>47924</xdr:rowOff>
    </xdr:to>
    <xdr:grpSp>
      <xdr:nvGrpSpPr>
        <xdr:cNvPr id="228" name="UP"/>
        <xdr:cNvGrpSpPr/>
      </xdr:nvGrpSpPr>
      <xdr:grpSpPr>
        <a:xfrm>
          <a:off x="11254916" y="5795550"/>
          <a:ext cx="569138" cy="597190"/>
          <a:chOff x="12404165" y="5449047"/>
          <a:chExt cx="575235" cy="575235"/>
        </a:xfrm>
      </xdr:grpSpPr>
      <xdr:sp macro="[0]!Лист1.up" textlink="">
        <xdr:nvSpPr>
          <xdr:cNvPr id="229" name="Овал 228"/>
          <xdr:cNvSpPr/>
        </xdr:nvSpPr>
        <xdr:spPr>
          <a:xfrm>
            <a:off x="12404165" y="5449047"/>
            <a:ext cx="575235" cy="575235"/>
          </a:xfrm>
          <a:prstGeom prst="ellipse">
            <a:avLst/>
          </a:prstGeom>
          <a:solidFill>
            <a:srgbClr val="AD0F8A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Лист1.up" textlink="">
        <xdr:nvSpPr>
          <xdr:cNvPr id="230" name="Шеврон 229"/>
          <xdr:cNvSpPr/>
        </xdr:nvSpPr>
        <xdr:spPr>
          <a:xfrm rot="16200000">
            <a:off x="12519959" y="5579782"/>
            <a:ext cx="343647" cy="313765"/>
          </a:xfrm>
          <a:prstGeom prst="chevron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18</xdr:col>
      <xdr:colOff>338100</xdr:colOff>
      <xdr:row>31</xdr:row>
      <xdr:rowOff>10570</xdr:rowOff>
    </xdr:from>
    <xdr:to>
      <xdr:col>19</xdr:col>
      <xdr:colOff>300748</xdr:colOff>
      <xdr:row>34</xdr:row>
      <xdr:rowOff>47923</xdr:rowOff>
    </xdr:to>
    <xdr:grpSp>
      <xdr:nvGrpSpPr>
        <xdr:cNvPr id="234" name="DOWN" hidden="1"/>
        <xdr:cNvGrpSpPr/>
      </xdr:nvGrpSpPr>
      <xdr:grpSpPr>
        <a:xfrm>
          <a:off x="11254916" y="5795550"/>
          <a:ext cx="569138" cy="597189"/>
          <a:chOff x="12451977" y="6161741"/>
          <a:chExt cx="575235" cy="575235"/>
        </a:xfrm>
      </xdr:grpSpPr>
      <xdr:sp macro="[0]!Лист1.down" textlink="">
        <xdr:nvSpPr>
          <xdr:cNvPr id="235" name="Овал 234" hidden="1"/>
          <xdr:cNvSpPr/>
        </xdr:nvSpPr>
        <xdr:spPr>
          <a:xfrm>
            <a:off x="12451977" y="6161741"/>
            <a:ext cx="575235" cy="575235"/>
          </a:xfrm>
          <a:prstGeom prst="ellipse">
            <a:avLst/>
          </a:prstGeom>
          <a:solidFill>
            <a:srgbClr val="AD0F8A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Лист1.down" textlink="">
        <xdr:nvSpPr>
          <xdr:cNvPr id="236" name="Шеврон 235" hidden="1"/>
          <xdr:cNvSpPr/>
        </xdr:nvSpPr>
        <xdr:spPr>
          <a:xfrm rot="5400000" flipV="1">
            <a:off x="12567771" y="6292476"/>
            <a:ext cx="343647" cy="313765"/>
          </a:xfrm>
          <a:prstGeom prst="chevron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478971</xdr:colOff>
      <xdr:row>1</xdr:row>
      <xdr:rowOff>93061</xdr:rowOff>
    </xdr:from>
    <xdr:to>
      <xdr:col>19</xdr:col>
      <xdr:colOff>489857</xdr:colOff>
      <xdr:row>10</xdr:row>
      <xdr:rowOff>38633</xdr:rowOff>
    </xdr:to>
    <xdr:graphicFrame macro="">
      <xdr:nvGraphicFramePr>
        <xdr:cNvPr id="237" name="Диаграмма 2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49530</xdr:colOff>
      <xdr:row>25</xdr:row>
      <xdr:rowOff>53185</xdr:rowOff>
    </xdr:from>
    <xdr:to>
      <xdr:col>7</xdr:col>
      <xdr:colOff>220980</xdr:colOff>
      <xdr:row>26</xdr:row>
      <xdr:rowOff>36906</xdr:rowOff>
    </xdr:to>
    <xdr:sp macro="" textlink="">
      <xdr:nvSpPr>
        <xdr:cNvPr id="238" name="Oval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4316730" y="4709852"/>
          <a:ext cx="171450" cy="169987"/>
        </a:xfrm>
        <a:prstGeom prst="ellipse">
          <a:avLst/>
        </a:prstGeom>
        <a:noFill/>
        <a:ln w="47625"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311039</xdr:colOff>
      <xdr:row>0</xdr:row>
      <xdr:rowOff>13727</xdr:rowOff>
    </xdr:from>
    <xdr:to>
      <xdr:col>14</xdr:col>
      <xdr:colOff>465343</xdr:colOff>
      <xdr:row>2</xdr:row>
      <xdr:rowOff>81406</xdr:rowOff>
    </xdr:to>
    <xdr:sp macro="" textlink="">
      <xdr:nvSpPr>
        <xdr:cNvPr id="247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7626239" y="13727"/>
          <a:ext cx="1373504" cy="429629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1" u="none" strike="noStrike">
              <a:solidFill>
                <a:srgbClr val="00B0F0"/>
              </a:solidFill>
              <a:latin typeface="Calibri"/>
              <a:ea typeface="+mn-ea"/>
              <a:cs typeface="+mn-cs"/>
            </a:rPr>
            <a:t>Top Day</a:t>
          </a:r>
        </a:p>
      </xdr:txBody>
    </xdr:sp>
    <xdr:clientData/>
  </xdr:twoCellAnchor>
  <xdr:twoCellAnchor>
    <xdr:from>
      <xdr:col>14</xdr:col>
      <xdr:colOff>109537</xdr:colOff>
      <xdr:row>0</xdr:row>
      <xdr:rowOff>30736</xdr:rowOff>
    </xdr:from>
    <xdr:to>
      <xdr:col>15</xdr:col>
      <xdr:colOff>290512</xdr:colOff>
      <xdr:row>2</xdr:row>
      <xdr:rowOff>98415</xdr:rowOff>
    </xdr:to>
    <xdr:sp macro="" textlink="Analysis_2!AL5">
      <xdr:nvSpPr>
        <xdr:cNvPr id="249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8643937" y="30736"/>
          <a:ext cx="790575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6573293-C634-4CCF-ADD9-58AFBD24ED37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20-Apr</a:t>
          </a:fld>
          <a:endParaRPr lang="en-US" sz="1600" b="1" i="1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278142</xdr:colOff>
      <xdr:row>0</xdr:row>
      <xdr:rowOff>18489</xdr:rowOff>
    </xdr:from>
    <xdr:to>
      <xdr:col>17</xdr:col>
      <xdr:colOff>432446</xdr:colOff>
      <xdr:row>2</xdr:row>
      <xdr:rowOff>86168</xdr:rowOff>
    </xdr:to>
    <xdr:sp macro="" textlink="Analysis_2!AK7">
      <xdr:nvSpPr>
        <xdr:cNvPr id="250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9422142" y="18489"/>
          <a:ext cx="1373504" cy="440212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CC802BB-56B3-40BF-BAB9-DF4A37362763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Profit $28 954</a:t>
          </a:fld>
          <a:endParaRPr lang="en-US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411480</xdr:colOff>
          <xdr:row>11</xdr:row>
          <xdr:rowOff>83820</xdr:rowOff>
        </xdr:from>
        <xdr:to>
          <xdr:col>19</xdr:col>
          <xdr:colOff>342900</xdr:colOff>
          <xdr:row>12</xdr:row>
          <xdr:rowOff>91440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190500</xdr:colOff>
      <xdr:row>12</xdr:row>
      <xdr:rowOff>68580</xdr:rowOff>
    </xdr:from>
    <xdr:to>
      <xdr:col>8</xdr:col>
      <xdr:colOff>487680</xdr:colOff>
      <xdr:row>19</xdr:row>
      <xdr:rowOff>45720</xdr:rowOff>
    </xdr:to>
    <xdr:graphicFrame macro="">
      <xdr:nvGraphicFramePr>
        <xdr:cNvPr id="252" name="Диаграмма 2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170688</xdr:colOff>
      <xdr:row>10</xdr:row>
      <xdr:rowOff>175259</xdr:rowOff>
    </xdr:from>
    <xdr:to>
      <xdr:col>6</xdr:col>
      <xdr:colOff>396240</xdr:colOff>
      <xdr:row>12</xdr:row>
      <xdr:rowOff>22860</xdr:rowOff>
    </xdr:to>
    <xdr:sp macro="" textlink="Analysis_2!AT18">
      <xdr:nvSpPr>
        <xdr:cNvPr id="253" name="TextBox 252"/>
        <xdr:cNvSpPr txBox="1"/>
      </xdr:nvSpPr>
      <xdr:spPr>
        <a:xfrm>
          <a:off x="1999488" y="2004059"/>
          <a:ext cx="2054352" cy="213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F84501-2D07-4CC0-BE52-DDDF836F382D}" type="TxLink">
            <a:rPr lang="en-US" sz="11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Showing Total  COGS</a:t>
          </a:fld>
          <a:endParaRPr lang="en-US" sz="24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67190</xdr:colOff>
      <xdr:row>2</xdr:row>
      <xdr:rowOff>84623</xdr:rowOff>
    </xdr:from>
    <xdr:to>
      <xdr:col>3</xdr:col>
      <xdr:colOff>7695</xdr:colOff>
      <xdr:row>5</xdr:row>
      <xdr:rowOff>48806</xdr:rowOff>
    </xdr:to>
    <xdr:pic>
      <xdr:nvPicPr>
        <xdr:cNvPr id="254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390" y="446573"/>
          <a:ext cx="550105" cy="507108"/>
        </a:xfrm>
        <a:prstGeom prst="rect">
          <a:avLst/>
        </a:prstGeom>
        <a:effectLst>
          <a:outerShdw blurRad="50800" dist="38100" dir="16200000" rotWithShape="0">
            <a:prstClr val="black"/>
          </a:outerShdw>
        </a:effectLst>
      </xdr:spPr>
    </xdr:pic>
    <xdr:clientData/>
  </xdr:twoCellAnchor>
  <xdr:twoCellAnchor>
    <xdr:from>
      <xdr:col>1</xdr:col>
      <xdr:colOff>489396</xdr:colOff>
      <xdr:row>1</xdr:row>
      <xdr:rowOff>68543</xdr:rowOff>
    </xdr:from>
    <xdr:to>
      <xdr:col>3</xdr:col>
      <xdr:colOff>186912</xdr:colOff>
      <xdr:row>6</xdr:row>
      <xdr:rowOff>4923</xdr:rowOff>
    </xdr:to>
    <xdr:sp macro="" textlink="">
      <xdr:nvSpPr>
        <xdr:cNvPr id="255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98996" y="249518"/>
          <a:ext cx="916716" cy="841255"/>
        </a:xfrm>
        <a:prstGeom prst="ellipse">
          <a:avLst/>
        </a:prstGeom>
        <a:noFill/>
        <a:ln>
          <a:gradFill flip="none" rotWithShape="1">
            <a:gsLst>
              <a:gs pos="0">
                <a:srgbClr val="BC14B4"/>
              </a:gs>
              <a:gs pos="56200">
                <a:schemeClr val="bg1">
                  <a:lumMod val="95000"/>
                </a:schemeClr>
              </a:gs>
              <a:gs pos="100000">
                <a:srgbClr val="0070C0"/>
              </a:gs>
            </a:gsLst>
            <a:lin ang="10800000" scaled="1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519875</xdr:colOff>
      <xdr:row>6</xdr:row>
      <xdr:rowOff>69980</xdr:rowOff>
    </xdr:from>
    <xdr:to>
      <xdr:col>4</xdr:col>
      <xdr:colOff>133350</xdr:colOff>
      <xdr:row>9</xdr:row>
      <xdr:rowOff>77755</xdr:rowOff>
    </xdr:to>
    <xdr:sp macro="" textlink="">
      <xdr:nvSpPr>
        <xdr:cNvPr id="256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19875" y="1189653"/>
          <a:ext cx="2039434" cy="567612"/>
        </a:xfrm>
        <a:prstGeom prst="roundRect">
          <a:avLst>
            <a:gd name="adj" fmla="val 50000"/>
          </a:avLst>
        </a:prstGeom>
        <a:gradFill flip="none" rotWithShape="1">
          <a:gsLst>
            <a:gs pos="100000">
              <a:srgbClr val="BC14B4"/>
            </a:gs>
            <a:gs pos="42000">
              <a:schemeClr val="bg1">
                <a:lumMod val="95000"/>
                <a:alpha val="66000"/>
              </a:schemeClr>
            </a:gs>
            <a:gs pos="0">
              <a:srgbClr val="0070C0"/>
            </a:gs>
          </a:gsLst>
          <a:lin ang="10800000" scaled="1"/>
          <a:tileRect/>
        </a:gradFill>
        <a:ln>
          <a:noFill/>
        </a:ln>
        <a:effectLst>
          <a:outerShdw blurRad="50800" dist="38100" dir="10800000" algn="r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500" b="1" i="0" u="none" strike="noStrike">
            <a:solidFill>
              <a:srgbClr val="11101C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162165</xdr:colOff>
      <xdr:row>30</xdr:row>
      <xdr:rowOff>141092</xdr:rowOff>
    </xdr:from>
    <xdr:to>
      <xdr:col>14</xdr:col>
      <xdr:colOff>434580</xdr:colOff>
      <xdr:row>32</xdr:row>
      <xdr:rowOff>95373</xdr:rowOff>
    </xdr:to>
    <xdr:sp macro="" textlink="">
      <xdr:nvSpPr>
        <xdr:cNvPr id="257" name="Rounded Rectangle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8086965" y="5570342"/>
          <a:ext cx="882015" cy="316231"/>
        </a:xfrm>
        <a:prstGeom prst="roundRect">
          <a:avLst>
            <a:gd name="adj" fmla="val 0"/>
          </a:avLst>
        </a:prstGeom>
        <a:noFill/>
        <a:ln>
          <a:noFill/>
        </a:ln>
        <a:effectLst>
          <a:outerShdw blurRad="50800" dist="38100" dir="16200000" rotWithShape="0">
            <a:prstClr val="black">
              <a:alpha val="8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CLICK</a:t>
          </a:r>
        </a:p>
      </xdr:txBody>
    </xdr:sp>
    <xdr:clientData/>
  </xdr:twoCellAnchor>
  <xdr:twoCellAnchor>
    <xdr:from>
      <xdr:col>13</xdr:col>
      <xdr:colOff>114540</xdr:colOff>
      <xdr:row>32</xdr:row>
      <xdr:rowOff>122</xdr:rowOff>
    </xdr:from>
    <xdr:to>
      <xdr:col>15</xdr:col>
      <xdr:colOff>430770</xdr:colOff>
      <xdr:row>33</xdr:row>
      <xdr:rowOff>127758</xdr:rowOff>
    </xdr:to>
    <xdr:sp macro="" textlink="">
      <xdr:nvSpPr>
        <xdr:cNvPr id="258" name="Rounded Rectangle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8039340" y="5791322"/>
          <a:ext cx="1535430" cy="308611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/>
            <a:t>To learn more</a:t>
          </a:r>
        </a:p>
      </xdr:txBody>
    </xdr:sp>
    <xdr:clientData/>
  </xdr:twoCellAnchor>
  <xdr:twoCellAnchor>
    <xdr:from>
      <xdr:col>9</xdr:col>
      <xdr:colOff>442072</xdr:colOff>
      <xdr:row>0</xdr:row>
      <xdr:rowOff>30736</xdr:rowOff>
    </xdr:from>
    <xdr:to>
      <xdr:col>11</xdr:col>
      <xdr:colOff>596376</xdr:colOff>
      <xdr:row>2</xdr:row>
      <xdr:rowOff>98415</xdr:rowOff>
    </xdr:to>
    <xdr:sp macro="" textlink="">
      <xdr:nvSpPr>
        <xdr:cNvPr id="259" name="Rounded Rectangle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5928472" y="30736"/>
          <a:ext cx="1373504" cy="437793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Calibri"/>
            </a:rPr>
            <a:t>Daily</a:t>
          </a:r>
          <a:r>
            <a:rPr lang="en-US" sz="1200" b="1" i="0" u="none" strike="noStrike" baseline="0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Calibri"/>
            </a:rPr>
            <a:t> profit trends</a:t>
          </a:r>
          <a:endParaRPr lang="en-US" sz="1200" b="1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</xdr:col>
      <xdr:colOff>22242</xdr:colOff>
      <xdr:row>6</xdr:row>
      <xdr:rowOff>46653</xdr:rowOff>
    </xdr:from>
    <xdr:to>
      <xdr:col>4</xdr:col>
      <xdr:colOff>25635</xdr:colOff>
      <xdr:row>9</xdr:row>
      <xdr:rowOff>126951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732" y="1166326"/>
          <a:ext cx="1822862" cy="64013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" refreshedDate="45216.189432754632" createdVersion="6" refreshedVersion="6" minRefreshableVersion="3" recordCount="10889">
  <cacheSource type="worksheet">
    <worksheetSource name="Таблица8"/>
  </cacheSource>
  <cacheFields count="22">
    <cacheField name="Order ID" numFmtId="0">
      <sharedItems/>
    </cacheField>
    <cacheField name="Product ID" numFmtId="0">
      <sharedItems/>
    </cacheField>
    <cacheField name="Location ID" numFmtId="0">
      <sharedItems/>
    </cacheField>
    <cacheField name="Sales Person ID" numFmtId="0">
      <sharedItems/>
    </cacheField>
    <cacheField name="Customer ID" numFmtId="0">
      <sharedItems/>
    </cacheField>
    <cacheField name="Purchase Date" numFmtId="0">
      <sharedItems containsSemiMixedTypes="0" containsNonDate="0" containsDate="1" containsString="0" minDate="2019-01-01T00:00:00" maxDate="2021-03-16T00:00:00" count="805">
        <d v="2020-01-27T00:00:00"/>
        <d v="2020-01-13T00:00:00"/>
        <d v="2020-01-06T00:00:00"/>
        <d v="2020-01-20T00:00:00"/>
        <d v="2021-01-18T00:00:00"/>
        <d v="2021-01-11T00:00:00"/>
        <d v="2021-01-04T00:00:00"/>
        <d v="2021-01-25T00:00:00"/>
        <d v="2019-01-14T00:00:00"/>
        <d v="2019-01-21T00:00:00"/>
        <d v="2019-01-07T00:00:00"/>
        <d v="2019-01-28T00:00:00"/>
        <d v="2020-02-24T00:00:00"/>
        <d v="2020-02-10T00:00:00"/>
        <d v="2020-02-03T00:00:00"/>
        <d v="2020-02-17T00:00:00"/>
        <d v="2021-02-08T00:00:00"/>
        <d v="2021-02-01T00:00:00"/>
        <d v="2021-02-22T00:00:00"/>
        <d v="2021-02-15T00:00:00"/>
        <d v="2019-02-11T00:00:00"/>
        <d v="2019-02-18T00:00:00"/>
        <d v="2019-02-04T00:00:00"/>
        <d v="2019-02-25T00:00:00"/>
        <d v="2020-03-23T00:00:00"/>
        <d v="2020-03-09T00:00:00"/>
        <d v="2020-03-16T00:00:00"/>
        <d v="2020-03-02T00:00:00"/>
        <d v="2020-03-30T00:00:00"/>
        <d v="2021-03-08T00:00:00"/>
        <d v="2021-03-15T00:00:00"/>
        <d v="2021-03-01T00:00:00"/>
        <d v="2019-03-18T00:00:00"/>
        <d v="2019-03-11T00:00:00"/>
        <d v="2019-03-04T00:00:00"/>
        <d v="2019-03-25T00:00:00"/>
        <d v="2020-04-20T00:00:00"/>
        <d v="2020-04-13T00:00:00"/>
        <d v="2020-04-27T00:00:00"/>
        <d v="2020-04-06T00:00:00"/>
        <d v="2019-04-08T00:00:00"/>
        <d v="2019-04-01T00:00:00"/>
        <d v="2019-04-29T00:00:00"/>
        <d v="2019-04-15T00:00:00"/>
        <d v="2019-04-22T00:00:00"/>
        <d v="2020-05-04T00:00:00"/>
        <d v="2020-05-25T00:00:00"/>
        <d v="2020-05-18T00:00:00"/>
        <d v="2020-05-11T00:00:00"/>
        <d v="2019-05-27T00:00:00"/>
        <d v="2019-05-13T00:00:00"/>
        <d v="2019-05-20T00:00:00"/>
        <d v="2019-05-06T00:00:00"/>
        <d v="2020-06-15T00:00:00"/>
        <d v="2020-06-08T00:00:00"/>
        <d v="2020-06-29T00:00:00"/>
        <d v="2020-06-22T00:00:00"/>
        <d v="2020-06-01T00:00:00"/>
        <d v="2019-06-24T00:00:00"/>
        <d v="2019-06-03T00:00:00"/>
        <d v="2019-06-17T00:00:00"/>
        <d v="2019-06-10T00:00:00"/>
        <d v="2020-07-06T00:00:00"/>
        <d v="2020-07-20T00:00:00"/>
        <d v="2020-07-13T00:00:00"/>
        <d v="2020-07-27T00:00:00"/>
        <d v="2019-07-08T00:00:00"/>
        <d v="2019-07-22T00:00:00"/>
        <d v="2019-07-29T00:00:00"/>
        <d v="2019-07-15T00:00:00"/>
        <d v="2019-07-01T00:00:00"/>
        <d v="2020-08-17T00:00:00"/>
        <d v="2020-08-31T00:00:00"/>
        <d v="2020-08-24T00:00:00"/>
        <d v="2020-08-03T00:00:00"/>
        <d v="2020-08-10T00:00:00"/>
        <d v="2019-08-26T00:00:00"/>
        <d v="2019-08-19T00:00:00"/>
        <d v="2019-08-12T00:00:00"/>
        <d v="2019-08-05T00:00:00"/>
        <d v="2020-09-21T00:00:00"/>
        <d v="2020-09-14T00:00:00"/>
        <d v="2020-09-28T00:00:00"/>
        <d v="2020-09-07T00:00:00"/>
        <d v="2019-09-23T00:00:00"/>
        <d v="2019-09-16T00:00:00"/>
        <d v="2019-09-09T00:00:00"/>
        <d v="2019-09-30T00:00:00"/>
        <d v="2019-09-02T00:00:00"/>
        <d v="2020-10-26T00:00:00"/>
        <d v="2020-10-12T00:00:00"/>
        <d v="2020-10-05T00:00:00"/>
        <d v="2020-10-19T00:00:00"/>
        <d v="2019-10-14T00:00:00"/>
        <d v="2019-10-21T00:00:00"/>
        <d v="2019-10-07T00:00:00"/>
        <d v="2019-10-28T00:00:00"/>
        <d v="2020-11-09T00:00:00"/>
        <d v="2020-11-23T00:00:00"/>
        <d v="2020-11-30T00:00:00"/>
        <d v="2020-11-02T00:00:00"/>
        <d v="2020-11-16T00:00:00"/>
        <d v="2019-11-11T00:00:00"/>
        <d v="2019-11-18T00:00:00"/>
        <d v="2019-11-04T00:00:00"/>
        <d v="2019-11-25T00:00:00"/>
        <d v="2020-12-21T00:00:00"/>
        <d v="2020-12-14T00:00:00"/>
        <d v="2020-12-07T00:00:00"/>
        <d v="2020-12-28T00:00:00"/>
        <d v="2019-12-02T00:00:00"/>
        <d v="2019-12-30T00:00:00"/>
        <d v="2019-12-23T00:00:00"/>
        <d v="2019-12-16T00:00:00"/>
        <d v="2019-12-09T00:00:00"/>
        <d v="2020-01-28T00:00:00"/>
        <d v="2020-01-14T00:00:00"/>
        <d v="2020-01-07T00:00:00"/>
        <d v="2020-01-21T00:00:00"/>
        <d v="2021-01-05T00:00:00"/>
        <d v="2021-01-26T00:00:00"/>
        <d v="2021-01-19T00:00:00"/>
        <d v="2021-01-12T00:00:00"/>
        <d v="2019-01-01T00:00:00"/>
        <d v="2019-01-08T00:00:00"/>
        <d v="2019-01-15T00:00:00"/>
        <d v="2019-01-29T00:00:00"/>
        <d v="2019-01-22T00:00:00"/>
        <d v="2020-02-18T00:00:00"/>
        <d v="2020-02-04T00:00:00"/>
        <d v="2020-02-11T00:00:00"/>
        <d v="2020-02-25T00:00:00"/>
        <d v="2021-02-23T00:00:00"/>
        <d v="2021-02-09T00:00:00"/>
        <d v="2021-02-02T00:00:00"/>
        <d v="2021-02-16T00:00:00"/>
        <d v="2019-02-05T00:00:00"/>
        <d v="2019-02-19T00:00:00"/>
        <d v="2019-02-12T00:00:00"/>
        <d v="2019-02-26T00:00:00"/>
        <d v="2020-03-03T00:00:00"/>
        <d v="2020-03-10T00:00:00"/>
        <d v="2020-03-31T00:00:00"/>
        <d v="2020-03-17T00:00:00"/>
        <d v="2020-03-24T00:00:00"/>
        <d v="2021-03-02T00:00:00"/>
        <d v="2021-03-09T00:00:00"/>
        <d v="2019-03-12T00:00:00"/>
        <d v="2019-03-26T00:00:00"/>
        <d v="2019-03-05T00:00:00"/>
        <d v="2019-03-19T00:00:00"/>
        <d v="2020-04-14T00:00:00"/>
        <d v="2020-04-28T00:00:00"/>
        <d v="2020-04-21T00:00:00"/>
        <d v="2020-04-07T00:00:00"/>
        <d v="2019-04-23T00:00:00"/>
        <d v="2019-04-30T00:00:00"/>
        <d v="2019-04-09T00:00:00"/>
        <d v="2019-04-16T00:00:00"/>
        <d v="2019-04-02T00:00:00"/>
        <d v="2020-05-19T00:00:00"/>
        <d v="2020-05-26T00:00:00"/>
        <d v="2020-05-05T00:00:00"/>
        <d v="2020-05-12T00:00:00"/>
        <d v="2019-05-28T00:00:00"/>
        <d v="2019-05-14T00:00:00"/>
        <d v="2019-05-07T00:00:00"/>
        <d v="2019-05-21T00:00:00"/>
        <d v="2020-06-23T00:00:00"/>
        <d v="2020-06-02T00:00:00"/>
        <d v="2020-06-30T00:00:00"/>
        <d v="2020-06-16T00:00:00"/>
        <d v="2020-06-09T00:00:00"/>
        <d v="2019-06-04T00:00:00"/>
        <d v="2019-06-25T00:00:00"/>
        <d v="2019-06-11T00:00:00"/>
        <d v="2019-06-18T00:00:00"/>
        <d v="2020-07-07T00:00:00"/>
        <d v="2020-07-28T00:00:00"/>
        <d v="2020-07-21T00:00:00"/>
        <d v="2020-07-14T00:00:00"/>
        <d v="2019-07-23T00:00:00"/>
        <d v="2019-07-16T00:00:00"/>
        <d v="2019-07-30T00:00:00"/>
        <d v="2019-07-09T00:00:00"/>
        <d v="2019-07-02T00:00:00"/>
        <d v="2020-08-18T00:00:00"/>
        <d v="2020-08-25T00:00:00"/>
        <d v="2020-08-04T00:00:00"/>
        <d v="2020-08-11T00:00:00"/>
        <d v="2019-08-13T00:00:00"/>
        <d v="2019-08-06T00:00:00"/>
        <d v="2019-08-20T00:00:00"/>
        <d v="2019-08-27T00:00:00"/>
        <d v="2020-09-01T00:00:00"/>
        <d v="2020-09-29T00:00:00"/>
        <d v="2020-09-15T00:00:00"/>
        <d v="2020-09-08T00:00:00"/>
        <d v="2020-09-22T00:00:00"/>
        <d v="2019-09-03T00:00:00"/>
        <d v="2019-09-17T00:00:00"/>
        <d v="2019-09-24T00:00:00"/>
        <d v="2019-09-10T00:00:00"/>
        <d v="2020-10-27T00:00:00"/>
        <d v="2020-10-06T00:00:00"/>
        <d v="2020-10-20T00:00:00"/>
        <d v="2020-10-13T00:00:00"/>
        <d v="2019-10-22T00:00:00"/>
        <d v="2019-10-08T00:00:00"/>
        <d v="2019-10-29T00:00:00"/>
        <d v="2019-10-15T00:00:00"/>
        <d v="2019-10-01T00:00:00"/>
        <d v="2020-11-17T00:00:00"/>
        <d v="2020-11-24T00:00:00"/>
        <d v="2020-11-10T00:00:00"/>
        <d v="2020-11-03T00:00:00"/>
        <d v="2019-11-12T00:00:00"/>
        <d v="2019-11-26T00:00:00"/>
        <d v="2019-11-19T00:00:00"/>
        <d v="2019-11-05T00:00:00"/>
        <d v="2020-12-22T00:00:00"/>
        <d v="2020-12-29T00:00:00"/>
        <d v="2020-12-08T00:00:00"/>
        <d v="2020-12-01T00:00:00"/>
        <d v="2020-12-15T00:00:00"/>
        <d v="2019-12-17T00:00:00"/>
        <d v="2019-12-31T00:00:00"/>
        <d v="2019-12-03T00:00:00"/>
        <d v="2019-12-10T00:00:00"/>
        <d v="2019-12-24T00:00:00"/>
        <d v="2020-01-01T00:00:00"/>
        <d v="2020-01-29T00:00:00"/>
        <d v="2020-01-22T00:00:00"/>
        <d v="2020-01-08T00:00:00"/>
        <d v="2020-01-15T00:00:00"/>
        <d v="2021-01-06T00:00:00"/>
        <d v="2021-01-27T00:00:00"/>
        <d v="2021-01-20T00:00:00"/>
        <d v="2021-01-13T00:00:00"/>
        <d v="2019-01-23T00:00:00"/>
        <d v="2019-01-16T00:00:00"/>
        <d v="2019-01-30T00:00:00"/>
        <d v="2019-01-02T00:00:00"/>
        <d v="2019-01-09T00:00:00"/>
        <d v="2020-02-26T00:00:00"/>
        <d v="2020-02-05T00:00:00"/>
        <d v="2020-02-12T00:00:00"/>
        <d v="2020-02-19T00:00:00"/>
        <d v="2021-02-24T00:00:00"/>
        <d v="2021-02-03T00:00:00"/>
        <d v="2021-02-17T00:00:00"/>
        <d v="2021-02-10T00:00:00"/>
        <d v="2019-02-27T00:00:00"/>
        <d v="2019-02-13T00:00:00"/>
        <d v="2019-02-06T00:00:00"/>
        <d v="2019-02-20T00:00:00"/>
        <d v="2020-03-04T00:00:00"/>
        <d v="2020-03-18T00:00:00"/>
        <d v="2020-03-25T00:00:00"/>
        <d v="2020-03-11T00:00:00"/>
        <d v="2021-03-03T00:00:00"/>
        <d v="2021-03-10T00:00:00"/>
        <d v="2019-03-06T00:00:00"/>
        <d v="2019-03-20T00:00:00"/>
        <d v="2019-03-27T00:00:00"/>
        <d v="2019-03-13T00:00:00"/>
        <d v="2020-04-29T00:00:00"/>
        <d v="2020-04-08T00:00:00"/>
        <d v="2020-04-22T00:00:00"/>
        <d v="2020-04-15T00:00:00"/>
        <d v="2020-04-01T00:00:00"/>
        <d v="2019-04-03T00:00:00"/>
        <d v="2019-04-17T00:00:00"/>
        <d v="2019-04-24T00:00:00"/>
        <d v="2019-04-10T00:00:00"/>
        <d v="2020-05-27T00:00:00"/>
        <d v="2020-05-13T00:00:00"/>
        <d v="2020-05-20T00:00:00"/>
        <d v="2020-05-06T00:00:00"/>
        <d v="2019-05-01T00:00:00"/>
        <d v="2019-05-22T00:00:00"/>
        <d v="2019-05-29T00:00:00"/>
        <d v="2019-05-15T00:00:00"/>
        <d v="2019-05-08T00:00:00"/>
        <d v="2020-06-24T00:00:00"/>
        <d v="2020-06-17T00:00:00"/>
        <d v="2020-06-10T00:00:00"/>
        <d v="2020-06-03T00:00:00"/>
        <d v="2019-06-26T00:00:00"/>
        <d v="2019-06-05T00:00:00"/>
        <d v="2019-06-19T00:00:00"/>
        <d v="2019-06-12T00:00:00"/>
        <d v="2020-07-15T00:00:00"/>
        <d v="2020-07-22T00:00:00"/>
        <d v="2020-07-01T00:00:00"/>
        <d v="2020-07-08T00:00:00"/>
        <d v="2020-07-29T00:00:00"/>
        <d v="2019-07-17T00:00:00"/>
        <d v="2019-07-31T00:00:00"/>
        <d v="2019-07-24T00:00:00"/>
        <d v="2019-07-03T00:00:00"/>
        <d v="2019-07-10T00:00:00"/>
        <d v="2020-08-26T00:00:00"/>
        <d v="2020-08-19T00:00:00"/>
        <d v="2020-08-12T00:00:00"/>
        <d v="2020-08-05T00:00:00"/>
        <d v="2019-08-07T00:00:00"/>
        <d v="2019-08-21T00:00:00"/>
        <d v="2019-08-28T00:00:00"/>
        <d v="2019-08-14T00:00:00"/>
        <d v="2020-09-30T00:00:00"/>
        <d v="2020-09-02T00:00:00"/>
        <d v="2020-09-16T00:00:00"/>
        <d v="2020-09-23T00:00:00"/>
        <d v="2020-09-09T00:00:00"/>
        <d v="2019-09-11T00:00:00"/>
        <d v="2019-09-04T00:00:00"/>
        <d v="2019-09-25T00:00:00"/>
        <d v="2019-09-18T00:00:00"/>
        <d v="2020-10-14T00:00:00"/>
        <d v="2020-10-07T00:00:00"/>
        <d v="2020-10-28T00:00:00"/>
        <d v="2020-10-21T00:00:00"/>
        <d v="2019-10-02T00:00:00"/>
        <d v="2019-10-16T00:00:00"/>
        <d v="2019-10-30T00:00:00"/>
        <d v="2019-10-09T00:00:00"/>
        <d v="2019-10-23T00:00:00"/>
        <d v="2020-11-18T00:00:00"/>
        <d v="2020-11-04T00:00:00"/>
        <d v="2020-11-11T00:00:00"/>
        <d v="2020-11-25T00:00:00"/>
        <d v="2019-11-20T00:00:00"/>
        <d v="2019-11-06T00:00:00"/>
        <d v="2019-11-27T00:00:00"/>
        <d v="2019-11-13T00:00:00"/>
        <d v="2020-12-30T00:00:00"/>
        <d v="2020-12-02T00:00:00"/>
        <d v="2020-12-09T00:00:00"/>
        <d v="2020-12-23T00:00:00"/>
        <d v="2020-12-16T00:00:00"/>
        <d v="2019-12-04T00:00:00"/>
        <d v="2019-12-11T00:00:00"/>
        <d v="2019-12-25T00:00:00"/>
        <d v="2019-12-18T00:00:00"/>
        <d v="2020-01-30T00:00:00"/>
        <d v="2020-01-16T00:00:00"/>
        <d v="2020-01-02T00:00:00"/>
        <d v="2020-01-09T00:00:00"/>
        <d v="2020-01-23T00:00:00"/>
        <d v="2021-01-14T00:00:00"/>
        <d v="2021-01-21T00:00:00"/>
        <d v="2021-01-07T00:00:00"/>
        <d v="2021-01-28T00:00:00"/>
        <d v="2019-01-24T00:00:00"/>
        <d v="2019-01-31T00:00:00"/>
        <d v="2019-01-17T00:00:00"/>
        <d v="2019-01-10T00:00:00"/>
        <d v="2019-01-03T00:00:00"/>
        <d v="2020-02-13T00:00:00"/>
        <d v="2020-02-20T00:00:00"/>
        <d v="2020-02-27T00:00:00"/>
        <d v="2020-02-06T00:00:00"/>
        <d v="2021-02-18T00:00:00"/>
        <d v="2021-02-25T00:00:00"/>
        <d v="2021-02-04T00:00:00"/>
        <d v="2021-02-11T00:00:00"/>
        <d v="2019-02-07T00:00:00"/>
        <d v="2019-02-28T00:00:00"/>
        <d v="2019-02-14T00:00:00"/>
        <d v="2019-02-21T00:00:00"/>
        <d v="2020-03-26T00:00:00"/>
        <d v="2020-03-05T00:00:00"/>
        <d v="2020-03-19T00:00:00"/>
        <d v="2020-03-12T00:00:00"/>
        <d v="2021-03-11T00:00:00"/>
        <d v="2021-03-04T00:00:00"/>
        <d v="2019-03-28T00:00:00"/>
        <d v="2019-03-14T00:00:00"/>
        <d v="2019-03-07T00:00:00"/>
        <d v="2019-03-21T00:00:00"/>
        <d v="2020-04-09T00:00:00"/>
        <d v="2020-04-23T00:00:00"/>
        <d v="2020-04-30T00:00:00"/>
        <d v="2020-04-16T00:00:00"/>
        <d v="2020-04-02T00:00:00"/>
        <d v="2019-04-18T00:00:00"/>
        <d v="2019-04-04T00:00:00"/>
        <d v="2019-04-11T00:00:00"/>
        <d v="2019-04-25T00:00:00"/>
        <d v="2020-05-14T00:00:00"/>
        <d v="2020-05-28T00:00:00"/>
        <d v="2020-05-07T00:00:00"/>
        <d v="2020-05-21T00:00:00"/>
        <d v="2019-05-30T00:00:00"/>
        <d v="2019-05-16T00:00:00"/>
        <d v="2019-05-23T00:00:00"/>
        <d v="2019-05-02T00:00:00"/>
        <d v="2019-05-09T00:00:00"/>
        <d v="2020-06-11T00:00:00"/>
        <d v="2020-06-18T00:00:00"/>
        <d v="2020-06-25T00:00:00"/>
        <d v="2020-06-04T00:00:00"/>
        <d v="2019-06-27T00:00:00"/>
        <d v="2019-06-13T00:00:00"/>
        <d v="2019-06-20T00:00:00"/>
        <d v="2019-06-06T00:00:00"/>
        <d v="2020-07-09T00:00:00"/>
        <d v="2020-07-30T00:00:00"/>
        <d v="2020-07-23T00:00:00"/>
        <d v="2020-07-02T00:00:00"/>
        <d v="2020-07-16T00:00:00"/>
        <d v="2019-07-04T00:00:00"/>
        <d v="2019-07-11T00:00:00"/>
        <d v="2019-07-25T00:00:00"/>
        <d v="2019-07-18T00:00:00"/>
        <d v="2020-08-13T00:00:00"/>
        <d v="2020-08-27T00:00:00"/>
        <d v="2020-08-20T00:00:00"/>
        <d v="2020-08-06T00:00:00"/>
        <d v="2019-08-01T00:00:00"/>
        <d v="2019-08-22T00:00:00"/>
        <d v="2019-08-08T00:00:00"/>
        <d v="2019-08-29T00:00:00"/>
        <d v="2019-08-15T00:00:00"/>
        <d v="2020-09-24T00:00:00"/>
        <d v="2020-09-17T00:00:00"/>
        <d v="2020-09-10T00:00:00"/>
        <d v="2020-09-03T00:00:00"/>
        <d v="2019-09-05T00:00:00"/>
        <d v="2019-09-12T00:00:00"/>
        <d v="2019-09-26T00:00:00"/>
        <d v="2019-09-19T00:00:00"/>
        <d v="2020-10-29T00:00:00"/>
        <d v="2020-10-22T00:00:00"/>
        <d v="2020-10-08T00:00:00"/>
        <d v="2020-10-15T00:00:00"/>
        <d v="2020-10-01T00:00:00"/>
        <d v="2019-10-03T00:00:00"/>
        <d v="2019-10-17T00:00:00"/>
        <d v="2019-10-24T00:00:00"/>
        <d v="2019-10-31T00:00:00"/>
        <d v="2019-10-10T00:00:00"/>
        <d v="2020-11-05T00:00:00"/>
        <d v="2020-11-12T00:00:00"/>
        <d v="2020-11-26T00:00:00"/>
        <d v="2020-11-19T00:00:00"/>
        <d v="2019-11-28T00:00:00"/>
        <d v="2019-11-21T00:00:00"/>
        <d v="2019-11-14T00:00:00"/>
        <d v="2019-11-07T00:00:00"/>
        <d v="2020-12-10T00:00:00"/>
        <d v="2020-12-24T00:00:00"/>
        <d v="2020-12-31T00:00:00"/>
        <d v="2020-12-17T00:00:00"/>
        <d v="2020-12-03T00:00:00"/>
        <d v="2019-12-19T00:00:00"/>
        <d v="2019-12-05T00:00:00"/>
        <d v="2019-12-12T00:00:00"/>
        <d v="2019-12-26T00:00:00"/>
        <d v="2020-01-03T00:00:00"/>
        <d v="2020-01-17T00:00:00"/>
        <d v="2020-01-10T00:00:00"/>
        <d v="2020-01-24T00:00:00"/>
        <d v="2020-01-31T00:00:00"/>
        <d v="2021-01-22T00:00:00"/>
        <d v="2021-01-15T00:00:00"/>
        <d v="2021-01-01T00:00:00"/>
        <d v="2021-01-29T00:00:00"/>
        <d v="2021-01-08T00:00:00"/>
        <d v="2019-01-18T00:00:00"/>
        <d v="2019-01-04T00:00:00"/>
        <d v="2019-01-11T00:00:00"/>
        <d v="2019-01-25T00:00:00"/>
        <d v="2020-02-21T00:00:00"/>
        <d v="2020-02-14T00:00:00"/>
        <d v="2020-02-28T00:00:00"/>
        <d v="2020-02-07T00:00:00"/>
        <d v="2021-02-19T00:00:00"/>
        <d v="2021-02-05T00:00:00"/>
        <d v="2021-02-12T00:00:00"/>
        <d v="2021-02-26T00:00:00"/>
        <d v="2019-02-15T00:00:00"/>
        <d v="2019-02-08T00:00:00"/>
        <d v="2019-02-22T00:00:00"/>
        <d v="2019-02-01T00:00:00"/>
        <d v="2020-03-27T00:00:00"/>
        <d v="2020-03-06T00:00:00"/>
        <d v="2020-03-13T00:00:00"/>
        <d v="2020-03-20T00:00:00"/>
        <d v="2021-03-05T00:00:00"/>
        <d v="2021-03-12T00:00:00"/>
        <d v="2019-03-29T00:00:00"/>
        <d v="2019-03-08T00:00:00"/>
        <d v="2019-03-15T00:00:00"/>
        <d v="2019-03-01T00:00:00"/>
        <d v="2019-03-22T00:00:00"/>
        <d v="2020-04-24T00:00:00"/>
        <d v="2020-04-17T00:00:00"/>
        <d v="2020-04-03T00:00:00"/>
        <d v="2020-04-10T00:00:00"/>
        <d v="2019-04-19T00:00:00"/>
        <d v="2019-04-26T00:00:00"/>
        <d v="2019-04-12T00:00:00"/>
        <d v="2019-04-05T00:00:00"/>
        <d v="2020-05-08T00:00:00"/>
        <d v="2020-05-01T00:00:00"/>
        <d v="2020-05-22T00:00:00"/>
        <d v="2020-05-29T00:00:00"/>
        <d v="2020-05-15T00:00:00"/>
        <d v="2019-05-10T00:00:00"/>
        <d v="2019-05-31T00:00:00"/>
        <d v="2019-05-03T00:00:00"/>
        <d v="2019-05-24T00:00:00"/>
        <d v="2019-05-17T00:00:00"/>
        <d v="2020-06-19T00:00:00"/>
        <d v="2020-06-26T00:00:00"/>
        <d v="2020-06-05T00:00:00"/>
        <d v="2020-06-12T00:00:00"/>
        <d v="2019-06-07T00:00:00"/>
        <d v="2019-06-14T00:00:00"/>
        <d v="2019-06-21T00:00:00"/>
        <d v="2019-06-28T00:00:00"/>
        <d v="2020-07-10T00:00:00"/>
        <d v="2020-07-17T00:00:00"/>
        <d v="2020-07-24T00:00:00"/>
        <d v="2020-07-31T00:00:00"/>
        <d v="2020-07-03T00:00:00"/>
        <d v="2019-07-19T00:00:00"/>
        <d v="2019-07-26T00:00:00"/>
        <d v="2019-07-05T00:00:00"/>
        <d v="2019-07-12T00:00:00"/>
        <d v="2020-08-07T00:00:00"/>
        <d v="2020-08-21T00:00:00"/>
        <d v="2020-08-28T00:00:00"/>
        <d v="2020-08-14T00:00:00"/>
        <d v="2019-08-16T00:00:00"/>
        <d v="2019-08-30T00:00:00"/>
        <d v="2019-08-23T00:00:00"/>
        <d v="2019-08-09T00:00:00"/>
        <d v="2019-08-02T00:00:00"/>
        <d v="2020-09-11T00:00:00"/>
        <d v="2020-09-04T00:00:00"/>
        <d v="2020-09-25T00:00:00"/>
        <d v="2020-09-18T00:00:00"/>
        <d v="2019-09-20T00:00:00"/>
        <d v="2019-09-27T00:00:00"/>
        <d v="2019-09-13T00:00:00"/>
        <d v="2019-09-06T00:00:00"/>
        <d v="2020-10-30T00:00:00"/>
        <d v="2020-10-16T00:00:00"/>
        <d v="2020-10-23T00:00:00"/>
        <d v="2020-10-02T00:00:00"/>
        <d v="2020-10-09T00:00:00"/>
        <d v="2019-10-11T00:00:00"/>
        <d v="2019-10-25T00:00:00"/>
        <d v="2019-10-04T00:00:00"/>
        <d v="2019-10-18T00:00:00"/>
        <d v="2020-11-06T00:00:00"/>
        <d v="2020-11-13T00:00:00"/>
        <d v="2020-11-27T00:00:00"/>
        <d v="2020-11-20T00:00:00"/>
        <d v="2019-11-15T00:00:00"/>
        <d v="2019-11-29T00:00:00"/>
        <d v="2019-11-01T00:00:00"/>
        <d v="2019-11-22T00:00:00"/>
        <d v="2019-11-08T00:00:00"/>
        <d v="2020-12-11T00:00:00"/>
        <d v="2020-12-18T00:00:00"/>
        <d v="2020-12-25T00:00:00"/>
        <d v="2020-12-04T00:00:00"/>
        <d v="2019-12-27T00:00:00"/>
        <d v="2019-12-20T00:00:00"/>
        <d v="2019-12-13T00:00:00"/>
        <d v="2019-12-06T00:00:00"/>
        <d v="2020-01-04T00:00:00"/>
        <d v="2020-01-11T00:00:00"/>
        <d v="2020-01-18T00:00:00"/>
        <d v="2020-01-25T00:00:00"/>
        <d v="2021-01-16T00:00:00"/>
        <d v="2021-01-30T00:00:00"/>
        <d v="2021-01-09T00:00:00"/>
        <d v="2021-01-23T00:00:00"/>
        <d v="2021-01-02T00:00:00"/>
        <d v="2019-01-12T00:00:00"/>
        <d v="2019-01-19T00:00:00"/>
        <d v="2019-01-05T00:00:00"/>
        <d v="2019-01-26T00:00:00"/>
        <d v="2020-02-15T00:00:00"/>
        <d v="2020-02-29T00:00:00"/>
        <d v="2020-02-01T00:00:00"/>
        <d v="2020-02-08T00:00:00"/>
        <d v="2020-02-22T00:00:00"/>
        <d v="2021-02-20T00:00:00"/>
        <d v="2021-02-06T00:00:00"/>
        <d v="2021-02-27T00:00:00"/>
        <d v="2021-02-13T00:00:00"/>
        <d v="2019-02-02T00:00:00"/>
        <d v="2019-02-09T00:00:00"/>
        <d v="2019-02-23T00:00:00"/>
        <d v="2019-02-16T00:00:00"/>
        <d v="2020-03-14T00:00:00"/>
        <d v="2020-03-28T00:00:00"/>
        <d v="2020-03-07T00:00:00"/>
        <d v="2020-03-21T00:00:00"/>
        <d v="2021-03-13T00:00:00"/>
        <d v="2021-03-06T00:00:00"/>
        <d v="2019-03-09T00:00:00"/>
        <d v="2019-03-30T00:00:00"/>
        <d v="2019-03-23T00:00:00"/>
        <d v="2019-03-02T00:00:00"/>
        <d v="2019-03-16T00:00:00"/>
        <d v="2020-04-11T00:00:00"/>
        <d v="2020-04-18T00:00:00"/>
        <d v="2020-04-04T00:00:00"/>
        <d v="2020-04-25T00:00:00"/>
        <d v="2019-04-13T00:00:00"/>
        <d v="2019-04-27T00:00:00"/>
        <d v="2019-04-20T00:00:00"/>
        <d v="2019-04-06T00:00:00"/>
        <d v="2020-05-09T00:00:00"/>
        <d v="2020-05-23T00:00:00"/>
        <d v="2020-05-02T00:00:00"/>
        <d v="2020-05-16T00:00:00"/>
        <d v="2020-05-30T00:00:00"/>
        <d v="2019-05-25T00:00:00"/>
        <d v="2019-05-18T00:00:00"/>
        <d v="2019-05-11T00:00:00"/>
        <d v="2019-05-04T00:00:00"/>
        <d v="2020-06-13T00:00:00"/>
        <d v="2020-06-06T00:00:00"/>
        <d v="2020-06-27T00:00:00"/>
        <d v="2020-06-20T00:00:00"/>
        <d v="2019-06-22T00:00:00"/>
        <d v="2019-06-29T00:00:00"/>
        <d v="2019-06-01T00:00:00"/>
        <d v="2019-06-08T00:00:00"/>
        <d v="2019-06-15T00:00:00"/>
        <d v="2020-07-18T00:00:00"/>
        <d v="2020-07-04T00:00:00"/>
        <d v="2020-07-25T00:00:00"/>
        <d v="2020-07-11T00:00:00"/>
        <d v="2019-07-20T00:00:00"/>
        <d v="2019-07-06T00:00:00"/>
        <d v="2019-07-27T00:00:00"/>
        <d v="2019-07-13T00:00:00"/>
        <d v="2020-08-08T00:00:00"/>
        <d v="2020-08-15T00:00:00"/>
        <d v="2020-08-29T00:00:00"/>
        <d v="2020-08-01T00:00:00"/>
        <d v="2020-08-22T00:00:00"/>
        <d v="2019-08-10T00:00:00"/>
        <d v="2019-08-31T00:00:00"/>
        <d v="2019-08-17T00:00:00"/>
        <d v="2019-08-03T00:00:00"/>
        <d v="2019-08-24T00:00:00"/>
        <d v="2020-09-05T00:00:00"/>
        <d v="2020-09-12T00:00:00"/>
        <d v="2020-09-19T00:00:00"/>
        <d v="2020-09-26T00:00:00"/>
        <d v="2019-09-14T00:00:00"/>
        <d v="2019-09-21T00:00:00"/>
        <d v="2019-09-28T00:00:00"/>
        <d v="2019-09-07T00:00:00"/>
        <d v="2020-10-17T00:00:00"/>
        <d v="2020-10-10T00:00:00"/>
        <d v="2020-10-31T00:00:00"/>
        <d v="2020-10-24T00:00:00"/>
        <d v="2020-10-03T00:00:00"/>
        <d v="2019-10-12T00:00:00"/>
        <d v="2019-10-05T00:00:00"/>
        <d v="2019-10-19T00:00:00"/>
        <d v="2019-10-26T00:00:00"/>
        <d v="2020-11-14T00:00:00"/>
        <d v="2020-11-07T00:00:00"/>
        <d v="2020-11-21T00:00:00"/>
        <d v="2020-11-28T00:00:00"/>
        <d v="2019-11-30T00:00:00"/>
        <d v="2019-11-16T00:00:00"/>
        <d v="2019-11-23T00:00:00"/>
        <d v="2019-11-09T00:00:00"/>
        <d v="2019-11-02T00:00:00"/>
        <d v="2020-12-05T00:00:00"/>
        <d v="2020-12-19T00:00:00"/>
        <d v="2020-12-26T00:00:00"/>
        <d v="2020-12-12T00:00:00"/>
        <d v="2019-12-07T00:00:00"/>
        <d v="2019-12-14T00:00:00"/>
        <d v="2019-12-28T00:00:00"/>
        <d v="2019-12-21T00:00:00"/>
        <d v="2020-01-26T00:00:00"/>
        <d v="2020-01-19T00:00:00"/>
        <d v="2020-01-12T00:00:00"/>
        <d v="2020-01-05T00:00:00"/>
        <d v="2021-01-17T00:00:00"/>
        <d v="2021-01-03T00:00:00"/>
        <d v="2021-01-24T00:00:00"/>
        <d v="2021-01-31T00:00:00"/>
        <d v="2021-01-10T00:00:00"/>
        <d v="2019-01-13T00:00:00"/>
        <d v="2019-01-27T00:00:00"/>
        <d v="2019-01-20T00:00:00"/>
        <d v="2019-01-06T00:00:00"/>
        <d v="2020-02-16T00:00:00"/>
        <d v="2020-02-09T00:00:00"/>
        <d v="2020-02-02T00:00:00"/>
        <d v="2020-02-23T00:00:00"/>
        <d v="2021-02-14T00:00:00"/>
        <d v="2021-02-28T00:00:00"/>
        <d v="2021-02-21T00:00:00"/>
        <d v="2021-02-07T00:00:00"/>
        <d v="2019-02-24T00:00:00"/>
        <d v="2019-02-10T00:00:00"/>
        <d v="2019-02-03T00:00:00"/>
        <d v="2019-02-17T00:00:00"/>
        <d v="2020-03-15T00:00:00"/>
        <d v="2020-03-29T00:00:00"/>
        <d v="2020-03-22T00:00:00"/>
        <d v="2020-03-08T00:00:00"/>
        <d v="2020-03-01T00:00:00"/>
        <d v="2021-03-14T00:00:00"/>
        <d v="2021-03-07T00:00:00"/>
        <d v="2019-03-24T00:00:00"/>
        <d v="2019-03-10T00:00:00"/>
        <d v="2019-03-17T00:00:00"/>
        <d v="2019-03-31T00:00:00"/>
        <d v="2019-03-03T00:00:00"/>
        <d v="2020-04-19T00:00:00"/>
        <d v="2020-04-05T00:00:00"/>
        <d v="2020-04-26T00:00:00"/>
        <d v="2020-04-12T00:00:00"/>
        <d v="2019-04-21T00:00:00"/>
        <d v="2019-04-07T00:00:00"/>
        <d v="2019-04-28T00:00:00"/>
        <d v="2019-04-14T00:00:00"/>
        <d v="2020-05-03T00:00:00"/>
        <d v="2020-05-31T00:00:00"/>
        <d v="2020-05-24T00:00:00"/>
        <d v="2020-05-17T00:00:00"/>
        <d v="2020-05-10T00:00:00"/>
        <d v="2019-05-26T00:00:00"/>
        <d v="2019-05-19T00:00:00"/>
        <d v="2019-05-05T00:00:00"/>
        <d v="2019-05-12T00:00:00"/>
        <d v="2020-06-14T00:00:00"/>
        <d v="2020-06-28T00:00:00"/>
        <d v="2020-06-21T00:00:00"/>
        <d v="2020-06-07T00:00:00"/>
        <d v="2019-06-02T00:00:00"/>
        <d v="2019-06-09T00:00:00"/>
        <d v="2019-06-16T00:00:00"/>
        <d v="2019-06-23T00:00:00"/>
        <d v="2019-06-30T00:00:00"/>
        <d v="2020-07-26T00:00:00"/>
        <d v="2020-07-05T00:00:00"/>
        <d v="2020-07-19T00:00:00"/>
        <d v="2020-07-12T00:00:00"/>
        <d v="2019-07-28T00:00:00"/>
        <d v="2019-07-21T00:00:00"/>
        <d v="2019-07-14T00:00:00"/>
        <d v="2019-07-07T00:00:00"/>
        <d v="2020-08-02T00:00:00"/>
        <d v="2020-08-09T00:00:00"/>
        <d v="2020-08-16T00:00:00"/>
        <d v="2020-08-30T00:00:00"/>
        <d v="2020-08-23T00:00:00"/>
        <d v="2019-08-18T00:00:00"/>
        <d v="2019-08-25T00:00:00"/>
        <d v="2019-08-11T00:00:00"/>
        <d v="2019-08-04T00:00:00"/>
        <d v="2020-09-27T00:00:00"/>
        <d v="2020-09-06T00:00:00"/>
        <d v="2020-09-20T00:00:00"/>
        <d v="2020-09-13T00:00:00"/>
        <d v="2019-09-15T00:00:00"/>
        <d v="2019-09-29T00:00:00"/>
        <d v="2019-09-22T00:00:00"/>
        <d v="2019-09-08T00:00:00"/>
        <d v="2019-09-01T00:00:00"/>
        <d v="2020-10-18T00:00:00"/>
        <d v="2020-10-11T00:00:00"/>
        <d v="2020-10-04T00:00:00"/>
        <d v="2020-10-25T00:00:00"/>
        <d v="2019-10-27T00:00:00"/>
        <d v="2019-10-06T00:00:00"/>
        <d v="2019-10-20T00:00:00"/>
        <d v="2019-10-13T00:00:00"/>
        <d v="2020-11-22T00:00:00"/>
        <d v="2020-11-01T00:00:00"/>
        <d v="2020-11-08T00:00:00"/>
        <d v="2020-11-15T00:00:00"/>
        <d v="2020-11-29T00:00:00"/>
        <d v="2019-11-10T00:00:00"/>
        <d v="2019-11-24T00:00:00"/>
        <d v="2019-11-03T00:00:00"/>
        <d v="2019-11-17T00:00:00"/>
        <d v="2020-12-13T00:00:00"/>
        <d v="2020-12-06T00:00:00"/>
        <d v="2020-12-27T00:00:00"/>
        <d v="2020-12-20T00:00:00"/>
        <d v="2019-12-08T00:00:00"/>
        <d v="2019-12-15T00:00:00"/>
        <d v="2019-12-29T00:00:00"/>
        <d v="2019-12-01T00:00:00"/>
        <d v="2019-12-22T00:00:00"/>
      </sharedItems>
    </cacheField>
    <cacheField name="Quantity" numFmtId="0">
      <sharedItems containsSemiMixedTypes="0" containsString="0" containsNumber="1" containsInteger="1" minValue="1" maxValue="4"/>
    </cacheField>
    <cacheField name="Price" numFmtId="0">
      <sharedItems containsSemiMixedTypes="0" containsString="0" containsNumber="1" containsInteger="1" minValue="35" maxValue="2497"/>
    </cacheField>
    <cacheField name="Cost" numFmtId="0">
      <sharedItems containsSemiMixedTypes="0" containsString="0" containsNumber="1" containsInteger="1" minValue="22" maxValue="1965"/>
    </cacheField>
    <cacheField name="COGS" numFmtId="0">
      <sharedItems containsSemiMixedTypes="0" containsString="0" containsNumber="1" containsInteger="1" minValue="22" maxValue="7860"/>
    </cacheField>
    <cacheField name="Revenue" numFmtId="0">
      <sharedItems containsSemiMixedTypes="0" containsString="0" containsNumber="1" containsInteger="1" minValue="35" maxValue="9988"/>
    </cacheField>
    <cacheField name="Profit" numFmtId="0">
      <sharedItems containsSemiMixedTypes="0" containsString="0" containsNumber="1" containsInteger="1" minValue="13" maxValue="4400"/>
    </cacheField>
    <cacheField name="Product" numFmtId="0">
      <sharedItems/>
    </cacheField>
    <cacheField name="City" numFmtId="0">
      <sharedItems count="74">
        <s v="Visalia"/>
        <s v="Salinas"/>
        <s v="Santa Rosa"/>
        <s v="Stockton"/>
        <s v="Lancaster"/>
        <s v="Huntington Beach"/>
        <s v="Santa Maria"/>
        <s v="San Mateo"/>
        <s v="San Buenaventura (Ventura)"/>
        <s v="Santa Clarita"/>
        <s v="Murrieta"/>
        <s v="Chula Vista"/>
        <s v="Irvine"/>
        <s v="Santa Clara"/>
        <s v="San Jose"/>
        <s v="El Monte"/>
        <s v="Fontana"/>
        <s v="Vallejo"/>
        <s v="Orange"/>
        <s v="Fairfield"/>
        <s v="Fremont"/>
        <s v="Clovis"/>
        <s v="Jurupa Valley"/>
        <s v="Oxnard"/>
        <s v="San Diego"/>
        <s v="West Covina"/>
        <s v="San Bernardino"/>
        <s v="Rialto"/>
        <s v="El Cajon"/>
        <s v="Escondido"/>
        <s v="Sacramento"/>
        <s v="Hayward"/>
        <s v="Long Beach"/>
        <s v="Elk Grove"/>
        <s v="Garden Grove"/>
        <s v="Rancho Cucamonga"/>
        <s v="Vista"/>
        <s v="Oceanside"/>
        <s v="Ontario"/>
        <s v="Pasadena"/>
        <s v="Torrance"/>
        <s v="Moreno Valley"/>
        <s v="Richmond"/>
        <s v="Norwalk"/>
        <s v="Bakersfield"/>
        <s v="Carlsbad"/>
        <s v="Modesto"/>
        <s v="Victorville"/>
        <s v="Los Angeles"/>
        <s v="Concord"/>
        <s v="Burbank"/>
        <s v="Simi Valley"/>
        <s v="Anaheim"/>
        <s v="San Francisco"/>
        <s v="Daly City"/>
        <s v="Sunnyvale"/>
        <s v="Palmdale"/>
        <s v="Corona"/>
        <s v="Santa Ana"/>
        <s v="Roseville"/>
        <s v="Antioch"/>
        <s v="Berkeley"/>
        <s v="Riverside"/>
        <s v="Costa Mesa"/>
        <s v="Thousand Oaks"/>
        <s v="Pomona"/>
        <s v="Downey"/>
        <s v="Glendale"/>
        <s v="Oakland"/>
        <s v="Inglewood"/>
        <s v="Temecula"/>
        <s v="Fullerton"/>
        <s v="Fresno"/>
        <s v="East Los Angeles"/>
      </sharedItems>
    </cacheField>
    <cacheField name="Sales reps" numFmtId="0">
      <sharedItems/>
    </cacheField>
    <cacheField name="Customer Name" numFmtId="0">
      <sharedItems count="801">
        <s v="Matthew Fernandez"/>
        <s v="Nicholas Ward"/>
        <s v="Bobby Murray"/>
        <s v="Gregory Boyd"/>
        <s v="Donald Andrews"/>
        <s v="Phillip Edwards"/>
        <s v="Keith Campbell"/>
        <s v="Chris Burke"/>
        <s v="Ronald Barnes"/>
        <s v="Gary Hudson"/>
        <s v="Jeffrey Carpenter"/>
        <s v="Christopher Weaver"/>
        <s v="Kenneth Hill"/>
        <s v="Bruce Morrison"/>
        <s v="Benjamin Lynch"/>
        <s v="Justin Graham"/>
        <s v="Chris Howard"/>
        <s v="Howard Lewis"/>
        <s v="Jeremy Jenkins"/>
        <s v="Michael Hill"/>
        <s v="Joshua Jones"/>
        <s v="Brandon Diaz"/>
        <s v="Fred Russell"/>
        <s v="Stephen Andrews"/>
        <s v="Bobby Greene"/>
        <s v="Phillip Webb"/>
        <s v="Jason Duncan"/>
        <s v="Raymond Allen"/>
        <s v="Eugene Weaver"/>
        <s v="Nicholas Cunningham"/>
        <s v="Eugene Murphy"/>
        <s v="Kevin Moreno"/>
        <s v="Patrick Brown"/>
        <s v="Thomas Gray"/>
        <s v="Aaron Carr"/>
        <s v="Shawn Owens"/>
        <s v="Victor Gray"/>
        <s v="Eugene Castillo"/>
        <s v="Phillip Ellis"/>
        <s v="Adam Bailey"/>
        <s v="Henry Reyes"/>
        <s v="Antonio Nelson"/>
        <s v="Eugene Cunningham"/>
        <s v="Clarence Freeman"/>
        <s v="Steven Carr"/>
        <s v="Ralph Olson"/>
        <s v="William Andrews"/>
        <s v="Todd George"/>
        <s v="James Foster"/>
        <s v="Mark Montgomery"/>
        <s v="Jack Lewis"/>
        <s v="Samuel Kim"/>
        <s v="Johnny Ramos"/>
        <s v="Ralph Davis"/>
        <s v="Eugene Ryan"/>
        <s v="Todd Price"/>
        <s v="Michael Lane"/>
        <s v="Jesse Evans"/>
        <s v="Jose Williams"/>
        <s v="Ernest Fox"/>
        <s v="Peter Warren"/>
        <s v="James Williams"/>
        <s v="Scott Rice"/>
        <s v="Adam Wheeler"/>
        <s v="George Fowler"/>
        <s v="Peter Castillo"/>
        <s v="Jerry Rogers"/>
        <s v="Wayne Owens"/>
        <s v="Peter Meyer"/>
        <s v="Kenneth Marshall"/>
        <s v="Jose Lewis"/>
        <s v="Peter Freeman"/>
        <s v="Howard Harrison"/>
        <s v="Aaron Mills"/>
        <s v="Andrew Graham"/>
        <s v="Edward Gonzalez"/>
        <s v="Roy Carpenter"/>
        <s v="Todd Lynch"/>
        <s v="Kevin Willis"/>
        <s v="Aaron Tucker"/>
        <s v="Jason Murphy"/>
        <s v="Frank Gibson"/>
        <s v="Shawn Snyder"/>
        <s v="Jeremy Wilson"/>
        <s v="Jeremy Peterson"/>
        <s v="Fred Stone"/>
        <s v="Jesse Castillo"/>
        <s v="Joe Coleman"/>
        <s v="Jesse Garrett"/>
        <s v="Donald Collins"/>
        <s v="Steven Martinez"/>
        <s v="Sean Black"/>
        <s v="Alan Green"/>
        <s v="George Nichols"/>
        <s v="George Ellis"/>
        <s v="Todd Roberts"/>
        <s v="Paul Chapman"/>
        <s v="Peter Fernandez"/>
        <s v="Matthew Duncan"/>
        <s v="Roy Jenkins"/>
        <s v="Jack Howell"/>
        <s v="Juan Perez"/>
        <s v="Jonathan Lynch"/>
        <s v="Andrew Martin"/>
        <s v="Gregory Porter"/>
        <s v="Richard Carr"/>
        <s v="George Lewis"/>
        <s v="Carlos Wheeler"/>
        <s v="Todd Davis"/>
        <s v="Terry Watson"/>
        <s v="Charles Hughes"/>
        <s v="Aaron Moreno"/>
        <s v="Stephen Kelly"/>
        <s v="Jesse Graham"/>
        <s v="Kevin Wood"/>
        <s v="Steve Hunt"/>
        <s v="Douglas Robinson"/>
        <s v="Todd Watson"/>
        <s v="Paul Carpenter"/>
        <s v="Jose Watson"/>
        <s v="Robert Carr"/>
        <s v="James Simmons"/>
        <s v="Nicholas Sanders"/>
        <s v="Albert Jacobs"/>
        <s v="Gerald Alvarez"/>
        <s v="Earl Robinson"/>
        <s v="Antonio Diaz"/>
        <s v="Steven Hayes"/>
        <s v="Antonio Frazier"/>
        <s v="Harry Hudson"/>
        <s v="Adam Thompson"/>
        <s v="Daniel Fernandez"/>
        <s v="Philip Burton"/>
        <s v="Henry Cox"/>
        <s v="Harold Adams"/>
        <s v="Joshua Bennett"/>
        <s v="William James"/>
        <s v="Wayne Gardner"/>
        <s v="Shawn Long"/>
        <s v="Albert Young"/>
        <s v="Henry Harper"/>
        <s v="Victor Scott"/>
        <s v="Scott Allen"/>
        <s v="Larry Freeman"/>
        <s v="Keith Jordan"/>
        <s v="Raymond Barnes"/>
        <s v="John Long"/>
        <s v="Shawn Stephens"/>
        <s v="Nicholas Hamilton"/>
        <s v="Benjamin Carter"/>
        <s v="Joshua Romero"/>
        <s v="Jack Reid"/>
        <s v="Roy West"/>
        <s v="Martin Olson"/>
        <s v="Terry Morris"/>
        <s v="Philip Foster"/>
        <s v="Peter Gilbert"/>
        <s v="Richard Young"/>
        <s v="Walter Russell"/>
        <s v="Clarence Warren"/>
        <s v="Keith Hamilton"/>
        <s v="Steve Bennett"/>
        <s v="Ryan Bailey"/>
        <s v="David Mendoza"/>
        <s v="Benjamin Ryan"/>
        <s v="Fred Evans"/>
        <s v="Phillip Harvey"/>
        <s v="Peter Wells"/>
        <s v="Edward Wright"/>
        <s v="Harry Perkins"/>
        <s v="William Hawkins"/>
        <s v="Jonathan Pierce"/>
        <s v="Ernest Ortiz"/>
        <s v="Paul Henderson"/>
        <s v="Gerald Clark"/>
        <s v="Joshua Watkins"/>
        <s v="Shawn Bishop"/>
        <s v="Keith Schmidt"/>
        <s v="James Fisher"/>
        <s v="Stephen Cook"/>
        <s v="Johnny Ward"/>
        <s v="Craig Rodriguez"/>
        <s v="Jeffrey Phillips"/>
        <s v="Louis Chavez"/>
        <s v="Jeremy Schmidt"/>
        <s v="Bruce Chapman"/>
        <s v="Donald Morris"/>
        <s v="Daniel Moreno"/>
        <s v="Jeremy Porter"/>
        <s v="Craig Wright"/>
        <s v="Philip Crawford"/>
        <s v="Kenneth Foster"/>
        <s v="Steven Walker"/>
        <s v="Joe Bryant"/>
        <s v="Sean Knight"/>
        <s v="Albert Rice"/>
        <s v="Jonathan Jones"/>
        <s v="Jack Jackson"/>
        <s v="Mark Lee"/>
        <s v="Roger Tucker"/>
        <s v="James Perkins"/>
        <s v="Carl Jones"/>
        <s v="Billy Reid"/>
        <s v="Andrew Peters"/>
        <s v="Ryan Ford"/>
        <s v="Bobby Coleman"/>
        <s v="Juan Wood"/>
        <s v="Benjamin Jacobs"/>
        <s v="Patrick Williamson"/>
        <s v="Christopher Miller"/>
        <s v="Bobby Hughes"/>
        <s v="Benjamin Vasquez"/>
        <s v="Howard Lynch"/>
        <s v="Shawn Reynolds"/>
        <s v="Fred Perez"/>
        <s v="Henry Stanley"/>
        <s v="Daniel Berry"/>
        <s v="Eric Bradley"/>
        <s v="Shawn Fields"/>
        <s v="Lawrence Sanchez"/>
        <s v="Martin Berry"/>
        <s v="Shawn Wallace"/>
        <s v="Thomas Gonzales"/>
        <s v="Sean Snyder"/>
        <s v="Jerry Barnes"/>
        <s v="Samuel Palmer"/>
        <s v="Joshua Brooks"/>
        <s v="Donald Stanley"/>
        <s v="Walter Watson"/>
        <s v="Scott Gordon"/>
        <s v="Alan Parker"/>
        <s v="Steve Tucker"/>
        <s v="Keith Stephens"/>
        <s v="Joe Gordon"/>
        <s v="Adam Mcdonald"/>
        <s v="Joe Griffin"/>
        <s v="Charles Henderson"/>
        <s v="Eugene Sims"/>
        <s v="William Montgomery"/>
        <s v="Nicholas Hernandez"/>
        <s v="George Stanley"/>
        <s v="Nicholas Arnold"/>
        <s v="Brian Rice"/>
        <s v="Gregory Welch"/>
        <s v="Gerald Gray"/>
        <s v="Jack Phillips"/>
        <s v="Joe Hanson"/>
        <s v="Jerry Reed"/>
        <s v="Phillip Tucker"/>
        <s v="Dennis Ruiz"/>
        <s v="Arthur Reid"/>
        <s v="Jose Barnes"/>
        <s v="Alan Scott"/>
        <s v="Steven Mccoy"/>
        <s v="Harold Turner"/>
        <s v="Willie Hicks"/>
        <s v="Paul Holmes"/>
        <s v="Andrew Burns"/>
        <s v="Sean Kelly"/>
        <s v="Walter Harris"/>
        <s v="Joe Rose"/>
        <s v="Frank Mason"/>
        <s v="Joseph Lopez"/>
        <s v="Terry Harris"/>
        <s v="Henry Elliott"/>
        <s v="David Wheeler"/>
        <s v="Juan Harvey"/>
        <s v="Brian Warren"/>
        <s v="Brian Murphy"/>
        <s v="Wayne Hunter"/>
        <s v="Jonathan Hawkins"/>
        <s v="Wayne Williams"/>
        <s v="Ralph Wheeler"/>
        <s v="Anthony Little"/>
        <s v="Louis Torres"/>
        <s v="Nicholas Simmons"/>
        <s v="Douglas Franklin"/>
        <s v="Timothy Bowman"/>
        <s v="Gerald Henry"/>
        <s v="Jesse Barnes"/>
        <s v="Jesse Wells"/>
        <s v="Keith Murphy"/>
        <s v="Fred Peterson"/>
        <s v="Jose Wright"/>
        <s v="Larry Ross"/>
        <s v="Eric Shaw"/>
        <s v="Frank Ortiz"/>
        <s v="Daniel Perry"/>
        <s v="Nicholas Stanley"/>
        <s v="Louis Mccoy"/>
        <s v="Jeremy Arnold"/>
        <s v="Phillip Morrison"/>
        <s v="Charles Perry"/>
        <s v="Jason Diaz"/>
        <s v="Johnny Andrews"/>
        <s v="Victor Lawson"/>
        <s v="Philip Wheeler"/>
        <s v="Thomas Sims"/>
        <s v="Craig Mills"/>
        <s v="Lawrence Watson"/>
        <s v="Peter Boyd"/>
        <s v="Carl Collins"/>
        <s v="Ralph Willis"/>
        <s v="Nicholas Morrison"/>
        <s v="Jeremy Vasquez"/>
        <s v="Shawn Torres"/>
        <s v="Timothy Lawrence"/>
        <s v="Clarence Grant"/>
        <s v="Alan Sims"/>
        <s v="Ralph Oliver"/>
        <s v="Andrew Butler"/>
        <s v="Willie Harrison"/>
        <s v="David Perkins"/>
        <s v="Joseph Lawson"/>
        <s v="Justin Romero"/>
        <s v="Eugene Brooks"/>
        <s v="Thomas Chapman"/>
        <s v="Benjamin Garza"/>
        <s v="Louis Ellis"/>
        <s v="Frank Hawkins"/>
        <s v="Russell Nelson"/>
        <s v="Robert Ferguson"/>
        <s v="Roger Price"/>
        <s v="Ernest Knight"/>
        <s v="Antonio Shaw"/>
        <s v="Russell Bailey"/>
        <s v="Antonio Owens"/>
        <s v="Randy Hayes"/>
        <s v="Ronald Anderson"/>
        <s v="Johnny Hawkins"/>
        <s v="Charles Sims"/>
        <s v="Joe Price"/>
        <s v="Earl Ortiz"/>
        <s v="Mark Kim"/>
        <s v="Ralph Richardson"/>
        <s v="James Castillo"/>
        <s v="Raymond Burke"/>
        <s v="Brian Kim"/>
        <s v="Brandon Martin"/>
        <s v="Joshua Rose"/>
        <s v="Russell Alexander"/>
        <s v="Justin Johnston"/>
        <s v="Jason Dixon"/>
        <s v="Keith Murray"/>
        <s v="Henry Diaz"/>
        <s v="Juan Cruz"/>
        <s v="Paul Johnson"/>
        <s v="Philip Bailey"/>
        <s v="Christopher Matthews"/>
        <s v="Phillip Watkins"/>
        <s v="Jerry Green"/>
        <s v="Alan Perry"/>
        <s v="Thomas Hawkins"/>
        <s v="Michael Ward"/>
        <s v="Daniel Dixon"/>
        <s v="Brian Hunter"/>
        <s v="Kenneth Arnold"/>
        <s v="Jonathan Bowman"/>
        <s v="Clarence Austin"/>
        <s v="Eric Alvarez"/>
        <s v="Billy Cook"/>
        <s v="Douglas Perkins"/>
        <s v="Lawrence Rogers"/>
        <s v="Jesse Alvarez"/>
        <s v="Carlos Kim"/>
        <s v="Wayne Stone"/>
        <s v="Joe Powell"/>
        <s v="Clarence Cunningham"/>
        <s v="Timothy Howard"/>
        <s v="Ryan Taylor"/>
        <s v="Clarence Greene"/>
        <s v="Henry Kelley"/>
        <s v="Samuel Fields"/>
        <s v="Martin Reyes"/>
        <s v="Thomas Holmes"/>
        <s v="Antonio Green"/>
        <s v="Ronald Duncan"/>
        <s v="Steven Young"/>
        <s v="Joshua Collins"/>
        <s v="William Carpenter"/>
        <s v="Andrew James"/>
        <s v="Anthony Parker"/>
        <s v="George Adams"/>
        <s v="James Sullivan"/>
        <s v="Carlos Smith"/>
        <s v="Ernest Austin"/>
        <s v="Keith Wheeler"/>
        <s v="Dennis Scott"/>
        <s v="Andrew Robinson"/>
        <s v="Christopher Arnold"/>
        <s v="Eugene Cooper"/>
        <s v="Donald Reynolds"/>
        <s v="Andrew Adams"/>
        <s v="Aaron Miller"/>
        <s v="Steve Wells"/>
        <s v="Jack Lynch"/>
        <s v="Louis Harris"/>
        <s v="Ralph Jacobs"/>
        <s v="Stephen Reynolds"/>
        <s v="Bruce Porter"/>
        <s v="George Hill"/>
        <s v="Charles Richards"/>
        <s v="Benjamin Kim"/>
        <s v="Gerald Reyes"/>
        <s v="Willie Mason"/>
        <s v="Brian Taylor"/>
        <s v="Jerry Smith"/>
        <s v="Billy West"/>
        <s v="Kevin Gomez"/>
        <s v="Anthony Chapman"/>
        <s v="Chris Armstrong"/>
        <s v="Billy Gonzales"/>
        <s v="Joshua Williams"/>
        <s v="Ernest Rivera"/>
        <s v="Ralph Wood"/>
        <s v="Daniel Barnes"/>
        <s v="Jeremy Rice"/>
        <s v="Scott Roberts"/>
        <s v="Anthony Fisher"/>
        <s v="Peter Gray"/>
        <s v="Terry Mills"/>
        <s v="Alan Miller"/>
        <s v="Anthony Turner"/>
        <s v="Paul Larson"/>
        <s v="Stephen Larson"/>
        <s v="Charles Bell"/>
        <s v="Jonathan Moreno"/>
        <s v="Jerry Andrews"/>
        <s v="Frank Schmidt"/>
        <s v="Juan Hunt"/>
        <s v="Johnny Martinez"/>
        <s v="Raymond Alexander"/>
        <s v="Jerry Simmons"/>
        <s v="Roger Thompson"/>
        <s v="Steve Miller"/>
        <s v="Joseph Walker"/>
        <s v="Anthony Banks"/>
        <s v="Ralph Elliott"/>
        <s v="Richard Cunningham"/>
        <s v="Carl Murphy"/>
        <s v="Harry Castillo"/>
        <s v="Roger Miller"/>
        <s v="Terry Richards"/>
        <s v="Matthew Walker"/>
        <s v="Douglas Tucker"/>
        <s v="Earl Phillips"/>
        <s v="Steve Stewart"/>
        <s v="Benjamin Stanley"/>
        <s v="Bruce Harris"/>
        <s v="Harold Matthews"/>
        <s v="Raymond Arnold"/>
        <s v="Philip Cunningham"/>
        <s v="Clarence Kelley"/>
        <s v="Christopher Johnston"/>
        <s v="Sean Price"/>
        <s v="Michael Allen"/>
        <s v="Antonio Morris"/>
        <s v="Shawn Day"/>
        <s v="Bobby Burton"/>
        <s v="Anthony Torres"/>
        <s v="James Dean"/>
        <s v="Jonathan Harris"/>
        <s v="Kevin Lopez"/>
        <s v="Eugene Scott"/>
        <s v="Walter Baker"/>
        <s v="Matthew Nguyen"/>
        <s v="Jesse Bishop"/>
        <s v="Christopher Wright"/>
        <s v="Roy Murphy"/>
        <s v="Kenneth Ryan"/>
        <s v="Shawn Ramos"/>
        <s v="Aaron Cruz"/>
        <s v="Bruce Armstrong"/>
        <s v="Jimmy Morrison"/>
        <s v="Joshua Peterson"/>
        <s v="Edward Walker"/>
        <s v="Kevin Campbell"/>
        <s v="Steven Owens"/>
        <s v="Randy Simpson"/>
        <s v="Carlos Hunt"/>
        <s v="Thomas Daniels"/>
        <s v="Benjamin Carpenter"/>
        <s v="Gregory Chapman"/>
        <s v="Eugene Hunter"/>
        <s v="Terry Payne"/>
        <s v="Ronald Burns"/>
        <s v="Patrick Graham"/>
        <s v="Wayne Gordon"/>
        <s v="Fred Reid"/>
        <s v="Russell Boyd"/>
        <s v="Raymond Roberts"/>
        <s v="Brandon Dixon"/>
        <s v="Eric Moore"/>
        <s v="Victor Hughes"/>
        <s v="Dennis Morris"/>
        <s v="Robert Jackson"/>
        <s v="Stephen Greene"/>
        <s v="Louis Perry"/>
        <s v="Patrick Rivera"/>
        <s v="Harry Daniels"/>
        <s v="Thomas James"/>
        <s v="Adam White"/>
        <s v="David Garrett"/>
        <s v="Steve Diaz"/>
        <s v="Mark Morales"/>
        <s v="Dennis Myers"/>
        <s v="Roy Bennett"/>
        <s v="Michael Austin"/>
        <s v="Gary Jones"/>
        <s v="Jeremy Gomez"/>
        <s v="Jesse Hill"/>
        <s v="Benjamin Murray"/>
        <s v="Robert Price"/>
        <s v="Wayne Ortiz"/>
        <s v="Gregory Ramirez"/>
        <s v="Joshua Little"/>
        <s v="Patrick Morales"/>
        <s v="Carlos Scott"/>
        <s v="Carl Anderson"/>
        <s v="Sean Olson"/>
        <s v="Gerald Porter"/>
        <s v="Jason Hanson"/>
        <s v="Samuel Burke"/>
        <s v="Daniel West"/>
        <s v="Charles Montgomery"/>
        <s v="Joshua Garza"/>
        <s v="Bobby Duncan"/>
        <s v="Ronald George"/>
        <s v="Stephen Payne"/>
        <s v="Bruce Hamilton"/>
        <s v="Brandon Wright"/>
        <s v="Alan Thomas"/>
        <s v="Johnny Butler"/>
        <s v="David Wilson"/>
        <s v="Andrew Fernandez"/>
        <s v="Christopher Nguyen"/>
        <s v="Wayne Stewart"/>
        <s v="Roger Mills"/>
        <s v="Adam Jenkins"/>
        <s v="Nicholas Williamson"/>
        <s v="Gerald Palmer"/>
        <s v="Steven Howard"/>
        <s v="Robert Murphy"/>
        <s v="Russell Grant"/>
        <s v="Adam Mccoy"/>
        <s v="Anthony Berry"/>
        <s v="Samuel Fowler"/>
        <s v="Chris Chapman"/>
        <s v="Joseph Warren"/>
        <s v="Roy Scott"/>
        <s v="Richard Hudson"/>
        <s v="Randy Webb"/>
        <s v="Jonathan Cox"/>
        <s v="Roy Shaw"/>
        <s v="Richard Peters"/>
        <s v="Christopher Hudson"/>
        <s v="Brandon Bailey"/>
        <s v="Louis Johnston"/>
        <s v="Ryan Ruiz"/>
        <s v="Harry Diaz"/>
        <s v="Jerry Harvey"/>
        <s v="Billy Evans"/>
        <s v="Larry Ray"/>
        <s v="Jason Gray"/>
        <s v="Steve Barnes"/>
        <s v="Michael Lewis"/>
        <s v="Fred Romero"/>
        <s v="Nicholas Garcia"/>
        <s v="Martin Johnston"/>
        <s v="Benjamin Moreno"/>
        <s v="Jimmy Wood"/>
        <s v="Juan Collins"/>
        <s v="Gerald Rogers"/>
        <s v="Richard Jordan"/>
        <s v="Frank Brown"/>
        <s v="Thomas Campbell"/>
        <s v="Jimmy Grant"/>
        <s v="Nicholas Gilbert"/>
        <s v="Gary Baker"/>
        <s v="Arthur Welch"/>
        <s v="Jimmy Harper"/>
        <s v="Shawn Henderson"/>
        <s v="Juan Ramirez"/>
        <s v="Phillip Peters"/>
        <s v="Justin Butler"/>
        <s v="Bruce Oliver"/>
        <s v="Raymond Spencer"/>
        <s v="Stephen Webb"/>
        <s v="Billy Kennedy"/>
        <s v="Justin Miller"/>
        <s v="Adam Riley"/>
        <s v="Phillip Coleman"/>
        <s v="Michael Reed"/>
        <s v="Aaron Day"/>
        <s v="Eric Armstrong"/>
        <s v="Frank Weaver"/>
        <s v="Victor Watkins"/>
        <s v="Adam Myers"/>
        <s v="Ralph Banks"/>
        <s v="Keith Griffin"/>
        <s v="Jason Ross"/>
        <s v="Shawn Cook"/>
        <s v="David Smith"/>
        <s v="Carlos Martinez"/>
        <s v="Kevin Wheeler"/>
        <s v="Ralph Nichols"/>
        <s v="Carlos Young"/>
        <s v="Kenneth Simpson"/>
        <s v="Joe Baker"/>
        <s v="Mark Spencer"/>
        <s v="Andrew Reynolds"/>
        <s v="Douglas Diaz"/>
        <s v="Jeffrey Gibson"/>
        <s v="Henry Bishop"/>
        <s v="Juan Lawrence"/>
        <s v="Joseph Murphy"/>
        <s v="Peter Cook"/>
        <s v="Arthur Gilbert"/>
        <s v="Andrew Hansen"/>
        <s v="Sean Alexander"/>
        <s v="Howard Morgan"/>
        <s v="Mark Elliott"/>
        <s v="Jack Stevens"/>
        <s v="Roy Hamilton"/>
        <s v="Frank Webb"/>
        <s v="Gerald Andrews"/>
        <s v="Walter Duncan"/>
        <s v="Walter Woods"/>
        <s v="Matthew Phillips"/>
        <s v="Christopher Kim"/>
        <s v="Patrick Hall"/>
        <s v="Ralph Kelley"/>
        <s v="Wayne Johnson"/>
        <s v="Thomas Duncan"/>
        <s v="Larry Dunn"/>
        <s v="David Ford"/>
        <s v="Mark Simmons"/>
        <s v="Matthew Lewis"/>
        <s v="David Nguyen"/>
        <s v="Alan Gomez"/>
        <s v="Terry Robinson"/>
        <s v="Bruce King"/>
        <s v="Howard Moore"/>
        <s v="Albert Kennedy"/>
        <s v="Gregory Jackson"/>
        <s v="John Hunt"/>
        <s v="Jonathan Reed"/>
        <s v="Carl Reid"/>
        <s v="Ralph Cooper"/>
        <s v="Jose Ellis"/>
        <s v="Jonathan Freeman"/>
        <s v="Donald Carroll"/>
        <s v="Douglas Foster"/>
        <s v="Jimmy Andrews"/>
        <s v="Daniel Carroll"/>
        <s v="Jimmy Ray"/>
        <s v="Craig Reyes"/>
        <s v="Victor Medina"/>
        <s v="Douglas Wallace"/>
        <s v="Billy Miller"/>
        <s v="Kevin Gilbert"/>
        <s v="Ronald Arnold"/>
        <s v="Louis White"/>
        <s v="Joshua Hunt"/>
        <s v="Jose Griffin"/>
        <s v="Ronald Bradley"/>
        <s v="Arthur Roberts"/>
        <s v="Willie Daniels"/>
        <s v="Matthew Smith"/>
        <s v="Jeremy Allen"/>
        <s v="George Thompson"/>
        <s v="Shawn Ray"/>
        <s v="Michael Mills"/>
        <s v="Chris Hall"/>
        <s v="Nicholas West"/>
        <s v="Sean Morris"/>
        <s v="Douglas Kennedy"/>
        <s v="Carlos Stewart"/>
        <s v="William Franklin"/>
        <s v="Raymond Young"/>
        <s v="Brandon Wood"/>
        <s v="Benjamin Morgan"/>
        <s v="Charles Shaw"/>
        <s v="Jeffrey Sanders"/>
        <s v="Carlos Miller"/>
        <s v="Willie Day"/>
        <s v="Larry Stone"/>
        <s v="Anthony Simpson"/>
        <s v="Donald Diaz"/>
        <s v="Victor Chapman"/>
        <s v="Samuel Jenkins"/>
        <s v="Scott Mills"/>
        <s v="Fred Jenkins"/>
        <s v="Antonio Dixon"/>
        <s v="Kevin Kim"/>
        <s v="Ryan Schmidt"/>
        <s v="Juan Rivera"/>
        <s v="Matthew Campbell"/>
        <s v="Billy Nelson"/>
        <s v="Lawrence Kelly"/>
        <s v="Adam Hunter"/>
        <s v="Steven Nichols"/>
        <s v="Michael Cole"/>
        <s v="Raymond Hall"/>
        <s v="Carl Nguyen"/>
        <s v="Christopher Ramos"/>
        <s v="Fred Howell"/>
        <s v="Eric Bowman"/>
        <s v="Gregory Simmons"/>
        <s v="Arthur Webb"/>
        <s v="Victor Lopez"/>
        <s v="Joshua Anderson"/>
        <s v="Sean Andrews"/>
        <s v="Michael Thomas"/>
        <s v="Earl Simpson"/>
        <s v="Wayne Rodriguez"/>
        <s v="Jason Walker"/>
        <s v="Juan Griffin"/>
        <s v="Victor Dean"/>
        <s v="Roy Rice"/>
        <s v="Eric Ward"/>
        <s v="George Lee"/>
        <s v="Martin Mason"/>
        <s v="Sean Woods"/>
        <s v="Roger Elliott"/>
        <s v="Victor Ramos"/>
        <s v="David Olson"/>
        <s v="Kenneth Dunn"/>
        <s v="Adam Duncan"/>
        <s v="Paul Lane"/>
        <s v="Bruce Bowman"/>
        <s v="Justin Rodriguez"/>
        <s v="John Robertson"/>
        <s v="Daniel Nguyen"/>
        <s v="Keith Robinson"/>
        <s v="Ernest Bradley"/>
        <s v="Henry Andrews"/>
        <s v="Joshua Flores"/>
        <s v="Bruce Butler"/>
        <s v="Sean Vasquez"/>
        <s v="Aaron Johnson"/>
        <s v="Shawn Scott"/>
        <s v="Billy Olson"/>
        <s v="Bobby Willis"/>
        <s v="John Brooks"/>
        <s v="Edward Williams"/>
        <s v="Victor Gutierrez"/>
        <s v="Jason Hudson"/>
        <s v="Albert Cunningham"/>
        <s v="Keith Moore"/>
        <s v="Ronald Watkins"/>
        <s v="Jose Riley"/>
        <s v="Victor Rogers"/>
        <s v="Phillip Carpenter"/>
        <s v="Timothy Hamilton"/>
        <s v="Peter Bradley"/>
        <s v="Samuel Price"/>
        <s v="William Schmidt"/>
        <s v="Bobby Jackson"/>
        <s v="Douglas Greene"/>
        <s v="Joe Carroll"/>
        <s v="Henry Boyd"/>
        <s v="Victor Marshall"/>
        <s v="Billy Adams"/>
        <s v="Carl Martin"/>
        <s v="Raymond Fields"/>
        <s v="Samuel Stewart"/>
        <s v="Joe Fuller"/>
        <s v="Jesse Hernandez"/>
        <s v="Keith James"/>
        <s v="Ryan Price"/>
        <s v="Samuel Hamilton"/>
        <s v="Edward Mason"/>
        <s v="Kenneth Ross"/>
        <s v="Adam Alexander"/>
        <s v="Kevin Jones"/>
        <s v="James Armstrong"/>
        <s v="William Medina"/>
        <s v="Steve Sanchez"/>
        <s v="Roger Alexander"/>
        <s v="Patrick Wells"/>
        <s v="Earl Franklin"/>
        <s v="Joshua Ryan"/>
        <s v="Paul Richardson"/>
        <s v="Gary Pierce"/>
        <s v="Louis Austin"/>
        <s v="Charles Fields"/>
        <s v="Kevin Webb"/>
        <s v="Juan Scott"/>
        <s v="Chris Fuller"/>
        <s v="Paul Taylor"/>
        <s v="Mark Gonzalez"/>
        <s v="Fred Bryant"/>
        <s v="Albert Robinson"/>
        <s v="Bobby Black"/>
        <s v="Richard Peterson"/>
        <s v="Victor Martinez"/>
        <s v="Antonio Cooper"/>
        <s v="Gary Porter"/>
        <s v="Adam Hernandez"/>
        <s v="Carlos Reed"/>
      </sharedItems>
    </cacheField>
    <cacheField name="DayofWeek" numFmtId="0">
      <sharedItems containsSemiMixedTypes="0" containsString="0" containsNumber="1" containsInteger="1" minValue="1" maxValue="7"/>
    </cacheField>
    <cacheField name="weekday" numFmtId="14">
      <sharedItems count="7">
        <s v="Mon"/>
        <s v="Tue"/>
        <s v="Wed"/>
        <s v="Thu"/>
        <s v="Fri"/>
        <s v="Sat"/>
        <s v="Sun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months" numFmtId="14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Quarter" numFmtId="1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year" numFmtId="0">
      <sharedItems containsSemiMixedTypes="0" containsString="0" containsNumber="1" containsInteger="1" minValue="2019" maxValue="2021" count="3">
        <n v="2020"/>
        <n v="2021"/>
        <n v="2019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889">
  <r>
    <s v="AX10374"/>
    <s v="ENX2091"/>
    <s v="A171"/>
    <s v="EMP1043"/>
    <s v="C1090"/>
    <x v="0"/>
    <n v="3"/>
    <n v="368"/>
    <n v="294"/>
    <n v="882"/>
    <n v="1104"/>
    <n v="222"/>
    <s v="Product 92"/>
    <x v="0"/>
    <s v="Joshua Taylor"/>
    <x v="0"/>
    <n v="1"/>
    <x v="0"/>
    <x v="0"/>
    <x v="0"/>
    <x v="0"/>
    <x v="0"/>
  </r>
  <r>
    <s v="AX10615"/>
    <s v="ENX2064"/>
    <s v="A151"/>
    <s v="EMP1038"/>
    <s v="C1190"/>
    <x v="1"/>
    <n v="3"/>
    <n v="1414"/>
    <n v="962"/>
    <n v="2886"/>
    <n v="4242"/>
    <n v="1356"/>
    <s v="Product 65"/>
    <x v="1"/>
    <s v="Scott Mason"/>
    <x v="1"/>
    <n v="1"/>
    <x v="0"/>
    <x v="0"/>
    <x v="0"/>
    <x v="0"/>
    <x v="0"/>
  </r>
  <r>
    <s v="AX10630"/>
    <s v="ENX2042"/>
    <s v="A162"/>
    <s v="EMP1011"/>
    <s v="C1335"/>
    <x v="2"/>
    <n v="3"/>
    <n v="203"/>
    <n v="154"/>
    <n v="462"/>
    <n v="609"/>
    <n v="147"/>
    <s v="Product 43"/>
    <x v="2"/>
    <s v="Larry Marshall"/>
    <x v="2"/>
    <n v="1"/>
    <x v="0"/>
    <x v="0"/>
    <x v="0"/>
    <x v="0"/>
    <x v="0"/>
  </r>
  <r>
    <s v="AX11031"/>
    <s v="ENX2059"/>
    <s v="A164"/>
    <s v="EMP1014"/>
    <s v="C1202"/>
    <x v="2"/>
    <n v="1"/>
    <n v="1494"/>
    <n v="971"/>
    <n v="971"/>
    <n v="1494"/>
    <n v="523"/>
    <s v="Product 60"/>
    <x v="3"/>
    <s v="Ronald Reed"/>
    <x v="3"/>
    <n v="1"/>
    <x v="0"/>
    <x v="0"/>
    <x v="0"/>
    <x v="0"/>
    <x v="0"/>
  </r>
  <r>
    <s v="AX11202"/>
    <s v="ENX2015"/>
    <s v="A130"/>
    <s v="EMP1011"/>
    <s v="C1767"/>
    <x v="1"/>
    <n v="4"/>
    <n v="637"/>
    <n v="389"/>
    <n v="1556"/>
    <n v="2548"/>
    <n v="992"/>
    <s v="Product 16"/>
    <x v="4"/>
    <s v="Larry Marshall"/>
    <x v="4"/>
    <n v="1"/>
    <x v="0"/>
    <x v="0"/>
    <x v="0"/>
    <x v="0"/>
    <x v="0"/>
  </r>
  <r>
    <s v="AX11203"/>
    <s v="ENX2080"/>
    <s v="A126"/>
    <s v="EMP1039"/>
    <s v="C1467"/>
    <x v="1"/>
    <n v="3"/>
    <n v="2353"/>
    <n v="1788"/>
    <n v="5364"/>
    <n v="7059"/>
    <n v="1695"/>
    <s v="Product 81"/>
    <x v="5"/>
    <s v="Eugene Holmes"/>
    <x v="5"/>
    <n v="1"/>
    <x v="0"/>
    <x v="0"/>
    <x v="0"/>
    <x v="0"/>
    <x v="0"/>
  </r>
  <r>
    <s v="AX11249"/>
    <s v="ENX2074"/>
    <s v="A161"/>
    <s v="EMP1039"/>
    <s v="C1526"/>
    <x v="0"/>
    <n v="2"/>
    <n v="504"/>
    <n v="408"/>
    <n v="816"/>
    <n v="1008"/>
    <n v="192"/>
    <s v="Product 75"/>
    <x v="6"/>
    <s v="Eugene Holmes"/>
    <x v="6"/>
    <n v="1"/>
    <x v="0"/>
    <x v="0"/>
    <x v="0"/>
    <x v="0"/>
    <x v="0"/>
  </r>
  <r>
    <s v="AX11802"/>
    <s v="ENX2045"/>
    <s v="A157"/>
    <s v="EMP1027"/>
    <s v="C1332"/>
    <x v="1"/>
    <n v="3"/>
    <n v="556"/>
    <n v="395"/>
    <n v="1185"/>
    <n v="1668"/>
    <n v="483"/>
    <s v="Product 46"/>
    <x v="7"/>
    <s v="Gary Rodriguez"/>
    <x v="7"/>
    <n v="1"/>
    <x v="0"/>
    <x v="0"/>
    <x v="0"/>
    <x v="0"/>
    <x v="0"/>
  </r>
  <r>
    <s v="AX12491"/>
    <s v="ENX2027"/>
    <s v="A153"/>
    <s v="EMP1040"/>
    <s v="C1735"/>
    <x v="2"/>
    <n v="1"/>
    <n v="2497"/>
    <n v="1473"/>
    <n v="1473"/>
    <n v="2497"/>
    <n v="1024"/>
    <s v="Product 28"/>
    <x v="8"/>
    <s v="Patrick Ruiz"/>
    <x v="8"/>
    <n v="1"/>
    <x v="0"/>
    <x v="0"/>
    <x v="0"/>
    <x v="0"/>
    <x v="0"/>
  </r>
  <r>
    <s v="AX12884"/>
    <s v="ENX2075"/>
    <s v="A160"/>
    <s v="EMP1013"/>
    <s v="C1375"/>
    <x v="0"/>
    <n v="1"/>
    <n v="400"/>
    <n v="208"/>
    <n v="208"/>
    <n v="400"/>
    <n v="192"/>
    <s v="Product 76"/>
    <x v="9"/>
    <s v="Charles Harper"/>
    <x v="9"/>
    <n v="1"/>
    <x v="0"/>
    <x v="0"/>
    <x v="0"/>
    <x v="0"/>
    <x v="0"/>
  </r>
  <r>
    <s v="AX14131"/>
    <s v="ENX2073"/>
    <s v="A135"/>
    <s v="EMP1004"/>
    <s v="C1498"/>
    <x v="3"/>
    <n v="2"/>
    <n v="95"/>
    <n v="61"/>
    <n v="122"/>
    <n v="190"/>
    <n v="68"/>
    <s v="Product 74"/>
    <x v="10"/>
    <s v="Kenneth Bradley"/>
    <x v="10"/>
    <n v="1"/>
    <x v="0"/>
    <x v="0"/>
    <x v="0"/>
    <x v="0"/>
    <x v="0"/>
  </r>
  <r>
    <s v="AX15042"/>
    <s v="ENX2038"/>
    <s v="A106"/>
    <s v="EMP1006"/>
    <s v="C1614"/>
    <x v="2"/>
    <n v="3"/>
    <n v="392"/>
    <n v="255"/>
    <n v="765"/>
    <n v="1176"/>
    <n v="411"/>
    <s v="Product 39"/>
    <x v="11"/>
    <s v="Sean Miller"/>
    <x v="11"/>
    <n v="1"/>
    <x v="0"/>
    <x v="0"/>
    <x v="0"/>
    <x v="0"/>
    <x v="0"/>
  </r>
  <r>
    <s v="AX15088"/>
    <s v="ENX2014"/>
    <s v="A128"/>
    <s v="EMP1028"/>
    <s v="C1664"/>
    <x v="1"/>
    <n v="1"/>
    <n v="1809"/>
    <n v="1067"/>
    <n v="1067"/>
    <n v="1809"/>
    <n v="742"/>
    <s v="Product 15"/>
    <x v="12"/>
    <s v="Howard Sims"/>
    <x v="12"/>
    <n v="1"/>
    <x v="0"/>
    <x v="0"/>
    <x v="0"/>
    <x v="0"/>
    <x v="0"/>
  </r>
  <r>
    <s v="AX15608"/>
    <s v="ENX2019"/>
    <s v="A130"/>
    <s v="EMP1035"/>
    <s v="C1450"/>
    <x v="3"/>
    <n v="3"/>
    <n v="800"/>
    <n v="536"/>
    <n v="1608"/>
    <n v="2400"/>
    <n v="792"/>
    <s v="Product 20"/>
    <x v="4"/>
    <s v="Roger Ramos"/>
    <x v="13"/>
    <n v="1"/>
    <x v="0"/>
    <x v="0"/>
    <x v="0"/>
    <x v="0"/>
    <x v="0"/>
  </r>
  <r>
    <s v="AX15708"/>
    <s v="ENX2045"/>
    <s v="A159"/>
    <s v="EMP1044"/>
    <s v="C1718"/>
    <x v="1"/>
    <n v="3"/>
    <n v="556"/>
    <n v="395"/>
    <n v="1185"/>
    <n v="1668"/>
    <n v="483"/>
    <s v="Product 46"/>
    <x v="13"/>
    <s v="Martin Carr"/>
    <x v="14"/>
    <n v="1"/>
    <x v="0"/>
    <x v="0"/>
    <x v="0"/>
    <x v="0"/>
    <x v="0"/>
  </r>
  <r>
    <s v="AX16035"/>
    <s v="ENX2036"/>
    <s v="A156"/>
    <s v="EMP1035"/>
    <s v="C1105"/>
    <x v="3"/>
    <n v="1"/>
    <n v="1582"/>
    <n v="1234"/>
    <n v="1234"/>
    <n v="1582"/>
    <n v="348"/>
    <s v="Product 37"/>
    <x v="14"/>
    <s v="Roger Ramos"/>
    <x v="15"/>
    <n v="1"/>
    <x v="0"/>
    <x v="0"/>
    <x v="0"/>
    <x v="0"/>
    <x v="0"/>
  </r>
  <r>
    <s v="AX16121"/>
    <s v="ENX2060"/>
    <s v="A116"/>
    <s v="EMP1036"/>
    <s v="C1291"/>
    <x v="0"/>
    <n v="1"/>
    <n v="1467"/>
    <n v="807"/>
    <n v="807"/>
    <n v="1467"/>
    <n v="660"/>
    <s v="Product 61"/>
    <x v="15"/>
    <s v="Robert Reed"/>
    <x v="16"/>
    <n v="1"/>
    <x v="0"/>
    <x v="0"/>
    <x v="0"/>
    <x v="0"/>
    <x v="0"/>
  </r>
  <r>
    <s v="AX16170"/>
    <s v="ENX2030"/>
    <s v="A119"/>
    <s v="EMP1016"/>
    <s v="C1578"/>
    <x v="3"/>
    <n v="1"/>
    <n v="1899"/>
    <n v="1044"/>
    <n v="1044"/>
    <n v="1899"/>
    <n v="855"/>
    <s v="Product 31"/>
    <x v="16"/>
    <s v="Henry Nelson"/>
    <x v="17"/>
    <n v="1"/>
    <x v="0"/>
    <x v="0"/>
    <x v="0"/>
    <x v="0"/>
    <x v="0"/>
  </r>
  <r>
    <s v="AX16207"/>
    <s v="ENX2045"/>
    <s v="A116"/>
    <s v="EMP1042"/>
    <s v="C1695"/>
    <x v="3"/>
    <n v="1"/>
    <n v="556"/>
    <n v="395"/>
    <n v="395"/>
    <n v="556"/>
    <n v="161"/>
    <s v="Product 46"/>
    <x v="15"/>
    <s v="Scott Clark"/>
    <x v="18"/>
    <n v="1"/>
    <x v="0"/>
    <x v="0"/>
    <x v="0"/>
    <x v="0"/>
    <x v="0"/>
  </r>
  <r>
    <s v="AX16950"/>
    <s v="ENX2031"/>
    <s v="A169"/>
    <s v="EMP1036"/>
    <s v="C1489"/>
    <x v="0"/>
    <n v="1"/>
    <n v="1638"/>
    <n v="1261"/>
    <n v="1261"/>
    <n v="1638"/>
    <n v="377"/>
    <s v="Product 32"/>
    <x v="17"/>
    <s v="Robert Reed"/>
    <x v="19"/>
    <n v="1"/>
    <x v="0"/>
    <x v="0"/>
    <x v="0"/>
    <x v="0"/>
    <x v="0"/>
  </r>
  <r>
    <s v="AX17871"/>
    <s v="ENX2048"/>
    <s v="A106"/>
    <s v="EMP1000"/>
    <s v="C1352"/>
    <x v="1"/>
    <n v="1"/>
    <n v="502"/>
    <n v="296"/>
    <n v="296"/>
    <n v="502"/>
    <n v="206"/>
    <s v="Product 49"/>
    <x v="11"/>
    <s v="Fred Robertson"/>
    <x v="20"/>
    <n v="1"/>
    <x v="0"/>
    <x v="0"/>
    <x v="0"/>
    <x v="0"/>
    <x v="0"/>
  </r>
  <r>
    <s v="AX18124"/>
    <s v="ENX2033"/>
    <s v="A126"/>
    <s v="EMP1034"/>
    <s v="C1712"/>
    <x v="0"/>
    <n v="3"/>
    <n v="2182"/>
    <n v="1200"/>
    <n v="3600"/>
    <n v="6546"/>
    <n v="2946"/>
    <s v="Product 34"/>
    <x v="5"/>
    <s v="Arthur Mccoy"/>
    <x v="21"/>
    <n v="1"/>
    <x v="0"/>
    <x v="0"/>
    <x v="0"/>
    <x v="0"/>
    <x v="0"/>
  </r>
  <r>
    <s v="AX18164"/>
    <s v="ENX2072"/>
    <s v="A169"/>
    <s v="EMP1023"/>
    <s v="C1344"/>
    <x v="3"/>
    <n v="1"/>
    <n v="1887"/>
    <n v="1378"/>
    <n v="1378"/>
    <n v="1887"/>
    <n v="509"/>
    <s v="Product 73"/>
    <x v="17"/>
    <s v="Brian Davis"/>
    <x v="22"/>
    <n v="1"/>
    <x v="0"/>
    <x v="0"/>
    <x v="0"/>
    <x v="0"/>
    <x v="0"/>
  </r>
  <r>
    <s v="AX18970"/>
    <s v="ENX2096"/>
    <s v="A140"/>
    <s v="EMP1039"/>
    <s v="C1163"/>
    <x v="0"/>
    <n v="1"/>
    <n v="1587"/>
    <n v="1301"/>
    <n v="1301"/>
    <n v="1587"/>
    <n v="286"/>
    <s v="Product 97"/>
    <x v="18"/>
    <s v="Eugene Holmes"/>
    <x v="23"/>
    <n v="1"/>
    <x v="0"/>
    <x v="0"/>
    <x v="0"/>
    <x v="0"/>
    <x v="0"/>
  </r>
  <r>
    <s v="AX19213"/>
    <s v="ENX2041"/>
    <s v="A118"/>
    <s v="EMP1012"/>
    <s v="C1716"/>
    <x v="1"/>
    <n v="3"/>
    <n v="1380"/>
    <n v="1090"/>
    <n v="3270"/>
    <n v="4140"/>
    <n v="870"/>
    <s v="Product 42"/>
    <x v="19"/>
    <s v="John Reyes"/>
    <x v="24"/>
    <n v="1"/>
    <x v="0"/>
    <x v="0"/>
    <x v="0"/>
    <x v="0"/>
    <x v="0"/>
  </r>
  <r>
    <s v="AX19733"/>
    <s v="ENX2076"/>
    <s v="A164"/>
    <s v="EMP1010"/>
    <s v="C1593"/>
    <x v="0"/>
    <n v="3"/>
    <n v="1522"/>
    <n v="791"/>
    <n v="2373"/>
    <n v="4566"/>
    <n v="2193"/>
    <s v="Product 77"/>
    <x v="3"/>
    <s v="Joshua Cook"/>
    <x v="25"/>
    <n v="1"/>
    <x v="0"/>
    <x v="0"/>
    <x v="0"/>
    <x v="0"/>
    <x v="0"/>
  </r>
  <r>
    <s v="AX19737"/>
    <s v="ENX2000"/>
    <s v="A120"/>
    <s v="EMP1043"/>
    <s v="C1014"/>
    <x v="1"/>
    <n v="1"/>
    <n v="2241"/>
    <n v="1367"/>
    <n v="1367"/>
    <n v="2241"/>
    <n v="874"/>
    <s v="Product 1"/>
    <x v="20"/>
    <s v="Joshua Taylor"/>
    <x v="26"/>
    <n v="1"/>
    <x v="0"/>
    <x v="0"/>
    <x v="0"/>
    <x v="0"/>
    <x v="0"/>
  </r>
  <r>
    <s v="AX20701"/>
    <s v="ENX2059"/>
    <s v="A107"/>
    <s v="EMP1025"/>
    <s v="C1260"/>
    <x v="0"/>
    <n v="1"/>
    <n v="1494"/>
    <n v="971"/>
    <n v="971"/>
    <n v="1494"/>
    <n v="523"/>
    <s v="Product 60"/>
    <x v="21"/>
    <s v="Ernest Wagner"/>
    <x v="27"/>
    <n v="1"/>
    <x v="0"/>
    <x v="0"/>
    <x v="0"/>
    <x v="0"/>
    <x v="0"/>
  </r>
  <r>
    <s v="AX20861"/>
    <s v="ENX2035"/>
    <s v="A129"/>
    <s v="EMP1016"/>
    <s v="C1704"/>
    <x v="2"/>
    <n v="1"/>
    <n v="458"/>
    <n v="376"/>
    <n v="376"/>
    <n v="458"/>
    <n v="82"/>
    <s v="Product 36"/>
    <x v="22"/>
    <s v="Henry Nelson"/>
    <x v="28"/>
    <n v="1"/>
    <x v="0"/>
    <x v="0"/>
    <x v="0"/>
    <x v="0"/>
    <x v="0"/>
  </r>
  <r>
    <s v="AX20942"/>
    <s v="ENX2035"/>
    <s v="A141"/>
    <s v="EMP1003"/>
    <s v="C1467"/>
    <x v="1"/>
    <n v="3"/>
    <n v="458"/>
    <n v="376"/>
    <n v="1128"/>
    <n v="1374"/>
    <n v="246"/>
    <s v="Product 36"/>
    <x v="23"/>
    <s v="Christopher Tucker"/>
    <x v="5"/>
    <n v="1"/>
    <x v="0"/>
    <x v="0"/>
    <x v="0"/>
    <x v="0"/>
    <x v="0"/>
  </r>
  <r>
    <s v="AX21220"/>
    <s v="ENX2083"/>
    <s v="A154"/>
    <s v="EMP1010"/>
    <s v="C1041"/>
    <x v="1"/>
    <n v="1"/>
    <n v="2141"/>
    <n v="1777"/>
    <n v="1777"/>
    <n v="2141"/>
    <n v="364"/>
    <s v="Product 84"/>
    <x v="24"/>
    <s v="Joshua Cook"/>
    <x v="29"/>
    <n v="1"/>
    <x v="0"/>
    <x v="0"/>
    <x v="0"/>
    <x v="0"/>
    <x v="0"/>
  </r>
  <r>
    <s v="AX21407"/>
    <s v="ENX2060"/>
    <s v="A169"/>
    <s v="EMP1039"/>
    <s v="C1639"/>
    <x v="1"/>
    <n v="2"/>
    <n v="1467"/>
    <n v="807"/>
    <n v="1614"/>
    <n v="2934"/>
    <n v="1320"/>
    <s v="Product 61"/>
    <x v="17"/>
    <s v="Eugene Holmes"/>
    <x v="30"/>
    <n v="1"/>
    <x v="0"/>
    <x v="0"/>
    <x v="0"/>
    <x v="0"/>
    <x v="0"/>
  </r>
  <r>
    <s v="AX21417"/>
    <s v="ENX2096"/>
    <s v="A173"/>
    <s v="EMP1014"/>
    <s v="C1635"/>
    <x v="0"/>
    <n v="1"/>
    <n v="1587"/>
    <n v="1301"/>
    <n v="1301"/>
    <n v="1587"/>
    <n v="286"/>
    <s v="Product 97"/>
    <x v="25"/>
    <s v="Ronald Reed"/>
    <x v="31"/>
    <n v="1"/>
    <x v="0"/>
    <x v="0"/>
    <x v="0"/>
    <x v="0"/>
    <x v="0"/>
  </r>
  <r>
    <s v="AX21480"/>
    <s v="ENX2060"/>
    <s v="A152"/>
    <s v="EMP1000"/>
    <s v="C1733"/>
    <x v="0"/>
    <n v="1"/>
    <n v="1467"/>
    <n v="807"/>
    <n v="807"/>
    <n v="1467"/>
    <n v="660"/>
    <s v="Product 61"/>
    <x v="26"/>
    <s v="Fred Robertson"/>
    <x v="32"/>
    <n v="1"/>
    <x v="0"/>
    <x v="0"/>
    <x v="0"/>
    <x v="0"/>
    <x v="0"/>
  </r>
  <r>
    <s v="AX21805"/>
    <s v="ENX2046"/>
    <s v="A146"/>
    <s v="EMP1021"/>
    <s v="C1163"/>
    <x v="1"/>
    <n v="1"/>
    <n v="2410"/>
    <n v="1518"/>
    <n v="1518"/>
    <n v="2410"/>
    <n v="892"/>
    <s v="Product 47"/>
    <x v="27"/>
    <s v="Clarence Fox"/>
    <x v="23"/>
    <n v="1"/>
    <x v="0"/>
    <x v="0"/>
    <x v="0"/>
    <x v="0"/>
    <x v="0"/>
  </r>
  <r>
    <s v="AX21868"/>
    <s v="ENX2100"/>
    <s v="A114"/>
    <s v="EMP1018"/>
    <s v="C1420"/>
    <x v="3"/>
    <n v="2"/>
    <n v="799"/>
    <n v="455"/>
    <n v="910"/>
    <n v="1598"/>
    <n v="688"/>
    <s v="Product 101"/>
    <x v="28"/>
    <s v="Jimmy Young"/>
    <x v="33"/>
    <n v="1"/>
    <x v="0"/>
    <x v="0"/>
    <x v="0"/>
    <x v="0"/>
    <x v="0"/>
  </r>
  <r>
    <s v="AX22083"/>
    <s v="ENX2038"/>
    <s v="A117"/>
    <s v="EMP1025"/>
    <s v="C1771"/>
    <x v="2"/>
    <n v="4"/>
    <n v="392"/>
    <n v="255"/>
    <n v="1020"/>
    <n v="1568"/>
    <n v="548"/>
    <s v="Product 39"/>
    <x v="29"/>
    <s v="Ernest Wagner"/>
    <x v="34"/>
    <n v="1"/>
    <x v="0"/>
    <x v="0"/>
    <x v="0"/>
    <x v="0"/>
    <x v="0"/>
  </r>
  <r>
    <s v="AX22410"/>
    <s v="ENX2077"/>
    <s v="A126"/>
    <s v="EMP1017"/>
    <s v="C1738"/>
    <x v="2"/>
    <n v="1"/>
    <n v="530"/>
    <n v="424"/>
    <n v="424"/>
    <n v="530"/>
    <n v="106"/>
    <s v="Product 78"/>
    <x v="5"/>
    <s v="Brian Hansen"/>
    <x v="35"/>
    <n v="1"/>
    <x v="0"/>
    <x v="0"/>
    <x v="0"/>
    <x v="0"/>
    <x v="0"/>
  </r>
  <r>
    <s v="AX22519"/>
    <s v="ENX2043"/>
    <s v="A150"/>
    <s v="EMP1026"/>
    <s v="C1401"/>
    <x v="2"/>
    <n v="2"/>
    <n v="545"/>
    <n v="425"/>
    <n v="850"/>
    <n v="1090"/>
    <n v="240"/>
    <s v="Product 44"/>
    <x v="30"/>
    <s v="Martin Perry"/>
    <x v="36"/>
    <n v="1"/>
    <x v="0"/>
    <x v="0"/>
    <x v="0"/>
    <x v="0"/>
    <x v="0"/>
  </r>
  <r>
    <s v="AX22541"/>
    <s v="ENX2053"/>
    <s v="A125"/>
    <s v="EMP1013"/>
    <s v="C1508"/>
    <x v="1"/>
    <n v="2"/>
    <n v="596"/>
    <n v="358"/>
    <n v="716"/>
    <n v="1192"/>
    <n v="476"/>
    <s v="Product 54"/>
    <x v="31"/>
    <s v="Charles Harper"/>
    <x v="37"/>
    <n v="1"/>
    <x v="0"/>
    <x v="0"/>
    <x v="0"/>
    <x v="0"/>
    <x v="0"/>
  </r>
  <r>
    <s v="AX22832"/>
    <s v="ENX2006"/>
    <s v="A131"/>
    <s v="EMP1036"/>
    <s v="C1389"/>
    <x v="2"/>
    <n v="1"/>
    <n v="1826"/>
    <n v="1443"/>
    <n v="1443"/>
    <n v="1826"/>
    <n v="383"/>
    <s v="Product 7"/>
    <x v="32"/>
    <s v="Robert Reed"/>
    <x v="38"/>
    <n v="1"/>
    <x v="0"/>
    <x v="0"/>
    <x v="0"/>
    <x v="0"/>
    <x v="0"/>
  </r>
  <r>
    <s v="AX23130"/>
    <s v="ENX2055"/>
    <s v="A153"/>
    <s v="EMP1018"/>
    <s v="C1589"/>
    <x v="0"/>
    <n v="1"/>
    <n v="2495"/>
    <n v="1896"/>
    <n v="1896"/>
    <n v="2495"/>
    <n v="599"/>
    <s v="Product 56"/>
    <x v="8"/>
    <s v="Jimmy Young"/>
    <x v="39"/>
    <n v="1"/>
    <x v="0"/>
    <x v="0"/>
    <x v="0"/>
    <x v="0"/>
    <x v="0"/>
  </r>
  <r>
    <s v="AX23507"/>
    <s v="ENX2082"/>
    <s v="A171"/>
    <s v="EMP1023"/>
    <s v="C1140"/>
    <x v="3"/>
    <n v="1"/>
    <n v="1103"/>
    <n v="838"/>
    <n v="838"/>
    <n v="1103"/>
    <n v="265"/>
    <s v="Product 83"/>
    <x v="0"/>
    <s v="Brian Davis"/>
    <x v="40"/>
    <n v="1"/>
    <x v="0"/>
    <x v="0"/>
    <x v="0"/>
    <x v="0"/>
    <x v="0"/>
  </r>
  <r>
    <s v="AX24092"/>
    <s v="ENX2075"/>
    <s v="A159"/>
    <s v="EMP1027"/>
    <s v="C1362"/>
    <x v="0"/>
    <n v="3"/>
    <n v="400"/>
    <n v="208"/>
    <n v="624"/>
    <n v="1200"/>
    <n v="576"/>
    <s v="Product 76"/>
    <x v="13"/>
    <s v="Gary Rodriguez"/>
    <x v="41"/>
    <n v="1"/>
    <x v="0"/>
    <x v="0"/>
    <x v="0"/>
    <x v="0"/>
    <x v="0"/>
  </r>
  <r>
    <s v="AX24115"/>
    <s v="ENX2003"/>
    <s v="A169"/>
    <s v="EMP1012"/>
    <s v="C1198"/>
    <x v="2"/>
    <n v="2"/>
    <n v="1783"/>
    <n v="1516"/>
    <n v="3032"/>
    <n v="3566"/>
    <n v="534"/>
    <s v="Product 4"/>
    <x v="17"/>
    <s v="John Reyes"/>
    <x v="42"/>
    <n v="1"/>
    <x v="0"/>
    <x v="0"/>
    <x v="0"/>
    <x v="0"/>
    <x v="0"/>
  </r>
  <r>
    <s v="AX24299"/>
    <s v="ENX2074"/>
    <s v="A151"/>
    <s v="EMP1027"/>
    <s v="C1559"/>
    <x v="3"/>
    <n v="1"/>
    <n v="504"/>
    <n v="408"/>
    <n v="408"/>
    <n v="504"/>
    <n v="96"/>
    <s v="Product 75"/>
    <x v="1"/>
    <s v="Gary Rodriguez"/>
    <x v="43"/>
    <n v="1"/>
    <x v="0"/>
    <x v="0"/>
    <x v="0"/>
    <x v="0"/>
    <x v="0"/>
  </r>
  <r>
    <s v="AX24827"/>
    <s v="ENX2079"/>
    <s v="A169"/>
    <s v="EMP1031"/>
    <s v="C1409"/>
    <x v="2"/>
    <n v="2"/>
    <n v="1725"/>
    <n v="1363"/>
    <n v="2726"/>
    <n v="3450"/>
    <n v="724"/>
    <s v="Product 80"/>
    <x v="17"/>
    <s v="Brian Thomas"/>
    <x v="44"/>
    <n v="1"/>
    <x v="0"/>
    <x v="0"/>
    <x v="0"/>
    <x v="0"/>
    <x v="0"/>
  </r>
  <r>
    <s v="AX10173"/>
    <s v="ENX2093"/>
    <s v="A115"/>
    <s v="EMP1040"/>
    <s v="C1566"/>
    <x v="4"/>
    <n v="3"/>
    <n v="112"/>
    <n v="90"/>
    <n v="270"/>
    <n v="336"/>
    <n v="66"/>
    <s v="Product 94"/>
    <x v="33"/>
    <s v="Patrick Ruiz"/>
    <x v="45"/>
    <n v="1"/>
    <x v="0"/>
    <x v="0"/>
    <x v="0"/>
    <x v="0"/>
    <x v="1"/>
  </r>
  <r>
    <s v="AX10218"/>
    <s v="ENX2029"/>
    <s v="A123"/>
    <s v="EMP1018"/>
    <s v="C1612"/>
    <x v="5"/>
    <n v="3"/>
    <n v="1848"/>
    <n v="1294"/>
    <n v="3882"/>
    <n v="5544"/>
    <n v="1662"/>
    <s v="Product 30"/>
    <x v="34"/>
    <s v="Jimmy Young"/>
    <x v="46"/>
    <n v="1"/>
    <x v="0"/>
    <x v="0"/>
    <x v="0"/>
    <x v="0"/>
    <x v="1"/>
  </r>
  <r>
    <s v="AX10230"/>
    <s v="ENX2078"/>
    <s v="A115"/>
    <s v="EMP1005"/>
    <s v="C1455"/>
    <x v="6"/>
    <n v="1"/>
    <n v="1798"/>
    <n v="971"/>
    <n v="971"/>
    <n v="1798"/>
    <n v="827"/>
    <s v="Product 79"/>
    <x v="33"/>
    <s v="Ryan Welch"/>
    <x v="47"/>
    <n v="1"/>
    <x v="0"/>
    <x v="0"/>
    <x v="0"/>
    <x v="0"/>
    <x v="1"/>
  </r>
  <r>
    <s v="AX10308"/>
    <s v="ENX2081"/>
    <s v="A145"/>
    <s v="EMP1029"/>
    <s v="C1070"/>
    <x v="4"/>
    <n v="3"/>
    <n v="1566"/>
    <n v="1190"/>
    <n v="3570"/>
    <n v="4698"/>
    <n v="1128"/>
    <s v="Product 82"/>
    <x v="35"/>
    <s v="Howard Gardner"/>
    <x v="48"/>
    <n v="1"/>
    <x v="0"/>
    <x v="0"/>
    <x v="0"/>
    <x v="0"/>
    <x v="1"/>
  </r>
  <r>
    <s v="AX10331"/>
    <s v="ENX2032"/>
    <s v="A141"/>
    <s v="EMP1043"/>
    <s v="C1002"/>
    <x v="5"/>
    <n v="1"/>
    <n v="1967"/>
    <n v="1397"/>
    <n v="1397"/>
    <n v="1967"/>
    <n v="570"/>
    <s v="Product 33"/>
    <x v="23"/>
    <s v="Joshua Taylor"/>
    <x v="49"/>
    <n v="1"/>
    <x v="0"/>
    <x v="0"/>
    <x v="0"/>
    <x v="0"/>
    <x v="1"/>
  </r>
  <r>
    <s v="AX11627"/>
    <s v="ENX2035"/>
    <s v="A131"/>
    <s v="EMP1022"/>
    <s v="C1577"/>
    <x v="6"/>
    <n v="1"/>
    <n v="458"/>
    <n v="376"/>
    <n v="376"/>
    <n v="458"/>
    <n v="82"/>
    <s v="Product 36"/>
    <x v="32"/>
    <s v="Walter Cook"/>
    <x v="50"/>
    <n v="1"/>
    <x v="0"/>
    <x v="0"/>
    <x v="0"/>
    <x v="0"/>
    <x v="1"/>
  </r>
  <r>
    <s v="AX11633"/>
    <s v="ENX2044"/>
    <s v="A172"/>
    <s v="EMP1036"/>
    <s v="C1659"/>
    <x v="5"/>
    <n v="2"/>
    <n v="886"/>
    <n v="478"/>
    <n v="956"/>
    <n v="1772"/>
    <n v="816"/>
    <s v="Product 45"/>
    <x v="36"/>
    <s v="Robert Reed"/>
    <x v="51"/>
    <n v="1"/>
    <x v="0"/>
    <x v="0"/>
    <x v="0"/>
    <x v="0"/>
    <x v="1"/>
  </r>
  <r>
    <s v="AX11796"/>
    <s v="ENX2058"/>
    <s v="A138"/>
    <s v="EMP1001"/>
    <s v="C1440"/>
    <x v="7"/>
    <n v="3"/>
    <n v="2257"/>
    <n v="1535"/>
    <n v="4605"/>
    <n v="6771"/>
    <n v="2166"/>
    <s v="Product 59"/>
    <x v="37"/>
    <s v="Kevin Butler"/>
    <x v="52"/>
    <n v="1"/>
    <x v="0"/>
    <x v="0"/>
    <x v="0"/>
    <x v="0"/>
    <x v="1"/>
  </r>
  <r>
    <s v="AX12155"/>
    <s v="ENX2064"/>
    <s v="A135"/>
    <s v="EMP1019"/>
    <s v="C1334"/>
    <x v="4"/>
    <n v="4"/>
    <n v="1414"/>
    <n v="962"/>
    <n v="3848"/>
    <n v="5656"/>
    <n v="1808"/>
    <s v="Product 65"/>
    <x v="10"/>
    <s v="Roger Robertson"/>
    <x v="53"/>
    <n v="1"/>
    <x v="0"/>
    <x v="0"/>
    <x v="0"/>
    <x v="0"/>
    <x v="1"/>
  </r>
  <r>
    <s v="AX12296"/>
    <s v="ENX2024"/>
    <s v="A172"/>
    <s v="EMP1034"/>
    <s v="C1496"/>
    <x v="4"/>
    <n v="3"/>
    <n v="356"/>
    <n v="292"/>
    <n v="876"/>
    <n v="1068"/>
    <n v="192"/>
    <s v="Product 25"/>
    <x v="36"/>
    <s v="Arthur Mccoy"/>
    <x v="54"/>
    <n v="1"/>
    <x v="0"/>
    <x v="0"/>
    <x v="0"/>
    <x v="0"/>
    <x v="1"/>
  </r>
  <r>
    <s v="AX12418"/>
    <s v="ENX2007"/>
    <s v="A118"/>
    <s v="EMP1000"/>
    <s v="C1148"/>
    <x v="5"/>
    <n v="1"/>
    <n v="1405"/>
    <n v="1054"/>
    <n v="1054"/>
    <n v="1405"/>
    <n v="351"/>
    <s v="Product 8"/>
    <x v="19"/>
    <s v="Fred Robertson"/>
    <x v="55"/>
    <n v="1"/>
    <x v="0"/>
    <x v="0"/>
    <x v="0"/>
    <x v="0"/>
    <x v="1"/>
  </r>
  <r>
    <s v="AX12990"/>
    <s v="ENX2095"/>
    <s v="A145"/>
    <s v="EMP1003"/>
    <s v="C1151"/>
    <x v="6"/>
    <n v="1"/>
    <n v="1743"/>
    <n v="872"/>
    <n v="872"/>
    <n v="1743"/>
    <n v="871"/>
    <s v="Product 96"/>
    <x v="35"/>
    <s v="Christopher Tucker"/>
    <x v="56"/>
    <n v="1"/>
    <x v="0"/>
    <x v="0"/>
    <x v="0"/>
    <x v="0"/>
    <x v="1"/>
  </r>
  <r>
    <s v="AX13141"/>
    <s v="ENX2086"/>
    <s v="A139"/>
    <s v="EMP1042"/>
    <s v="C1000"/>
    <x v="6"/>
    <n v="4"/>
    <n v="123"/>
    <n v="84"/>
    <n v="336"/>
    <n v="492"/>
    <n v="156"/>
    <s v="Product 87"/>
    <x v="38"/>
    <s v="Scott Clark"/>
    <x v="57"/>
    <n v="1"/>
    <x v="0"/>
    <x v="0"/>
    <x v="0"/>
    <x v="0"/>
    <x v="1"/>
  </r>
  <r>
    <s v="AX13148"/>
    <s v="ENX2080"/>
    <s v="A173"/>
    <s v="EMP1027"/>
    <s v="C1054"/>
    <x v="7"/>
    <n v="4"/>
    <n v="2353"/>
    <n v="1788"/>
    <n v="7152"/>
    <n v="9412"/>
    <n v="2260"/>
    <s v="Product 81"/>
    <x v="25"/>
    <s v="Gary Rodriguez"/>
    <x v="58"/>
    <n v="1"/>
    <x v="0"/>
    <x v="0"/>
    <x v="0"/>
    <x v="0"/>
    <x v="1"/>
  </r>
  <r>
    <s v="AX13630"/>
    <s v="ENX2013"/>
    <s v="A116"/>
    <s v="EMP1025"/>
    <s v="C1640"/>
    <x v="5"/>
    <n v="2"/>
    <n v="368"/>
    <n v="269"/>
    <n v="538"/>
    <n v="736"/>
    <n v="198"/>
    <s v="Product 14"/>
    <x v="15"/>
    <s v="Ernest Wagner"/>
    <x v="59"/>
    <n v="1"/>
    <x v="0"/>
    <x v="0"/>
    <x v="0"/>
    <x v="0"/>
    <x v="1"/>
  </r>
  <r>
    <s v="AX13768"/>
    <s v="ENX2001"/>
    <s v="A116"/>
    <s v="EMP1013"/>
    <s v="C1372"/>
    <x v="7"/>
    <n v="1"/>
    <n v="951"/>
    <n v="504"/>
    <n v="504"/>
    <n v="951"/>
    <n v="447"/>
    <s v="Product 2"/>
    <x v="15"/>
    <s v="Charles Harper"/>
    <x v="60"/>
    <n v="1"/>
    <x v="0"/>
    <x v="0"/>
    <x v="0"/>
    <x v="0"/>
    <x v="1"/>
  </r>
  <r>
    <s v="AX13833"/>
    <s v="ENX2079"/>
    <s v="A120"/>
    <s v="EMP1012"/>
    <s v="C1490"/>
    <x v="4"/>
    <n v="4"/>
    <n v="1725"/>
    <n v="1363"/>
    <n v="5452"/>
    <n v="6900"/>
    <n v="1448"/>
    <s v="Product 80"/>
    <x v="20"/>
    <s v="John Reyes"/>
    <x v="61"/>
    <n v="1"/>
    <x v="0"/>
    <x v="0"/>
    <x v="0"/>
    <x v="0"/>
    <x v="1"/>
  </r>
  <r>
    <s v="AX14638"/>
    <s v="ENX2058"/>
    <s v="A154"/>
    <s v="EMP1011"/>
    <s v="C1342"/>
    <x v="7"/>
    <n v="2"/>
    <n v="2257"/>
    <n v="1535"/>
    <n v="3070"/>
    <n v="4514"/>
    <n v="1444"/>
    <s v="Product 59"/>
    <x v="24"/>
    <s v="Larry Marshall"/>
    <x v="62"/>
    <n v="1"/>
    <x v="0"/>
    <x v="0"/>
    <x v="0"/>
    <x v="0"/>
    <x v="1"/>
  </r>
  <r>
    <s v="AX15468"/>
    <s v="ENX2040"/>
    <s v="A143"/>
    <s v="EMP1038"/>
    <s v="C1172"/>
    <x v="7"/>
    <n v="1"/>
    <n v="1889"/>
    <n v="945"/>
    <n v="945"/>
    <n v="1889"/>
    <n v="944"/>
    <s v="Product 41"/>
    <x v="39"/>
    <s v="Scott Mason"/>
    <x v="63"/>
    <n v="1"/>
    <x v="0"/>
    <x v="0"/>
    <x v="0"/>
    <x v="0"/>
    <x v="1"/>
  </r>
  <r>
    <s v="AX15477"/>
    <s v="ENX2056"/>
    <s v="A168"/>
    <s v="EMP1029"/>
    <s v="C1372"/>
    <x v="7"/>
    <n v="1"/>
    <n v="1635"/>
    <n v="1046"/>
    <n v="1046"/>
    <n v="1635"/>
    <n v="589"/>
    <s v="Product 57"/>
    <x v="40"/>
    <s v="Howard Gardner"/>
    <x v="60"/>
    <n v="1"/>
    <x v="0"/>
    <x v="0"/>
    <x v="0"/>
    <x v="0"/>
    <x v="1"/>
  </r>
  <r>
    <s v="AX15923"/>
    <s v="ENX2091"/>
    <s v="A134"/>
    <s v="EMP1013"/>
    <s v="C1480"/>
    <x v="5"/>
    <n v="1"/>
    <n v="368"/>
    <n v="294"/>
    <n v="294"/>
    <n v="368"/>
    <n v="74"/>
    <s v="Product 92"/>
    <x v="41"/>
    <s v="Charles Harper"/>
    <x v="64"/>
    <n v="1"/>
    <x v="0"/>
    <x v="0"/>
    <x v="0"/>
    <x v="0"/>
    <x v="1"/>
  </r>
  <r>
    <s v="AX16611"/>
    <s v="ENX2069"/>
    <s v="A154"/>
    <s v="EMP1009"/>
    <s v="C1196"/>
    <x v="6"/>
    <n v="3"/>
    <n v="378"/>
    <n v="291"/>
    <n v="873"/>
    <n v="1134"/>
    <n v="261"/>
    <s v="Product 70"/>
    <x v="24"/>
    <s v="Kenneth Fields"/>
    <x v="65"/>
    <n v="1"/>
    <x v="0"/>
    <x v="0"/>
    <x v="0"/>
    <x v="0"/>
    <x v="1"/>
  </r>
  <r>
    <s v="AX16942"/>
    <s v="ENX2003"/>
    <s v="A154"/>
    <s v="EMP1044"/>
    <s v="C1711"/>
    <x v="6"/>
    <n v="3"/>
    <n v="1783"/>
    <n v="1516"/>
    <n v="4548"/>
    <n v="5349"/>
    <n v="801"/>
    <s v="Product 4"/>
    <x v="24"/>
    <s v="Martin Carr"/>
    <x v="66"/>
    <n v="1"/>
    <x v="0"/>
    <x v="0"/>
    <x v="0"/>
    <x v="0"/>
    <x v="1"/>
  </r>
  <r>
    <s v="AX17065"/>
    <s v="ENX2067"/>
    <s v="A147"/>
    <s v="EMP1024"/>
    <s v="C1325"/>
    <x v="6"/>
    <n v="2"/>
    <n v="1119"/>
    <n v="683"/>
    <n v="1366"/>
    <n v="2238"/>
    <n v="872"/>
    <s v="Product 68"/>
    <x v="42"/>
    <s v="Ernest Wheeler"/>
    <x v="67"/>
    <n v="1"/>
    <x v="0"/>
    <x v="0"/>
    <x v="0"/>
    <x v="0"/>
    <x v="1"/>
  </r>
  <r>
    <s v="AX17514"/>
    <s v="ENX2092"/>
    <s v="A136"/>
    <s v="EMP1017"/>
    <s v="C1454"/>
    <x v="6"/>
    <n v="4"/>
    <n v="1639"/>
    <n v="1295"/>
    <n v="5180"/>
    <n v="6556"/>
    <n v="1376"/>
    <s v="Product 93"/>
    <x v="43"/>
    <s v="Brian Hansen"/>
    <x v="68"/>
    <n v="1"/>
    <x v="0"/>
    <x v="0"/>
    <x v="0"/>
    <x v="0"/>
    <x v="1"/>
  </r>
  <r>
    <s v="AX18454"/>
    <s v="ENX2095"/>
    <s v="A131"/>
    <s v="EMP1004"/>
    <s v="C1775"/>
    <x v="6"/>
    <n v="3"/>
    <n v="1743"/>
    <n v="872"/>
    <n v="2616"/>
    <n v="5229"/>
    <n v="2613"/>
    <s v="Product 96"/>
    <x v="32"/>
    <s v="Kenneth Bradley"/>
    <x v="69"/>
    <n v="1"/>
    <x v="0"/>
    <x v="0"/>
    <x v="0"/>
    <x v="0"/>
    <x v="1"/>
  </r>
  <r>
    <s v="AX18541"/>
    <s v="ENX2039"/>
    <s v="A146"/>
    <s v="EMP1024"/>
    <s v="C1702"/>
    <x v="6"/>
    <n v="1"/>
    <n v="817"/>
    <n v="409"/>
    <n v="409"/>
    <n v="817"/>
    <n v="408"/>
    <s v="Product 40"/>
    <x v="27"/>
    <s v="Ernest Wheeler"/>
    <x v="70"/>
    <n v="1"/>
    <x v="0"/>
    <x v="0"/>
    <x v="0"/>
    <x v="0"/>
    <x v="1"/>
  </r>
  <r>
    <s v="AX18831"/>
    <s v="ENX2072"/>
    <s v="A102"/>
    <s v="EMP1018"/>
    <s v="C1634"/>
    <x v="6"/>
    <n v="2"/>
    <n v="1887"/>
    <n v="1378"/>
    <n v="2756"/>
    <n v="3774"/>
    <n v="1018"/>
    <s v="Product 73"/>
    <x v="44"/>
    <s v="Jimmy Young"/>
    <x v="71"/>
    <n v="1"/>
    <x v="0"/>
    <x v="0"/>
    <x v="0"/>
    <x v="0"/>
    <x v="1"/>
  </r>
  <r>
    <s v="AX19206"/>
    <s v="ENX2054"/>
    <s v="A105"/>
    <s v="EMP1037"/>
    <s v="C1584"/>
    <x v="5"/>
    <n v="4"/>
    <n v="127"/>
    <n v="79"/>
    <n v="316"/>
    <n v="508"/>
    <n v="192"/>
    <s v="Product 55"/>
    <x v="45"/>
    <s v="Carl Hall"/>
    <x v="72"/>
    <n v="1"/>
    <x v="0"/>
    <x v="0"/>
    <x v="0"/>
    <x v="0"/>
    <x v="1"/>
  </r>
  <r>
    <s v="AX19503"/>
    <s v="ENX2093"/>
    <s v="A154"/>
    <s v="EMP1022"/>
    <s v="C1655"/>
    <x v="7"/>
    <n v="3"/>
    <n v="112"/>
    <n v="90"/>
    <n v="270"/>
    <n v="336"/>
    <n v="66"/>
    <s v="Product 94"/>
    <x v="24"/>
    <s v="Walter Cook"/>
    <x v="73"/>
    <n v="1"/>
    <x v="0"/>
    <x v="0"/>
    <x v="0"/>
    <x v="0"/>
    <x v="1"/>
  </r>
  <r>
    <s v="AX19554"/>
    <s v="ENX2013"/>
    <s v="A133"/>
    <s v="EMP1044"/>
    <s v="C1536"/>
    <x v="7"/>
    <n v="2"/>
    <n v="368"/>
    <n v="269"/>
    <n v="538"/>
    <n v="736"/>
    <n v="198"/>
    <s v="Product 14"/>
    <x v="46"/>
    <s v="Martin Carr"/>
    <x v="74"/>
    <n v="1"/>
    <x v="0"/>
    <x v="0"/>
    <x v="0"/>
    <x v="0"/>
    <x v="1"/>
  </r>
  <r>
    <s v="AX19763"/>
    <s v="ENX2088"/>
    <s v="A120"/>
    <s v="EMP1034"/>
    <s v="C1404"/>
    <x v="4"/>
    <n v="4"/>
    <n v="603"/>
    <n v="416"/>
    <n v="1664"/>
    <n v="2412"/>
    <n v="748"/>
    <s v="Product 89"/>
    <x v="20"/>
    <s v="Arthur Mccoy"/>
    <x v="75"/>
    <n v="1"/>
    <x v="0"/>
    <x v="0"/>
    <x v="0"/>
    <x v="0"/>
    <x v="1"/>
  </r>
  <r>
    <s v="AX19789"/>
    <s v="ENX2007"/>
    <s v="A170"/>
    <s v="EMP1021"/>
    <s v="C1131"/>
    <x v="5"/>
    <n v="2"/>
    <n v="1405"/>
    <n v="1054"/>
    <n v="2108"/>
    <n v="2810"/>
    <n v="702"/>
    <s v="Product 8"/>
    <x v="47"/>
    <s v="Clarence Fox"/>
    <x v="76"/>
    <n v="1"/>
    <x v="0"/>
    <x v="0"/>
    <x v="0"/>
    <x v="0"/>
    <x v="1"/>
  </r>
  <r>
    <s v="AX20122"/>
    <s v="ENX2092"/>
    <s v="A154"/>
    <s v="EMP1029"/>
    <s v="C1619"/>
    <x v="6"/>
    <n v="1"/>
    <n v="1639"/>
    <n v="1295"/>
    <n v="1295"/>
    <n v="1639"/>
    <n v="344"/>
    <s v="Product 93"/>
    <x v="24"/>
    <s v="Howard Gardner"/>
    <x v="77"/>
    <n v="1"/>
    <x v="0"/>
    <x v="0"/>
    <x v="0"/>
    <x v="0"/>
    <x v="1"/>
  </r>
  <r>
    <s v="AX20825"/>
    <s v="ENX2067"/>
    <s v="A120"/>
    <s v="EMP1004"/>
    <s v="C1392"/>
    <x v="4"/>
    <n v="2"/>
    <n v="1119"/>
    <n v="683"/>
    <n v="1366"/>
    <n v="2238"/>
    <n v="872"/>
    <s v="Product 68"/>
    <x v="20"/>
    <s v="Kenneth Bradley"/>
    <x v="78"/>
    <n v="1"/>
    <x v="0"/>
    <x v="0"/>
    <x v="0"/>
    <x v="0"/>
    <x v="1"/>
  </r>
  <r>
    <s v="AX21215"/>
    <s v="ENX2055"/>
    <s v="A102"/>
    <s v="EMP1002"/>
    <s v="C1402"/>
    <x v="7"/>
    <n v="1"/>
    <n v="2495"/>
    <n v="1896"/>
    <n v="1896"/>
    <n v="2495"/>
    <n v="599"/>
    <s v="Product 56"/>
    <x v="44"/>
    <s v="Andrew Bowman"/>
    <x v="79"/>
    <n v="1"/>
    <x v="0"/>
    <x v="0"/>
    <x v="0"/>
    <x v="0"/>
    <x v="1"/>
  </r>
  <r>
    <s v="AX22055"/>
    <s v="ENX2029"/>
    <s v="A133"/>
    <s v="EMP1028"/>
    <s v="C1451"/>
    <x v="6"/>
    <n v="1"/>
    <n v="1848"/>
    <n v="1294"/>
    <n v="1294"/>
    <n v="1848"/>
    <n v="554"/>
    <s v="Product 30"/>
    <x v="46"/>
    <s v="Howard Sims"/>
    <x v="80"/>
    <n v="1"/>
    <x v="0"/>
    <x v="0"/>
    <x v="0"/>
    <x v="0"/>
    <x v="1"/>
  </r>
  <r>
    <s v="AX22548"/>
    <s v="ENX2047"/>
    <s v="A115"/>
    <s v="EMP1029"/>
    <s v="C1725"/>
    <x v="6"/>
    <n v="1"/>
    <n v="290"/>
    <n v="200"/>
    <n v="200"/>
    <n v="290"/>
    <n v="90"/>
    <s v="Product 48"/>
    <x v="33"/>
    <s v="Howard Gardner"/>
    <x v="81"/>
    <n v="1"/>
    <x v="0"/>
    <x v="0"/>
    <x v="0"/>
    <x v="0"/>
    <x v="1"/>
  </r>
  <r>
    <s v="AX22947"/>
    <s v="ENX2028"/>
    <s v="A132"/>
    <s v="EMP1025"/>
    <s v="C1165"/>
    <x v="7"/>
    <n v="4"/>
    <n v="2283"/>
    <n v="1484"/>
    <n v="5936"/>
    <n v="9132"/>
    <n v="3196"/>
    <s v="Product 29"/>
    <x v="48"/>
    <s v="Ernest Wagner"/>
    <x v="82"/>
    <n v="1"/>
    <x v="0"/>
    <x v="0"/>
    <x v="0"/>
    <x v="0"/>
    <x v="1"/>
  </r>
  <r>
    <s v="AX22976"/>
    <s v="ENX2065"/>
    <s v="A108"/>
    <s v="EMP1030"/>
    <s v="C1323"/>
    <x v="6"/>
    <n v="1"/>
    <n v="2396"/>
    <n v="1965"/>
    <n v="1965"/>
    <n v="2396"/>
    <n v="431"/>
    <s v="Product 66"/>
    <x v="49"/>
    <s v="Bobby Russell"/>
    <x v="83"/>
    <n v="1"/>
    <x v="0"/>
    <x v="0"/>
    <x v="0"/>
    <x v="0"/>
    <x v="1"/>
  </r>
  <r>
    <s v="AX23567"/>
    <s v="ENX2025"/>
    <s v="A152"/>
    <s v="EMP1032"/>
    <s v="C1122"/>
    <x v="5"/>
    <n v="1"/>
    <n v="667"/>
    <n v="387"/>
    <n v="387"/>
    <n v="667"/>
    <n v="280"/>
    <s v="Product 26"/>
    <x v="26"/>
    <s v="Larry Castillo"/>
    <x v="84"/>
    <n v="1"/>
    <x v="0"/>
    <x v="0"/>
    <x v="0"/>
    <x v="0"/>
    <x v="1"/>
  </r>
  <r>
    <s v="AX23753"/>
    <s v="ENX2007"/>
    <s v="A129"/>
    <s v="EMP1019"/>
    <s v="C1535"/>
    <x v="7"/>
    <n v="1"/>
    <n v="1405"/>
    <n v="1054"/>
    <n v="1054"/>
    <n v="1405"/>
    <n v="351"/>
    <s v="Product 8"/>
    <x v="22"/>
    <s v="Roger Robertson"/>
    <x v="85"/>
    <n v="1"/>
    <x v="0"/>
    <x v="0"/>
    <x v="0"/>
    <x v="0"/>
    <x v="1"/>
  </r>
  <r>
    <s v="AX23836"/>
    <s v="ENX2000"/>
    <s v="A123"/>
    <s v="EMP1019"/>
    <s v="C1698"/>
    <x v="6"/>
    <n v="1"/>
    <n v="2241"/>
    <n v="1367"/>
    <n v="1367"/>
    <n v="2241"/>
    <n v="874"/>
    <s v="Product 1"/>
    <x v="34"/>
    <s v="Roger Robertson"/>
    <x v="86"/>
    <n v="1"/>
    <x v="0"/>
    <x v="0"/>
    <x v="0"/>
    <x v="0"/>
    <x v="1"/>
  </r>
  <r>
    <s v="AX10024"/>
    <s v="ENX2059"/>
    <s v="A104"/>
    <s v="EMP1036"/>
    <s v="C1673"/>
    <x v="8"/>
    <n v="3"/>
    <n v="1494"/>
    <n v="971"/>
    <n v="2913"/>
    <n v="4482"/>
    <n v="1569"/>
    <s v="Product 60"/>
    <x v="50"/>
    <s v="Robert Reed"/>
    <x v="87"/>
    <n v="1"/>
    <x v="0"/>
    <x v="0"/>
    <x v="0"/>
    <x v="0"/>
    <x v="2"/>
  </r>
  <r>
    <s v="AX10231"/>
    <s v="ENX2016"/>
    <s v="A163"/>
    <s v="EMP1013"/>
    <s v="C1465"/>
    <x v="9"/>
    <n v="3"/>
    <n v="1351"/>
    <n v="1108"/>
    <n v="3324"/>
    <n v="4053"/>
    <n v="729"/>
    <s v="Product 17"/>
    <x v="51"/>
    <s v="Charles Harper"/>
    <x v="88"/>
    <n v="1"/>
    <x v="0"/>
    <x v="0"/>
    <x v="0"/>
    <x v="0"/>
    <x v="2"/>
  </r>
  <r>
    <s v="AX10550"/>
    <s v="ENX2060"/>
    <s v="A100"/>
    <s v="EMP1005"/>
    <s v="C1175"/>
    <x v="8"/>
    <n v="1"/>
    <n v="1467"/>
    <n v="807"/>
    <n v="807"/>
    <n v="1467"/>
    <n v="660"/>
    <s v="Product 61"/>
    <x v="52"/>
    <s v="Ryan Welch"/>
    <x v="89"/>
    <n v="1"/>
    <x v="0"/>
    <x v="0"/>
    <x v="0"/>
    <x v="0"/>
    <x v="2"/>
  </r>
  <r>
    <s v="AX10949"/>
    <s v="ENX2036"/>
    <s v="A139"/>
    <s v="EMP1014"/>
    <s v="C1685"/>
    <x v="10"/>
    <n v="2"/>
    <n v="1582"/>
    <n v="1234"/>
    <n v="2468"/>
    <n v="3164"/>
    <n v="696"/>
    <s v="Product 37"/>
    <x v="38"/>
    <s v="Ronald Reed"/>
    <x v="90"/>
    <n v="1"/>
    <x v="0"/>
    <x v="0"/>
    <x v="0"/>
    <x v="0"/>
    <x v="2"/>
  </r>
  <r>
    <s v="AX11590"/>
    <s v="ENX2048"/>
    <s v="A151"/>
    <s v="EMP1038"/>
    <s v="C1096"/>
    <x v="9"/>
    <n v="3"/>
    <n v="502"/>
    <n v="296"/>
    <n v="888"/>
    <n v="1506"/>
    <n v="618"/>
    <s v="Product 49"/>
    <x v="1"/>
    <s v="Scott Mason"/>
    <x v="91"/>
    <n v="1"/>
    <x v="0"/>
    <x v="0"/>
    <x v="0"/>
    <x v="0"/>
    <x v="2"/>
  </r>
  <r>
    <s v="AX11669"/>
    <s v="ENX2084"/>
    <s v="A155"/>
    <s v="EMP1015"/>
    <s v="C1552"/>
    <x v="11"/>
    <n v="4"/>
    <n v="1783"/>
    <n v="1230"/>
    <n v="4920"/>
    <n v="7132"/>
    <n v="2212"/>
    <s v="Product 85"/>
    <x v="53"/>
    <s v="Justin Lynch"/>
    <x v="92"/>
    <n v="1"/>
    <x v="0"/>
    <x v="0"/>
    <x v="0"/>
    <x v="0"/>
    <x v="2"/>
  </r>
  <r>
    <s v="AX11675"/>
    <s v="ENX2099"/>
    <s v="A163"/>
    <s v="EMP1030"/>
    <s v="C1393"/>
    <x v="9"/>
    <n v="2"/>
    <n v="1367"/>
    <n v="984"/>
    <n v="1968"/>
    <n v="2734"/>
    <n v="766"/>
    <s v="Product 100"/>
    <x v="51"/>
    <s v="Bobby Russell"/>
    <x v="93"/>
    <n v="1"/>
    <x v="0"/>
    <x v="0"/>
    <x v="0"/>
    <x v="0"/>
    <x v="2"/>
  </r>
  <r>
    <s v="AX11759"/>
    <s v="ENX2073"/>
    <s v="A154"/>
    <s v="EMP1025"/>
    <s v="C1231"/>
    <x v="9"/>
    <n v="3"/>
    <n v="95"/>
    <n v="61"/>
    <n v="183"/>
    <n v="285"/>
    <n v="102"/>
    <s v="Product 74"/>
    <x v="24"/>
    <s v="Ernest Wagner"/>
    <x v="94"/>
    <n v="1"/>
    <x v="0"/>
    <x v="0"/>
    <x v="0"/>
    <x v="0"/>
    <x v="2"/>
  </r>
  <r>
    <s v="AX12143"/>
    <s v="ENX2099"/>
    <s v="A159"/>
    <s v="EMP1007"/>
    <s v="C1035"/>
    <x v="8"/>
    <n v="2"/>
    <n v="1367"/>
    <n v="984"/>
    <n v="1968"/>
    <n v="2734"/>
    <n v="766"/>
    <s v="Product 100"/>
    <x v="13"/>
    <s v="Jeremy Mendoza"/>
    <x v="95"/>
    <n v="1"/>
    <x v="0"/>
    <x v="0"/>
    <x v="0"/>
    <x v="0"/>
    <x v="2"/>
  </r>
  <r>
    <s v="AX12387"/>
    <s v="ENX2026"/>
    <s v="A111"/>
    <s v="EMP1027"/>
    <s v="C1074"/>
    <x v="10"/>
    <n v="1"/>
    <n v="947"/>
    <n v="786"/>
    <n v="786"/>
    <n v="947"/>
    <n v="161"/>
    <s v="Product 27"/>
    <x v="54"/>
    <s v="Gary Rodriguez"/>
    <x v="96"/>
    <n v="1"/>
    <x v="0"/>
    <x v="0"/>
    <x v="0"/>
    <x v="0"/>
    <x v="2"/>
  </r>
  <r>
    <s v="AX12679"/>
    <s v="ENX2041"/>
    <s v="A170"/>
    <s v="EMP1040"/>
    <s v="C1642"/>
    <x v="10"/>
    <n v="4"/>
    <n v="1380"/>
    <n v="1090"/>
    <n v="4360"/>
    <n v="5520"/>
    <n v="1160"/>
    <s v="Product 42"/>
    <x v="47"/>
    <s v="Patrick Ruiz"/>
    <x v="97"/>
    <n v="1"/>
    <x v="0"/>
    <x v="0"/>
    <x v="0"/>
    <x v="0"/>
    <x v="2"/>
  </r>
  <r>
    <s v="AX12735"/>
    <s v="ENX2073"/>
    <s v="A107"/>
    <s v="EMP1042"/>
    <s v="C1326"/>
    <x v="8"/>
    <n v="1"/>
    <n v="95"/>
    <n v="61"/>
    <n v="61"/>
    <n v="95"/>
    <n v="34"/>
    <s v="Product 74"/>
    <x v="21"/>
    <s v="Scott Clark"/>
    <x v="98"/>
    <n v="1"/>
    <x v="0"/>
    <x v="0"/>
    <x v="0"/>
    <x v="0"/>
    <x v="2"/>
  </r>
  <r>
    <s v="AX13255"/>
    <s v="ENX2022"/>
    <s v="A173"/>
    <s v="EMP1043"/>
    <s v="C1575"/>
    <x v="8"/>
    <n v="1"/>
    <n v="561"/>
    <n v="421"/>
    <n v="421"/>
    <n v="561"/>
    <n v="140"/>
    <s v="Product 23"/>
    <x v="25"/>
    <s v="Joshua Taylor"/>
    <x v="99"/>
    <n v="1"/>
    <x v="0"/>
    <x v="0"/>
    <x v="0"/>
    <x v="0"/>
    <x v="2"/>
  </r>
  <r>
    <s v="AX13411"/>
    <s v="ENX2057"/>
    <s v="A165"/>
    <s v="EMP1040"/>
    <s v="C1473"/>
    <x v="10"/>
    <n v="2"/>
    <n v="181"/>
    <n v="130"/>
    <n v="260"/>
    <n v="362"/>
    <n v="102"/>
    <s v="Product 58"/>
    <x v="55"/>
    <s v="Patrick Ruiz"/>
    <x v="100"/>
    <n v="1"/>
    <x v="0"/>
    <x v="0"/>
    <x v="0"/>
    <x v="0"/>
    <x v="2"/>
  </r>
  <r>
    <s v="AX13737"/>
    <s v="ENX2039"/>
    <s v="A140"/>
    <s v="EMP1024"/>
    <s v="C1113"/>
    <x v="11"/>
    <n v="3"/>
    <n v="817"/>
    <n v="409"/>
    <n v="1227"/>
    <n v="2451"/>
    <n v="1224"/>
    <s v="Product 40"/>
    <x v="18"/>
    <s v="Ernest Wheeler"/>
    <x v="101"/>
    <n v="1"/>
    <x v="0"/>
    <x v="0"/>
    <x v="0"/>
    <x v="0"/>
    <x v="2"/>
  </r>
  <r>
    <s v="AX14144"/>
    <s v="ENX2050"/>
    <s v="A106"/>
    <s v="EMP1012"/>
    <s v="C1124"/>
    <x v="9"/>
    <n v="1"/>
    <n v="2391"/>
    <n v="1291"/>
    <n v="1291"/>
    <n v="2391"/>
    <n v="1100"/>
    <s v="Product 51"/>
    <x v="11"/>
    <s v="John Reyes"/>
    <x v="102"/>
    <n v="1"/>
    <x v="0"/>
    <x v="0"/>
    <x v="0"/>
    <x v="0"/>
    <x v="2"/>
  </r>
  <r>
    <s v="AX14278"/>
    <s v="ENX2093"/>
    <s v="A116"/>
    <s v="EMP1044"/>
    <s v="C1532"/>
    <x v="9"/>
    <n v="3"/>
    <n v="112"/>
    <n v="90"/>
    <n v="270"/>
    <n v="336"/>
    <n v="66"/>
    <s v="Product 94"/>
    <x v="15"/>
    <s v="Martin Carr"/>
    <x v="103"/>
    <n v="1"/>
    <x v="0"/>
    <x v="0"/>
    <x v="0"/>
    <x v="0"/>
    <x v="2"/>
  </r>
  <r>
    <s v="AX15204"/>
    <s v="ENX2070"/>
    <s v="A151"/>
    <s v="EMP1011"/>
    <s v="C1254"/>
    <x v="9"/>
    <n v="1"/>
    <n v="1671"/>
    <n v="1220"/>
    <n v="1220"/>
    <n v="1671"/>
    <n v="451"/>
    <s v="Product 71"/>
    <x v="1"/>
    <s v="Larry Marshall"/>
    <x v="104"/>
    <n v="1"/>
    <x v="0"/>
    <x v="0"/>
    <x v="0"/>
    <x v="0"/>
    <x v="2"/>
  </r>
  <r>
    <s v="AX15466"/>
    <s v="ENX2004"/>
    <s v="A142"/>
    <s v="EMP1003"/>
    <s v="C1296"/>
    <x v="8"/>
    <n v="3"/>
    <n v="1278"/>
    <n v="665"/>
    <n v="1995"/>
    <n v="3834"/>
    <n v="1839"/>
    <s v="Product 5"/>
    <x v="56"/>
    <s v="Christopher Tucker"/>
    <x v="105"/>
    <n v="1"/>
    <x v="0"/>
    <x v="0"/>
    <x v="0"/>
    <x v="0"/>
    <x v="2"/>
  </r>
  <r>
    <s v="AX15734"/>
    <s v="ENX2001"/>
    <s v="A128"/>
    <s v="EMP1010"/>
    <s v="C1030"/>
    <x v="11"/>
    <n v="1"/>
    <n v="951"/>
    <n v="504"/>
    <n v="504"/>
    <n v="951"/>
    <n v="447"/>
    <s v="Product 2"/>
    <x v="12"/>
    <s v="Joshua Cook"/>
    <x v="106"/>
    <n v="1"/>
    <x v="0"/>
    <x v="0"/>
    <x v="0"/>
    <x v="0"/>
    <x v="2"/>
  </r>
  <r>
    <s v="AX16753"/>
    <s v="ENX2048"/>
    <s v="A109"/>
    <s v="EMP1001"/>
    <s v="C1785"/>
    <x v="8"/>
    <n v="1"/>
    <n v="502"/>
    <n v="296"/>
    <n v="296"/>
    <n v="502"/>
    <n v="206"/>
    <s v="Product 49"/>
    <x v="57"/>
    <s v="Kevin Butler"/>
    <x v="107"/>
    <n v="1"/>
    <x v="0"/>
    <x v="0"/>
    <x v="0"/>
    <x v="0"/>
    <x v="2"/>
  </r>
  <r>
    <s v="AX16868"/>
    <s v="ENX2019"/>
    <s v="A107"/>
    <s v="EMP1027"/>
    <s v="C1067"/>
    <x v="11"/>
    <n v="4"/>
    <n v="800"/>
    <n v="536"/>
    <n v="2144"/>
    <n v="3200"/>
    <n v="1056"/>
    <s v="Product 20"/>
    <x v="21"/>
    <s v="Gary Rodriguez"/>
    <x v="108"/>
    <n v="1"/>
    <x v="0"/>
    <x v="0"/>
    <x v="0"/>
    <x v="0"/>
    <x v="2"/>
  </r>
  <r>
    <s v="AX17269"/>
    <s v="ENX2082"/>
    <s v="A171"/>
    <s v="EMP1019"/>
    <s v="C1644"/>
    <x v="11"/>
    <n v="1"/>
    <n v="1103"/>
    <n v="838"/>
    <n v="838"/>
    <n v="1103"/>
    <n v="265"/>
    <s v="Product 83"/>
    <x v="0"/>
    <s v="Roger Robertson"/>
    <x v="109"/>
    <n v="1"/>
    <x v="0"/>
    <x v="0"/>
    <x v="0"/>
    <x v="0"/>
    <x v="2"/>
  </r>
  <r>
    <s v="AX18058"/>
    <s v="ENX2011"/>
    <s v="A123"/>
    <s v="EMP1026"/>
    <s v="C1100"/>
    <x v="10"/>
    <n v="3"/>
    <n v="530"/>
    <n v="435"/>
    <n v="1305"/>
    <n v="1590"/>
    <n v="285"/>
    <s v="Product 12"/>
    <x v="34"/>
    <s v="Martin Perry"/>
    <x v="110"/>
    <n v="1"/>
    <x v="0"/>
    <x v="0"/>
    <x v="0"/>
    <x v="0"/>
    <x v="2"/>
  </r>
  <r>
    <s v="AX18173"/>
    <s v="ENX2091"/>
    <s v="A169"/>
    <s v="EMP1010"/>
    <s v="C1255"/>
    <x v="9"/>
    <n v="3"/>
    <n v="368"/>
    <n v="294"/>
    <n v="882"/>
    <n v="1104"/>
    <n v="222"/>
    <s v="Product 92"/>
    <x v="17"/>
    <s v="Joshua Cook"/>
    <x v="111"/>
    <n v="1"/>
    <x v="0"/>
    <x v="0"/>
    <x v="0"/>
    <x v="0"/>
    <x v="2"/>
  </r>
  <r>
    <s v="AX18359"/>
    <s v="ENX2043"/>
    <s v="A111"/>
    <s v="EMP1031"/>
    <s v="C1410"/>
    <x v="11"/>
    <n v="1"/>
    <n v="545"/>
    <n v="425"/>
    <n v="425"/>
    <n v="545"/>
    <n v="120"/>
    <s v="Product 44"/>
    <x v="54"/>
    <s v="Brian Thomas"/>
    <x v="112"/>
    <n v="1"/>
    <x v="0"/>
    <x v="0"/>
    <x v="0"/>
    <x v="0"/>
    <x v="2"/>
  </r>
  <r>
    <s v="AX18445"/>
    <s v="ENX2060"/>
    <s v="A158"/>
    <s v="EMP1026"/>
    <s v="C1510"/>
    <x v="11"/>
    <n v="4"/>
    <n v="1467"/>
    <n v="807"/>
    <n v="3228"/>
    <n v="5868"/>
    <n v="2640"/>
    <s v="Product 61"/>
    <x v="58"/>
    <s v="Martin Perry"/>
    <x v="113"/>
    <n v="1"/>
    <x v="0"/>
    <x v="0"/>
    <x v="0"/>
    <x v="0"/>
    <x v="2"/>
  </r>
  <r>
    <s v="AX18652"/>
    <s v="ENX2044"/>
    <s v="A115"/>
    <s v="EMP1003"/>
    <s v="C1561"/>
    <x v="8"/>
    <n v="1"/>
    <n v="886"/>
    <n v="478"/>
    <n v="478"/>
    <n v="886"/>
    <n v="408"/>
    <s v="Product 45"/>
    <x v="33"/>
    <s v="Christopher Tucker"/>
    <x v="114"/>
    <n v="1"/>
    <x v="0"/>
    <x v="0"/>
    <x v="0"/>
    <x v="0"/>
    <x v="2"/>
  </r>
  <r>
    <s v="AX18669"/>
    <s v="ENX2001"/>
    <s v="A152"/>
    <s v="EMP1011"/>
    <s v="C1656"/>
    <x v="11"/>
    <n v="1"/>
    <n v="951"/>
    <n v="504"/>
    <n v="504"/>
    <n v="951"/>
    <n v="447"/>
    <s v="Product 2"/>
    <x v="26"/>
    <s v="Larry Marshall"/>
    <x v="115"/>
    <n v="1"/>
    <x v="0"/>
    <x v="0"/>
    <x v="0"/>
    <x v="0"/>
    <x v="2"/>
  </r>
  <r>
    <s v="AX18950"/>
    <s v="ENX2085"/>
    <s v="A145"/>
    <s v="EMP1039"/>
    <s v="C1394"/>
    <x v="8"/>
    <n v="4"/>
    <n v="1862"/>
    <n v="1173"/>
    <n v="4692"/>
    <n v="7448"/>
    <n v="2756"/>
    <s v="Product 86"/>
    <x v="35"/>
    <s v="Eugene Holmes"/>
    <x v="116"/>
    <n v="1"/>
    <x v="0"/>
    <x v="0"/>
    <x v="0"/>
    <x v="0"/>
    <x v="2"/>
  </r>
  <r>
    <s v="AX18990"/>
    <s v="ENX2047"/>
    <s v="A125"/>
    <s v="EMP1010"/>
    <s v="C1176"/>
    <x v="9"/>
    <n v="3"/>
    <n v="290"/>
    <n v="200"/>
    <n v="600"/>
    <n v="870"/>
    <n v="270"/>
    <s v="Product 48"/>
    <x v="31"/>
    <s v="Joshua Cook"/>
    <x v="117"/>
    <n v="1"/>
    <x v="0"/>
    <x v="0"/>
    <x v="0"/>
    <x v="0"/>
    <x v="2"/>
  </r>
  <r>
    <s v="AX19313"/>
    <s v="ENX2084"/>
    <s v="A149"/>
    <s v="EMP1021"/>
    <s v="C1723"/>
    <x v="11"/>
    <n v="3"/>
    <n v="1783"/>
    <n v="1230"/>
    <n v="3690"/>
    <n v="5349"/>
    <n v="1659"/>
    <s v="Product 85"/>
    <x v="59"/>
    <s v="Clarence Fox"/>
    <x v="118"/>
    <n v="1"/>
    <x v="0"/>
    <x v="0"/>
    <x v="0"/>
    <x v="0"/>
    <x v="2"/>
  </r>
  <r>
    <s v="AX19651"/>
    <s v="ENX2089"/>
    <s v="A101"/>
    <s v="EMP1030"/>
    <s v="C1546"/>
    <x v="9"/>
    <n v="1"/>
    <n v="2294"/>
    <n v="1399"/>
    <n v="1399"/>
    <n v="2294"/>
    <n v="895"/>
    <s v="Product 90"/>
    <x v="60"/>
    <s v="Bobby Russell"/>
    <x v="119"/>
    <n v="1"/>
    <x v="0"/>
    <x v="0"/>
    <x v="0"/>
    <x v="0"/>
    <x v="2"/>
  </r>
  <r>
    <s v="AX20073"/>
    <s v="ENX2044"/>
    <s v="A103"/>
    <s v="EMP1025"/>
    <s v="C1388"/>
    <x v="10"/>
    <n v="1"/>
    <n v="886"/>
    <n v="478"/>
    <n v="478"/>
    <n v="886"/>
    <n v="408"/>
    <s v="Product 45"/>
    <x v="61"/>
    <s v="Ernest Wagner"/>
    <x v="120"/>
    <n v="1"/>
    <x v="0"/>
    <x v="0"/>
    <x v="0"/>
    <x v="0"/>
    <x v="2"/>
  </r>
  <r>
    <s v="AX20120"/>
    <s v="ENX2023"/>
    <s v="A115"/>
    <s v="EMP1007"/>
    <s v="C1522"/>
    <x v="8"/>
    <n v="1"/>
    <n v="818"/>
    <n v="450"/>
    <n v="450"/>
    <n v="818"/>
    <n v="368"/>
    <s v="Product 24"/>
    <x v="33"/>
    <s v="Jeremy Mendoza"/>
    <x v="121"/>
    <n v="1"/>
    <x v="0"/>
    <x v="0"/>
    <x v="0"/>
    <x v="0"/>
    <x v="2"/>
  </r>
  <r>
    <s v="AX20220"/>
    <s v="ENX2015"/>
    <s v="A148"/>
    <s v="EMP1015"/>
    <s v="C1351"/>
    <x v="11"/>
    <n v="2"/>
    <n v="637"/>
    <n v="389"/>
    <n v="778"/>
    <n v="1274"/>
    <n v="496"/>
    <s v="Product 16"/>
    <x v="62"/>
    <s v="Justin Lynch"/>
    <x v="122"/>
    <n v="1"/>
    <x v="0"/>
    <x v="0"/>
    <x v="0"/>
    <x v="0"/>
    <x v="2"/>
  </r>
  <r>
    <s v="AX20276"/>
    <s v="ENX2074"/>
    <s v="A145"/>
    <s v="EMP1004"/>
    <s v="C1386"/>
    <x v="10"/>
    <n v="4"/>
    <n v="504"/>
    <n v="408"/>
    <n v="1632"/>
    <n v="2016"/>
    <n v="384"/>
    <s v="Product 75"/>
    <x v="35"/>
    <s v="Kenneth Bradley"/>
    <x v="123"/>
    <n v="1"/>
    <x v="0"/>
    <x v="0"/>
    <x v="0"/>
    <x v="0"/>
    <x v="2"/>
  </r>
  <r>
    <s v="AX20579"/>
    <s v="ENX2074"/>
    <s v="A110"/>
    <s v="EMP1041"/>
    <s v="C1066"/>
    <x v="8"/>
    <n v="3"/>
    <n v="504"/>
    <n v="408"/>
    <n v="1224"/>
    <n v="1512"/>
    <n v="288"/>
    <s v="Product 75"/>
    <x v="63"/>
    <s v="Joe Sims"/>
    <x v="124"/>
    <n v="1"/>
    <x v="0"/>
    <x v="0"/>
    <x v="0"/>
    <x v="0"/>
    <x v="2"/>
  </r>
  <r>
    <s v="AX20877"/>
    <s v="ENX2076"/>
    <s v="A103"/>
    <s v="EMP1032"/>
    <s v="C1598"/>
    <x v="8"/>
    <n v="1"/>
    <n v="1522"/>
    <n v="791"/>
    <n v="791"/>
    <n v="1522"/>
    <n v="731"/>
    <s v="Product 77"/>
    <x v="61"/>
    <s v="Larry Castillo"/>
    <x v="125"/>
    <n v="1"/>
    <x v="0"/>
    <x v="0"/>
    <x v="0"/>
    <x v="0"/>
    <x v="2"/>
  </r>
  <r>
    <s v="AX21056"/>
    <s v="ENX2004"/>
    <s v="A147"/>
    <s v="EMP1020"/>
    <s v="C1369"/>
    <x v="8"/>
    <n v="1"/>
    <n v="1278"/>
    <n v="665"/>
    <n v="665"/>
    <n v="1278"/>
    <n v="613"/>
    <s v="Product 5"/>
    <x v="42"/>
    <s v="Ryan Butler"/>
    <x v="126"/>
    <n v="1"/>
    <x v="0"/>
    <x v="0"/>
    <x v="0"/>
    <x v="0"/>
    <x v="2"/>
  </r>
  <r>
    <s v="AX21061"/>
    <s v="ENX2099"/>
    <s v="A108"/>
    <s v="EMP1018"/>
    <s v="C1426"/>
    <x v="8"/>
    <n v="1"/>
    <n v="1367"/>
    <n v="984"/>
    <n v="984"/>
    <n v="1367"/>
    <n v="383"/>
    <s v="Product 100"/>
    <x v="49"/>
    <s v="Jimmy Young"/>
    <x v="127"/>
    <n v="1"/>
    <x v="0"/>
    <x v="0"/>
    <x v="0"/>
    <x v="0"/>
    <x v="2"/>
  </r>
  <r>
    <s v="AX21296"/>
    <s v="ENX2093"/>
    <s v="A167"/>
    <s v="EMP1044"/>
    <s v="C1645"/>
    <x v="11"/>
    <n v="2"/>
    <n v="112"/>
    <n v="90"/>
    <n v="180"/>
    <n v="224"/>
    <n v="44"/>
    <s v="Product 94"/>
    <x v="64"/>
    <s v="Martin Carr"/>
    <x v="128"/>
    <n v="1"/>
    <x v="0"/>
    <x v="0"/>
    <x v="0"/>
    <x v="0"/>
    <x v="2"/>
  </r>
  <r>
    <s v="AX21303"/>
    <s v="ENX2081"/>
    <s v="A149"/>
    <s v="EMP1041"/>
    <s v="C1243"/>
    <x v="10"/>
    <n v="2"/>
    <n v="1566"/>
    <n v="1190"/>
    <n v="2380"/>
    <n v="3132"/>
    <n v="752"/>
    <s v="Product 82"/>
    <x v="59"/>
    <s v="Joe Sims"/>
    <x v="129"/>
    <n v="1"/>
    <x v="0"/>
    <x v="0"/>
    <x v="0"/>
    <x v="0"/>
    <x v="2"/>
  </r>
  <r>
    <s v="AX21507"/>
    <s v="ENX2025"/>
    <s v="A148"/>
    <s v="EMP1042"/>
    <s v="C1563"/>
    <x v="8"/>
    <n v="2"/>
    <n v="667"/>
    <n v="387"/>
    <n v="774"/>
    <n v="1334"/>
    <n v="560"/>
    <s v="Product 26"/>
    <x v="62"/>
    <s v="Scott Clark"/>
    <x v="130"/>
    <n v="1"/>
    <x v="0"/>
    <x v="0"/>
    <x v="0"/>
    <x v="0"/>
    <x v="2"/>
  </r>
  <r>
    <s v="AX21591"/>
    <s v="ENX2078"/>
    <s v="A111"/>
    <s v="EMP1022"/>
    <s v="C1137"/>
    <x v="9"/>
    <n v="3"/>
    <n v="1798"/>
    <n v="971"/>
    <n v="2913"/>
    <n v="5394"/>
    <n v="2481"/>
    <s v="Product 79"/>
    <x v="54"/>
    <s v="Walter Cook"/>
    <x v="131"/>
    <n v="1"/>
    <x v="0"/>
    <x v="0"/>
    <x v="0"/>
    <x v="0"/>
    <x v="2"/>
  </r>
  <r>
    <s v="AX21603"/>
    <s v="ENX2004"/>
    <s v="A131"/>
    <s v="EMP1009"/>
    <s v="C1466"/>
    <x v="8"/>
    <n v="1"/>
    <n v="1278"/>
    <n v="665"/>
    <n v="665"/>
    <n v="1278"/>
    <n v="613"/>
    <s v="Product 5"/>
    <x v="32"/>
    <s v="Kenneth Fields"/>
    <x v="132"/>
    <n v="1"/>
    <x v="0"/>
    <x v="0"/>
    <x v="0"/>
    <x v="0"/>
    <x v="2"/>
  </r>
  <r>
    <s v="AX21799"/>
    <s v="ENX2038"/>
    <s v="A119"/>
    <s v="EMP1027"/>
    <s v="C1354"/>
    <x v="10"/>
    <n v="2"/>
    <n v="392"/>
    <n v="255"/>
    <n v="510"/>
    <n v="784"/>
    <n v="274"/>
    <s v="Product 39"/>
    <x v="16"/>
    <s v="Gary Rodriguez"/>
    <x v="133"/>
    <n v="1"/>
    <x v="0"/>
    <x v="0"/>
    <x v="0"/>
    <x v="0"/>
    <x v="2"/>
  </r>
  <r>
    <s v="AX21934"/>
    <s v="ENX2002"/>
    <s v="A167"/>
    <s v="EMP1017"/>
    <s v="C1403"/>
    <x v="9"/>
    <n v="2"/>
    <n v="847"/>
    <n v="534"/>
    <n v="1068"/>
    <n v="1694"/>
    <n v="626"/>
    <s v="Product 3"/>
    <x v="64"/>
    <s v="Brian Hansen"/>
    <x v="134"/>
    <n v="1"/>
    <x v="0"/>
    <x v="0"/>
    <x v="0"/>
    <x v="0"/>
    <x v="2"/>
  </r>
  <r>
    <s v="AX21982"/>
    <s v="ENX2064"/>
    <s v="A144"/>
    <s v="EMP1004"/>
    <s v="C1028"/>
    <x v="8"/>
    <n v="4"/>
    <n v="1414"/>
    <n v="962"/>
    <n v="3848"/>
    <n v="5656"/>
    <n v="1808"/>
    <s v="Product 65"/>
    <x v="65"/>
    <s v="Kenneth Bradley"/>
    <x v="135"/>
    <n v="1"/>
    <x v="0"/>
    <x v="0"/>
    <x v="0"/>
    <x v="0"/>
    <x v="2"/>
  </r>
  <r>
    <s v="AX22074"/>
    <s v="ENX2041"/>
    <s v="A170"/>
    <s v="EMP1024"/>
    <s v="C1732"/>
    <x v="11"/>
    <n v="1"/>
    <n v="1380"/>
    <n v="1090"/>
    <n v="1090"/>
    <n v="1380"/>
    <n v="290"/>
    <s v="Product 42"/>
    <x v="47"/>
    <s v="Ernest Wheeler"/>
    <x v="136"/>
    <n v="1"/>
    <x v="0"/>
    <x v="0"/>
    <x v="0"/>
    <x v="0"/>
    <x v="2"/>
  </r>
  <r>
    <s v="AX22085"/>
    <s v="ENX2026"/>
    <s v="A132"/>
    <s v="EMP1000"/>
    <s v="C1211"/>
    <x v="8"/>
    <n v="1"/>
    <n v="947"/>
    <n v="786"/>
    <n v="786"/>
    <n v="947"/>
    <n v="161"/>
    <s v="Product 27"/>
    <x v="48"/>
    <s v="Fred Robertson"/>
    <x v="137"/>
    <n v="1"/>
    <x v="0"/>
    <x v="0"/>
    <x v="0"/>
    <x v="0"/>
    <x v="2"/>
  </r>
  <r>
    <s v="AX22119"/>
    <s v="ENX2068"/>
    <s v="A151"/>
    <s v="EMP1006"/>
    <s v="C1018"/>
    <x v="11"/>
    <n v="1"/>
    <n v="1500"/>
    <n v="900"/>
    <n v="900"/>
    <n v="1500"/>
    <n v="600"/>
    <s v="Product 69"/>
    <x v="1"/>
    <s v="Sean Miller"/>
    <x v="138"/>
    <n v="1"/>
    <x v="0"/>
    <x v="0"/>
    <x v="0"/>
    <x v="0"/>
    <x v="2"/>
  </r>
  <r>
    <s v="AX22287"/>
    <s v="ENX2024"/>
    <s v="A158"/>
    <s v="EMP1010"/>
    <s v="C1309"/>
    <x v="10"/>
    <n v="1"/>
    <n v="356"/>
    <n v="292"/>
    <n v="292"/>
    <n v="356"/>
    <n v="64"/>
    <s v="Product 25"/>
    <x v="58"/>
    <s v="Joshua Cook"/>
    <x v="139"/>
    <n v="1"/>
    <x v="0"/>
    <x v="0"/>
    <x v="0"/>
    <x v="0"/>
    <x v="2"/>
  </r>
  <r>
    <s v="AX22559"/>
    <s v="ENX2009"/>
    <s v="A160"/>
    <s v="EMP1004"/>
    <s v="C1414"/>
    <x v="8"/>
    <n v="4"/>
    <n v="584"/>
    <n v="420"/>
    <n v="1680"/>
    <n v="2336"/>
    <n v="656"/>
    <s v="Product 10"/>
    <x v="9"/>
    <s v="Kenneth Bradley"/>
    <x v="140"/>
    <n v="1"/>
    <x v="0"/>
    <x v="0"/>
    <x v="0"/>
    <x v="0"/>
    <x v="2"/>
  </r>
  <r>
    <s v="AX23205"/>
    <s v="ENX2065"/>
    <s v="A103"/>
    <s v="EMP1028"/>
    <s v="C1537"/>
    <x v="8"/>
    <n v="4"/>
    <n v="2396"/>
    <n v="1965"/>
    <n v="7860"/>
    <n v="9584"/>
    <n v="1724"/>
    <s v="Product 66"/>
    <x v="61"/>
    <s v="Howard Sims"/>
    <x v="141"/>
    <n v="1"/>
    <x v="0"/>
    <x v="0"/>
    <x v="0"/>
    <x v="0"/>
    <x v="2"/>
  </r>
  <r>
    <s v="AX23522"/>
    <s v="ENX2049"/>
    <s v="A142"/>
    <s v="EMP1001"/>
    <s v="C1643"/>
    <x v="11"/>
    <n v="2"/>
    <n v="826"/>
    <n v="562"/>
    <n v="1124"/>
    <n v="1652"/>
    <n v="528"/>
    <s v="Product 50"/>
    <x v="56"/>
    <s v="Kevin Butler"/>
    <x v="142"/>
    <n v="1"/>
    <x v="0"/>
    <x v="0"/>
    <x v="0"/>
    <x v="0"/>
    <x v="2"/>
  </r>
  <r>
    <s v="AX23697"/>
    <s v="ENX2033"/>
    <s v="A115"/>
    <s v="EMP1030"/>
    <s v="C1563"/>
    <x v="8"/>
    <n v="1"/>
    <n v="2182"/>
    <n v="1200"/>
    <n v="1200"/>
    <n v="2182"/>
    <n v="982"/>
    <s v="Product 34"/>
    <x v="33"/>
    <s v="Bobby Russell"/>
    <x v="130"/>
    <n v="1"/>
    <x v="0"/>
    <x v="0"/>
    <x v="0"/>
    <x v="0"/>
    <x v="2"/>
  </r>
  <r>
    <s v="AX23698"/>
    <s v="ENX2045"/>
    <s v="A170"/>
    <s v="EMP1004"/>
    <s v="C1613"/>
    <x v="11"/>
    <n v="3"/>
    <n v="556"/>
    <n v="395"/>
    <n v="1185"/>
    <n v="1668"/>
    <n v="483"/>
    <s v="Product 46"/>
    <x v="47"/>
    <s v="Kenneth Bradley"/>
    <x v="143"/>
    <n v="1"/>
    <x v="0"/>
    <x v="0"/>
    <x v="0"/>
    <x v="0"/>
    <x v="2"/>
  </r>
  <r>
    <s v="AX24263"/>
    <s v="ENX2057"/>
    <s v="A171"/>
    <s v="EMP1041"/>
    <s v="C1275"/>
    <x v="11"/>
    <n v="4"/>
    <n v="181"/>
    <n v="130"/>
    <n v="520"/>
    <n v="724"/>
    <n v="204"/>
    <s v="Product 58"/>
    <x v="0"/>
    <s v="Joe Sims"/>
    <x v="144"/>
    <n v="1"/>
    <x v="0"/>
    <x v="0"/>
    <x v="0"/>
    <x v="0"/>
    <x v="2"/>
  </r>
  <r>
    <s v="AX24487"/>
    <s v="ENX2063"/>
    <s v="A107"/>
    <s v="EMP1026"/>
    <s v="C1082"/>
    <x v="9"/>
    <n v="1"/>
    <n v="1708"/>
    <n v="871"/>
    <n v="871"/>
    <n v="1708"/>
    <n v="837"/>
    <s v="Product 64"/>
    <x v="21"/>
    <s v="Martin Perry"/>
    <x v="145"/>
    <n v="1"/>
    <x v="0"/>
    <x v="0"/>
    <x v="0"/>
    <x v="0"/>
    <x v="2"/>
  </r>
  <r>
    <s v="AX24607"/>
    <s v="ENX2034"/>
    <s v="A119"/>
    <s v="EMP1019"/>
    <s v="C1660"/>
    <x v="8"/>
    <n v="1"/>
    <n v="871"/>
    <n v="540"/>
    <n v="540"/>
    <n v="871"/>
    <n v="331"/>
    <s v="Product 35"/>
    <x v="16"/>
    <s v="Roger Robertson"/>
    <x v="146"/>
    <n v="1"/>
    <x v="0"/>
    <x v="0"/>
    <x v="0"/>
    <x v="0"/>
    <x v="2"/>
  </r>
  <r>
    <s v="AX24714"/>
    <s v="ENX2055"/>
    <s v="A154"/>
    <s v="EMP1041"/>
    <s v="C1417"/>
    <x v="8"/>
    <n v="2"/>
    <n v="2495"/>
    <n v="1896"/>
    <n v="3792"/>
    <n v="4990"/>
    <n v="1198"/>
    <s v="Product 56"/>
    <x v="24"/>
    <s v="Joe Sims"/>
    <x v="147"/>
    <n v="1"/>
    <x v="0"/>
    <x v="0"/>
    <x v="0"/>
    <x v="0"/>
    <x v="2"/>
  </r>
  <r>
    <s v="AX24857"/>
    <s v="ENX2076"/>
    <s v="A117"/>
    <s v="EMP1034"/>
    <s v="C1555"/>
    <x v="8"/>
    <n v="3"/>
    <n v="1522"/>
    <n v="791"/>
    <n v="2373"/>
    <n v="4566"/>
    <n v="2193"/>
    <s v="Product 77"/>
    <x v="29"/>
    <s v="Arthur Mccoy"/>
    <x v="148"/>
    <n v="1"/>
    <x v="0"/>
    <x v="0"/>
    <x v="0"/>
    <x v="0"/>
    <x v="2"/>
  </r>
  <r>
    <s v="AX24972"/>
    <s v="ENX2016"/>
    <s v="A151"/>
    <s v="EMP1044"/>
    <s v="C1164"/>
    <x v="9"/>
    <n v="1"/>
    <n v="1351"/>
    <n v="1108"/>
    <n v="1108"/>
    <n v="1351"/>
    <n v="243"/>
    <s v="Product 17"/>
    <x v="1"/>
    <s v="Martin Carr"/>
    <x v="149"/>
    <n v="1"/>
    <x v="0"/>
    <x v="0"/>
    <x v="0"/>
    <x v="0"/>
    <x v="2"/>
  </r>
  <r>
    <s v="AX10112"/>
    <s v="ENX2039"/>
    <s v="A151"/>
    <s v="EMP1034"/>
    <s v="C1171"/>
    <x v="12"/>
    <n v="3"/>
    <n v="817"/>
    <n v="409"/>
    <n v="1227"/>
    <n v="2451"/>
    <n v="1224"/>
    <s v="Product 40"/>
    <x v="1"/>
    <s v="Arthur Mccoy"/>
    <x v="150"/>
    <n v="1"/>
    <x v="0"/>
    <x v="1"/>
    <x v="1"/>
    <x v="0"/>
    <x v="0"/>
  </r>
  <r>
    <s v="AX10211"/>
    <s v="ENX2023"/>
    <s v="A155"/>
    <s v="EMP1005"/>
    <s v="C1277"/>
    <x v="12"/>
    <n v="1"/>
    <n v="818"/>
    <n v="450"/>
    <n v="450"/>
    <n v="818"/>
    <n v="368"/>
    <s v="Product 24"/>
    <x v="53"/>
    <s v="Ryan Welch"/>
    <x v="151"/>
    <n v="1"/>
    <x v="0"/>
    <x v="1"/>
    <x v="1"/>
    <x v="0"/>
    <x v="0"/>
  </r>
  <r>
    <s v="AX10558"/>
    <s v="ENX2096"/>
    <s v="A100"/>
    <s v="EMP1018"/>
    <s v="C1720"/>
    <x v="13"/>
    <n v="3"/>
    <n v="1587"/>
    <n v="1301"/>
    <n v="3903"/>
    <n v="4761"/>
    <n v="858"/>
    <s v="Product 97"/>
    <x v="52"/>
    <s v="Jimmy Young"/>
    <x v="152"/>
    <n v="1"/>
    <x v="0"/>
    <x v="1"/>
    <x v="1"/>
    <x v="0"/>
    <x v="0"/>
  </r>
  <r>
    <s v="AX10737"/>
    <s v="ENX2007"/>
    <s v="A100"/>
    <s v="EMP1017"/>
    <s v="C1626"/>
    <x v="14"/>
    <n v="2"/>
    <n v="1405"/>
    <n v="1054"/>
    <n v="2108"/>
    <n v="2810"/>
    <n v="702"/>
    <s v="Product 8"/>
    <x v="52"/>
    <s v="Brian Hansen"/>
    <x v="153"/>
    <n v="1"/>
    <x v="0"/>
    <x v="1"/>
    <x v="1"/>
    <x v="0"/>
    <x v="0"/>
  </r>
  <r>
    <s v="AX10953"/>
    <s v="ENX2096"/>
    <s v="A152"/>
    <s v="EMP1024"/>
    <s v="C1630"/>
    <x v="12"/>
    <n v="2"/>
    <n v="1587"/>
    <n v="1301"/>
    <n v="2602"/>
    <n v="3174"/>
    <n v="572"/>
    <s v="Product 97"/>
    <x v="26"/>
    <s v="Ernest Wheeler"/>
    <x v="154"/>
    <n v="1"/>
    <x v="0"/>
    <x v="1"/>
    <x v="1"/>
    <x v="0"/>
    <x v="0"/>
  </r>
  <r>
    <s v="AX11018"/>
    <s v="ENX2083"/>
    <s v="A161"/>
    <s v="EMP1025"/>
    <s v="C1482"/>
    <x v="12"/>
    <n v="2"/>
    <n v="2141"/>
    <n v="1777"/>
    <n v="3554"/>
    <n v="4282"/>
    <n v="728"/>
    <s v="Product 84"/>
    <x v="6"/>
    <s v="Ernest Wagner"/>
    <x v="155"/>
    <n v="1"/>
    <x v="0"/>
    <x v="1"/>
    <x v="1"/>
    <x v="0"/>
    <x v="0"/>
  </r>
  <r>
    <s v="AX11600"/>
    <s v="ENX2002"/>
    <s v="A125"/>
    <s v="EMP1042"/>
    <s v="C1087"/>
    <x v="15"/>
    <n v="2"/>
    <n v="847"/>
    <n v="534"/>
    <n v="1068"/>
    <n v="1694"/>
    <n v="626"/>
    <s v="Product 3"/>
    <x v="31"/>
    <s v="Scott Clark"/>
    <x v="156"/>
    <n v="1"/>
    <x v="0"/>
    <x v="1"/>
    <x v="1"/>
    <x v="0"/>
    <x v="0"/>
  </r>
  <r>
    <s v="AX11601"/>
    <s v="ENX2088"/>
    <s v="A171"/>
    <s v="EMP1022"/>
    <s v="C1691"/>
    <x v="12"/>
    <n v="1"/>
    <n v="603"/>
    <n v="416"/>
    <n v="416"/>
    <n v="603"/>
    <n v="187"/>
    <s v="Product 89"/>
    <x v="0"/>
    <s v="Walter Cook"/>
    <x v="157"/>
    <n v="1"/>
    <x v="0"/>
    <x v="1"/>
    <x v="1"/>
    <x v="0"/>
    <x v="0"/>
  </r>
  <r>
    <s v="AX11673"/>
    <s v="ENX2023"/>
    <s v="A125"/>
    <s v="EMP1020"/>
    <s v="C1528"/>
    <x v="12"/>
    <n v="1"/>
    <n v="818"/>
    <n v="450"/>
    <n v="450"/>
    <n v="818"/>
    <n v="368"/>
    <s v="Product 24"/>
    <x v="31"/>
    <s v="Ryan Butler"/>
    <x v="158"/>
    <n v="1"/>
    <x v="0"/>
    <x v="1"/>
    <x v="1"/>
    <x v="0"/>
    <x v="0"/>
  </r>
  <r>
    <s v="AX11763"/>
    <s v="ENX2078"/>
    <s v="A112"/>
    <s v="EMP1033"/>
    <s v="C1621"/>
    <x v="12"/>
    <n v="1"/>
    <n v="1798"/>
    <n v="971"/>
    <n v="971"/>
    <n v="1798"/>
    <n v="827"/>
    <s v="Product 79"/>
    <x v="66"/>
    <s v="Jerry Perry"/>
    <x v="159"/>
    <n v="1"/>
    <x v="0"/>
    <x v="1"/>
    <x v="1"/>
    <x v="0"/>
    <x v="0"/>
  </r>
  <r>
    <s v="AX12709"/>
    <s v="ENX2005"/>
    <s v="A158"/>
    <s v="EMP1038"/>
    <s v="C1776"/>
    <x v="12"/>
    <n v="2"/>
    <n v="684"/>
    <n v="561"/>
    <n v="1122"/>
    <n v="1368"/>
    <n v="246"/>
    <s v="Product 6"/>
    <x v="58"/>
    <s v="Scott Mason"/>
    <x v="160"/>
    <n v="1"/>
    <x v="0"/>
    <x v="1"/>
    <x v="1"/>
    <x v="0"/>
    <x v="0"/>
  </r>
  <r>
    <s v="AX12743"/>
    <s v="ENX2034"/>
    <s v="A134"/>
    <s v="EMP1005"/>
    <s v="C1628"/>
    <x v="15"/>
    <n v="4"/>
    <n v="871"/>
    <n v="540"/>
    <n v="2160"/>
    <n v="3484"/>
    <n v="1324"/>
    <s v="Product 35"/>
    <x v="41"/>
    <s v="Ryan Welch"/>
    <x v="161"/>
    <n v="1"/>
    <x v="0"/>
    <x v="1"/>
    <x v="1"/>
    <x v="0"/>
    <x v="0"/>
  </r>
  <r>
    <s v="AX12931"/>
    <s v="ENX2072"/>
    <s v="A170"/>
    <s v="EMP1034"/>
    <s v="C1535"/>
    <x v="13"/>
    <n v="4"/>
    <n v="1887"/>
    <n v="1378"/>
    <n v="5512"/>
    <n v="7548"/>
    <n v="2036"/>
    <s v="Product 73"/>
    <x v="47"/>
    <s v="Arthur Mccoy"/>
    <x v="85"/>
    <n v="1"/>
    <x v="0"/>
    <x v="1"/>
    <x v="1"/>
    <x v="0"/>
    <x v="0"/>
  </r>
  <r>
    <s v="AX13457"/>
    <s v="ENX2030"/>
    <s v="A124"/>
    <s v="EMP1012"/>
    <s v="C1748"/>
    <x v="12"/>
    <n v="3"/>
    <n v="1899"/>
    <n v="1044"/>
    <n v="3132"/>
    <n v="5697"/>
    <n v="2565"/>
    <s v="Product 31"/>
    <x v="67"/>
    <s v="John Reyes"/>
    <x v="162"/>
    <n v="1"/>
    <x v="0"/>
    <x v="1"/>
    <x v="1"/>
    <x v="0"/>
    <x v="0"/>
  </r>
  <r>
    <s v="AX13739"/>
    <s v="ENX2038"/>
    <s v="A111"/>
    <s v="EMP1006"/>
    <s v="C1066"/>
    <x v="12"/>
    <n v="1"/>
    <n v="392"/>
    <n v="255"/>
    <n v="255"/>
    <n v="392"/>
    <n v="137"/>
    <s v="Product 39"/>
    <x v="54"/>
    <s v="Sean Miller"/>
    <x v="124"/>
    <n v="1"/>
    <x v="0"/>
    <x v="1"/>
    <x v="1"/>
    <x v="0"/>
    <x v="0"/>
  </r>
  <r>
    <s v="AX13825"/>
    <s v="ENX2081"/>
    <s v="A142"/>
    <s v="EMP1000"/>
    <s v="C1419"/>
    <x v="13"/>
    <n v="2"/>
    <n v="1566"/>
    <n v="1190"/>
    <n v="2380"/>
    <n v="3132"/>
    <n v="752"/>
    <s v="Product 82"/>
    <x v="56"/>
    <s v="Fred Robertson"/>
    <x v="163"/>
    <n v="1"/>
    <x v="0"/>
    <x v="1"/>
    <x v="1"/>
    <x v="0"/>
    <x v="0"/>
  </r>
  <r>
    <s v="AX14600"/>
    <s v="ENX2035"/>
    <s v="A114"/>
    <s v="EMP1030"/>
    <s v="C1762"/>
    <x v="12"/>
    <n v="4"/>
    <n v="458"/>
    <n v="376"/>
    <n v="1504"/>
    <n v="1832"/>
    <n v="328"/>
    <s v="Product 36"/>
    <x v="28"/>
    <s v="Bobby Russell"/>
    <x v="164"/>
    <n v="1"/>
    <x v="0"/>
    <x v="1"/>
    <x v="1"/>
    <x v="0"/>
    <x v="0"/>
  </r>
  <r>
    <s v="AX14841"/>
    <s v="ENX2071"/>
    <s v="A156"/>
    <s v="EMP1035"/>
    <s v="C1245"/>
    <x v="14"/>
    <n v="3"/>
    <n v="136"/>
    <n v="72"/>
    <n v="216"/>
    <n v="408"/>
    <n v="192"/>
    <s v="Product 72"/>
    <x v="14"/>
    <s v="Roger Ramos"/>
    <x v="165"/>
    <n v="1"/>
    <x v="0"/>
    <x v="1"/>
    <x v="1"/>
    <x v="0"/>
    <x v="0"/>
  </r>
  <r>
    <s v="AX14924"/>
    <s v="ENX2070"/>
    <s v="A119"/>
    <s v="EMP1032"/>
    <s v="C1393"/>
    <x v="15"/>
    <n v="4"/>
    <n v="1671"/>
    <n v="1220"/>
    <n v="4880"/>
    <n v="6684"/>
    <n v="1804"/>
    <s v="Product 71"/>
    <x v="16"/>
    <s v="Larry Castillo"/>
    <x v="93"/>
    <n v="1"/>
    <x v="0"/>
    <x v="1"/>
    <x v="1"/>
    <x v="0"/>
    <x v="0"/>
  </r>
  <r>
    <s v="AX15173"/>
    <s v="ENX2075"/>
    <s v="A115"/>
    <s v="EMP1024"/>
    <s v="C1141"/>
    <x v="13"/>
    <n v="3"/>
    <n v="400"/>
    <n v="208"/>
    <n v="624"/>
    <n v="1200"/>
    <n v="576"/>
    <s v="Product 76"/>
    <x v="33"/>
    <s v="Ernest Wheeler"/>
    <x v="166"/>
    <n v="1"/>
    <x v="0"/>
    <x v="1"/>
    <x v="1"/>
    <x v="0"/>
    <x v="0"/>
  </r>
  <r>
    <s v="AX15315"/>
    <s v="ENX2037"/>
    <s v="A112"/>
    <s v="EMP1010"/>
    <s v="C1173"/>
    <x v="15"/>
    <n v="2"/>
    <n v="880"/>
    <n v="634"/>
    <n v="1268"/>
    <n v="1760"/>
    <n v="492"/>
    <s v="Product 38"/>
    <x v="66"/>
    <s v="Joshua Cook"/>
    <x v="167"/>
    <n v="1"/>
    <x v="0"/>
    <x v="1"/>
    <x v="1"/>
    <x v="0"/>
    <x v="0"/>
  </r>
  <r>
    <s v="AX15575"/>
    <s v="ENX2019"/>
    <s v="A104"/>
    <s v="EMP1044"/>
    <s v="C1733"/>
    <x v="12"/>
    <n v="3"/>
    <n v="800"/>
    <n v="536"/>
    <n v="1608"/>
    <n v="2400"/>
    <n v="792"/>
    <s v="Product 20"/>
    <x v="50"/>
    <s v="Martin Carr"/>
    <x v="32"/>
    <n v="1"/>
    <x v="0"/>
    <x v="1"/>
    <x v="1"/>
    <x v="0"/>
    <x v="0"/>
  </r>
  <r>
    <s v="AX15895"/>
    <s v="ENX2078"/>
    <s v="A140"/>
    <s v="EMP1031"/>
    <s v="C1196"/>
    <x v="14"/>
    <n v="1"/>
    <n v="1798"/>
    <n v="971"/>
    <n v="971"/>
    <n v="1798"/>
    <n v="827"/>
    <s v="Product 79"/>
    <x v="18"/>
    <s v="Brian Thomas"/>
    <x v="65"/>
    <n v="1"/>
    <x v="0"/>
    <x v="1"/>
    <x v="1"/>
    <x v="0"/>
    <x v="0"/>
  </r>
  <r>
    <s v="AX16673"/>
    <s v="ENX2025"/>
    <s v="A135"/>
    <s v="EMP1039"/>
    <s v="C1081"/>
    <x v="14"/>
    <n v="3"/>
    <n v="667"/>
    <n v="387"/>
    <n v="1161"/>
    <n v="2001"/>
    <n v="840"/>
    <s v="Product 26"/>
    <x v="10"/>
    <s v="Eugene Holmes"/>
    <x v="168"/>
    <n v="1"/>
    <x v="0"/>
    <x v="1"/>
    <x v="1"/>
    <x v="0"/>
    <x v="0"/>
  </r>
  <r>
    <s v="AX16729"/>
    <s v="ENX2051"/>
    <s v="A151"/>
    <s v="EMP1040"/>
    <s v="C1310"/>
    <x v="12"/>
    <n v="1"/>
    <n v="1077"/>
    <n v="732"/>
    <n v="732"/>
    <n v="1077"/>
    <n v="345"/>
    <s v="Product 52"/>
    <x v="1"/>
    <s v="Patrick Ruiz"/>
    <x v="169"/>
    <n v="1"/>
    <x v="0"/>
    <x v="1"/>
    <x v="1"/>
    <x v="0"/>
    <x v="0"/>
  </r>
  <r>
    <s v="AX17122"/>
    <s v="ENX2091"/>
    <s v="A156"/>
    <s v="EMP1014"/>
    <s v="C1558"/>
    <x v="12"/>
    <n v="4"/>
    <n v="368"/>
    <n v="294"/>
    <n v="1176"/>
    <n v="1472"/>
    <n v="296"/>
    <s v="Product 92"/>
    <x v="14"/>
    <s v="Ronald Reed"/>
    <x v="170"/>
    <n v="1"/>
    <x v="0"/>
    <x v="1"/>
    <x v="1"/>
    <x v="0"/>
    <x v="0"/>
  </r>
  <r>
    <s v="AX17664"/>
    <s v="ENX2045"/>
    <s v="A168"/>
    <s v="EMP1016"/>
    <s v="C1706"/>
    <x v="13"/>
    <n v="1"/>
    <n v="556"/>
    <n v="395"/>
    <n v="395"/>
    <n v="556"/>
    <n v="161"/>
    <s v="Product 46"/>
    <x v="40"/>
    <s v="Henry Nelson"/>
    <x v="171"/>
    <n v="1"/>
    <x v="0"/>
    <x v="1"/>
    <x v="1"/>
    <x v="0"/>
    <x v="0"/>
  </r>
  <r>
    <s v="AX17686"/>
    <s v="ENX2072"/>
    <s v="A120"/>
    <s v="EMP1002"/>
    <s v="C1439"/>
    <x v="12"/>
    <n v="1"/>
    <n v="1887"/>
    <n v="1378"/>
    <n v="1378"/>
    <n v="1887"/>
    <n v="509"/>
    <s v="Product 73"/>
    <x v="20"/>
    <s v="Andrew Bowman"/>
    <x v="172"/>
    <n v="1"/>
    <x v="0"/>
    <x v="1"/>
    <x v="1"/>
    <x v="0"/>
    <x v="0"/>
  </r>
  <r>
    <s v="AX17805"/>
    <s v="ENX2016"/>
    <s v="A100"/>
    <s v="EMP1023"/>
    <s v="C1274"/>
    <x v="13"/>
    <n v="3"/>
    <n v="1351"/>
    <n v="1108"/>
    <n v="3324"/>
    <n v="4053"/>
    <n v="729"/>
    <s v="Product 17"/>
    <x v="52"/>
    <s v="Brian Davis"/>
    <x v="173"/>
    <n v="1"/>
    <x v="0"/>
    <x v="1"/>
    <x v="1"/>
    <x v="0"/>
    <x v="0"/>
  </r>
  <r>
    <s v="AX18119"/>
    <s v="ENX2095"/>
    <s v="A126"/>
    <s v="EMP1035"/>
    <s v="C1113"/>
    <x v="15"/>
    <n v="3"/>
    <n v="1743"/>
    <n v="872"/>
    <n v="2616"/>
    <n v="5229"/>
    <n v="2613"/>
    <s v="Product 96"/>
    <x v="5"/>
    <s v="Roger Ramos"/>
    <x v="101"/>
    <n v="1"/>
    <x v="0"/>
    <x v="1"/>
    <x v="1"/>
    <x v="0"/>
    <x v="0"/>
  </r>
  <r>
    <s v="AX18229"/>
    <s v="ENX2038"/>
    <s v="A130"/>
    <s v="EMP1010"/>
    <s v="C1549"/>
    <x v="13"/>
    <n v="2"/>
    <n v="392"/>
    <n v="255"/>
    <n v="510"/>
    <n v="784"/>
    <n v="274"/>
    <s v="Product 39"/>
    <x v="4"/>
    <s v="Joshua Cook"/>
    <x v="174"/>
    <n v="1"/>
    <x v="0"/>
    <x v="1"/>
    <x v="1"/>
    <x v="0"/>
    <x v="0"/>
  </r>
  <r>
    <s v="AX18548"/>
    <s v="ENX2054"/>
    <s v="A101"/>
    <s v="EMP1039"/>
    <s v="C1018"/>
    <x v="14"/>
    <n v="4"/>
    <n v="127"/>
    <n v="79"/>
    <n v="316"/>
    <n v="508"/>
    <n v="192"/>
    <s v="Product 55"/>
    <x v="60"/>
    <s v="Eugene Holmes"/>
    <x v="138"/>
    <n v="1"/>
    <x v="0"/>
    <x v="1"/>
    <x v="1"/>
    <x v="0"/>
    <x v="0"/>
  </r>
  <r>
    <s v="AX18662"/>
    <s v="ENX2022"/>
    <s v="A161"/>
    <s v="EMP1027"/>
    <s v="C1343"/>
    <x v="12"/>
    <n v="4"/>
    <n v="561"/>
    <n v="421"/>
    <n v="1684"/>
    <n v="2244"/>
    <n v="560"/>
    <s v="Product 23"/>
    <x v="6"/>
    <s v="Gary Rodriguez"/>
    <x v="175"/>
    <n v="1"/>
    <x v="0"/>
    <x v="1"/>
    <x v="1"/>
    <x v="0"/>
    <x v="0"/>
  </r>
  <r>
    <s v="AX18682"/>
    <s v="ENX2000"/>
    <s v="A129"/>
    <s v="EMP1017"/>
    <s v="C1151"/>
    <x v="14"/>
    <n v="4"/>
    <n v="2241"/>
    <n v="1367"/>
    <n v="5468"/>
    <n v="8964"/>
    <n v="3496"/>
    <s v="Product 1"/>
    <x v="22"/>
    <s v="Brian Hansen"/>
    <x v="56"/>
    <n v="1"/>
    <x v="0"/>
    <x v="1"/>
    <x v="1"/>
    <x v="0"/>
    <x v="0"/>
  </r>
  <r>
    <s v="AX18724"/>
    <s v="ENX2028"/>
    <s v="A154"/>
    <s v="EMP1031"/>
    <s v="C1422"/>
    <x v="12"/>
    <n v="1"/>
    <n v="2283"/>
    <n v="1484"/>
    <n v="1484"/>
    <n v="2283"/>
    <n v="799"/>
    <s v="Product 29"/>
    <x v="24"/>
    <s v="Brian Thomas"/>
    <x v="176"/>
    <n v="1"/>
    <x v="0"/>
    <x v="1"/>
    <x v="1"/>
    <x v="0"/>
    <x v="0"/>
  </r>
  <r>
    <s v="AX19151"/>
    <s v="ENX2010"/>
    <s v="A106"/>
    <s v="EMP1017"/>
    <s v="C1162"/>
    <x v="12"/>
    <n v="4"/>
    <n v="1812"/>
    <n v="1305"/>
    <n v="5220"/>
    <n v="7248"/>
    <n v="2028"/>
    <s v="Product 11"/>
    <x v="11"/>
    <s v="Brian Hansen"/>
    <x v="177"/>
    <n v="1"/>
    <x v="0"/>
    <x v="1"/>
    <x v="1"/>
    <x v="0"/>
    <x v="0"/>
  </r>
  <r>
    <s v="AX19221"/>
    <s v="ENX2075"/>
    <s v="A120"/>
    <s v="EMP1008"/>
    <s v="C1755"/>
    <x v="14"/>
    <n v="1"/>
    <n v="400"/>
    <n v="208"/>
    <n v="208"/>
    <n v="400"/>
    <n v="192"/>
    <s v="Product 76"/>
    <x v="20"/>
    <s v="Carl Elliott"/>
    <x v="178"/>
    <n v="1"/>
    <x v="0"/>
    <x v="1"/>
    <x v="1"/>
    <x v="0"/>
    <x v="0"/>
  </r>
  <r>
    <s v="AX19337"/>
    <s v="ENX2072"/>
    <s v="A137"/>
    <s v="EMP1010"/>
    <s v="C1343"/>
    <x v="13"/>
    <n v="1"/>
    <n v="1887"/>
    <n v="1378"/>
    <n v="1378"/>
    <n v="1887"/>
    <n v="509"/>
    <s v="Product 73"/>
    <x v="68"/>
    <s v="Joshua Cook"/>
    <x v="175"/>
    <n v="1"/>
    <x v="0"/>
    <x v="1"/>
    <x v="1"/>
    <x v="0"/>
    <x v="0"/>
  </r>
  <r>
    <s v="AX20057"/>
    <s v="ENX2046"/>
    <s v="A124"/>
    <s v="EMP1005"/>
    <s v="C1533"/>
    <x v="12"/>
    <n v="1"/>
    <n v="2410"/>
    <n v="1518"/>
    <n v="1518"/>
    <n v="2410"/>
    <n v="892"/>
    <s v="Product 47"/>
    <x v="67"/>
    <s v="Ryan Welch"/>
    <x v="179"/>
    <n v="1"/>
    <x v="0"/>
    <x v="1"/>
    <x v="1"/>
    <x v="0"/>
    <x v="0"/>
  </r>
  <r>
    <s v="AX21424"/>
    <s v="ENX2014"/>
    <s v="A165"/>
    <s v="EMP1021"/>
    <s v="C1371"/>
    <x v="12"/>
    <n v="1"/>
    <n v="1809"/>
    <n v="1067"/>
    <n v="1067"/>
    <n v="1809"/>
    <n v="742"/>
    <s v="Product 15"/>
    <x v="55"/>
    <s v="Clarence Fox"/>
    <x v="180"/>
    <n v="1"/>
    <x v="0"/>
    <x v="1"/>
    <x v="1"/>
    <x v="0"/>
    <x v="0"/>
  </r>
  <r>
    <s v="AX21450"/>
    <s v="ENX2077"/>
    <s v="A158"/>
    <s v="EMP1021"/>
    <s v="C1164"/>
    <x v="15"/>
    <n v="1"/>
    <n v="530"/>
    <n v="424"/>
    <n v="424"/>
    <n v="530"/>
    <n v="106"/>
    <s v="Product 78"/>
    <x v="58"/>
    <s v="Clarence Fox"/>
    <x v="149"/>
    <n v="1"/>
    <x v="0"/>
    <x v="1"/>
    <x v="1"/>
    <x v="0"/>
    <x v="0"/>
  </r>
  <r>
    <s v="AX21601"/>
    <s v="ENX2075"/>
    <s v="A157"/>
    <s v="EMP1027"/>
    <s v="C1291"/>
    <x v="14"/>
    <n v="1"/>
    <n v="400"/>
    <n v="208"/>
    <n v="208"/>
    <n v="400"/>
    <n v="192"/>
    <s v="Product 76"/>
    <x v="7"/>
    <s v="Gary Rodriguez"/>
    <x v="16"/>
    <n v="1"/>
    <x v="0"/>
    <x v="1"/>
    <x v="1"/>
    <x v="0"/>
    <x v="0"/>
  </r>
  <r>
    <s v="AX21927"/>
    <s v="ENX2051"/>
    <s v="A119"/>
    <s v="EMP1018"/>
    <s v="C1689"/>
    <x v="12"/>
    <n v="2"/>
    <n v="1077"/>
    <n v="732"/>
    <n v="1464"/>
    <n v="2154"/>
    <n v="690"/>
    <s v="Product 52"/>
    <x v="16"/>
    <s v="Jimmy Young"/>
    <x v="181"/>
    <n v="1"/>
    <x v="0"/>
    <x v="1"/>
    <x v="1"/>
    <x v="0"/>
    <x v="0"/>
  </r>
  <r>
    <s v="AX21958"/>
    <s v="ENX2002"/>
    <s v="A143"/>
    <s v="EMP1013"/>
    <s v="C1423"/>
    <x v="14"/>
    <n v="2"/>
    <n v="847"/>
    <n v="534"/>
    <n v="1068"/>
    <n v="1694"/>
    <n v="626"/>
    <s v="Product 3"/>
    <x v="39"/>
    <s v="Charles Harper"/>
    <x v="182"/>
    <n v="1"/>
    <x v="0"/>
    <x v="1"/>
    <x v="1"/>
    <x v="0"/>
    <x v="0"/>
  </r>
  <r>
    <s v="AX22157"/>
    <s v="ENX2043"/>
    <s v="A105"/>
    <s v="EMP1017"/>
    <s v="C1597"/>
    <x v="14"/>
    <n v="2"/>
    <n v="545"/>
    <n v="425"/>
    <n v="850"/>
    <n v="1090"/>
    <n v="240"/>
    <s v="Product 44"/>
    <x v="45"/>
    <s v="Brian Hansen"/>
    <x v="183"/>
    <n v="1"/>
    <x v="0"/>
    <x v="1"/>
    <x v="1"/>
    <x v="0"/>
    <x v="0"/>
  </r>
  <r>
    <s v="AX22251"/>
    <s v="ENX2040"/>
    <s v="A140"/>
    <s v="EMP1024"/>
    <s v="C1283"/>
    <x v="15"/>
    <n v="1"/>
    <n v="1889"/>
    <n v="945"/>
    <n v="945"/>
    <n v="1889"/>
    <n v="944"/>
    <s v="Product 41"/>
    <x v="18"/>
    <s v="Ernest Wheeler"/>
    <x v="184"/>
    <n v="1"/>
    <x v="0"/>
    <x v="1"/>
    <x v="1"/>
    <x v="0"/>
    <x v="0"/>
  </r>
  <r>
    <s v="AX22334"/>
    <s v="ENX2084"/>
    <s v="A170"/>
    <s v="EMP1036"/>
    <s v="C1690"/>
    <x v="12"/>
    <n v="1"/>
    <n v="1783"/>
    <n v="1230"/>
    <n v="1230"/>
    <n v="1783"/>
    <n v="553"/>
    <s v="Product 85"/>
    <x v="47"/>
    <s v="Robert Reed"/>
    <x v="185"/>
    <n v="1"/>
    <x v="0"/>
    <x v="1"/>
    <x v="1"/>
    <x v="0"/>
    <x v="0"/>
  </r>
  <r>
    <s v="AX22711"/>
    <s v="ENX2071"/>
    <s v="A100"/>
    <s v="EMP1008"/>
    <s v="C1432"/>
    <x v="12"/>
    <n v="4"/>
    <n v="136"/>
    <n v="72"/>
    <n v="288"/>
    <n v="544"/>
    <n v="256"/>
    <s v="Product 72"/>
    <x v="52"/>
    <s v="Carl Elliott"/>
    <x v="186"/>
    <n v="1"/>
    <x v="0"/>
    <x v="1"/>
    <x v="1"/>
    <x v="0"/>
    <x v="0"/>
  </r>
  <r>
    <s v="AX22877"/>
    <s v="ENX2008"/>
    <s v="A127"/>
    <s v="EMP1025"/>
    <s v="C1372"/>
    <x v="13"/>
    <n v="1"/>
    <n v="315"/>
    <n v="208"/>
    <n v="208"/>
    <n v="315"/>
    <n v="107"/>
    <s v="Product 9"/>
    <x v="69"/>
    <s v="Ernest Wagner"/>
    <x v="60"/>
    <n v="1"/>
    <x v="0"/>
    <x v="1"/>
    <x v="1"/>
    <x v="0"/>
    <x v="0"/>
  </r>
  <r>
    <s v="AX22938"/>
    <s v="ENX2085"/>
    <s v="A153"/>
    <s v="EMP1022"/>
    <s v="C1653"/>
    <x v="13"/>
    <n v="2"/>
    <n v="1862"/>
    <n v="1173"/>
    <n v="2346"/>
    <n v="3724"/>
    <n v="1378"/>
    <s v="Product 86"/>
    <x v="8"/>
    <s v="Walter Cook"/>
    <x v="187"/>
    <n v="1"/>
    <x v="0"/>
    <x v="1"/>
    <x v="1"/>
    <x v="0"/>
    <x v="0"/>
  </r>
  <r>
    <s v="AX23110"/>
    <s v="ENX2047"/>
    <s v="A171"/>
    <s v="EMP1006"/>
    <s v="C1195"/>
    <x v="14"/>
    <n v="3"/>
    <n v="290"/>
    <n v="200"/>
    <n v="600"/>
    <n v="870"/>
    <n v="270"/>
    <s v="Product 48"/>
    <x v="0"/>
    <s v="Sean Miller"/>
    <x v="188"/>
    <n v="1"/>
    <x v="0"/>
    <x v="1"/>
    <x v="1"/>
    <x v="0"/>
    <x v="0"/>
  </r>
  <r>
    <s v="AX23296"/>
    <s v="ENX2096"/>
    <s v="A168"/>
    <s v="EMP1030"/>
    <s v="C1374"/>
    <x v="15"/>
    <n v="4"/>
    <n v="1587"/>
    <n v="1301"/>
    <n v="5204"/>
    <n v="6348"/>
    <n v="1144"/>
    <s v="Product 97"/>
    <x v="40"/>
    <s v="Bobby Russell"/>
    <x v="189"/>
    <n v="1"/>
    <x v="0"/>
    <x v="1"/>
    <x v="1"/>
    <x v="0"/>
    <x v="0"/>
  </r>
  <r>
    <s v="AX23418"/>
    <s v="ENX2022"/>
    <s v="A129"/>
    <s v="EMP1017"/>
    <s v="C1202"/>
    <x v="15"/>
    <n v="2"/>
    <n v="561"/>
    <n v="421"/>
    <n v="842"/>
    <n v="1122"/>
    <n v="280"/>
    <s v="Product 23"/>
    <x v="22"/>
    <s v="Brian Hansen"/>
    <x v="3"/>
    <n v="1"/>
    <x v="0"/>
    <x v="1"/>
    <x v="1"/>
    <x v="0"/>
    <x v="0"/>
  </r>
  <r>
    <s v="AX23429"/>
    <s v="ENX2046"/>
    <s v="A163"/>
    <s v="EMP1035"/>
    <s v="C1659"/>
    <x v="15"/>
    <n v="1"/>
    <n v="2410"/>
    <n v="1518"/>
    <n v="1518"/>
    <n v="2410"/>
    <n v="892"/>
    <s v="Product 47"/>
    <x v="51"/>
    <s v="Roger Ramos"/>
    <x v="51"/>
    <n v="1"/>
    <x v="0"/>
    <x v="1"/>
    <x v="1"/>
    <x v="0"/>
    <x v="0"/>
  </r>
  <r>
    <s v="AX23987"/>
    <s v="ENX2006"/>
    <s v="A106"/>
    <s v="EMP1009"/>
    <s v="C1241"/>
    <x v="15"/>
    <n v="1"/>
    <n v="1826"/>
    <n v="1443"/>
    <n v="1443"/>
    <n v="1826"/>
    <n v="383"/>
    <s v="Product 7"/>
    <x v="11"/>
    <s v="Kenneth Fields"/>
    <x v="190"/>
    <n v="1"/>
    <x v="0"/>
    <x v="1"/>
    <x v="1"/>
    <x v="0"/>
    <x v="0"/>
  </r>
  <r>
    <s v="AX24224"/>
    <s v="ENX2034"/>
    <s v="A102"/>
    <s v="EMP1030"/>
    <s v="C1584"/>
    <x v="12"/>
    <n v="2"/>
    <n v="871"/>
    <n v="540"/>
    <n v="1080"/>
    <n v="1742"/>
    <n v="662"/>
    <s v="Product 35"/>
    <x v="44"/>
    <s v="Bobby Russell"/>
    <x v="72"/>
    <n v="1"/>
    <x v="0"/>
    <x v="1"/>
    <x v="1"/>
    <x v="0"/>
    <x v="0"/>
  </r>
  <r>
    <s v="AX24236"/>
    <s v="ENX2082"/>
    <s v="A132"/>
    <s v="EMP1011"/>
    <s v="C1678"/>
    <x v="12"/>
    <n v="2"/>
    <n v="1103"/>
    <n v="838"/>
    <n v="1676"/>
    <n v="2206"/>
    <n v="530"/>
    <s v="Product 83"/>
    <x v="48"/>
    <s v="Larry Marshall"/>
    <x v="191"/>
    <n v="1"/>
    <x v="0"/>
    <x v="1"/>
    <x v="1"/>
    <x v="0"/>
    <x v="0"/>
  </r>
  <r>
    <s v="AX24772"/>
    <s v="ENX2098"/>
    <s v="A151"/>
    <s v="EMP1009"/>
    <s v="C1707"/>
    <x v="14"/>
    <n v="4"/>
    <n v="1178"/>
    <n v="683"/>
    <n v="2732"/>
    <n v="4712"/>
    <n v="1980"/>
    <s v="Product 99"/>
    <x v="1"/>
    <s v="Kenneth Fields"/>
    <x v="192"/>
    <n v="1"/>
    <x v="0"/>
    <x v="1"/>
    <x v="1"/>
    <x v="0"/>
    <x v="0"/>
  </r>
  <r>
    <s v="AX10096"/>
    <s v="ENX2005"/>
    <s v="A133"/>
    <s v="EMP1037"/>
    <s v="C1791"/>
    <x v="16"/>
    <n v="1"/>
    <n v="684"/>
    <n v="561"/>
    <n v="561"/>
    <n v="684"/>
    <n v="123"/>
    <s v="Product 6"/>
    <x v="46"/>
    <s v="Carl Hall"/>
    <x v="193"/>
    <n v="1"/>
    <x v="0"/>
    <x v="1"/>
    <x v="1"/>
    <x v="0"/>
    <x v="1"/>
  </r>
  <r>
    <s v="AX10476"/>
    <s v="ENX2041"/>
    <s v="A132"/>
    <s v="EMP1022"/>
    <s v="C1453"/>
    <x v="16"/>
    <n v="1"/>
    <n v="1380"/>
    <n v="1090"/>
    <n v="1090"/>
    <n v="1380"/>
    <n v="290"/>
    <s v="Product 42"/>
    <x v="48"/>
    <s v="Walter Cook"/>
    <x v="194"/>
    <n v="1"/>
    <x v="0"/>
    <x v="1"/>
    <x v="1"/>
    <x v="0"/>
    <x v="1"/>
  </r>
  <r>
    <s v="AX10478"/>
    <s v="ENX2066"/>
    <s v="A105"/>
    <s v="EMP1003"/>
    <s v="C1617"/>
    <x v="17"/>
    <n v="2"/>
    <n v="2091"/>
    <n v="1485"/>
    <n v="2970"/>
    <n v="4182"/>
    <n v="1212"/>
    <s v="Product 67"/>
    <x v="45"/>
    <s v="Christopher Tucker"/>
    <x v="195"/>
    <n v="1"/>
    <x v="0"/>
    <x v="1"/>
    <x v="1"/>
    <x v="0"/>
    <x v="1"/>
  </r>
  <r>
    <s v="AX11222"/>
    <s v="ENX2092"/>
    <s v="A153"/>
    <s v="EMP1005"/>
    <s v="C1544"/>
    <x v="18"/>
    <n v="3"/>
    <n v="1639"/>
    <n v="1295"/>
    <n v="3885"/>
    <n v="4917"/>
    <n v="1032"/>
    <s v="Product 93"/>
    <x v="8"/>
    <s v="Ryan Welch"/>
    <x v="196"/>
    <n v="1"/>
    <x v="0"/>
    <x v="1"/>
    <x v="1"/>
    <x v="0"/>
    <x v="1"/>
  </r>
  <r>
    <s v="AX11330"/>
    <s v="ENX2047"/>
    <s v="A134"/>
    <s v="EMP1025"/>
    <s v="C1710"/>
    <x v="16"/>
    <n v="1"/>
    <n v="290"/>
    <n v="200"/>
    <n v="200"/>
    <n v="290"/>
    <n v="90"/>
    <s v="Product 48"/>
    <x v="41"/>
    <s v="Ernest Wagner"/>
    <x v="197"/>
    <n v="1"/>
    <x v="0"/>
    <x v="1"/>
    <x v="1"/>
    <x v="0"/>
    <x v="1"/>
  </r>
  <r>
    <s v="AX11425"/>
    <s v="ENX2031"/>
    <s v="A102"/>
    <s v="EMP1011"/>
    <s v="C1152"/>
    <x v="17"/>
    <n v="1"/>
    <n v="1638"/>
    <n v="1261"/>
    <n v="1261"/>
    <n v="1638"/>
    <n v="377"/>
    <s v="Product 32"/>
    <x v="44"/>
    <s v="Larry Marshall"/>
    <x v="198"/>
    <n v="1"/>
    <x v="0"/>
    <x v="1"/>
    <x v="1"/>
    <x v="0"/>
    <x v="1"/>
  </r>
  <r>
    <s v="AX11511"/>
    <s v="ENX2028"/>
    <s v="A157"/>
    <s v="EMP1040"/>
    <s v="C1131"/>
    <x v="19"/>
    <n v="1"/>
    <n v="2283"/>
    <n v="1484"/>
    <n v="1484"/>
    <n v="2283"/>
    <n v="799"/>
    <s v="Product 29"/>
    <x v="7"/>
    <s v="Patrick Ruiz"/>
    <x v="76"/>
    <n v="1"/>
    <x v="0"/>
    <x v="1"/>
    <x v="1"/>
    <x v="0"/>
    <x v="1"/>
  </r>
  <r>
    <s v="AX11715"/>
    <s v="ENX2005"/>
    <s v="A149"/>
    <s v="EMP1039"/>
    <s v="C1251"/>
    <x v="16"/>
    <n v="1"/>
    <n v="684"/>
    <n v="561"/>
    <n v="561"/>
    <n v="684"/>
    <n v="123"/>
    <s v="Product 6"/>
    <x v="59"/>
    <s v="Eugene Holmes"/>
    <x v="199"/>
    <n v="1"/>
    <x v="0"/>
    <x v="1"/>
    <x v="1"/>
    <x v="0"/>
    <x v="1"/>
  </r>
  <r>
    <s v="AX11754"/>
    <s v="ENX2049"/>
    <s v="A110"/>
    <s v="EMP1008"/>
    <s v="C1368"/>
    <x v="18"/>
    <n v="1"/>
    <n v="826"/>
    <n v="562"/>
    <n v="562"/>
    <n v="826"/>
    <n v="264"/>
    <s v="Product 50"/>
    <x v="63"/>
    <s v="Carl Elliott"/>
    <x v="200"/>
    <n v="1"/>
    <x v="0"/>
    <x v="1"/>
    <x v="1"/>
    <x v="0"/>
    <x v="1"/>
  </r>
  <r>
    <s v="AX12060"/>
    <s v="ENX2076"/>
    <s v="A135"/>
    <s v="EMP1037"/>
    <s v="C1300"/>
    <x v="19"/>
    <n v="1"/>
    <n v="1522"/>
    <n v="791"/>
    <n v="791"/>
    <n v="1522"/>
    <n v="731"/>
    <s v="Product 77"/>
    <x v="10"/>
    <s v="Carl Hall"/>
    <x v="201"/>
    <n v="1"/>
    <x v="0"/>
    <x v="1"/>
    <x v="1"/>
    <x v="0"/>
    <x v="1"/>
  </r>
  <r>
    <s v="AX12305"/>
    <s v="ENX2005"/>
    <s v="A100"/>
    <s v="EMP1005"/>
    <s v="C1395"/>
    <x v="19"/>
    <n v="1"/>
    <n v="684"/>
    <n v="561"/>
    <n v="561"/>
    <n v="684"/>
    <n v="123"/>
    <s v="Product 6"/>
    <x v="52"/>
    <s v="Ryan Welch"/>
    <x v="202"/>
    <n v="1"/>
    <x v="0"/>
    <x v="1"/>
    <x v="1"/>
    <x v="0"/>
    <x v="1"/>
  </r>
  <r>
    <s v="AX12497"/>
    <s v="ENX2018"/>
    <s v="A111"/>
    <s v="EMP1024"/>
    <s v="C1709"/>
    <x v="19"/>
    <n v="2"/>
    <n v="1972"/>
    <n v="1321"/>
    <n v="2642"/>
    <n v="3944"/>
    <n v="1302"/>
    <s v="Product 19"/>
    <x v="54"/>
    <s v="Ernest Wheeler"/>
    <x v="203"/>
    <n v="1"/>
    <x v="0"/>
    <x v="1"/>
    <x v="1"/>
    <x v="0"/>
    <x v="1"/>
  </r>
  <r>
    <s v="AX12618"/>
    <s v="ENX2074"/>
    <s v="A171"/>
    <s v="EMP1032"/>
    <s v="C1220"/>
    <x v="17"/>
    <n v="4"/>
    <n v="504"/>
    <n v="408"/>
    <n v="1632"/>
    <n v="2016"/>
    <n v="384"/>
    <s v="Product 75"/>
    <x v="0"/>
    <s v="Larry Castillo"/>
    <x v="204"/>
    <n v="1"/>
    <x v="0"/>
    <x v="1"/>
    <x v="1"/>
    <x v="0"/>
    <x v="1"/>
  </r>
  <r>
    <s v="AX13231"/>
    <s v="ENX2040"/>
    <s v="A119"/>
    <s v="EMP1002"/>
    <s v="C1366"/>
    <x v="17"/>
    <n v="1"/>
    <n v="1889"/>
    <n v="945"/>
    <n v="945"/>
    <n v="1889"/>
    <n v="944"/>
    <s v="Product 41"/>
    <x v="16"/>
    <s v="Andrew Bowman"/>
    <x v="205"/>
    <n v="1"/>
    <x v="0"/>
    <x v="1"/>
    <x v="1"/>
    <x v="0"/>
    <x v="1"/>
  </r>
  <r>
    <s v="AX13669"/>
    <s v="ENX2083"/>
    <s v="A126"/>
    <s v="EMP1036"/>
    <s v="C1264"/>
    <x v="18"/>
    <n v="1"/>
    <n v="2141"/>
    <n v="1777"/>
    <n v="1777"/>
    <n v="2141"/>
    <n v="364"/>
    <s v="Product 84"/>
    <x v="5"/>
    <s v="Robert Reed"/>
    <x v="206"/>
    <n v="1"/>
    <x v="0"/>
    <x v="1"/>
    <x v="1"/>
    <x v="0"/>
    <x v="1"/>
  </r>
  <r>
    <s v="AX13692"/>
    <s v="ENX2001"/>
    <s v="A125"/>
    <s v="EMP1007"/>
    <s v="C1476"/>
    <x v="18"/>
    <n v="3"/>
    <n v="951"/>
    <n v="504"/>
    <n v="1512"/>
    <n v="2853"/>
    <n v="1341"/>
    <s v="Product 2"/>
    <x v="31"/>
    <s v="Jeremy Mendoza"/>
    <x v="207"/>
    <n v="1"/>
    <x v="0"/>
    <x v="1"/>
    <x v="1"/>
    <x v="0"/>
    <x v="1"/>
  </r>
  <r>
    <s v="AX13696"/>
    <s v="ENX2094"/>
    <s v="A150"/>
    <s v="EMP1016"/>
    <s v="C1030"/>
    <x v="16"/>
    <n v="1"/>
    <n v="771"/>
    <n v="648"/>
    <n v="648"/>
    <n v="771"/>
    <n v="123"/>
    <s v="Product 95"/>
    <x v="30"/>
    <s v="Henry Nelson"/>
    <x v="106"/>
    <n v="1"/>
    <x v="0"/>
    <x v="1"/>
    <x v="1"/>
    <x v="0"/>
    <x v="1"/>
  </r>
  <r>
    <s v="AX14040"/>
    <s v="ENX2053"/>
    <s v="A160"/>
    <s v="EMP1030"/>
    <s v="C1560"/>
    <x v="16"/>
    <n v="4"/>
    <n v="596"/>
    <n v="358"/>
    <n v="1432"/>
    <n v="2384"/>
    <n v="952"/>
    <s v="Product 54"/>
    <x v="9"/>
    <s v="Bobby Russell"/>
    <x v="208"/>
    <n v="1"/>
    <x v="0"/>
    <x v="1"/>
    <x v="1"/>
    <x v="0"/>
    <x v="1"/>
  </r>
  <r>
    <s v="AX14178"/>
    <s v="ENX2095"/>
    <s v="A114"/>
    <s v="EMP1023"/>
    <s v="C1253"/>
    <x v="18"/>
    <n v="2"/>
    <n v="1743"/>
    <n v="872"/>
    <n v="1744"/>
    <n v="3486"/>
    <n v="1742"/>
    <s v="Product 96"/>
    <x v="28"/>
    <s v="Brian Davis"/>
    <x v="209"/>
    <n v="1"/>
    <x v="0"/>
    <x v="1"/>
    <x v="1"/>
    <x v="0"/>
    <x v="1"/>
  </r>
  <r>
    <s v="AX14219"/>
    <s v="ENX2093"/>
    <s v="A126"/>
    <s v="EMP1024"/>
    <s v="C1279"/>
    <x v="19"/>
    <n v="2"/>
    <n v="112"/>
    <n v="90"/>
    <n v="180"/>
    <n v="224"/>
    <n v="44"/>
    <s v="Product 94"/>
    <x v="5"/>
    <s v="Ernest Wheeler"/>
    <x v="210"/>
    <n v="1"/>
    <x v="0"/>
    <x v="1"/>
    <x v="1"/>
    <x v="0"/>
    <x v="1"/>
  </r>
  <r>
    <s v="AX14594"/>
    <s v="ENX2014"/>
    <s v="A145"/>
    <s v="EMP1039"/>
    <s v="C1607"/>
    <x v="17"/>
    <n v="1"/>
    <n v="1809"/>
    <n v="1067"/>
    <n v="1067"/>
    <n v="1809"/>
    <n v="742"/>
    <s v="Product 15"/>
    <x v="35"/>
    <s v="Eugene Holmes"/>
    <x v="211"/>
    <n v="1"/>
    <x v="0"/>
    <x v="1"/>
    <x v="1"/>
    <x v="0"/>
    <x v="1"/>
  </r>
  <r>
    <s v="AX15531"/>
    <s v="ENX2039"/>
    <s v="A126"/>
    <s v="EMP1040"/>
    <s v="C1180"/>
    <x v="16"/>
    <n v="3"/>
    <n v="817"/>
    <n v="409"/>
    <n v="1227"/>
    <n v="2451"/>
    <n v="1224"/>
    <s v="Product 40"/>
    <x v="5"/>
    <s v="Patrick Ruiz"/>
    <x v="212"/>
    <n v="1"/>
    <x v="0"/>
    <x v="1"/>
    <x v="1"/>
    <x v="0"/>
    <x v="1"/>
  </r>
  <r>
    <s v="AX15772"/>
    <s v="ENX2059"/>
    <s v="A153"/>
    <s v="EMP1040"/>
    <s v="C1688"/>
    <x v="17"/>
    <n v="2"/>
    <n v="1494"/>
    <n v="971"/>
    <n v="1942"/>
    <n v="2988"/>
    <n v="1046"/>
    <s v="Product 60"/>
    <x v="8"/>
    <s v="Patrick Ruiz"/>
    <x v="213"/>
    <n v="1"/>
    <x v="0"/>
    <x v="1"/>
    <x v="1"/>
    <x v="0"/>
    <x v="1"/>
  </r>
  <r>
    <s v="AX16149"/>
    <s v="ENX2001"/>
    <s v="A133"/>
    <s v="EMP1010"/>
    <s v="C1377"/>
    <x v="18"/>
    <n v="2"/>
    <n v="951"/>
    <n v="504"/>
    <n v="1008"/>
    <n v="1902"/>
    <n v="894"/>
    <s v="Product 2"/>
    <x v="46"/>
    <s v="Joshua Cook"/>
    <x v="214"/>
    <n v="1"/>
    <x v="0"/>
    <x v="1"/>
    <x v="1"/>
    <x v="0"/>
    <x v="1"/>
  </r>
  <r>
    <s v="AX16302"/>
    <s v="ENX2021"/>
    <s v="A136"/>
    <s v="EMP1004"/>
    <s v="C1185"/>
    <x v="17"/>
    <n v="4"/>
    <n v="217"/>
    <n v="171"/>
    <n v="684"/>
    <n v="868"/>
    <n v="184"/>
    <s v="Product 22"/>
    <x v="43"/>
    <s v="Kenneth Bradley"/>
    <x v="215"/>
    <n v="1"/>
    <x v="0"/>
    <x v="1"/>
    <x v="1"/>
    <x v="0"/>
    <x v="1"/>
  </r>
  <r>
    <s v="AX16361"/>
    <s v="ENX2037"/>
    <s v="A115"/>
    <s v="EMP1005"/>
    <s v="C1767"/>
    <x v="17"/>
    <n v="1"/>
    <n v="880"/>
    <n v="634"/>
    <n v="634"/>
    <n v="880"/>
    <n v="246"/>
    <s v="Product 38"/>
    <x v="33"/>
    <s v="Ryan Welch"/>
    <x v="4"/>
    <n v="1"/>
    <x v="0"/>
    <x v="1"/>
    <x v="1"/>
    <x v="0"/>
    <x v="1"/>
  </r>
  <r>
    <s v="AX16584"/>
    <s v="ENX2095"/>
    <s v="A116"/>
    <s v="EMP1018"/>
    <s v="C1281"/>
    <x v="19"/>
    <n v="1"/>
    <n v="1743"/>
    <n v="872"/>
    <n v="872"/>
    <n v="1743"/>
    <n v="871"/>
    <s v="Product 96"/>
    <x v="15"/>
    <s v="Jimmy Young"/>
    <x v="216"/>
    <n v="1"/>
    <x v="0"/>
    <x v="1"/>
    <x v="1"/>
    <x v="0"/>
    <x v="1"/>
  </r>
  <r>
    <s v="AX16825"/>
    <s v="ENX2014"/>
    <s v="A165"/>
    <s v="EMP1007"/>
    <s v="C1596"/>
    <x v="17"/>
    <n v="1"/>
    <n v="1809"/>
    <n v="1067"/>
    <n v="1067"/>
    <n v="1809"/>
    <n v="742"/>
    <s v="Product 15"/>
    <x v="55"/>
    <s v="Jeremy Mendoza"/>
    <x v="217"/>
    <n v="1"/>
    <x v="0"/>
    <x v="1"/>
    <x v="1"/>
    <x v="0"/>
    <x v="1"/>
  </r>
  <r>
    <s v="AX17282"/>
    <s v="ENX2082"/>
    <s v="A149"/>
    <s v="EMP1044"/>
    <s v="C1788"/>
    <x v="16"/>
    <n v="1"/>
    <n v="1103"/>
    <n v="838"/>
    <n v="838"/>
    <n v="1103"/>
    <n v="265"/>
    <s v="Product 83"/>
    <x v="59"/>
    <s v="Martin Carr"/>
    <x v="218"/>
    <n v="1"/>
    <x v="0"/>
    <x v="1"/>
    <x v="1"/>
    <x v="0"/>
    <x v="1"/>
  </r>
  <r>
    <s v="AX17326"/>
    <s v="ENX2078"/>
    <s v="A114"/>
    <s v="EMP1025"/>
    <s v="C1193"/>
    <x v="18"/>
    <n v="3"/>
    <n v="1798"/>
    <n v="971"/>
    <n v="2913"/>
    <n v="5394"/>
    <n v="2481"/>
    <s v="Product 79"/>
    <x v="28"/>
    <s v="Ernest Wagner"/>
    <x v="219"/>
    <n v="1"/>
    <x v="0"/>
    <x v="1"/>
    <x v="1"/>
    <x v="0"/>
    <x v="1"/>
  </r>
  <r>
    <s v="AX17442"/>
    <s v="ENX2027"/>
    <s v="A139"/>
    <s v="EMP1012"/>
    <s v="C1212"/>
    <x v="19"/>
    <n v="3"/>
    <n v="2497"/>
    <n v="1473"/>
    <n v="4419"/>
    <n v="7491"/>
    <n v="3072"/>
    <s v="Product 28"/>
    <x v="38"/>
    <s v="John Reyes"/>
    <x v="220"/>
    <n v="1"/>
    <x v="0"/>
    <x v="1"/>
    <x v="1"/>
    <x v="0"/>
    <x v="1"/>
  </r>
  <r>
    <s v="AX17483"/>
    <s v="ENX2015"/>
    <s v="A116"/>
    <s v="EMP1011"/>
    <s v="C1122"/>
    <x v="16"/>
    <n v="1"/>
    <n v="637"/>
    <n v="389"/>
    <n v="389"/>
    <n v="637"/>
    <n v="248"/>
    <s v="Product 16"/>
    <x v="15"/>
    <s v="Larry Marshall"/>
    <x v="84"/>
    <n v="1"/>
    <x v="0"/>
    <x v="1"/>
    <x v="1"/>
    <x v="0"/>
    <x v="1"/>
  </r>
  <r>
    <s v="AX18005"/>
    <s v="ENX2028"/>
    <s v="A138"/>
    <s v="EMP1043"/>
    <s v="C1040"/>
    <x v="19"/>
    <n v="4"/>
    <n v="2283"/>
    <n v="1484"/>
    <n v="5936"/>
    <n v="9132"/>
    <n v="3196"/>
    <s v="Product 29"/>
    <x v="37"/>
    <s v="Joshua Taylor"/>
    <x v="221"/>
    <n v="1"/>
    <x v="0"/>
    <x v="1"/>
    <x v="1"/>
    <x v="0"/>
    <x v="1"/>
  </r>
  <r>
    <s v="AX18033"/>
    <s v="ENX2084"/>
    <s v="A108"/>
    <s v="EMP1042"/>
    <s v="C1698"/>
    <x v="16"/>
    <n v="1"/>
    <n v="1783"/>
    <n v="1230"/>
    <n v="1230"/>
    <n v="1783"/>
    <n v="553"/>
    <s v="Product 85"/>
    <x v="49"/>
    <s v="Scott Clark"/>
    <x v="86"/>
    <n v="1"/>
    <x v="0"/>
    <x v="1"/>
    <x v="1"/>
    <x v="0"/>
    <x v="1"/>
  </r>
  <r>
    <s v="AX18391"/>
    <s v="ENX2095"/>
    <s v="A100"/>
    <s v="EMP1015"/>
    <s v="C1123"/>
    <x v="18"/>
    <n v="4"/>
    <n v="1743"/>
    <n v="872"/>
    <n v="3488"/>
    <n v="6972"/>
    <n v="3484"/>
    <s v="Product 96"/>
    <x v="52"/>
    <s v="Justin Lynch"/>
    <x v="222"/>
    <n v="1"/>
    <x v="0"/>
    <x v="1"/>
    <x v="1"/>
    <x v="0"/>
    <x v="1"/>
  </r>
  <r>
    <s v="AX18442"/>
    <s v="ENX2078"/>
    <s v="A111"/>
    <s v="EMP1037"/>
    <s v="C1556"/>
    <x v="17"/>
    <n v="1"/>
    <n v="1798"/>
    <n v="971"/>
    <n v="971"/>
    <n v="1798"/>
    <n v="827"/>
    <s v="Product 79"/>
    <x v="54"/>
    <s v="Carl Hall"/>
    <x v="223"/>
    <n v="1"/>
    <x v="0"/>
    <x v="1"/>
    <x v="1"/>
    <x v="0"/>
    <x v="1"/>
  </r>
  <r>
    <s v="AX18826"/>
    <s v="ENX2052"/>
    <s v="A135"/>
    <s v="EMP1040"/>
    <s v="C1377"/>
    <x v="18"/>
    <n v="3"/>
    <n v="1526"/>
    <n v="1251"/>
    <n v="3753"/>
    <n v="4578"/>
    <n v="825"/>
    <s v="Product 53"/>
    <x v="10"/>
    <s v="Patrick Ruiz"/>
    <x v="214"/>
    <n v="1"/>
    <x v="0"/>
    <x v="1"/>
    <x v="1"/>
    <x v="0"/>
    <x v="1"/>
  </r>
  <r>
    <s v="AX19168"/>
    <s v="ENX2046"/>
    <s v="A167"/>
    <s v="EMP1025"/>
    <s v="C1530"/>
    <x v="16"/>
    <n v="1"/>
    <n v="2410"/>
    <n v="1518"/>
    <n v="1518"/>
    <n v="2410"/>
    <n v="892"/>
    <s v="Product 47"/>
    <x v="64"/>
    <s v="Ernest Wagner"/>
    <x v="224"/>
    <n v="1"/>
    <x v="0"/>
    <x v="1"/>
    <x v="1"/>
    <x v="0"/>
    <x v="1"/>
  </r>
  <r>
    <s v="AX19267"/>
    <s v="ENX2076"/>
    <s v="A152"/>
    <s v="EMP1039"/>
    <s v="C1209"/>
    <x v="17"/>
    <n v="1"/>
    <n v="1522"/>
    <n v="791"/>
    <n v="791"/>
    <n v="1522"/>
    <n v="731"/>
    <s v="Product 77"/>
    <x v="26"/>
    <s v="Eugene Holmes"/>
    <x v="225"/>
    <n v="1"/>
    <x v="0"/>
    <x v="1"/>
    <x v="1"/>
    <x v="0"/>
    <x v="1"/>
  </r>
  <r>
    <s v="AX19272"/>
    <s v="ENX2017"/>
    <s v="A135"/>
    <s v="EMP1006"/>
    <s v="C1308"/>
    <x v="18"/>
    <n v="2"/>
    <n v="35"/>
    <n v="22"/>
    <n v="44"/>
    <n v="70"/>
    <n v="26"/>
    <s v="Product 18"/>
    <x v="10"/>
    <s v="Sean Miller"/>
    <x v="226"/>
    <n v="1"/>
    <x v="0"/>
    <x v="1"/>
    <x v="1"/>
    <x v="0"/>
    <x v="1"/>
  </r>
  <r>
    <s v="AX19352"/>
    <s v="ENX2098"/>
    <s v="A143"/>
    <s v="EMP1040"/>
    <s v="C1711"/>
    <x v="16"/>
    <n v="2"/>
    <n v="1178"/>
    <n v="683"/>
    <n v="1366"/>
    <n v="2356"/>
    <n v="990"/>
    <s v="Product 99"/>
    <x v="39"/>
    <s v="Patrick Ruiz"/>
    <x v="66"/>
    <n v="1"/>
    <x v="0"/>
    <x v="1"/>
    <x v="1"/>
    <x v="0"/>
    <x v="1"/>
  </r>
  <r>
    <s v="AX21153"/>
    <s v="ENX2042"/>
    <s v="A172"/>
    <s v="EMP1035"/>
    <s v="C1507"/>
    <x v="17"/>
    <n v="1"/>
    <n v="203"/>
    <n v="154"/>
    <n v="154"/>
    <n v="203"/>
    <n v="49"/>
    <s v="Product 43"/>
    <x v="36"/>
    <s v="Roger Ramos"/>
    <x v="227"/>
    <n v="1"/>
    <x v="0"/>
    <x v="1"/>
    <x v="1"/>
    <x v="0"/>
    <x v="1"/>
  </r>
  <r>
    <s v="AX21174"/>
    <s v="ENX2039"/>
    <s v="A102"/>
    <s v="EMP1035"/>
    <s v="C1185"/>
    <x v="18"/>
    <n v="1"/>
    <n v="817"/>
    <n v="409"/>
    <n v="409"/>
    <n v="817"/>
    <n v="408"/>
    <s v="Product 40"/>
    <x v="44"/>
    <s v="Roger Ramos"/>
    <x v="215"/>
    <n v="1"/>
    <x v="0"/>
    <x v="1"/>
    <x v="1"/>
    <x v="0"/>
    <x v="1"/>
  </r>
  <r>
    <s v="AX21251"/>
    <s v="ENX2024"/>
    <s v="A120"/>
    <s v="EMP1014"/>
    <s v="C1061"/>
    <x v="16"/>
    <n v="1"/>
    <n v="356"/>
    <n v="292"/>
    <n v="292"/>
    <n v="356"/>
    <n v="64"/>
    <s v="Product 25"/>
    <x v="20"/>
    <s v="Ronald Reed"/>
    <x v="228"/>
    <n v="1"/>
    <x v="0"/>
    <x v="1"/>
    <x v="1"/>
    <x v="0"/>
    <x v="1"/>
  </r>
  <r>
    <s v="AX21338"/>
    <s v="ENX2026"/>
    <s v="A101"/>
    <s v="EMP1020"/>
    <s v="C1603"/>
    <x v="17"/>
    <n v="1"/>
    <n v="947"/>
    <n v="786"/>
    <n v="786"/>
    <n v="947"/>
    <n v="161"/>
    <s v="Product 27"/>
    <x v="60"/>
    <s v="Ryan Butler"/>
    <x v="229"/>
    <n v="1"/>
    <x v="0"/>
    <x v="1"/>
    <x v="1"/>
    <x v="0"/>
    <x v="1"/>
  </r>
  <r>
    <s v="AX21471"/>
    <s v="ENX2047"/>
    <s v="A157"/>
    <s v="EMP1039"/>
    <s v="C1449"/>
    <x v="19"/>
    <n v="1"/>
    <n v="290"/>
    <n v="200"/>
    <n v="200"/>
    <n v="290"/>
    <n v="90"/>
    <s v="Product 48"/>
    <x v="7"/>
    <s v="Eugene Holmes"/>
    <x v="230"/>
    <n v="1"/>
    <x v="0"/>
    <x v="1"/>
    <x v="1"/>
    <x v="0"/>
    <x v="1"/>
  </r>
  <r>
    <s v="AX22039"/>
    <s v="ENX2059"/>
    <s v="A123"/>
    <s v="EMP1022"/>
    <s v="C1301"/>
    <x v="17"/>
    <n v="1"/>
    <n v="1494"/>
    <n v="971"/>
    <n v="971"/>
    <n v="1494"/>
    <n v="523"/>
    <s v="Product 60"/>
    <x v="34"/>
    <s v="Walter Cook"/>
    <x v="231"/>
    <n v="1"/>
    <x v="0"/>
    <x v="1"/>
    <x v="1"/>
    <x v="0"/>
    <x v="1"/>
  </r>
  <r>
    <s v="AX22176"/>
    <s v="ENX2038"/>
    <s v="A152"/>
    <s v="EMP1044"/>
    <s v="C1774"/>
    <x v="17"/>
    <n v="1"/>
    <n v="392"/>
    <n v="255"/>
    <n v="255"/>
    <n v="392"/>
    <n v="137"/>
    <s v="Product 39"/>
    <x v="26"/>
    <s v="Martin Carr"/>
    <x v="232"/>
    <n v="1"/>
    <x v="0"/>
    <x v="1"/>
    <x v="1"/>
    <x v="0"/>
    <x v="1"/>
  </r>
  <r>
    <s v="AX22989"/>
    <s v="ENX2013"/>
    <s v="A109"/>
    <s v="EMP1012"/>
    <s v="C1752"/>
    <x v="16"/>
    <n v="1"/>
    <n v="368"/>
    <n v="269"/>
    <n v="269"/>
    <n v="368"/>
    <n v="99"/>
    <s v="Product 14"/>
    <x v="57"/>
    <s v="John Reyes"/>
    <x v="233"/>
    <n v="1"/>
    <x v="0"/>
    <x v="1"/>
    <x v="1"/>
    <x v="0"/>
    <x v="1"/>
  </r>
  <r>
    <s v="AX23078"/>
    <s v="ENX2002"/>
    <s v="A165"/>
    <s v="EMP1027"/>
    <s v="C1452"/>
    <x v="18"/>
    <n v="1"/>
    <n v="847"/>
    <n v="534"/>
    <n v="534"/>
    <n v="847"/>
    <n v="313"/>
    <s v="Product 3"/>
    <x v="55"/>
    <s v="Gary Rodriguez"/>
    <x v="234"/>
    <n v="1"/>
    <x v="0"/>
    <x v="1"/>
    <x v="1"/>
    <x v="0"/>
    <x v="1"/>
  </r>
  <r>
    <s v="AX23090"/>
    <s v="ENX2004"/>
    <s v="A120"/>
    <s v="EMP1016"/>
    <s v="C1681"/>
    <x v="16"/>
    <n v="4"/>
    <n v="1278"/>
    <n v="665"/>
    <n v="2660"/>
    <n v="5112"/>
    <n v="2452"/>
    <s v="Product 5"/>
    <x v="20"/>
    <s v="Henry Nelson"/>
    <x v="235"/>
    <n v="1"/>
    <x v="0"/>
    <x v="1"/>
    <x v="1"/>
    <x v="0"/>
    <x v="1"/>
  </r>
  <r>
    <s v="AX23848"/>
    <s v="ENX2094"/>
    <s v="A132"/>
    <s v="EMP1010"/>
    <s v="C1348"/>
    <x v="16"/>
    <n v="1"/>
    <n v="771"/>
    <n v="648"/>
    <n v="648"/>
    <n v="771"/>
    <n v="123"/>
    <s v="Product 95"/>
    <x v="48"/>
    <s v="Joshua Cook"/>
    <x v="236"/>
    <n v="1"/>
    <x v="0"/>
    <x v="1"/>
    <x v="1"/>
    <x v="0"/>
    <x v="1"/>
  </r>
  <r>
    <s v="AX24320"/>
    <s v="ENX2094"/>
    <s v="A173"/>
    <s v="EMP1023"/>
    <s v="C1073"/>
    <x v="18"/>
    <n v="1"/>
    <n v="771"/>
    <n v="648"/>
    <n v="648"/>
    <n v="771"/>
    <n v="123"/>
    <s v="Product 95"/>
    <x v="25"/>
    <s v="Brian Davis"/>
    <x v="237"/>
    <n v="1"/>
    <x v="0"/>
    <x v="1"/>
    <x v="1"/>
    <x v="0"/>
    <x v="1"/>
  </r>
  <r>
    <s v="AX24399"/>
    <s v="ENX2076"/>
    <s v="A119"/>
    <s v="EMP1027"/>
    <s v="C1356"/>
    <x v="17"/>
    <n v="1"/>
    <n v="1522"/>
    <n v="791"/>
    <n v="791"/>
    <n v="1522"/>
    <n v="731"/>
    <s v="Product 77"/>
    <x v="16"/>
    <s v="Gary Rodriguez"/>
    <x v="238"/>
    <n v="1"/>
    <x v="0"/>
    <x v="1"/>
    <x v="1"/>
    <x v="0"/>
    <x v="1"/>
  </r>
  <r>
    <s v="AX24403"/>
    <s v="ENX2027"/>
    <s v="A171"/>
    <s v="EMP1042"/>
    <s v="C1351"/>
    <x v="17"/>
    <n v="1"/>
    <n v="2497"/>
    <n v="1473"/>
    <n v="1473"/>
    <n v="2497"/>
    <n v="1024"/>
    <s v="Product 28"/>
    <x v="0"/>
    <s v="Scott Clark"/>
    <x v="122"/>
    <n v="1"/>
    <x v="0"/>
    <x v="1"/>
    <x v="1"/>
    <x v="0"/>
    <x v="1"/>
  </r>
  <r>
    <s v="AX24843"/>
    <s v="ENX2083"/>
    <s v="A168"/>
    <s v="EMP1011"/>
    <s v="C1445"/>
    <x v="19"/>
    <n v="4"/>
    <n v="2141"/>
    <n v="1777"/>
    <n v="7108"/>
    <n v="8564"/>
    <n v="1456"/>
    <s v="Product 84"/>
    <x v="40"/>
    <s v="Larry Marshall"/>
    <x v="239"/>
    <n v="1"/>
    <x v="0"/>
    <x v="1"/>
    <x v="1"/>
    <x v="0"/>
    <x v="1"/>
  </r>
  <r>
    <s v="AX24973"/>
    <s v="ENX2006"/>
    <s v="A149"/>
    <s v="EMP1036"/>
    <s v="C1095"/>
    <x v="19"/>
    <n v="1"/>
    <n v="1826"/>
    <n v="1443"/>
    <n v="1443"/>
    <n v="1826"/>
    <n v="383"/>
    <s v="Product 7"/>
    <x v="59"/>
    <s v="Robert Reed"/>
    <x v="240"/>
    <n v="1"/>
    <x v="0"/>
    <x v="1"/>
    <x v="1"/>
    <x v="0"/>
    <x v="1"/>
  </r>
  <r>
    <s v="AX10256"/>
    <s v="ENX2072"/>
    <s v="A125"/>
    <s v="EMP1029"/>
    <s v="C1310"/>
    <x v="20"/>
    <n v="1"/>
    <n v="1887"/>
    <n v="1378"/>
    <n v="1378"/>
    <n v="1887"/>
    <n v="509"/>
    <s v="Product 73"/>
    <x v="31"/>
    <s v="Howard Gardner"/>
    <x v="169"/>
    <n v="1"/>
    <x v="0"/>
    <x v="1"/>
    <x v="1"/>
    <x v="0"/>
    <x v="2"/>
  </r>
  <r>
    <s v="AX10340"/>
    <s v="ENX2086"/>
    <s v="A166"/>
    <s v="EMP1018"/>
    <s v="C1548"/>
    <x v="20"/>
    <n v="4"/>
    <n v="123"/>
    <n v="84"/>
    <n v="336"/>
    <n v="492"/>
    <n v="156"/>
    <s v="Product 87"/>
    <x v="70"/>
    <s v="Jimmy Young"/>
    <x v="241"/>
    <n v="1"/>
    <x v="0"/>
    <x v="1"/>
    <x v="1"/>
    <x v="0"/>
    <x v="2"/>
  </r>
  <r>
    <s v="AX10892"/>
    <s v="ENX2000"/>
    <s v="A140"/>
    <s v="EMP1022"/>
    <s v="C1358"/>
    <x v="21"/>
    <n v="1"/>
    <n v="2241"/>
    <n v="1367"/>
    <n v="1367"/>
    <n v="2241"/>
    <n v="874"/>
    <s v="Product 1"/>
    <x v="18"/>
    <s v="Walter Cook"/>
    <x v="242"/>
    <n v="1"/>
    <x v="0"/>
    <x v="1"/>
    <x v="1"/>
    <x v="0"/>
    <x v="2"/>
  </r>
  <r>
    <s v="AX11059"/>
    <s v="ENX2024"/>
    <s v="A100"/>
    <s v="EMP1018"/>
    <s v="C1154"/>
    <x v="20"/>
    <n v="3"/>
    <n v="356"/>
    <n v="292"/>
    <n v="876"/>
    <n v="1068"/>
    <n v="192"/>
    <s v="Product 25"/>
    <x v="52"/>
    <s v="Jimmy Young"/>
    <x v="243"/>
    <n v="1"/>
    <x v="0"/>
    <x v="1"/>
    <x v="1"/>
    <x v="0"/>
    <x v="2"/>
  </r>
  <r>
    <s v="AX11555"/>
    <s v="ENX2058"/>
    <s v="A144"/>
    <s v="EMP1009"/>
    <s v="C1419"/>
    <x v="21"/>
    <n v="3"/>
    <n v="2257"/>
    <n v="1535"/>
    <n v="4605"/>
    <n v="6771"/>
    <n v="2166"/>
    <s v="Product 59"/>
    <x v="65"/>
    <s v="Kenneth Fields"/>
    <x v="163"/>
    <n v="1"/>
    <x v="0"/>
    <x v="1"/>
    <x v="1"/>
    <x v="0"/>
    <x v="2"/>
  </r>
  <r>
    <s v="AX11592"/>
    <s v="ENX2067"/>
    <s v="A161"/>
    <s v="EMP1035"/>
    <s v="C1426"/>
    <x v="21"/>
    <n v="1"/>
    <n v="1119"/>
    <n v="683"/>
    <n v="683"/>
    <n v="1119"/>
    <n v="436"/>
    <s v="Product 68"/>
    <x v="6"/>
    <s v="Roger Ramos"/>
    <x v="127"/>
    <n v="1"/>
    <x v="0"/>
    <x v="1"/>
    <x v="1"/>
    <x v="0"/>
    <x v="2"/>
  </r>
  <r>
    <s v="AX11723"/>
    <s v="ENX2084"/>
    <s v="A170"/>
    <s v="EMP1042"/>
    <s v="C1329"/>
    <x v="22"/>
    <n v="3"/>
    <n v="1783"/>
    <n v="1230"/>
    <n v="3690"/>
    <n v="5349"/>
    <n v="1659"/>
    <s v="Product 85"/>
    <x v="47"/>
    <s v="Scott Clark"/>
    <x v="244"/>
    <n v="1"/>
    <x v="0"/>
    <x v="1"/>
    <x v="1"/>
    <x v="0"/>
    <x v="2"/>
  </r>
  <r>
    <s v="AX11910"/>
    <s v="ENX2084"/>
    <s v="A142"/>
    <s v="EMP1019"/>
    <s v="C1199"/>
    <x v="20"/>
    <n v="1"/>
    <n v="1783"/>
    <n v="1230"/>
    <n v="1230"/>
    <n v="1783"/>
    <n v="553"/>
    <s v="Product 85"/>
    <x v="56"/>
    <s v="Roger Robertson"/>
    <x v="245"/>
    <n v="1"/>
    <x v="0"/>
    <x v="1"/>
    <x v="1"/>
    <x v="0"/>
    <x v="2"/>
  </r>
  <r>
    <s v="AX12545"/>
    <s v="ENX2087"/>
    <s v="A141"/>
    <s v="EMP1037"/>
    <s v="C1021"/>
    <x v="21"/>
    <n v="1"/>
    <n v="1022"/>
    <n v="818"/>
    <n v="818"/>
    <n v="1022"/>
    <n v="204"/>
    <s v="Product 88"/>
    <x v="23"/>
    <s v="Carl Hall"/>
    <x v="246"/>
    <n v="1"/>
    <x v="0"/>
    <x v="1"/>
    <x v="1"/>
    <x v="0"/>
    <x v="2"/>
  </r>
  <r>
    <s v="AX12567"/>
    <s v="ENX2066"/>
    <s v="A117"/>
    <s v="EMP1018"/>
    <s v="C1529"/>
    <x v="21"/>
    <n v="4"/>
    <n v="2091"/>
    <n v="1485"/>
    <n v="5940"/>
    <n v="8364"/>
    <n v="2424"/>
    <s v="Product 67"/>
    <x v="29"/>
    <s v="Jimmy Young"/>
    <x v="247"/>
    <n v="1"/>
    <x v="0"/>
    <x v="1"/>
    <x v="1"/>
    <x v="0"/>
    <x v="2"/>
  </r>
  <r>
    <s v="AX12734"/>
    <s v="ENX2049"/>
    <s v="A120"/>
    <s v="EMP1043"/>
    <s v="C1671"/>
    <x v="22"/>
    <n v="1"/>
    <n v="826"/>
    <n v="562"/>
    <n v="562"/>
    <n v="826"/>
    <n v="264"/>
    <s v="Product 50"/>
    <x v="20"/>
    <s v="Joshua Taylor"/>
    <x v="248"/>
    <n v="1"/>
    <x v="0"/>
    <x v="1"/>
    <x v="1"/>
    <x v="0"/>
    <x v="2"/>
  </r>
  <r>
    <s v="AX13163"/>
    <s v="ENX2024"/>
    <s v="A144"/>
    <s v="EMP1030"/>
    <s v="C1496"/>
    <x v="20"/>
    <n v="1"/>
    <n v="356"/>
    <n v="292"/>
    <n v="292"/>
    <n v="356"/>
    <n v="64"/>
    <s v="Product 25"/>
    <x v="65"/>
    <s v="Bobby Russell"/>
    <x v="54"/>
    <n v="1"/>
    <x v="0"/>
    <x v="1"/>
    <x v="1"/>
    <x v="0"/>
    <x v="2"/>
  </r>
  <r>
    <s v="AX13461"/>
    <s v="ENX2041"/>
    <s v="A170"/>
    <s v="EMP1025"/>
    <s v="C1022"/>
    <x v="23"/>
    <n v="1"/>
    <n v="1380"/>
    <n v="1090"/>
    <n v="1090"/>
    <n v="1380"/>
    <n v="290"/>
    <s v="Product 42"/>
    <x v="47"/>
    <s v="Ernest Wagner"/>
    <x v="249"/>
    <n v="1"/>
    <x v="0"/>
    <x v="1"/>
    <x v="1"/>
    <x v="0"/>
    <x v="2"/>
  </r>
  <r>
    <s v="AX13470"/>
    <s v="ENX2081"/>
    <s v="A128"/>
    <s v="EMP1031"/>
    <s v="C1105"/>
    <x v="23"/>
    <n v="3"/>
    <n v="1566"/>
    <n v="1190"/>
    <n v="3570"/>
    <n v="4698"/>
    <n v="1128"/>
    <s v="Product 82"/>
    <x v="12"/>
    <s v="Brian Thomas"/>
    <x v="15"/>
    <n v="1"/>
    <x v="0"/>
    <x v="1"/>
    <x v="1"/>
    <x v="0"/>
    <x v="2"/>
  </r>
  <r>
    <s v="AX13504"/>
    <s v="ENX2089"/>
    <s v="A131"/>
    <s v="EMP1005"/>
    <s v="C1606"/>
    <x v="23"/>
    <n v="2"/>
    <n v="2294"/>
    <n v="1399"/>
    <n v="2798"/>
    <n v="4588"/>
    <n v="1790"/>
    <s v="Product 90"/>
    <x v="32"/>
    <s v="Ryan Welch"/>
    <x v="250"/>
    <n v="1"/>
    <x v="0"/>
    <x v="1"/>
    <x v="1"/>
    <x v="0"/>
    <x v="2"/>
  </r>
  <r>
    <s v="AX13516"/>
    <s v="ENX2050"/>
    <s v="A126"/>
    <s v="EMP1010"/>
    <s v="C1567"/>
    <x v="21"/>
    <n v="3"/>
    <n v="2391"/>
    <n v="1291"/>
    <n v="3873"/>
    <n v="7173"/>
    <n v="3300"/>
    <s v="Product 51"/>
    <x v="5"/>
    <s v="Joshua Cook"/>
    <x v="251"/>
    <n v="1"/>
    <x v="0"/>
    <x v="1"/>
    <x v="1"/>
    <x v="0"/>
    <x v="2"/>
  </r>
  <r>
    <s v="AX13556"/>
    <s v="ENX2020"/>
    <s v="A125"/>
    <s v="EMP1038"/>
    <s v="C1324"/>
    <x v="20"/>
    <n v="2"/>
    <n v="2005"/>
    <n v="1223"/>
    <n v="2446"/>
    <n v="4010"/>
    <n v="1564"/>
    <s v="Product 21"/>
    <x v="31"/>
    <s v="Scott Mason"/>
    <x v="252"/>
    <n v="1"/>
    <x v="0"/>
    <x v="1"/>
    <x v="1"/>
    <x v="0"/>
    <x v="2"/>
  </r>
  <r>
    <s v="AX13605"/>
    <s v="ENX2053"/>
    <s v="A120"/>
    <s v="EMP1013"/>
    <s v="C1450"/>
    <x v="23"/>
    <n v="1"/>
    <n v="596"/>
    <n v="358"/>
    <n v="358"/>
    <n v="596"/>
    <n v="238"/>
    <s v="Product 54"/>
    <x v="20"/>
    <s v="Charles Harper"/>
    <x v="13"/>
    <n v="1"/>
    <x v="0"/>
    <x v="1"/>
    <x v="1"/>
    <x v="0"/>
    <x v="2"/>
  </r>
  <r>
    <s v="AX13743"/>
    <s v="ENX2044"/>
    <s v="A105"/>
    <s v="EMP1010"/>
    <s v="C1655"/>
    <x v="20"/>
    <n v="2"/>
    <n v="886"/>
    <n v="478"/>
    <n v="956"/>
    <n v="1772"/>
    <n v="816"/>
    <s v="Product 45"/>
    <x v="45"/>
    <s v="Joshua Cook"/>
    <x v="73"/>
    <n v="1"/>
    <x v="0"/>
    <x v="1"/>
    <x v="1"/>
    <x v="0"/>
    <x v="2"/>
  </r>
  <r>
    <s v="AX14136"/>
    <s v="ENX2058"/>
    <s v="A172"/>
    <s v="EMP1041"/>
    <s v="C1616"/>
    <x v="21"/>
    <n v="1"/>
    <n v="2257"/>
    <n v="1535"/>
    <n v="1535"/>
    <n v="2257"/>
    <n v="722"/>
    <s v="Product 59"/>
    <x v="36"/>
    <s v="Joe Sims"/>
    <x v="253"/>
    <n v="1"/>
    <x v="0"/>
    <x v="1"/>
    <x v="1"/>
    <x v="0"/>
    <x v="2"/>
  </r>
  <r>
    <s v="AX14634"/>
    <s v="ENX2033"/>
    <s v="A111"/>
    <s v="EMP1014"/>
    <s v="C1403"/>
    <x v="20"/>
    <n v="1"/>
    <n v="2182"/>
    <n v="1200"/>
    <n v="1200"/>
    <n v="2182"/>
    <n v="982"/>
    <s v="Product 34"/>
    <x v="54"/>
    <s v="Ronald Reed"/>
    <x v="134"/>
    <n v="1"/>
    <x v="0"/>
    <x v="1"/>
    <x v="1"/>
    <x v="0"/>
    <x v="2"/>
  </r>
  <r>
    <s v="AX14839"/>
    <s v="ENX2055"/>
    <s v="A140"/>
    <s v="EMP1042"/>
    <s v="C1266"/>
    <x v="21"/>
    <n v="1"/>
    <n v="2495"/>
    <n v="1896"/>
    <n v="1896"/>
    <n v="2495"/>
    <n v="599"/>
    <s v="Product 56"/>
    <x v="18"/>
    <s v="Scott Clark"/>
    <x v="254"/>
    <n v="1"/>
    <x v="0"/>
    <x v="1"/>
    <x v="1"/>
    <x v="0"/>
    <x v="2"/>
  </r>
  <r>
    <s v="AX14907"/>
    <s v="ENX2038"/>
    <s v="A152"/>
    <s v="EMP1039"/>
    <s v="C1483"/>
    <x v="22"/>
    <n v="3"/>
    <n v="392"/>
    <n v="255"/>
    <n v="765"/>
    <n v="1176"/>
    <n v="411"/>
    <s v="Product 39"/>
    <x v="26"/>
    <s v="Eugene Holmes"/>
    <x v="255"/>
    <n v="1"/>
    <x v="0"/>
    <x v="1"/>
    <x v="1"/>
    <x v="0"/>
    <x v="2"/>
  </r>
  <r>
    <s v="AX15471"/>
    <s v="ENX2073"/>
    <s v="A104"/>
    <s v="EMP1005"/>
    <s v="C1036"/>
    <x v="21"/>
    <n v="1"/>
    <n v="95"/>
    <n v="61"/>
    <n v="61"/>
    <n v="95"/>
    <n v="34"/>
    <s v="Product 74"/>
    <x v="50"/>
    <s v="Ryan Welch"/>
    <x v="256"/>
    <n v="1"/>
    <x v="0"/>
    <x v="1"/>
    <x v="1"/>
    <x v="0"/>
    <x v="2"/>
  </r>
  <r>
    <s v="AX15649"/>
    <s v="ENX2036"/>
    <s v="A129"/>
    <s v="EMP1003"/>
    <s v="C1722"/>
    <x v="23"/>
    <n v="3"/>
    <n v="1582"/>
    <n v="1234"/>
    <n v="3702"/>
    <n v="4746"/>
    <n v="1044"/>
    <s v="Product 37"/>
    <x v="22"/>
    <s v="Christopher Tucker"/>
    <x v="257"/>
    <n v="1"/>
    <x v="0"/>
    <x v="1"/>
    <x v="1"/>
    <x v="0"/>
    <x v="2"/>
  </r>
  <r>
    <s v="AX16028"/>
    <s v="ENX2049"/>
    <s v="A116"/>
    <s v="EMP1032"/>
    <s v="C1684"/>
    <x v="21"/>
    <n v="2"/>
    <n v="826"/>
    <n v="562"/>
    <n v="1124"/>
    <n v="1652"/>
    <n v="528"/>
    <s v="Product 50"/>
    <x v="15"/>
    <s v="Larry Castillo"/>
    <x v="258"/>
    <n v="1"/>
    <x v="0"/>
    <x v="1"/>
    <x v="1"/>
    <x v="0"/>
    <x v="2"/>
  </r>
  <r>
    <s v="AX16150"/>
    <s v="ENX2051"/>
    <s v="A158"/>
    <s v="EMP1007"/>
    <s v="C1356"/>
    <x v="21"/>
    <n v="1"/>
    <n v="1077"/>
    <n v="732"/>
    <n v="732"/>
    <n v="1077"/>
    <n v="345"/>
    <s v="Product 52"/>
    <x v="58"/>
    <s v="Jeremy Mendoza"/>
    <x v="238"/>
    <n v="1"/>
    <x v="0"/>
    <x v="1"/>
    <x v="1"/>
    <x v="0"/>
    <x v="2"/>
  </r>
  <r>
    <s v="AX16173"/>
    <s v="ENX2032"/>
    <s v="A117"/>
    <s v="EMP1023"/>
    <s v="C1582"/>
    <x v="23"/>
    <n v="3"/>
    <n v="1967"/>
    <n v="1397"/>
    <n v="4191"/>
    <n v="5901"/>
    <n v="1710"/>
    <s v="Product 33"/>
    <x v="29"/>
    <s v="Brian Davis"/>
    <x v="259"/>
    <n v="1"/>
    <x v="0"/>
    <x v="1"/>
    <x v="1"/>
    <x v="0"/>
    <x v="2"/>
  </r>
  <r>
    <s v="AX16555"/>
    <s v="ENX2042"/>
    <s v="A142"/>
    <s v="EMP1035"/>
    <s v="C1606"/>
    <x v="21"/>
    <n v="1"/>
    <n v="203"/>
    <n v="154"/>
    <n v="154"/>
    <n v="203"/>
    <n v="49"/>
    <s v="Product 43"/>
    <x v="56"/>
    <s v="Roger Ramos"/>
    <x v="250"/>
    <n v="1"/>
    <x v="0"/>
    <x v="1"/>
    <x v="1"/>
    <x v="0"/>
    <x v="2"/>
  </r>
  <r>
    <s v="AX17074"/>
    <s v="ENX2076"/>
    <s v="A147"/>
    <s v="EMP1018"/>
    <s v="C1325"/>
    <x v="21"/>
    <n v="3"/>
    <n v="1522"/>
    <n v="791"/>
    <n v="2373"/>
    <n v="4566"/>
    <n v="2193"/>
    <s v="Product 77"/>
    <x v="42"/>
    <s v="Jimmy Young"/>
    <x v="67"/>
    <n v="1"/>
    <x v="0"/>
    <x v="1"/>
    <x v="1"/>
    <x v="0"/>
    <x v="2"/>
  </r>
  <r>
    <s v="AX17343"/>
    <s v="ENX2029"/>
    <s v="A152"/>
    <s v="EMP1032"/>
    <s v="C1196"/>
    <x v="22"/>
    <n v="1"/>
    <n v="1848"/>
    <n v="1294"/>
    <n v="1294"/>
    <n v="1848"/>
    <n v="554"/>
    <s v="Product 30"/>
    <x v="26"/>
    <s v="Larry Castillo"/>
    <x v="65"/>
    <n v="1"/>
    <x v="0"/>
    <x v="1"/>
    <x v="1"/>
    <x v="0"/>
    <x v="2"/>
  </r>
  <r>
    <s v="AX17370"/>
    <s v="ENX2087"/>
    <s v="A114"/>
    <s v="EMP1041"/>
    <s v="C1056"/>
    <x v="21"/>
    <n v="1"/>
    <n v="1022"/>
    <n v="818"/>
    <n v="818"/>
    <n v="1022"/>
    <n v="204"/>
    <s v="Product 88"/>
    <x v="28"/>
    <s v="Joe Sims"/>
    <x v="260"/>
    <n v="1"/>
    <x v="0"/>
    <x v="1"/>
    <x v="1"/>
    <x v="0"/>
    <x v="2"/>
  </r>
  <r>
    <s v="AX17492"/>
    <s v="ENX2090"/>
    <s v="A100"/>
    <s v="EMP1037"/>
    <s v="C1392"/>
    <x v="20"/>
    <n v="1"/>
    <n v="1338"/>
    <n v="682"/>
    <n v="682"/>
    <n v="1338"/>
    <n v="656"/>
    <s v="Product 91"/>
    <x v="52"/>
    <s v="Carl Hall"/>
    <x v="78"/>
    <n v="1"/>
    <x v="0"/>
    <x v="1"/>
    <x v="1"/>
    <x v="0"/>
    <x v="2"/>
  </r>
  <r>
    <s v="AX17535"/>
    <s v="ENX2066"/>
    <s v="A152"/>
    <s v="EMP1008"/>
    <s v="C1094"/>
    <x v="22"/>
    <n v="4"/>
    <n v="2091"/>
    <n v="1485"/>
    <n v="5940"/>
    <n v="8364"/>
    <n v="2424"/>
    <s v="Product 67"/>
    <x v="26"/>
    <s v="Carl Elliott"/>
    <x v="261"/>
    <n v="1"/>
    <x v="0"/>
    <x v="1"/>
    <x v="1"/>
    <x v="0"/>
    <x v="2"/>
  </r>
  <r>
    <s v="AX17874"/>
    <s v="ENX2077"/>
    <s v="A159"/>
    <s v="EMP1017"/>
    <s v="C1377"/>
    <x v="21"/>
    <n v="1"/>
    <n v="530"/>
    <n v="424"/>
    <n v="424"/>
    <n v="530"/>
    <n v="106"/>
    <s v="Product 78"/>
    <x v="13"/>
    <s v="Brian Hansen"/>
    <x v="214"/>
    <n v="1"/>
    <x v="0"/>
    <x v="1"/>
    <x v="1"/>
    <x v="0"/>
    <x v="2"/>
  </r>
  <r>
    <s v="AX18077"/>
    <s v="ENX2046"/>
    <s v="A134"/>
    <s v="EMP1040"/>
    <s v="C1214"/>
    <x v="20"/>
    <n v="1"/>
    <n v="2410"/>
    <n v="1518"/>
    <n v="1518"/>
    <n v="2410"/>
    <n v="892"/>
    <s v="Product 47"/>
    <x v="41"/>
    <s v="Patrick Ruiz"/>
    <x v="262"/>
    <n v="1"/>
    <x v="0"/>
    <x v="1"/>
    <x v="1"/>
    <x v="0"/>
    <x v="2"/>
  </r>
  <r>
    <s v="AX18151"/>
    <s v="ENX2034"/>
    <s v="A124"/>
    <s v="EMP1007"/>
    <s v="C1524"/>
    <x v="21"/>
    <n v="1"/>
    <n v="871"/>
    <n v="540"/>
    <n v="540"/>
    <n v="871"/>
    <n v="331"/>
    <s v="Product 35"/>
    <x v="67"/>
    <s v="Jeremy Mendoza"/>
    <x v="263"/>
    <n v="1"/>
    <x v="0"/>
    <x v="1"/>
    <x v="1"/>
    <x v="0"/>
    <x v="2"/>
  </r>
  <r>
    <s v="AX18158"/>
    <s v="ENX2008"/>
    <s v="A142"/>
    <s v="EMP1012"/>
    <s v="C1245"/>
    <x v="23"/>
    <n v="1"/>
    <n v="315"/>
    <n v="208"/>
    <n v="208"/>
    <n v="315"/>
    <n v="107"/>
    <s v="Product 9"/>
    <x v="56"/>
    <s v="John Reyes"/>
    <x v="165"/>
    <n v="1"/>
    <x v="0"/>
    <x v="1"/>
    <x v="1"/>
    <x v="0"/>
    <x v="2"/>
  </r>
  <r>
    <s v="AX18405"/>
    <s v="ENX2052"/>
    <s v="A133"/>
    <s v="EMP1041"/>
    <s v="C1071"/>
    <x v="23"/>
    <n v="2"/>
    <n v="1526"/>
    <n v="1251"/>
    <n v="2502"/>
    <n v="3052"/>
    <n v="550"/>
    <s v="Product 53"/>
    <x v="46"/>
    <s v="Joe Sims"/>
    <x v="264"/>
    <n v="1"/>
    <x v="0"/>
    <x v="1"/>
    <x v="1"/>
    <x v="0"/>
    <x v="2"/>
  </r>
  <r>
    <s v="AX18438"/>
    <s v="ENX2080"/>
    <s v="A130"/>
    <s v="EMP1014"/>
    <s v="C1704"/>
    <x v="23"/>
    <n v="3"/>
    <n v="2353"/>
    <n v="1788"/>
    <n v="5364"/>
    <n v="7059"/>
    <n v="1695"/>
    <s v="Product 81"/>
    <x v="4"/>
    <s v="Ronald Reed"/>
    <x v="28"/>
    <n v="1"/>
    <x v="0"/>
    <x v="1"/>
    <x v="1"/>
    <x v="0"/>
    <x v="2"/>
  </r>
  <r>
    <s v="AX19088"/>
    <s v="ENX2092"/>
    <s v="A173"/>
    <s v="EMP1009"/>
    <s v="C1474"/>
    <x v="22"/>
    <n v="1"/>
    <n v="1639"/>
    <n v="1295"/>
    <n v="1295"/>
    <n v="1639"/>
    <n v="344"/>
    <s v="Product 93"/>
    <x v="25"/>
    <s v="Kenneth Fields"/>
    <x v="265"/>
    <n v="1"/>
    <x v="0"/>
    <x v="1"/>
    <x v="1"/>
    <x v="0"/>
    <x v="2"/>
  </r>
  <r>
    <s v="AX19197"/>
    <s v="ENX2083"/>
    <s v="A162"/>
    <s v="EMP1027"/>
    <s v="C1702"/>
    <x v="22"/>
    <n v="1"/>
    <n v="2141"/>
    <n v="1777"/>
    <n v="1777"/>
    <n v="2141"/>
    <n v="364"/>
    <s v="Product 84"/>
    <x v="2"/>
    <s v="Gary Rodriguez"/>
    <x v="70"/>
    <n v="1"/>
    <x v="0"/>
    <x v="1"/>
    <x v="1"/>
    <x v="0"/>
    <x v="2"/>
  </r>
  <r>
    <s v="AX19259"/>
    <s v="ENX2048"/>
    <s v="A116"/>
    <s v="EMP1036"/>
    <s v="C1600"/>
    <x v="21"/>
    <n v="3"/>
    <n v="502"/>
    <n v="296"/>
    <n v="888"/>
    <n v="1506"/>
    <n v="618"/>
    <s v="Product 49"/>
    <x v="15"/>
    <s v="Robert Reed"/>
    <x v="266"/>
    <n v="1"/>
    <x v="0"/>
    <x v="1"/>
    <x v="1"/>
    <x v="0"/>
    <x v="2"/>
  </r>
  <r>
    <s v="AX19288"/>
    <s v="ENX2083"/>
    <s v="A137"/>
    <s v="EMP1043"/>
    <s v="C1089"/>
    <x v="20"/>
    <n v="4"/>
    <n v="2141"/>
    <n v="1777"/>
    <n v="7108"/>
    <n v="8564"/>
    <n v="1456"/>
    <s v="Product 84"/>
    <x v="68"/>
    <s v="Joshua Taylor"/>
    <x v="267"/>
    <n v="1"/>
    <x v="0"/>
    <x v="1"/>
    <x v="1"/>
    <x v="0"/>
    <x v="2"/>
  </r>
  <r>
    <s v="AX19522"/>
    <s v="ENX2067"/>
    <s v="A166"/>
    <s v="EMP1021"/>
    <s v="C1729"/>
    <x v="23"/>
    <n v="4"/>
    <n v="1119"/>
    <n v="683"/>
    <n v="2732"/>
    <n v="4476"/>
    <n v="1744"/>
    <s v="Product 68"/>
    <x v="70"/>
    <s v="Clarence Fox"/>
    <x v="268"/>
    <n v="1"/>
    <x v="0"/>
    <x v="1"/>
    <x v="1"/>
    <x v="0"/>
    <x v="2"/>
  </r>
  <r>
    <s v="AX19804"/>
    <s v="ENX2095"/>
    <s v="A159"/>
    <s v="EMP1009"/>
    <s v="C1698"/>
    <x v="21"/>
    <n v="1"/>
    <n v="1743"/>
    <n v="872"/>
    <n v="872"/>
    <n v="1743"/>
    <n v="871"/>
    <s v="Product 96"/>
    <x v="13"/>
    <s v="Kenneth Fields"/>
    <x v="86"/>
    <n v="1"/>
    <x v="0"/>
    <x v="1"/>
    <x v="1"/>
    <x v="0"/>
    <x v="2"/>
  </r>
  <r>
    <s v="AX20614"/>
    <s v="ENX2026"/>
    <s v="A139"/>
    <s v="EMP1026"/>
    <s v="C1653"/>
    <x v="22"/>
    <n v="4"/>
    <n v="947"/>
    <n v="786"/>
    <n v="3144"/>
    <n v="3788"/>
    <n v="644"/>
    <s v="Product 27"/>
    <x v="38"/>
    <s v="Martin Perry"/>
    <x v="187"/>
    <n v="1"/>
    <x v="0"/>
    <x v="1"/>
    <x v="1"/>
    <x v="0"/>
    <x v="2"/>
  </r>
  <r>
    <s v="AX21335"/>
    <s v="ENX2100"/>
    <s v="A154"/>
    <s v="EMP1036"/>
    <s v="C1769"/>
    <x v="23"/>
    <n v="1"/>
    <n v="799"/>
    <n v="455"/>
    <n v="455"/>
    <n v="799"/>
    <n v="344"/>
    <s v="Product 101"/>
    <x v="24"/>
    <s v="Robert Reed"/>
    <x v="269"/>
    <n v="1"/>
    <x v="0"/>
    <x v="1"/>
    <x v="1"/>
    <x v="0"/>
    <x v="2"/>
  </r>
  <r>
    <s v="AX21377"/>
    <s v="ENX2002"/>
    <s v="A115"/>
    <s v="EMP1014"/>
    <s v="C1032"/>
    <x v="23"/>
    <n v="3"/>
    <n v="847"/>
    <n v="534"/>
    <n v="1602"/>
    <n v="2541"/>
    <n v="939"/>
    <s v="Product 3"/>
    <x v="33"/>
    <s v="Ronald Reed"/>
    <x v="270"/>
    <n v="1"/>
    <x v="0"/>
    <x v="1"/>
    <x v="1"/>
    <x v="0"/>
    <x v="2"/>
  </r>
  <r>
    <s v="AX21659"/>
    <s v="ENX2086"/>
    <s v="A103"/>
    <s v="EMP1025"/>
    <s v="C1124"/>
    <x v="22"/>
    <n v="1"/>
    <n v="123"/>
    <n v="84"/>
    <n v="84"/>
    <n v="123"/>
    <n v="39"/>
    <s v="Product 87"/>
    <x v="61"/>
    <s v="Ernest Wagner"/>
    <x v="102"/>
    <n v="1"/>
    <x v="0"/>
    <x v="1"/>
    <x v="1"/>
    <x v="0"/>
    <x v="2"/>
  </r>
  <r>
    <s v="AX21917"/>
    <s v="ENX2072"/>
    <s v="A115"/>
    <s v="EMP1032"/>
    <s v="C1700"/>
    <x v="20"/>
    <n v="4"/>
    <n v="1887"/>
    <n v="1378"/>
    <n v="5512"/>
    <n v="7548"/>
    <n v="2036"/>
    <s v="Product 73"/>
    <x v="33"/>
    <s v="Larry Castillo"/>
    <x v="271"/>
    <n v="1"/>
    <x v="0"/>
    <x v="1"/>
    <x v="1"/>
    <x v="0"/>
    <x v="2"/>
  </r>
  <r>
    <s v="AX21946"/>
    <s v="ENX2095"/>
    <s v="A124"/>
    <s v="EMP1012"/>
    <s v="C1783"/>
    <x v="21"/>
    <n v="1"/>
    <n v="1743"/>
    <n v="872"/>
    <n v="872"/>
    <n v="1743"/>
    <n v="871"/>
    <s v="Product 96"/>
    <x v="67"/>
    <s v="John Reyes"/>
    <x v="272"/>
    <n v="1"/>
    <x v="0"/>
    <x v="1"/>
    <x v="1"/>
    <x v="0"/>
    <x v="2"/>
  </r>
  <r>
    <s v="AX22525"/>
    <s v="ENX2002"/>
    <s v="A119"/>
    <s v="EMP1000"/>
    <s v="C1534"/>
    <x v="23"/>
    <n v="3"/>
    <n v="847"/>
    <n v="534"/>
    <n v="1602"/>
    <n v="2541"/>
    <n v="939"/>
    <s v="Product 3"/>
    <x v="16"/>
    <s v="Fred Robertson"/>
    <x v="273"/>
    <n v="1"/>
    <x v="0"/>
    <x v="1"/>
    <x v="1"/>
    <x v="0"/>
    <x v="2"/>
  </r>
  <r>
    <s v="AX22636"/>
    <s v="ENX2041"/>
    <s v="A172"/>
    <s v="EMP1039"/>
    <s v="C1146"/>
    <x v="23"/>
    <n v="1"/>
    <n v="1380"/>
    <n v="1090"/>
    <n v="1090"/>
    <n v="1380"/>
    <n v="290"/>
    <s v="Product 42"/>
    <x v="36"/>
    <s v="Eugene Holmes"/>
    <x v="274"/>
    <n v="1"/>
    <x v="0"/>
    <x v="1"/>
    <x v="1"/>
    <x v="0"/>
    <x v="2"/>
  </r>
  <r>
    <s v="AX23412"/>
    <s v="ENX2039"/>
    <s v="A112"/>
    <s v="EMP1014"/>
    <s v="C1011"/>
    <x v="21"/>
    <n v="4"/>
    <n v="817"/>
    <n v="409"/>
    <n v="1636"/>
    <n v="3268"/>
    <n v="1632"/>
    <s v="Product 40"/>
    <x v="66"/>
    <s v="Ronald Reed"/>
    <x v="275"/>
    <n v="1"/>
    <x v="0"/>
    <x v="1"/>
    <x v="1"/>
    <x v="0"/>
    <x v="2"/>
  </r>
  <r>
    <s v="AX23515"/>
    <s v="ENX2058"/>
    <s v="A122"/>
    <s v="EMP1025"/>
    <s v="C1743"/>
    <x v="20"/>
    <n v="3"/>
    <n v="2257"/>
    <n v="1535"/>
    <n v="4605"/>
    <n v="6771"/>
    <n v="2166"/>
    <s v="Product 59"/>
    <x v="71"/>
    <s v="Ernest Wagner"/>
    <x v="276"/>
    <n v="1"/>
    <x v="0"/>
    <x v="1"/>
    <x v="1"/>
    <x v="0"/>
    <x v="2"/>
  </r>
  <r>
    <s v="AX24076"/>
    <s v="ENX2042"/>
    <s v="A121"/>
    <s v="EMP1036"/>
    <s v="C1054"/>
    <x v="23"/>
    <n v="4"/>
    <n v="203"/>
    <n v="154"/>
    <n v="616"/>
    <n v="812"/>
    <n v="196"/>
    <s v="Product 43"/>
    <x v="72"/>
    <s v="Robert Reed"/>
    <x v="58"/>
    <n v="1"/>
    <x v="0"/>
    <x v="1"/>
    <x v="1"/>
    <x v="0"/>
    <x v="2"/>
  </r>
  <r>
    <s v="AX24452"/>
    <s v="ENX2030"/>
    <s v="A120"/>
    <s v="EMP1000"/>
    <s v="C1491"/>
    <x v="22"/>
    <n v="1"/>
    <n v="1899"/>
    <n v="1044"/>
    <n v="1044"/>
    <n v="1899"/>
    <n v="855"/>
    <s v="Product 31"/>
    <x v="20"/>
    <s v="Fred Robertson"/>
    <x v="277"/>
    <n v="1"/>
    <x v="0"/>
    <x v="1"/>
    <x v="1"/>
    <x v="0"/>
    <x v="2"/>
  </r>
  <r>
    <s v="AX10366"/>
    <s v="ENX2059"/>
    <s v="A107"/>
    <s v="EMP1006"/>
    <s v="C1107"/>
    <x v="24"/>
    <n v="3"/>
    <n v="1494"/>
    <n v="971"/>
    <n v="2913"/>
    <n v="4482"/>
    <n v="1569"/>
    <s v="Product 60"/>
    <x v="21"/>
    <s v="Sean Miller"/>
    <x v="278"/>
    <n v="1"/>
    <x v="0"/>
    <x v="2"/>
    <x v="2"/>
    <x v="0"/>
    <x v="0"/>
  </r>
  <r>
    <s v="AX10621"/>
    <s v="ENX2038"/>
    <s v="A141"/>
    <s v="EMP1040"/>
    <s v="C1390"/>
    <x v="25"/>
    <n v="1"/>
    <n v="392"/>
    <n v="255"/>
    <n v="255"/>
    <n v="392"/>
    <n v="137"/>
    <s v="Product 39"/>
    <x v="23"/>
    <s v="Patrick Ruiz"/>
    <x v="279"/>
    <n v="1"/>
    <x v="0"/>
    <x v="2"/>
    <x v="2"/>
    <x v="0"/>
    <x v="0"/>
  </r>
  <r>
    <s v="AX11073"/>
    <s v="ENX2095"/>
    <s v="A126"/>
    <s v="EMP1039"/>
    <s v="C1539"/>
    <x v="24"/>
    <n v="2"/>
    <n v="1743"/>
    <n v="872"/>
    <n v="1744"/>
    <n v="3486"/>
    <n v="1742"/>
    <s v="Product 96"/>
    <x v="5"/>
    <s v="Eugene Holmes"/>
    <x v="280"/>
    <n v="1"/>
    <x v="0"/>
    <x v="2"/>
    <x v="2"/>
    <x v="0"/>
    <x v="0"/>
  </r>
  <r>
    <s v="AX11119"/>
    <s v="ENX2000"/>
    <s v="A110"/>
    <s v="EMP1040"/>
    <s v="C1722"/>
    <x v="26"/>
    <n v="3"/>
    <n v="2241"/>
    <n v="1367"/>
    <n v="4101"/>
    <n v="6723"/>
    <n v="2622"/>
    <s v="Product 1"/>
    <x v="63"/>
    <s v="Patrick Ruiz"/>
    <x v="257"/>
    <n v="1"/>
    <x v="0"/>
    <x v="2"/>
    <x v="2"/>
    <x v="0"/>
    <x v="0"/>
  </r>
  <r>
    <s v="AX11372"/>
    <s v="ENX2032"/>
    <s v="A139"/>
    <s v="EMP1001"/>
    <s v="C1129"/>
    <x v="24"/>
    <n v="2"/>
    <n v="1967"/>
    <n v="1397"/>
    <n v="2794"/>
    <n v="3934"/>
    <n v="1140"/>
    <s v="Product 33"/>
    <x v="38"/>
    <s v="Kevin Butler"/>
    <x v="281"/>
    <n v="1"/>
    <x v="0"/>
    <x v="2"/>
    <x v="2"/>
    <x v="0"/>
    <x v="0"/>
  </r>
  <r>
    <s v="AX11554"/>
    <s v="ENX2088"/>
    <s v="A122"/>
    <s v="EMP1030"/>
    <s v="C1623"/>
    <x v="27"/>
    <n v="1"/>
    <n v="603"/>
    <n v="416"/>
    <n v="416"/>
    <n v="603"/>
    <n v="187"/>
    <s v="Product 89"/>
    <x v="71"/>
    <s v="Bobby Russell"/>
    <x v="282"/>
    <n v="1"/>
    <x v="0"/>
    <x v="2"/>
    <x v="2"/>
    <x v="0"/>
    <x v="0"/>
  </r>
  <r>
    <s v="AX11597"/>
    <s v="ENX2059"/>
    <s v="A158"/>
    <s v="EMP1017"/>
    <s v="C1436"/>
    <x v="28"/>
    <n v="3"/>
    <n v="1494"/>
    <n v="971"/>
    <n v="2913"/>
    <n v="4482"/>
    <n v="1569"/>
    <s v="Product 60"/>
    <x v="58"/>
    <s v="Brian Hansen"/>
    <x v="283"/>
    <n v="1"/>
    <x v="0"/>
    <x v="2"/>
    <x v="2"/>
    <x v="0"/>
    <x v="0"/>
  </r>
  <r>
    <s v="AX11730"/>
    <s v="ENX2025"/>
    <s v="A153"/>
    <s v="EMP1015"/>
    <s v="C1069"/>
    <x v="28"/>
    <n v="4"/>
    <n v="667"/>
    <n v="387"/>
    <n v="1548"/>
    <n v="2668"/>
    <n v="1120"/>
    <s v="Product 26"/>
    <x v="8"/>
    <s v="Justin Lynch"/>
    <x v="284"/>
    <n v="1"/>
    <x v="0"/>
    <x v="2"/>
    <x v="2"/>
    <x v="0"/>
    <x v="0"/>
  </r>
  <r>
    <s v="AX11848"/>
    <s v="ENX2015"/>
    <s v="A152"/>
    <s v="EMP1015"/>
    <s v="C1356"/>
    <x v="26"/>
    <n v="3"/>
    <n v="637"/>
    <n v="389"/>
    <n v="1167"/>
    <n v="1911"/>
    <n v="744"/>
    <s v="Product 16"/>
    <x v="26"/>
    <s v="Justin Lynch"/>
    <x v="238"/>
    <n v="1"/>
    <x v="0"/>
    <x v="2"/>
    <x v="2"/>
    <x v="0"/>
    <x v="0"/>
  </r>
  <r>
    <s v="AX11892"/>
    <s v="ENX2073"/>
    <s v="A173"/>
    <s v="EMP1014"/>
    <s v="C1073"/>
    <x v="24"/>
    <n v="1"/>
    <n v="95"/>
    <n v="61"/>
    <n v="61"/>
    <n v="95"/>
    <n v="34"/>
    <s v="Product 74"/>
    <x v="25"/>
    <s v="Ronald Reed"/>
    <x v="237"/>
    <n v="1"/>
    <x v="0"/>
    <x v="2"/>
    <x v="2"/>
    <x v="0"/>
    <x v="0"/>
  </r>
  <r>
    <s v="AX12242"/>
    <s v="ENX2049"/>
    <s v="A171"/>
    <s v="EMP1017"/>
    <s v="C1453"/>
    <x v="28"/>
    <n v="2"/>
    <n v="826"/>
    <n v="562"/>
    <n v="1124"/>
    <n v="1652"/>
    <n v="528"/>
    <s v="Product 50"/>
    <x v="0"/>
    <s v="Brian Hansen"/>
    <x v="194"/>
    <n v="1"/>
    <x v="0"/>
    <x v="2"/>
    <x v="2"/>
    <x v="0"/>
    <x v="0"/>
  </r>
  <r>
    <s v="AX12757"/>
    <s v="ENX2007"/>
    <s v="A134"/>
    <s v="EMP1006"/>
    <s v="C1000"/>
    <x v="25"/>
    <n v="1"/>
    <n v="1405"/>
    <n v="1054"/>
    <n v="1054"/>
    <n v="1405"/>
    <n v="351"/>
    <s v="Product 8"/>
    <x v="41"/>
    <s v="Sean Miller"/>
    <x v="57"/>
    <n v="1"/>
    <x v="0"/>
    <x v="2"/>
    <x v="2"/>
    <x v="0"/>
    <x v="0"/>
  </r>
  <r>
    <s v="AX12808"/>
    <s v="ENX2072"/>
    <s v="A160"/>
    <s v="EMP1038"/>
    <s v="C1162"/>
    <x v="26"/>
    <n v="1"/>
    <n v="1887"/>
    <n v="1378"/>
    <n v="1378"/>
    <n v="1887"/>
    <n v="509"/>
    <s v="Product 73"/>
    <x v="9"/>
    <s v="Scott Mason"/>
    <x v="177"/>
    <n v="1"/>
    <x v="0"/>
    <x v="2"/>
    <x v="2"/>
    <x v="0"/>
    <x v="0"/>
  </r>
  <r>
    <s v="AX13071"/>
    <s v="ENX2079"/>
    <s v="A145"/>
    <s v="EMP1028"/>
    <s v="C1202"/>
    <x v="27"/>
    <n v="3"/>
    <n v="1725"/>
    <n v="1363"/>
    <n v="4089"/>
    <n v="5175"/>
    <n v="1086"/>
    <s v="Product 80"/>
    <x v="35"/>
    <s v="Howard Sims"/>
    <x v="3"/>
    <n v="1"/>
    <x v="0"/>
    <x v="2"/>
    <x v="2"/>
    <x v="0"/>
    <x v="0"/>
  </r>
  <r>
    <s v="AX13390"/>
    <s v="ENX2060"/>
    <s v="A108"/>
    <s v="EMP1027"/>
    <s v="C1205"/>
    <x v="28"/>
    <n v="1"/>
    <n v="1467"/>
    <n v="807"/>
    <n v="807"/>
    <n v="1467"/>
    <n v="660"/>
    <s v="Product 61"/>
    <x v="49"/>
    <s v="Gary Rodriguez"/>
    <x v="285"/>
    <n v="1"/>
    <x v="0"/>
    <x v="2"/>
    <x v="2"/>
    <x v="0"/>
    <x v="0"/>
  </r>
  <r>
    <s v="AX13466"/>
    <s v="ENX2083"/>
    <s v="A136"/>
    <s v="EMP1036"/>
    <s v="C1739"/>
    <x v="25"/>
    <n v="1"/>
    <n v="2141"/>
    <n v="1777"/>
    <n v="1777"/>
    <n v="2141"/>
    <n v="364"/>
    <s v="Product 84"/>
    <x v="43"/>
    <s v="Robert Reed"/>
    <x v="286"/>
    <n v="1"/>
    <x v="0"/>
    <x v="2"/>
    <x v="2"/>
    <x v="0"/>
    <x v="0"/>
  </r>
  <r>
    <s v="AX13734"/>
    <s v="ENX2035"/>
    <s v="A115"/>
    <s v="EMP1022"/>
    <s v="C1257"/>
    <x v="27"/>
    <n v="3"/>
    <n v="458"/>
    <n v="376"/>
    <n v="1128"/>
    <n v="1374"/>
    <n v="246"/>
    <s v="Product 36"/>
    <x v="33"/>
    <s v="Walter Cook"/>
    <x v="287"/>
    <n v="1"/>
    <x v="0"/>
    <x v="2"/>
    <x v="2"/>
    <x v="0"/>
    <x v="0"/>
  </r>
  <r>
    <s v="AX13980"/>
    <s v="ENX2046"/>
    <s v="A141"/>
    <s v="EMP1014"/>
    <s v="C1068"/>
    <x v="28"/>
    <n v="1"/>
    <n v="2410"/>
    <n v="1518"/>
    <n v="1518"/>
    <n v="2410"/>
    <n v="892"/>
    <s v="Product 47"/>
    <x v="23"/>
    <s v="Ronald Reed"/>
    <x v="288"/>
    <n v="1"/>
    <x v="0"/>
    <x v="2"/>
    <x v="2"/>
    <x v="0"/>
    <x v="0"/>
  </r>
  <r>
    <s v="AX14218"/>
    <s v="ENX2100"/>
    <s v="A130"/>
    <s v="EMP1040"/>
    <s v="C1656"/>
    <x v="24"/>
    <n v="3"/>
    <n v="799"/>
    <n v="455"/>
    <n v="1365"/>
    <n v="2397"/>
    <n v="1032"/>
    <s v="Product 101"/>
    <x v="4"/>
    <s v="Patrick Ruiz"/>
    <x v="115"/>
    <n v="1"/>
    <x v="0"/>
    <x v="2"/>
    <x v="2"/>
    <x v="0"/>
    <x v="0"/>
  </r>
  <r>
    <s v="AX14468"/>
    <s v="ENX2032"/>
    <s v="A119"/>
    <s v="EMP1004"/>
    <s v="C1591"/>
    <x v="26"/>
    <n v="2"/>
    <n v="1967"/>
    <n v="1397"/>
    <n v="2794"/>
    <n v="3934"/>
    <n v="1140"/>
    <s v="Product 33"/>
    <x v="16"/>
    <s v="Kenneth Bradley"/>
    <x v="289"/>
    <n v="1"/>
    <x v="0"/>
    <x v="2"/>
    <x v="2"/>
    <x v="0"/>
    <x v="0"/>
  </r>
  <r>
    <s v="AX14504"/>
    <s v="ENX2003"/>
    <s v="A147"/>
    <s v="EMP1039"/>
    <s v="C1093"/>
    <x v="26"/>
    <n v="1"/>
    <n v="1783"/>
    <n v="1516"/>
    <n v="1516"/>
    <n v="1783"/>
    <n v="267"/>
    <s v="Product 4"/>
    <x v="42"/>
    <s v="Eugene Holmes"/>
    <x v="290"/>
    <n v="1"/>
    <x v="0"/>
    <x v="2"/>
    <x v="2"/>
    <x v="0"/>
    <x v="0"/>
  </r>
  <r>
    <s v="AX14520"/>
    <s v="ENX2010"/>
    <s v="A119"/>
    <s v="EMP1017"/>
    <s v="C1366"/>
    <x v="28"/>
    <n v="3"/>
    <n v="1812"/>
    <n v="1305"/>
    <n v="3915"/>
    <n v="5436"/>
    <n v="1521"/>
    <s v="Product 11"/>
    <x v="16"/>
    <s v="Brian Hansen"/>
    <x v="205"/>
    <n v="1"/>
    <x v="0"/>
    <x v="2"/>
    <x v="2"/>
    <x v="0"/>
    <x v="0"/>
  </r>
  <r>
    <s v="AX15602"/>
    <s v="ENX2068"/>
    <s v="A159"/>
    <s v="EMP1008"/>
    <s v="C1712"/>
    <x v="24"/>
    <n v="1"/>
    <n v="1500"/>
    <n v="900"/>
    <n v="900"/>
    <n v="1500"/>
    <n v="600"/>
    <s v="Product 69"/>
    <x v="13"/>
    <s v="Carl Elliott"/>
    <x v="21"/>
    <n v="1"/>
    <x v="0"/>
    <x v="2"/>
    <x v="2"/>
    <x v="0"/>
    <x v="0"/>
  </r>
  <r>
    <s v="AX16119"/>
    <s v="ENX2032"/>
    <s v="A158"/>
    <s v="EMP1008"/>
    <s v="C1458"/>
    <x v="27"/>
    <n v="3"/>
    <n v="1967"/>
    <n v="1397"/>
    <n v="4191"/>
    <n v="5901"/>
    <n v="1710"/>
    <s v="Product 33"/>
    <x v="58"/>
    <s v="Carl Elliott"/>
    <x v="291"/>
    <n v="1"/>
    <x v="0"/>
    <x v="2"/>
    <x v="2"/>
    <x v="0"/>
    <x v="0"/>
  </r>
  <r>
    <s v="AX16200"/>
    <s v="ENX2033"/>
    <s v="A155"/>
    <s v="EMP1025"/>
    <s v="C1325"/>
    <x v="24"/>
    <n v="1"/>
    <n v="2182"/>
    <n v="1200"/>
    <n v="1200"/>
    <n v="2182"/>
    <n v="982"/>
    <s v="Product 34"/>
    <x v="53"/>
    <s v="Ernest Wagner"/>
    <x v="67"/>
    <n v="1"/>
    <x v="0"/>
    <x v="2"/>
    <x v="2"/>
    <x v="0"/>
    <x v="0"/>
  </r>
  <r>
    <s v="AX16969"/>
    <s v="ENX2083"/>
    <s v="A106"/>
    <s v="EMP1043"/>
    <s v="C1618"/>
    <x v="27"/>
    <n v="1"/>
    <n v="2141"/>
    <n v="1777"/>
    <n v="1777"/>
    <n v="2141"/>
    <n v="364"/>
    <s v="Product 84"/>
    <x v="11"/>
    <s v="Joshua Taylor"/>
    <x v="292"/>
    <n v="1"/>
    <x v="0"/>
    <x v="2"/>
    <x v="2"/>
    <x v="0"/>
    <x v="0"/>
  </r>
  <r>
    <s v="AX17671"/>
    <s v="ENX2073"/>
    <s v="A120"/>
    <s v="EMP1003"/>
    <s v="C1169"/>
    <x v="24"/>
    <n v="3"/>
    <n v="95"/>
    <n v="61"/>
    <n v="183"/>
    <n v="285"/>
    <n v="102"/>
    <s v="Product 74"/>
    <x v="20"/>
    <s v="Christopher Tucker"/>
    <x v="293"/>
    <n v="1"/>
    <x v="0"/>
    <x v="2"/>
    <x v="2"/>
    <x v="0"/>
    <x v="0"/>
  </r>
  <r>
    <s v="AX18307"/>
    <s v="ENX2100"/>
    <s v="A166"/>
    <s v="EMP1025"/>
    <s v="C1407"/>
    <x v="24"/>
    <n v="1"/>
    <n v="799"/>
    <n v="455"/>
    <n v="455"/>
    <n v="799"/>
    <n v="344"/>
    <s v="Product 101"/>
    <x v="70"/>
    <s v="Ernest Wagner"/>
    <x v="294"/>
    <n v="1"/>
    <x v="0"/>
    <x v="2"/>
    <x v="2"/>
    <x v="0"/>
    <x v="0"/>
  </r>
  <r>
    <s v="AX18420"/>
    <s v="ENX2023"/>
    <s v="A126"/>
    <s v="EMP1043"/>
    <s v="C1261"/>
    <x v="26"/>
    <n v="1"/>
    <n v="818"/>
    <n v="450"/>
    <n v="450"/>
    <n v="818"/>
    <n v="368"/>
    <s v="Product 24"/>
    <x v="5"/>
    <s v="Joshua Taylor"/>
    <x v="295"/>
    <n v="1"/>
    <x v="0"/>
    <x v="2"/>
    <x v="2"/>
    <x v="0"/>
    <x v="0"/>
  </r>
  <r>
    <s v="AX18593"/>
    <s v="ENX2015"/>
    <s v="A172"/>
    <s v="EMP1013"/>
    <s v="C1095"/>
    <x v="26"/>
    <n v="3"/>
    <n v="637"/>
    <n v="389"/>
    <n v="1167"/>
    <n v="1911"/>
    <n v="744"/>
    <s v="Product 16"/>
    <x v="36"/>
    <s v="Charles Harper"/>
    <x v="240"/>
    <n v="1"/>
    <x v="0"/>
    <x v="2"/>
    <x v="2"/>
    <x v="0"/>
    <x v="0"/>
  </r>
  <r>
    <s v="AX18656"/>
    <s v="ENX2058"/>
    <s v="A139"/>
    <s v="EMP1000"/>
    <s v="C1070"/>
    <x v="25"/>
    <n v="3"/>
    <n v="2257"/>
    <n v="1535"/>
    <n v="4605"/>
    <n v="6771"/>
    <n v="2166"/>
    <s v="Product 59"/>
    <x v="38"/>
    <s v="Fred Robertson"/>
    <x v="48"/>
    <n v="1"/>
    <x v="0"/>
    <x v="2"/>
    <x v="2"/>
    <x v="0"/>
    <x v="0"/>
  </r>
  <r>
    <s v="AX18790"/>
    <s v="ENX2095"/>
    <s v="A105"/>
    <s v="EMP1041"/>
    <s v="C1063"/>
    <x v="26"/>
    <n v="1"/>
    <n v="1743"/>
    <n v="872"/>
    <n v="872"/>
    <n v="1743"/>
    <n v="871"/>
    <s v="Product 96"/>
    <x v="45"/>
    <s v="Joe Sims"/>
    <x v="296"/>
    <n v="1"/>
    <x v="0"/>
    <x v="2"/>
    <x v="2"/>
    <x v="0"/>
    <x v="0"/>
  </r>
  <r>
    <s v="AX18841"/>
    <s v="ENX2074"/>
    <s v="A158"/>
    <s v="EMP1002"/>
    <s v="C1059"/>
    <x v="27"/>
    <n v="4"/>
    <n v="504"/>
    <n v="408"/>
    <n v="1632"/>
    <n v="2016"/>
    <n v="384"/>
    <s v="Product 75"/>
    <x v="58"/>
    <s v="Andrew Bowman"/>
    <x v="297"/>
    <n v="1"/>
    <x v="0"/>
    <x v="2"/>
    <x v="2"/>
    <x v="0"/>
    <x v="0"/>
  </r>
  <r>
    <s v="AX19232"/>
    <s v="ENX2007"/>
    <s v="A151"/>
    <s v="EMP1044"/>
    <s v="C1304"/>
    <x v="26"/>
    <n v="4"/>
    <n v="1405"/>
    <n v="1054"/>
    <n v="4216"/>
    <n v="5620"/>
    <n v="1404"/>
    <s v="Product 8"/>
    <x v="1"/>
    <s v="Martin Carr"/>
    <x v="298"/>
    <n v="1"/>
    <x v="0"/>
    <x v="2"/>
    <x v="2"/>
    <x v="0"/>
    <x v="0"/>
  </r>
  <r>
    <s v="AX19359"/>
    <s v="ENX2042"/>
    <s v="A149"/>
    <s v="EMP1027"/>
    <s v="C1442"/>
    <x v="24"/>
    <n v="1"/>
    <n v="203"/>
    <n v="154"/>
    <n v="154"/>
    <n v="203"/>
    <n v="49"/>
    <s v="Product 43"/>
    <x v="59"/>
    <s v="Gary Rodriguez"/>
    <x v="299"/>
    <n v="1"/>
    <x v="0"/>
    <x v="2"/>
    <x v="2"/>
    <x v="0"/>
    <x v="0"/>
  </r>
  <r>
    <s v="AX19872"/>
    <s v="ENX2028"/>
    <s v="A133"/>
    <s v="EMP1024"/>
    <s v="C1469"/>
    <x v="25"/>
    <n v="4"/>
    <n v="2283"/>
    <n v="1484"/>
    <n v="5936"/>
    <n v="9132"/>
    <n v="3196"/>
    <s v="Product 29"/>
    <x v="46"/>
    <s v="Ernest Wheeler"/>
    <x v="300"/>
    <n v="1"/>
    <x v="0"/>
    <x v="2"/>
    <x v="2"/>
    <x v="0"/>
    <x v="0"/>
  </r>
  <r>
    <s v="AX20233"/>
    <s v="ENX2016"/>
    <s v="A119"/>
    <s v="EMP1013"/>
    <s v="C1202"/>
    <x v="24"/>
    <n v="1"/>
    <n v="1351"/>
    <n v="1108"/>
    <n v="1108"/>
    <n v="1351"/>
    <n v="243"/>
    <s v="Product 17"/>
    <x v="16"/>
    <s v="Charles Harper"/>
    <x v="3"/>
    <n v="1"/>
    <x v="0"/>
    <x v="2"/>
    <x v="2"/>
    <x v="0"/>
    <x v="0"/>
  </r>
  <r>
    <s v="AX20316"/>
    <s v="ENX2092"/>
    <s v="A172"/>
    <s v="EMP1023"/>
    <s v="C1219"/>
    <x v="28"/>
    <n v="3"/>
    <n v="1639"/>
    <n v="1295"/>
    <n v="3885"/>
    <n v="4917"/>
    <n v="1032"/>
    <s v="Product 93"/>
    <x v="36"/>
    <s v="Brian Davis"/>
    <x v="301"/>
    <n v="1"/>
    <x v="0"/>
    <x v="2"/>
    <x v="2"/>
    <x v="0"/>
    <x v="0"/>
  </r>
  <r>
    <s v="AX20388"/>
    <s v="ENX2042"/>
    <s v="A136"/>
    <s v="EMP1036"/>
    <s v="C1095"/>
    <x v="26"/>
    <n v="1"/>
    <n v="203"/>
    <n v="154"/>
    <n v="154"/>
    <n v="203"/>
    <n v="49"/>
    <s v="Product 43"/>
    <x v="43"/>
    <s v="Robert Reed"/>
    <x v="240"/>
    <n v="1"/>
    <x v="0"/>
    <x v="2"/>
    <x v="2"/>
    <x v="0"/>
    <x v="0"/>
  </r>
  <r>
    <s v="AX20989"/>
    <s v="ENX2053"/>
    <s v="A140"/>
    <s v="EMP1015"/>
    <s v="C1564"/>
    <x v="24"/>
    <n v="4"/>
    <n v="596"/>
    <n v="358"/>
    <n v="1432"/>
    <n v="2384"/>
    <n v="952"/>
    <s v="Product 54"/>
    <x v="18"/>
    <s v="Justin Lynch"/>
    <x v="302"/>
    <n v="1"/>
    <x v="0"/>
    <x v="2"/>
    <x v="2"/>
    <x v="0"/>
    <x v="0"/>
  </r>
  <r>
    <s v="AX21586"/>
    <s v="ENX2023"/>
    <s v="A108"/>
    <s v="EMP1011"/>
    <s v="C1187"/>
    <x v="25"/>
    <n v="1"/>
    <n v="818"/>
    <n v="450"/>
    <n v="450"/>
    <n v="818"/>
    <n v="368"/>
    <s v="Product 24"/>
    <x v="49"/>
    <s v="Larry Marshall"/>
    <x v="303"/>
    <n v="1"/>
    <x v="0"/>
    <x v="2"/>
    <x v="2"/>
    <x v="0"/>
    <x v="0"/>
  </r>
  <r>
    <s v="AX22185"/>
    <s v="ENX2021"/>
    <s v="A132"/>
    <s v="EMP1040"/>
    <s v="C1005"/>
    <x v="27"/>
    <n v="4"/>
    <n v="217"/>
    <n v="171"/>
    <n v="684"/>
    <n v="868"/>
    <n v="184"/>
    <s v="Product 22"/>
    <x v="48"/>
    <s v="Patrick Ruiz"/>
    <x v="304"/>
    <n v="1"/>
    <x v="0"/>
    <x v="2"/>
    <x v="2"/>
    <x v="0"/>
    <x v="0"/>
  </r>
  <r>
    <s v="AX22347"/>
    <s v="ENX2024"/>
    <s v="A137"/>
    <s v="EMP1035"/>
    <s v="C1049"/>
    <x v="28"/>
    <n v="2"/>
    <n v="356"/>
    <n v="292"/>
    <n v="584"/>
    <n v="712"/>
    <n v="128"/>
    <s v="Product 25"/>
    <x v="68"/>
    <s v="Roger Ramos"/>
    <x v="305"/>
    <n v="1"/>
    <x v="0"/>
    <x v="2"/>
    <x v="2"/>
    <x v="0"/>
    <x v="0"/>
  </r>
  <r>
    <s v="AX22565"/>
    <s v="ENX2018"/>
    <s v="A145"/>
    <s v="EMP1041"/>
    <s v="C1611"/>
    <x v="24"/>
    <n v="4"/>
    <n v="1972"/>
    <n v="1321"/>
    <n v="5284"/>
    <n v="7888"/>
    <n v="2604"/>
    <s v="Product 19"/>
    <x v="35"/>
    <s v="Joe Sims"/>
    <x v="306"/>
    <n v="1"/>
    <x v="0"/>
    <x v="2"/>
    <x v="2"/>
    <x v="0"/>
    <x v="0"/>
  </r>
  <r>
    <s v="AX22764"/>
    <s v="ENX2051"/>
    <s v="A170"/>
    <s v="EMP1035"/>
    <s v="C1480"/>
    <x v="28"/>
    <n v="4"/>
    <n v="1077"/>
    <n v="732"/>
    <n v="2928"/>
    <n v="4308"/>
    <n v="1380"/>
    <s v="Product 52"/>
    <x v="47"/>
    <s v="Roger Ramos"/>
    <x v="64"/>
    <n v="1"/>
    <x v="0"/>
    <x v="2"/>
    <x v="2"/>
    <x v="0"/>
    <x v="0"/>
  </r>
  <r>
    <s v="AX22927"/>
    <s v="ENX2094"/>
    <s v="A150"/>
    <s v="EMP1035"/>
    <s v="C1514"/>
    <x v="26"/>
    <n v="3"/>
    <n v="771"/>
    <n v="648"/>
    <n v="1944"/>
    <n v="2313"/>
    <n v="369"/>
    <s v="Product 95"/>
    <x v="30"/>
    <s v="Roger Ramos"/>
    <x v="307"/>
    <n v="1"/>
    <x v="0"/>
    <x v="2"/>
    <x v="2"/>
    <x v="0"/>
    <x v="0"/>
  </r>
  <r>
    <s v="AX23261"/>
    <s v="ENX2064"/>
    <s v="A111"/>
    <s v="EMP1021"/>
    <s v="C1286"/>
    <x v="26"/>
    <n v="1"/>
    <n v="1414"/>
    <n v="962"/>
    <n v="962"/>
    <n v="1414"/>
    <n v="452"/>
    <s v="Product 65"/>
    <x v="54"/>
    <s v="Clarence Fox"/>
    <x v="308"/>
    <n v="1"/>
    <x v="0"/>
    <x v="2"/>
    <x v="2"/>
    <x v="0"/>
    <x v="0"/>
  </r>
  <r>
    <s v="AX23300"/>
    <s v="ENX2003"/>
    <s v="A143"/>
    <s v="EMP1022"/>
    <s v="C1311"/>
    <x v="24"/>
    <n v="3"/>
    <n v="1783"/>
    <n v="1516"/>
    <n v="4548"/>
    <n v="5349"/>
    <n v="801"/>
    <s v="Product 4"/>
    <x v="39"/>
    <s v="Walter Cook"/>
    <x v="309"/>
    <n v="1"/>
    <x v="0"/>
    <x v="2"/>
    <x v="2"/>
    <x v="0"/>
    <x v="0"/>
  </r>
  <r>
    <s v="AX23352"/>
    <s v="ENX2080"/>
    <s v="A101"/>
    <s v="EMP1026"/>
    <s v="C1223"/>
    <x v="24"/>
    <n v="3"/>
    <n v="2353"/>
    <n v="1788"/>
    <n v="5364"/>
    <n v="7059"/>
    <n v="1695"/>
    <s v="Product 81"/>
    <x v="60"/>
    <s v="Martin Perry"/>
    <x v="310"/>
    <n v="1"/>
    <x v="0"/>
    <x v="2"/>
    <x v="2"/>
    <x v="0"/>
    <x v="0"/>
  </r>
  <r>
    <s v="AX23503"/>
    <s v="ENX2033"/>
    <s v="A111"/>
    <s v="EMP1033"/>
    <s v="C1632"/>
    <x v="24"/>
    <n v="1"/>
    <n v="2182"/>
    <n v="1200"/>
    <n v="1200"/>
    <n v="2182"/>
    <n v="982"/>
    <s v="Product 34"/>
    <x v="54"/>
    <s v="Jerry Perry"/>
    <x v="311"/>
    <n v="1"/>
    <x v="0"/>
    <x v="2"/>
    <x v="2"/>
    <x v="0"/>
    <x v="0"/>
  </r>
  <r>
    <s v="AX23551"/>
    <s v="ENX2100"/>
    <s v="A117"/>
    <s v="EMP1034"/>
    <s v="C1600"/>
    <x v="28"/>
    <n v="4"/>
    <n v="799"/>
    <n v="455"/>
    <n v="1820"/>
    <n v="3196"/>
    <n v="1376"/>
    <s v="Product 101"/>
    <x v="29"/>
    <s v="Arthur Mccoy"/>
    <x v="266"/>
    <n v="1"/>
    <x v="0"/>
    <x v="2"/>
    <x v="2"/>
    <x v="0"/>
    <x v="0"/>
  </r>
  <r>
    <s v="AX23915"/>
    <s v="ENX2027"/>
    <s v="A104"/>
    <s v="EMP1031"/>
    <s v="C1534"/>
    <x v="27"/>
    <n v="3"/>
    <n v="2497"/>
    <n v="1473"/>
    <n v="4419"/>
    <n v="7491"/>
    <n v="3072"/>
    <s v="Product 28"/>
    <x v="50"/>
    <s v="Brian Thomas"/>
    <x v="273"/>
    <n v="1"/>
    <x v="0"/>
    <x v="2"/>
    <x v="2"/>
    <x v="0"/>
    <x v="0"/>
  </r>
  <r>
    <s v="AX23921"/>
    <s v="ENX2023"/>
    <s v="A153"/>
    <s v="EMP1010"/>
    <s v="C1562"/>
    <x v="27"/>
    <n v="3"/>
    <n v="818"/>
    <n v="450"/>
    <n v="1350"/>
    <n v="2454"/>
    <n v="1104"/>
    <s v="Product 24"/>
    <x v="8"/>
    <s v="Joshua Cook"/>
    <x v="312"/>
    <n v="1"/>
    <x v="0"/>
    <x v="2"/>
    <x v="2"/>
    <x v="0"/>
    <x v="0"/>
  </r>
  <r>
    <s v="AX24364"/>
    <s v="ENX2045"/>
    <s v="A160"/>
    <s v="EMP1002"/>
    <s v="C1682"/>
    <x v="25"/>
    <n v="2"/>
    <n v="556"/>
    <n v="395"/>
    <n v="790"/>
    <n v="1112"/>
    <n v="322"/>
    <s v="Product 46"/>
    <x v="9"/>
    <s v="Andrew Bowman"/>
    <x v="313"/>
    <n v="1"/>
    <x v="0"/>
    <x v="2"/>
    <x v="2"/>
    <x v="0"/>
    <x v="0"/>
  </r>
  <r>
    <s v="AX24549"/>
    <s v="ENX2054"/>
    <s v="A165"/>
    <s v="EMP1040"/>
    <s v="C1271"/>
    <x v="24"/>
    <n v="2"/>
    <n v="127"/>
    <n v="79"/>
    <n v="158"/>
    <n v="254"/>
    <n v="96"/>
    <s v="Product 55"/>
    <x v="55"/>
    <s v="Patrick Ruiz"/>
    <x v="314"/>
    <n v="1"/>
    <x v="0"/>
    <x v="2"/>
    <x v="2"/>
    <x v="0"/>
    <x v="0"/>
  </r>
  <r>
    <s v="AX24883"/>
    <s v="ENX2090"/>
    <s v="A113"/>
    <s v="EMP1019"/>
    <s v="C1077"/>
    <x v="24"/>
    <n v="3"/>
    <n v="1338"/>
    <n v="682"/>
    <n v="2046"/>
    <n v="4014"/>
    <n v="1968"/>
    <s v="Product 91"/>
    <x v="73"/>
    <s v="Roger Robertson"/>
    <x v="315"/>
    <n v="1"/>
    <x v="0"/>
    <x v="2"/>
    <x v="2"/>
    <x v="0"/>
    <x v="0"/>
  </r>
  <r>
    <s v="AX10098"/>
    <s v="ENX2098"/>
    <s v="A119"/>
    <s v="EMP1022"/>
    <s v="C1467"/>
    <x v="29"/>
    <n v="1"/>
    <n v="1178"/>
    <n v="683"/>
    <n v="683"/>
    <n v="1178"/>
    <n v="495"/>
    <s v="Product 99"/>
    <x v="16"/>
    <s v="Walter Cook"/>
    <x v="5"/>
    <n v="1"/>
    <x v="0"/>
    <x v="2"/>
    <x v="2"/>
    <x v="0"/>
    <x v="1"/>
  </r>
  <r>
    <s v="AX10209"/>
    <s v="ENX2043"/>
    <s v="A120"/>
    <s v="EMP1040"/>
    <s v="C1571"/>
    <x v="29"/>
    <n v="3"/>
    <n v="545"/>
    <n v="425"/>
    <n v="1275"/>
    <n v="1635"/>
    <n v="360"/>
    <s v="Product 44"/>
    <x v="20"/>
    <s v="Patrick Ruiz"/>
    <x v="316"/>
    <n v="1"/>
    <x v="0"/>
    <x v="2"/>
    <x v="2"/>
    <x v="0"/>
    <x v="1"/>
  </r>
  <r>
    <s v="AX10268"/>
    <s v="ENX2043"/>
    <s v="A125"/>
    <s v="EMP1025"/>
    <s v="C1124"/>
    <x v="30"/>
    <n v="2"/>
    <n v="545"/>
    <n v="425"/>
    <n v="850"/>
    <n v="1090"/>
    <n v="240"/>
    <s v="Product 44"/>
    <x v="31"/>
    <s v="Ernest Wagner"/>
    <x v="102"/>
    <n v="1"/>
    <x v="0"/>
    <x v="2"/>
    <x v="2"/>
    <x v="0"/>
    <x v="1"/>
  </r>
  <r>
    <s v="AX11071"/>
    <s v="ENX2061"/>
    <s v="A172"/>
    <s v="EMP1017"/>
    <s v="C1714"/>
    <x v="31"/>
    <n v="1"/>
    <n v="913"/>
    <n v="584"/>
    <n v="584"/>
    <n v="913"/>
    <n v="329"/>
    <s v="Product 62"/>
    <x v="36"/>
    <s v="Brian Hansen"/>
    <x v="317"/>
    <n v="1"/>
    <x v="0"/>
    <x v="2"/>
    <x v="2"/>
    <x v="0"/>
    <x v="1"/>
  </r>
  <r>
    <s v="AX12666"/>
    <s v="ENX2008"/>
    <s v="A130"/>
    <s v="EMP1016"/>
    <s v="C1647"/>
    <x v="31"/>
    <n v="4"/>
    <n v="315"/>
    <n v="208"/>
    <n v="832"/>
    <n v="1260"/>
    <n v="428"/>
    <s v="Product 9"/>
    <x v="4"/>
    <s v="Henry Nelson"/>
    <x v="318"/>
    <n v="1"/>
    <x v="0"/>
    <x v="2"/>
    <x v="2"/>
    <x v="0"/>
    <x v="1"/>
  </r>
  <r>
    <s v="AX13095"/>
    <s v="ENX2063"/>
    <s v="A118"/>
    <s v="EMP1013"/>
    <s v="C1800"/>
    <x v="31"/>
    <n v="2"/>
    <n v="1708"/>
    <n v="871"/>
    <n v="1742"/>
    <n v="3416"/>
    <n v="1674"/>
    <s v="Product 64"/>
    <x v="19"/>
    <s v="Charles Harper"/>
    <x v="319"/>
    <n v="1"/>
    <x v="0"/>
    <x v="2"/>
    <x v="2"/>
    <x v="0"/>
    <x v="1"/>
  </r>
  <r>
    <s v="AX13382"/>
    <s v="ENX2073"/>
    <s v="A165"/>
    <s v="EMP1006"/>
    <s v="C1780"/>
    <x v="31"/>
    <n v="1"/>
    <n v="95"/>
    <n v="61"/>
    <n v="61"/>
    <n v="95"/>
    <n v="34"/>
    <s v="Product 74"/>
    <x v="55"/>
    <s v="Sean Miller"/>
    <x v="320"/>
    <n v="1"/>
    <x v="0"/>
    <x v="2"/>
    <x v="2"/>
    <x v="0"/>
    <x v="1"/>
  </r>
  <r>
    <s v="AX13595"/>
    <s v="ENX2045"/>
    <s v="A160"/>
    <s v="EMP1042"/>
    <s v="C1327"/>
    <x v="30"/>
    <n v="1"/>
    <n v="556"/>
    <n v="395"/>
    <n v="395"/>
    <n v="556"/>
    <n v="161"/>
    <s v="Product 46"/>
    <x v="9"/>
    <s v="Scott Clark"/>
    <x v="321"/>
    <n v="1"/>
    <x v="0"/>
    <x v="2"/>
    <x v="2"/>
    <x v="0"/>
    <x v="1"/>
  </r>
  <r>
    <s v="AX14731"/>
    <s v="ENX2053"/>
    <s v="A121"/>
    <s v="EMP1014"/>
    <s v="C1464"/>
    <x v="31"/>
    <n v="3"/>
    <n v="596"/>
    <n v="358"/>
    <n v="1074"/>
    <n v="1788"/>
    <n v="714"/>
    <s v="Product 54"/>
    <x v="72"/>
    <s v="Ronald Reed"/>
    <x v="322"/>
    <n v="1"/>
    <x v="0"/>
    <x v="2"/>
    <x v="2"/>
    <x v="0"/>
    <x v="1"/>
  </r>
  <r>
    <s v="AX14812"/>
    <s v="ENX2066"/>
    <s v="A158"/>
    <s v="EMP1010"/>
    <s v="C1129"/>
    <x v="30"/>
    <n v="2"/>
    <n v="2091"/>
    <n v="1485"/>
    <n v="2970"/>
    <n v="4182"/>
    <n v="1212"/>
    <s v="Product 67"/>
    <x v="58"/>
    <s v="Joshua Cook"/>
    <x v="281"/>
    <n v="1"/>
    <x v="0"/>
    <x v="2"/>
    <x v="2"/>
    <x v="0"/>
    <x v="1"/>
  </r>
  <r>
    <s v="AX14826"/>
    <s v="ENX2082"/>
    <s v="A165"/>
    <s v="EMP1029"/>
    <s v="C1630"/>
    <x v="29"/>
    <n v="3"/>
    <n v="1103"/>
    <n v="838"/>
    <n v="2514"/>
    <n v="3309"/>
    <n v="795"/>
    <s v="Product 83"/>
    <x v="55"/>
    <s v="Howard Gardner"/>
    <x v="154"/>
    <n v="1"/>
    <x v="0"/>
    <x v="2"/>
    <x v="2"/>
    <x v="0"/>
    <x v="1"/>
  </r>
  <r>
    <s v="AX14872"/>
    <s v="ENX2060"/>
    <s v="A138"/>
    <s v="EMP1029"/>
    <s v="C1077"/>
    <x v="31"/>
    <n v="1"/>
    <n v="1467"/>
    <n v="807"/>
    <n v="807"/>
    <n v="1467"/>
    <n v="660"/>
    <s v="Product 61"/>
    <x v="37"/>
    <s v="Howard Gardner"/>
    <x v="315"/>
    <n v="1"/>
    <x v="0"/>
    <x v="2"/>
    <x v="2"/>
    <x v="0"/>
    <x v="1"/>
  </r>
  <r>
    <s v="AX15239"/>
    <s v="ENX2086"/>
    <s v="A136"/>
    <s v="EMP1029"/>
    <s v="C1194"/>
    <x v="31"/>
    <n v="1"/>
    <n v="123"/>
    <n v="84"/>
    <n v="84"/>
    <n v="123"/>
    <n v="39"/>
    <s v="Product 87"/>
    <x v="43"/>
    <s v="Howard Gardner"/>
    <x v="323"/>
    <n v="1"/>
    <x v="0"/>
    <x v="2"/>
    <x v="2"/>
    <x v="0"/>
    <x v="1"/>
  </r>
  <r>
    <s v="AX15510"/>
    <s v="ENX2035"/>
    <s v="A157"/>
    <s v="EMP1012"/>
    <s v="C1056"/>
    <x v="31"/>
    <n v="1"/>
    <n v="458"/>
    <n v="376"/>
    <n v="376"/>
    <n v="458"/>
    <n v="82"/>
    <s v="Product 36"/>
    <x v="7"/>
    <s v="John Reyes"/>
    <x v="260"/>
    <n v="1"/>
    <x v="0"/>
    <x v="2"/>
    <x v="2"/>
    <x v="0"/>
    <x v="1"/>
  </r>
  <r>
    <s v="AX15929"/>
    <s v="ENX2080"/>
    <s v="A122"/>
    <s v="EMP1039"/>
    <s v="C1601"/>
    <x v="31"/>
    <n v="1"/>
    <n v="2353"/>
    <n v="1788"/>
    <n v="1788"/>
    <n v="2353"/>
    <n v="565"/>
    <s v="Product 81"/>
    <x v="71"/>
    <s v="Eugene Holmes"/>
    <x v="324"/>
    <n v="1"/>
    <x v="0"/>
    <x v="2"/>
    <x v="2"/>
    <x v="0"/>
    <x v="1"/>
  </r>
  <r>
    <s v="AX16578"/>
    <s v="ENX2088"/>
    <s v="A109"/>
    <s v="EMP1040"/>
    <s v="C1630"/>
    <x v="30"/>
    <n v="3"/>
    <n v="603"/>
    <n v="416"/>
    <n v="1248"/>
    <n v="1809"/>
    <n v="561"/>
    <s v="Product 89"/>
    <x v="57"/>
    <s v="Patrick Ruiz"/>
    <x v="154"/>
    <n v="1"/>
    <x v="0"/>
    <x v="2"/>
    <x v="2"/>
    <x v="0"/>
    <x v="1"/>
  </r>
  <r>
    <s v="AX16716"/>
    <s v="ENX2058"/>
    <s v="A108"/>
    <s v="EMP1021"/>
    <s v="C1138"/>
    <x v="31"/>
    <n v="1"/>
    <n v="2257"/>
    <n v="1535"/>
    <n v="1535"/>
    <n v="2257"/>
    <n v="722"/>
    <s v="Product 59"/>
    <x v="49"/>
    <s v="Clarence Fox"/>
    <x v="325"/>
    <n v="1"/>
    <x v="0"/>
    <x v="2"/>
    <x v="2"/>
    <x v="0"/>
    <x v="1"/>
  </r>
  <r>
    <s v="AX17112"/>
    <s v="ENX2033"/>
    <s v="A106"/>
    <s v="EMP1021"/>
    <s v="C1014"/>
    <x v="31"/>
    <n v="1"/>
    <n v="2182"/>
    <n v="1200"/>
    <n v="1200"/>
    <n v="2182"/>
    <n v="982"/>
    <s v="Product 34"/>
    <x v="11"/>
    <s v="Clarence Fox"/>
    <x v="26"/>
    <n v="1"/>
    <x v="0"/>
    <x v="2"/>
    <x v="2"/>
    <x v="0"/>
    <x v="1"/>
  </r>
  <r>
    <s v="AX17787"/>
    <s v="ENX2007"/>
    <s v="A145"/>
    <s v="EMP1008"/>
    <s v="C1637"/>
    <x v="29"/>
    <n v="1"/>
    <n v="1405"/>
    <n v="1054"/>
    <n v="1054"/>
    <n v="1405"/>
    <n v="351"/>
    <s v="Product 8"/>
    <x v="35"/>
    <s v="Carl Elliott"/>
    <x v="326"/>
    <n v="1"/>
    <x v="0"/>
    <x v="2"/>
    <x v="2"/>
    <x v="0"/>
    <x v="1"/>
  </r>
  <r>
    <s v="AX18066"/>
    <s v="ENX2001"/>
    <s v="A149"/>
    <s v="EMP1018"/>
    <s v="C1357"/>
    <x v="30"/>
    <n v="1"/>
    <n v="951"/>
    <n v="504"/>
    <n v="504"/>
    <n v="951"/>
    <n v="447"/>
    <s v="Product 2"/>
    <x v="59"/>
    <s v="Jimmy Young"/>
    <x v="327"/>
    <n v="1"/>
    <x v="0"/>
    <x v="2"/>
    <x v="2"/>
    <x v="0"/>
    <x v="1"/>
  </r>
  <r>
    <s v="AX18636"/>
    <s v="ENX2043"/>
    <s v="A112"/>
    <s v="EMP1037"/>
    <s v="C1289"/>
    <x v="30"/>
    <n v="3"/>
    <n v="545"/>
    <n v="425"/>
    <n v="1275"/>
    <n v="1635"/>
    <n v="360"/>
    <s v="Product 44"/>
    <x v="66"/>
    <s v="Carl Hall"/>
    <x v="328"/>
    <n v="1"/>
    <x v="0"/>
    <x v="2"/>
    <x v="2"/>
    <x v="0"/>
    <x v="1"/>
  </r>
  <r>
    <s v="AX18936"/>
    <s v="ENX2080"/>
    <s v="A134"/>
    <s v="EMP1044"/>
    <s v="C1758"/>
    <x v="29"/>
    <n v="2"/>
    <n v="2353"/>
    <n v="1788"/>
    <n v="3576"/>
    <n v="4706"/>
    <n v="1130"/>
    <s v="Product 81"/>
    <x v="41"/>
    <s v="Martin Carr"/>
    <x v="329"/>
    <n v="1"/>
    <x v="0"/>
    <x v="2"/>
    <x v="2"/>
    <x v="0"/>
    <x v="1"/>
  </r>
  <r>
    <s v="AX19435"/>
    <s v="ENX2012"/>
    <s v="A168"/>
    <s v="EMP1019"/>
    <s v="C1459"/>
    <x v="30"/>
    <n v="1"/>
    <n v="1353"/>
    <n v="947"/>
    <n v="947"/>
    <n v="1353"/>
    <n v="406"/>
    <s v="Product 13"/>
    <x v="40"/>
    <s v="Roger Robertson"/>
    <x v="330"/>
    <n v="1"/>
    <x v="0"/>
    <x v="2"/>
    <x v="2"/>
    <x v="0"/>
    <x v="1"/>
  </r>
  <r>
    <s v="AX19537"/>
    <s v="ENX2098"/>
    <s v="A116"/>
    <s v="EMP1029"/>
    <s v="C1044"/>
    <x v="31"/>
    <n v="1"/>
    <n v="1178"/>
    <n v="683"/>
    <n v="683"/>
    <n v="1178"/>
    <n v="495"/>
    <s v="Product 99"/>
    <x v="15"/>
    <s v="Howard Gardner"/>
    <x v="331"/>
    <n v="1"/>
    <x v="0"/>
    <x v="2"/>
    <x v="2"/>
    <x v="0"/>
    <x v="1"/>
  </r>
  <r>
    <s v="AX19573"/>
    <s v="ENX2071"/>
    <s v="A102"/>
    <s v="EMP1004"/>
    <s v="C1751"/>
    <x v="30"/>
    <n v="1"/>
    <n v="136"/>
    <n v="72"/>
    <n v="72"/>
    <n v="136"/>
    <n v="64"/>
    <s v="Product 72"/>
    <x v="44"/>
    <s v="Kenneth Bradley"/>
    <x v="332"/>
    <n v="1"/>
    <x v="0"/>
    <x v="2"/>
    <x v="2"/>
    <x v="0"/>
    <x v="1"/>
  </r>
  <r>
    <s v="AX19646"/>
    <s v="ENX2040"/>
    <s v="A146"/>
    <s v="EMP1035"/>
    <s v="C1292"/>
    <x v="31"/>
    <n v="1"/>
    <n v="1889"/>
    <n v="945"/>
    <n v="945"/>
    <n v="1889"/>
    <n v="944"/>
    <s v="Product 41"/>
    <x v="27"/>
    <s v="Roger Ramos"/>
    <x v="333"/>
    <n v="1"/>
    <x v="0"/>
    <x v="2"/>
    <x v="2"/>
    <x v="0"/>
    <x v="1"/>
  </r>
  <r>
    <s v="AX19791"/>
    <s v="ENX2087"/>
    <s v="A147"/>
    <s v="EMP1028"/>
    <s v="C1371"/>
    <x v="31"/>
    <n v="3"/>
    <n v="1022"/>
    <n v="818"/>
    <n v="2454"/>
    <n v="3066"/>
    <n v="612"/>
    <s v="Product 88"/>
    <x v="42"/>
    <s v="Howard Sims"/>
    <x v="180"/>
    <n v="1"/>
    <x v="0"/>
    <x v="2"/>
    <x v="2"/>
    <x v="0"/>
    <x v="1"/>
  </r>
  <r>
    <s v="AX19913"/>
    <s v="ENX2036"/>
    <s v="A111"/>
    <s v="EMP1044"/>
    <s v="C1382"/>
    <x v="31"/>
    <n v="1"/>
    <n v="1582"/>
    <n v="1234"/>
    <n v="1234"/>
    <n v="1582"/>
    <n v="348"/>
    <s v="Product 37"/>
    <x v="54"/>
    <s v="Martin Carr"/>
    <x v="334"/>
    <n v="1"/>
    <x v="0"/>
    <x v="2"/>
    <x v="2"/>
    <x v="0"/>
    <x v="1"/>
  </r>
  <r>
    <s v="AX20863"/>
    <s v="ENX2049"/>
    <s v="A148"/>
    <s v="EMP1018"/>
    <s v="C1000"/>
    <x v="29"/>
    <n v="3"/>
    <n v="826"/>
    <n v="562"/>
    <n v="1686"/>
    <n v="2478"/>
    <n v="792"/>
    <s v="Product 50"/>
    <x v="62"/>
    <s v="Jimmy Young"/>
    <x v="57"/>
    <n v="1"/>
    <x v="0"/>
    <x v="2"/>
    <x v="2"/>
    <x v="0"/>
    <x v="1"/>
  </r>
  <r>
    <s v="AX21086"/>
    <s v="ENX2053"/>
    <s v="A161"/>
    <s v="EMP1043"/>
    <s v="C1016"/>
    <x v="29"/>
    <n v="2"/>
    <n v="596"/>
    <n v="358"/>
    <n v="716"/>
    <n v="1192"/>
    <n v="476"/>
    <s v="Product 54"/>
    <x v="6"/>
    <s v="Joshua Taylor"/>
    <x v="335"/>
    <n v="1"/>
    <x v="0"/>
    <x v="2"/>
    <x v="2"/>
    <x v="0"/>
    <x v="1"/>
  </r>
  <r>
    <s v="AX21292"/>
    <s v="ENX2094"/>
    <s v="A113"/>
    <s v="EMP1011"/>
    <s v="C1688"/>
    <x v="30"/>
    <n v="1"/>
    <n v="771"/>
    <n v="648"/>
    <n v="648"/>
    <n v="771"/>
    <n v="123"/>
    <s v="Product 95"/>
    <x v="73"/>
    <s v="Larry Marshall"/>
    <x v="213"/>
    <n v="1"/>
    <x v="0"/>
    <x v="2"/>
    <x v="2"/>
    <x v="0"/>
    <x v="1"/>
  </r>
  <r>
    <s v="AX21521"/>
    <s v="ENX2063"/>
    <s v="A131"/>
    <s v="EMP1041"/>
    <s v="C1103"/>
    <x v="31"/>
    <n v="1"/>
    <n v="1708"/>
    <n v="871"/>
    <n v="871"/>
    <n v="1708"/>
    <n v="837"/>
    <s v="Product 64"/>
    <x v="32"/>
    <s v="Joe Sims"/>
    <x v="336"/>
    <n v="1"/>
    <x v="0"/>
    <x v="2"/>
    <x v="2"/>
    <x v="0"/>
    <x v="1"/>
  </r>
  <r>
    <s v="AX21606"/>
    <s v="ENX2061"/>
    <s v="A141"/>
    <s v="EMP1034"/>
    <s v="C1539"/>
    <x v="29"/>
    <n v="1"/>
    <n v="913"/>
    <n v="584"/>
    <n v="584"/>
    <n v="913"/>
    <n v="329"/>
    <s v="Product 62"/>
    <x v="23"/>
    <s v="Arthur Mccoy"/>
    <x v="280"/>
    <n v="1"/>
    <x v="0"/>
    <x v="2"/>
    <x v="2"/>
    <x v="0"/>
    <x v="1"/>
  </r>
  <r>
    <s v="AX22071"/>
    <s v="ENX2083"/>
    <s v="A106"/>
    <s v="EMP1003"/>
    <s v="C1543"/>
    <x v="31"/>
    <n v="1"/>
    <n v="2141"/>
    <n v="1777"/>
    <n v="1777"/>
    <n v="2141"/>
    <n v="364"/>
    <s v="Product 84"/>
    <x v="11"/>
    <s v="Christopher Tucker"/>
    <x v="337"/>
    <n v="1"/>
    <x v="0"/>
    <x v="2"/>
    <x v="2"/>
    <x v="0"/>
    <x v="1"/>
  </r>
  <r>
    <s v="AX22161"/>
    <s v="ENX2079"/>
    <s v="A146"/>
    <s v="EMP1018"/>
    <s v="C1115"/>
    <x v="29"/>
    <n v="3"/>
    <n v="1725"/>
    <n v="1363"/>
    <n v="4089"/>
    <n v="5175"/>
    <n v="1086"/>
    <s v="Product 80"/>
    <x v="27"/>
    <s v="Jimmy Young"/>
    <x v="338"/>
    <n v="1"/>
    <x v="0"/>
    <x v="2"/>
    <x v="2"/>
    <x v="0"/>
    <x v="1"/>
  </r>
  <r>
    <s v="AX22199"/>
    <s v="ENX2018"/>
    <s v="A122"/>
    <s v="EMP1026"/>
    <s v="C1624"/>
    <x v="30"/>
    <n v="2"/>
    <n v="1972"/>
    <n v="1321"/>
    <n v="2642"/>
    <n v="3944"/>
    <n v="1302"/>
    <s v="Product 19"/>
    <x v="71"/>
    <s v="Martin Perry"/>
    <x v="339"/>
    <n v="1"/>
    <x v="0"/>
    <x v="2"/>
    <x v="2"/>
    <x v="0"/>
    <x v="1"/>
  </r>
  <r>
    <s v="AX23013"/>
    <s v="ENX2018"/>
    <s v="A120"/>
    <s v="EMP1013"/>
    <s v="C1346"/>
    <x v="29"/>
    <n v="3"/>
    <n v="1972"/>
    <n v="1321"/>
    <n v="3963"/>
    <n v="5916"/>
    <n v="1953"/>
    <s v="Product 19"/>
    <x v="20"/>
    <s v="Charles Harper"/>
    <x v="340"/>
    <n v="1"/>
    <x v="0"/>
    <x v="2"/>
    <x v="2"/>
    <x v="0"/>
    <x v="1"/>
  </r>
  <r>
    <s v="AX23361"/>
    <s v="ENX2034"/>
    <s v="A125"/>
    <s v="EMP1041"/>
    <s v="C1529"/>
    <x v="30"/>
    <n v="3"/>
    <n v="871"/>
    <n v="540"/>
    <n v="1620"/>
    <n v="2613"/>
    <n v="993"/>
    <s v="Product 35"/>
    <x v="31"/>
    <s v="Joe Sims"/>
    <x v="247"/>
    <n v="1"/>
    <x v="0"/>
    <x v="2"/>
    <x v="2"/>
    <x v="0"/>
    <x v="1"/>
  </r>
  <r>
    <s v="AX24146"/>
    <s v="ENX2077"/>
    <s v="A115"/>
    <s v="EMP1034"/>
    <s v="C1370"/>
    <x v="29"/>
    <n v="3"/>
    <n v="530"/>
    <n v="424"/>
    <n v="1272"/>
    <n v="1590"/>
    <n v="318"/>
    <s v="Product 78"/>
    <x v="33"/>
    <s v="Arthur Mccoy"/>
    <x v="341"/>
    <n v="1"/>
    <x v="0"/>
    <x v="2"/>
    <x v="2"/>
    <x v="0"/>
    <x v="1"/>
  </r>
  <r>
    <s v="AX24527"/>
    <s v="ENX2053"/>
    <s v="A164"/>
    <s v="EMP1032"/>
    <s v="C1715"/>
    <x v="30"/>
    <n v="3"/>
    <n v="596"/>
    <n v="358"/>
    <n v="1074"/>
    <n v="1788"/>
    <n v="714"/>
    <s v="Product 54"/>
    <x v="3"/>
    <s v="Larry Castillo"/>
    <x v="342"/>
    <n v="1"/>
    <x v="0"/>
    <x v="2"/>
    <x v="2"/>
    <x v="0"/>
    <x v="1"/>
  </r>
  <r>
    <s v="AX24537"/>
    <s v="ENX2023"/>
    <s v="A116"/>
    <s v="EMP1020"/>
    <s v="C1706"/>
    <x v="31"/>
    <n v="1"/>
    <n v="818"/>
    <n v="450"/>
    <n v="450"/>
    <n v="818"/>
    <n v="368"/>
    <s v="Product 24"/>
    <x v="15"/>
    <s v="Ryan Butler"/>
    <x v="171"/>
    <n v="1"/>
    <x v="0"/>
    <x v="2"/>
    <x v="2"/>
    <x v="0"/>
    <x v="1"/>
  </r>
  <r>
    <s v="AX24784"/>
    <s v="ENX2086"/>
    <s v="A102"/>
    <s v="EMP1006"/>
    <s v="C1737"/>
    <x v="29"/>
    <n v="2"/>
    <n v="123"/>
    <n v="84"/>
    <n v="168"/>
    <n v="246"/>
    <n v="78"/>
    <s v="Product 87"/>
    <x v="44"/>
    <s v="Sean Miller"/>
    <x v="343"/>
    <n v="1"/>
    <x v="0"/>
    <x v="2"/>
    <x v="2"/>
    <x v="0"/>
    <x v="1"/>
  </r>
  <r>
    <s v="AX24786"/>
    <s v="ENX2019"/>
    <s v="A134"/>
    <s v="EMP1025"/>
    <s v="C1305"/>
    <x v="30"/>
    <n v="2"/>
    <n v="800"/>
    <n v="536"/>
    <n v="1072"/>
    <n v="1600"/>
    <n v="528"/>
    <s v="Product 20"/>
    <x v="41"/>
    <s v="Ernest Wagner"/>
    <x v="344"/>
    <n v="1"/>
    <x v="0"/>
    <x v="2"/>
    <x v="2"/>
    <x v="0"/>
    <x v="1"/>
  </r>
  <r>
    <s v="AX24977"/>
    <s v="ENX2060"/>
    <s v="A169"/>
    <s v="EMP1038"/>
    <s v="C1446"/>
    <x v="29"/>
    <n v="1"/>
    <n v="1467"/>
    <n v="807"/>
    <n v="807"/>
    <n v="1467"/>
    <n v="660"/>
    <s v="Product 61"/>
    <x v="17"/>
    <s v="Scott Mason"/>
    <x v="345"/>
    <n v="1"/>
    <x v="0"/>
    <x v="2"/>
    <x v="2"/>
    <x v="0"/>
    <x v="1"/>
  </r>
  <r>
    <s v="AX10233"/>
    <s v="ENX2020"/>
    <s v="A155"/>
    <s v="EMP1043"/>
    <s v="C1387"/>
    <x v="32"/>
    <n v="3"/>
    <n v="2005"/>
    <n v="1223"/>
    <n v="3669"/>
    <n v="6015"/>
    <n v="2346"/>
    <s v="Product 21"/>
    <x v="53"/>
    <s v="Joshua Taylor"/>
    <x v="346"/>
    <n v="1"/>
    <x v="0"/>
    <x v="2"/>
    <x v="2"/>
    <x v="0"/>
    <x v="2"/>
  </r>
  <r>
    <s v="AX10390"/>
    <s v="ENX2011"/>
    <s v="A151"/>
    <s v="EMP1006"/>
    <s v="C1422"/>
    <x v="33"/>
    <n v="3"/>
    <n v="530"/>
    <n v="435"/>
    <n v="1305"/>
    <n v="1590"/>
    <n v="285"/>
    <s v="Product 12"/>
    <x v="1"/>
    <s v="Sean Miller"/>
    <x v="176"/>
    <n v="1"/>
    <x v="0"/>
    <x v="2"/>
    <x v="2"/>
    <x v="0"/>
    <x v="2"/>
  </r>
  <r>
    <s v="AX10601"/>
    <s v="ENX2083"/>
    <s v="A169"/>
    <s v="EMP1018"/>
    <s v="C1275"/>
    <x v="32"/>
    <n v="3"/>
    <n v="2141"/>
    <n v="1777"/>
    <n v="5331"/>
    <n v="6423"/>
    <n v="1092"/>
    <s v="Product 84"/>
    <x v="17"/>
    <s v="Jimmy Young"/>
    <x v="144"/>
    <n v="1"/>
    <x v="0"/>
    <x v="2"/>
    <x v="2"/>
    <x v="0"/>
    <x v="2"/>
  </r>
  <r>
    <s v="AX10645"/>
    <s v="ENX2086"/>
    <s v="A155"/>
    <s v="EMP1013"/>
    <s v="C1101"/>
    <x v="32"/>
    <n v="1"/>
    <n v="123"/>
    <n v="84"/>
    <n v="84"/>
    <n v="123"/>
    <n v="39"/>
    <s v="Product 87"/>
    <x v="53"/>
    <s v="Charles Harper"/>
    <x v="347"/>
    <n v="1"/>
    <x v="0"/>
    <x v="2"/>
    <x v="2"/>
    <x v="0"/>
    <x v="2"/>
  </r>
  <r>
    <s v="AX11316"/>
    <s v="ENX2058"/>
    <s v="A149"/>
    <s v="EMP1016"/>
    <s v="C1265"/>
    <x v="33"/>
    <n v="3"/>
    <n v="2257"/>
    <n v="1535"/>
    <n v="4605"/>
    <n v="6771"/>
    <n v="2166"/>
    <s v="Product 59"/>
    <x v="59"/>
    <s v="Henry Nelson"/>
    <x v="348"/>
    <n v="1"/>
    <x v="0"/>
    <x v="2"/>
    <x v="2"/>
    <x v="0"/>
    <x v="2"/>
  </r>
  <r>
    <s v="AX11785"/>
    <s v="ENX2024"/>
    <s v="A110"/>
    <s v="EMP1009"/>
    <s v="C1280"/>
    <x v="32"/>
    <n v="2"/>
    <n v="356"/>
    <n v="292"/>
    <n v="584"/>
    <n v="712"/>
    <n v="128"/>
    <s v="Product 25"/>
    <x v="63"/>
    <s v="Kenneth Fields"/>
    <x v="349"/>
    <n v="1"/>
    <x v="0"/>
    <x v="2"/>
    <x v="2"/>
    <x v="0"/>
    <x v="2"/>
  </r>
  <r>
    <s v="AX12259"/>
    <s v="ENX2053"/>
    <s v="A161"/>
    <s v="EMP1017"/>
    <s v="C1025"/>
    <x v="32"/>
    <n v="4"/>
    <n v="596"/>
    <n v="358"/>
    <n v="1432"/>
    <n v="2384"/>
    <n v="952"/>
    <s v="Product 54"/>
    <x v="6"/>
    <s v="Brian Hansen"/>
    <x v="350"/>
    <n v="1"/>
    <x v="0"/>
    <x v="2"/>
    <x v="2"/>
    <x v="0"/>
    <x v="2"/>
  </r>
  <r>
    <s v="AX12594"/>
    <s v="ENX2036"/>
    <s v="A132"/>
    <s v="EMP1011"/>
    <s v="C1654"/>
    <x v="34"/>
    <n v="3"/>
    <n v="1582"/>
    <n v="1234"/>
    <n v="3702"/>
    <n v="4746"/>
    <n v="1044"/>
    <s v="Product 37"/>
    <x v="48"/>
    <s v="Larry Marshall"/>
    <x v="351"/>
    <n v="1"/>
    <x v="0"/>
    <x v="2"/>
    <x v="2"/>
    <x v="0"/>
    <x v="2"/>
  </r>
  <r>
    <s v="AX12700"/>
    <s v="ENX2036"/>
    <s v="A149"/>
    <s v="EMP1027"/>
    <s v="C1415"/>
    <x v="34"/>
    <n v="1"/>
    <n v="1582"/>
    <n v="1234"/>
    <n v="1234"/>
    <n v="1582"/>
    <n v="348"/>
    <s v="Product 37"/>
    <x v="59"/>
    <s v="Gary Rodriguez"/>
    <x v="352"/>
    <n v="1"/>
    <x v="0"/>
    <x v="2"/>
    <x v="2"/>
    <x v="0"/>
    <x v="2"/>
  </r>
  <r>
    <s v="AX12970"/>
    <s v="ENX2018"/>
    <s v="A170"/>
    <s v="EMP1028"/>
    <s v="C1715"/>
    <x v="34"/>
    <n v="2"/>
    <n v="1972"/>
    <n v="1321"/>
    <n v="2642"/>
    <n v="3944"/>
    <n v="1302"/>
    <s v="Product 19"/>
    <x v="47"/>
    <s v="Howard Sims"/>
    <x v="342"/>
    <n v="1"/>
    <x v="0"/>
    <x v="2"/>
    <x v="2"/>
    <x v="0"/>
    <x v="2"/>
  </r>
  <r>
    <s v="AX13140"/>
    <s v="ENX2055"/>
    <s v="A118"/>
    <s v="EMP1008"/>
    <s v="C1678"/>
    <x v="35"/>
    <n v="4"/>
    <n v="2495"/>
    <n v="1896"/>
    <n v="7584"/>
    <n v="9980"/>
    <n v="2396"/>
    <s v="Product 56"/>
    <x v="19"/>
    <s v="Carl Elliott"/>
    <x v="191"/>
    <n v="1"/>
    <x v="0"/>
    <x v="2"/>
    <x v="2"/>
    <x v="0"/>
    <x v="2"/>
  </r>
  <r>
    <s v="AX14707"/>
    <s v="ENX2001"/>
    <s v="A125"/>
    <s v="EMP1043"/>
    <s v="C1235"/>
    <x v="35"/>
    <n v="1"/>
    <n v="951"/>
    <n v="504"/>
    <n v="504"/>
    <n v="951"/>
    <n v="447"/>
    <s v="Product 2"/>
    <x v="31"/>
    <s v="Joshua Taylor"/>
    <x v="353"/>
    <n v="1"/>
    <x v="0"/>
    <x v="2"/>
    <x v="2"/>
    <x v="0"/>
    <x v="2"/>
  </r>
  <r>
    <s v="AX14761"/>
    <s v="ENX2039"/>
    <s v="A124"/>
    <s v="EMP1013"/>
    <s v="C1600"/>
    <x v="34"/>
    <n v="3"/>
    <n v="817"/>
    <n v="409"/>
    <n v="1227"/>
    <n v="2451"/>
    <n v="1224"/>
    <s v="Product 40"/>
    <x v="67"/>
    <s v="Charles Harper"/>
    <x v="266"/>
    <n v="1"/>
    <x v="0"/>
    <x v="2"/>
    <x v="2"/>
    <x v="0"/>
    <x v="2"/>
  </r>
  <r>
    <s v="AX15001"/>
    <s v="ENX2061"/>
    <s v="A169"/>
    <s v="EMP1039"/>
    <s v="C1392"/>
    <x v="34"/>
    <n v="2"/>
    <n v="913"/>
    <n v="584"/>
    <n v="1168"/>
    <n v="1826"/>
    <n v="658"/>
    <s v="Product 62"/>
    <x v="17"/>
    <s v="Eugene Holmes"/>
    <x v="78"/>
    <n v="1"/>
    <x v="0"/>
    <x v="2"/>
    <x v="2"/>
    <x v="0"/>
    <x v="2"/>
  </r>
  <r>
    <s v="AX15038"/>
    <s v="ENX2093"/>
    <s v="A128"/>
    <s v="EMP1016"/>
    <s v="C1248"/>
    <x v="34"/>
    <n v="1"/>
    <n v="112"/>
    <n v="90"/>
    <n v="90"/>
    <n v="112"/>
    <n v="22"/>
    <s v="Product 94"/>
    <x v="12"/>
    <s v="Henry Nelson"/>
    <x v="354"/>
    <n v="1"/>
    <x v="0"/>
    <x v="2"/>
    <x v="2"/>
    <x v="0"/>
    <x v="2"/>
  </r>
  <r>
    <s v="AX15109"/>
    <s v="ENX2066"/>
    <s v="A114"/>
    <s v="EMP1043"/>
    <s v="C1759"/>
    <x v="35"/>
    <n v="1"/>
    <n v="2091"/>
    <n v="1485"/>
    <n v="1485"/>
    <n v="2091"/>
    <n v="606"/>
    <s v="Product 67"/>
    <x v="28"/>
    <s v="Joshua Taylor"/>
    <x v="355"/>
    <n v="1"/>
    <x v="0"/>
    <x v="2"/>
    <x v="2"/>
    <x v="0"/>
    <x v="2"/>
  </r>
  <r>
    <s v="AX15433"/>
    <s v="ENX2080"/>
    <s v="A159"/>
    <s v="EMP1001"/>
    <s v="C1767"/>
    <x v="33"/>
    <n v="1"/>
    <n v="2353"/>
    <n v="1788"/>
    <n v="1788"/>
    <n v="2353"/>
    <n v="565"/>
    <s v="Product 81"/>
    <x v="13"/>
    <s v="Kevin Butler"/>
    <x v="4"/>
    <n v="1"/>
    <x v="0"/>
    <x v="2"/>
    <x v="2"/>
    <x v="0"/>
    <x v="2"/>
  </r>
  <r>
    <s v="AX15993"/>
    <s v="ENX2085"/>
    <s v="A101"/>
    <s v="EMP1039"/>
    <s v="C1067"/>
    <x v="32"/>
    <n v="2"/>
    <n v="1862"/>
    <n v="1173"/>
    <n v="2346"/>
    <n v="3724"/>
    <n v="1378"/>
    <s v="Product 86"/>
    <x v="60"/>
    <s v="Eugene Holmes"/>
    <x v="108"/>
    <n v="1"/>
    <x v="0"/>
    <x v="2"/>
    <x v="2"/>
    <x v="0"/>
    <x v="2"/>
  </r>
  <r>
    <s v="AX16443"/>
    <s v="ENX2055"/>
    <s v="A119"/>
    <s v="EMP1020"/>
    <s v="C1376"/>
    <x v="34"/>
    <n v="4"/>
    <n v="2495"/>
    <n v="1896"/>
    <n v="7584"/>
    <n v="9980"/>
    <n v="2396"/>
    <s v="Product 56"/>
    <x v="16"/>
    <s v="Ryan Butler"/>
    <x v="356"/>
    <n v="1"/>
    <x v="0"/>
    <x v="2"/>
    <x v="2"/>
    <x v="0"/>
    <x v="2"/>
  </r>
  <r>
    <s v="AX16721"/>
    <s v="ENX2075"/>
    <s v="A155"/>
    <s v="EMP1002"/>
    <s v="C1486"/>
    <x v="34"/>
    <n v="1"/>
    <n v="400"/>
    <n v="208"/>
    <n v="208"/>
    <n v="400"/>
    <n v="192"/>
    <s v="Product 76"/>
    <x v="53"/>
    <s v="Andrew Bowman"/>
    <x v="357"/>
    <n v="1"/>
    <x v="0"/>
    <x v="2"/>
    <x v="2"/>
    <x v="0"/>
    <x v="2"/>
  </r>
  <r>
    <s v="AX17042"/>
    <s v="ENX2086"/>
    <s v="A146"/>
    <s v="EMP1029"/>
    <s v="C1252"/>
    <x v="34"/>
    <n v="1"/>
    <n v="123"/>
    <n v="84"/>
    <n v="84"/>
    <n v="123"/>
    <n v="39"/>
    <s v="Product 87"/>
    <x v="27"/>
    <s v="Howard Gardner"/>
    <x v="358"/>
    <n v="1"/>
    <x v="0"/>
    <x v="2"/>
    <x v="2"/>
    <x v="0"/>
    <x v="2"/>
  </r>
  <r>
    <s v="AX17702"/>
    <s v="ENX2012"/>
    <s v="A136"/>
    <s v="EMP1019"/>
    <s v="C1517"/>
    <x v="32"/>
    <n v="3"/>
    <n v="1353"/>
    <n v="947"/>
    <n v="2841"/>
    <n v="4059"/>
    <n v="1218"/>
    <s v="Product 13"/>
    <x v="43"/>
    <s v="Roger Robertson"/>
    <x v="359"/>
    <n v="1"/>
    <x v="0"/>
    <x v="2"/>
    <x v="2"/>
    <x v="0"/>
    <x v="2"/>
  </r>
  <r>
    <s v="AX17863"/>
    <s v="ENX2051"/>
    <s v="A173"/>
    <s v="EMP1039"/>
    <s v="C1346"/>
    <x v="33"/>
    <n v="3"/>
    <n v="1077"/>
    <n v="732"/>
    <n v="2196"/>
    <n v="3231"/>
    <n v="1035"/>
    <s v="Product 52"/>
    <x v="25"/>
    <s v="Eugene Holmes"/>
    <x v="340"/>
    <n v="1"/>
    <x v="0"/>
    <x v="2"/>
    <x v="2"/>
    <x v="0"/>
    <x v="2"/>
  </r>
  <r>
    <s v="AX18667"/>
    <s v="ENX2020"/>
    <s v="A108"/>
    <s v="EMP1016"/>
    <s v="C1525"/>
    <x v="35"/>
    <n v="1"/>
    <n v="2005"/>
    <n v="1223"/>
    <n v="1223"/>
    <n v="2005"/>
    <n v="782"/>
    <s v="Product 21"/>
    <x v="49"/>
    <s v="Henry Nelson"/>
    <x v="360"/>
    <n v="1"/>
    <x v="0"/>
    <x v="2"/>
    <x v="2"/>
    <x v="0"/>
    <x v="2"/>
  </r>
  <r>
    <s v="AX18833"/>
    <s v="ENX2091"/>
    <s v="A110"/>
    <s v="EMP1015"/>
    <s v="C1657"/>
    <x v="32"/>
    <n v="3"/>
    <n v="368"/>
    <n v="294"/>
    <n v="882"/>
    <n v="1104"/>
    <n v="222"/>
    <s v="Product 92"/>
    <x v="63"/>
    <s v="Justin Lynch"/>
    <x v="361"/>
    <n v="1"/>
    <x v="0"/>
    <x v="2"/>
    <x v="2"/>
    <x v="0"/>
    <x v="2"/>
  </r>
  <r>
    <s v="AX18908"/>
    <s v="ENX2079"/>
    <s v="A113"/>
    <s v="EMP1003"/>
    <s v="C1610"/>
    <x v="34"/>
    <n v="3"/>
    <n v="1725"/>
    <n v="1363"/>
    <n v="4089"/>
    <n v="5175"/>
    <n v="1086"/>
    <s v="Product 80"/>
    <x v="73"/>
    <s v="Christopher Tucker"/>
    <x v="362"/>
    <n v="1"/>
    <x v="0"/>
    <x v="2"/>
    <x v="2"/>
    <x v="0"/>
    <x v="2"/>
  </r>
  <r>
    <s v="AX19691"/>
    <s v="ENX2088"/>
    <s v="A123"/>
    <s v="EMP1040"/>
    <s v="C1262"/>
    <x v="33"/>
    <n v="2"/>
    <n v="603"/>
    <n v="416"/>
    <n v="832"/>
    <n v="1206"/>
    <n v="374"/>
    <s v="Product 89"/>
    <x v="34"/>
    <s v="Patrick Ruiz"/>
    <x v="363"/>
    <n v="1"/>
    <x v="0"/>
    <x v="2"/>
    <x v="2"/>
    <x v="0"/>
    <x v="2"/>
  </r>
  <r>
    <s v="AX20014"/>
    <s v="ENX2006"/>
    <s v="A158"/>
    <s v="EMP1032"/>
    <s v="C1209"/>
    <x v="32"/>
    <n v="2"/>
    <n v="1826"/>
    <n v="1443"/>
    <n v="2886"/>
    <n v="3652"/>
    <n v="766"/>
    <s v="Product 7"/>
    <x v="58"/>
    <s v="Larry Castillo"/>
    <x v="225"/>
    <n v="1"/>
    <x v="0"/>
    <x v="2"/>
    <x v="2"/>
    <x v="0"/>
    <x v="2"/>
  </r>
  <r>
    <s v="AX20080"/>
    <s v="ENX2007"/>
    <s v="A118"/>
    <s v="EMP1001"/>
    <s v="C1502"/>
    <x v="32"/>
    <n v="1"/>
    <n v="1405"/>
    <n v="1054"/>
    <n v="1054"/>
    <n v="1405"/>
    <n v="351"/>
    <s v="Product 8"/>
    <x v="19"/>
    <s v="Kevin Butler"/>
    <x v="364"/>
    <n v="1"/>
    <x v="0"/>
    <x v="2"/>
    <x v="2"/>
    <x v="0"/>
    <x v="2"/>
  </r>
  <r>
    <s v="AX20325"/>
    <s v="ENX2074"/>
    <s v="A159"/>
    <s v="EMP1003"/>
    <s v="C1660"/>
    <x v="32"/>
    <n v="4"/>
    <n v="504"/>
    <n v="408"/>
    <n v="1632"/>
    <n v="2016"/>
    <n v="384"/>
    <s v="Product 75"/>
    <x v="13"/>
    <s v="Christopher Tucker"/>
    <x v="146"/>
    <n v="1"/>
    <x v="0"/>
    <x v="2"/>
    <x v="2"/>
    <x v="0"/>
    <x v="2"/>
  </r>
  <r>
    <s v="AX20768"/>
    <s v="ENX2094"/>
    <s v="A170"/>
    <s v="EMP1018"/>
    <s v="C1074"/>
    <x v="34"/>
    <n v="1"/>
    <n v="771"/>
    <n v="648"/>
    <n v="648"/>
    <n v="771"/>
    <n v="123"/>
    <s v="Product 95"/>
    <x v="47"/>
    <s v="Jimmy Young"/>
    <x v="96"/>
    <n v="1"/>
    <x v="0"/>
    <x v="2"/>
    <x v="2"/>
    <x v="0"/>
    <x v="2"/>
  </r>
  <r>
    <s v="AX20935"/>
    <s v="ENX2000"/>
    <s v="A150"/>
    <s v="EMP1005"/>
    <s v="C1177"/>
    <x v="35"/>
    <n v="1"/>
    <n v="2241"/>
    <n v="1367"/>
    <n v="1367"/>
    <n v="2241"/>
    <n v="874"/>
    <s v="Product 1"/>
    <x v="30"/>
    <s v="Ryan Welch"/>
    <x v="365"/>
    <n v="1"/>
    <x v="0"/>
    <x v="2"/>
    <x v="2"/>
    <x v="0"/>
    <x v="2"/>
  </r>
  <r>
    <s v="AX21099"/>
    <s v="ENX2082"/>
    <s v="A124"/>
    <s v="EMP1039"/>
    <s v="C1767"/>
    <x v="33"/>
    <n v="2"/>
    <n v="1103"/>
    <n v="838"/>
    <n v="1676"/>
    <n v="2206"/>
    <n v="530"/>
    <s v="Product 83"/>
    <x v="67"/>
    <s v="Eugene Holmes"/>
    <x v="4"/>
    <n v="1"/>
    <x v="0"/>
    <x v="2"/>
    <x v="2"/>
    <x v="0"/>
    <x v="2"/>
  </r>
  <r>
    <s v="AX21168"/>
    <s v="ENX2086"/>
    <s v="A103"/>
    <s v="EMP1018"/>
    <s v="C1334"/>
    <x v="33"/>
    <n v="1"/>
    <n v="123"/>
    <n v="84"/>
    <n v="84"/>
    <n v="123"/>
    <n v="39"/>
    <s v="Product 87"/>
    <x v="61"/>
    <s v="Jimmy Young"/>
    <x v="53"/>
    <n v="1"/>
    <x v="0"/>
    <x v="2"/>
    <x v="2"/>
    <x v="0"/>
    <x v="2"/>
  </r>
  <r>
    <s v="AX21197"/>
    <s v="ENX2061"/>
    <s v="A131"/>
    <s v="EMP1040"/>
    <s v="C1456"/>
    <x v="33"/>
    <n v="1"/>
    <n v="913"/>
    <n v="584"/>
    <n v="584"/>
    <n v="913"/>
    <n v="329"/>
    <s v="Product 62"/>
    <x v="32"/>
    <s v="Patrick Ruiz"/>
    <x v="366"/>
    <n v="1"/>
    <x v="0"/>
    <x v="2"/>
    <x v="2"/>
    <x v="0"/>
    <x v="2"/>
  </r>
  <r>
    <s v="AX21379"/>
    <s v="ENX2007"/>
    <s v="A130"/>
    <s v="EMP1003"/>
    <s v="C1723"/>
    <x v="34"/>
    <n v="1"/>
    <n v="1405"/>
    <n v="1054"/>
    <n v="1054"/>
    <n v="1405"/>
    <n v="351"/>
    <s v="Product 8"/>
    <x v="4"/>
    <s v="Christopher Tucker"/>
    <x v="118"/>
    <n v="1"/>
    <x v="0"/>
    <x v="2"/>
    <x v="2"/>
    <x v="0"/>
    <x v="2"/>
  </r>
  <r>
    <s v="AX21525"/>
    <s v="ENX2053"/>
    <s v="A148"/>
    <s v="EMP1005"/>
    <s v="C1420"/>
    <x v="35"/>
    <n v="2"/>
    <n v="596"/>
    <n v="358"/>
    <n v="716"/>
    <n v="1192"/>
    <n v="476"/>
    <s v="Product 54"/>
    <x v="62"/>
    <s v="Ryan Welch"/>
    <x v="33"/>
    <n v="1"/>
    <x v="0"/>
    <x v="2"/>
    <x v="2"/>
    <x v="0"/>
    <x v="2"/>
  </r>
  <r>
    <s v="AX21792"/>
    <s v="ENX2007"/>
    <s v="A141"/>
    <s v="EMP1040"/>
    <s v="C1104"/>
    <x v="34"/>
    <n v="1"/>
    <n v="1405"/>
    <n v="1054"/>
    <n v="1054"/>
    <n v="1405"/>
    <n v="351"/>
    <s v="Product 8"/>
    <x v="23"/>
    <s v="Patrick Ruiz"/>
    <x v="367"/>
    <n v="1"/>
    <x v="0"/>
    <x v="2"/>
    <x v="2"/>
    <x v="0"/>
    <x v="2"/>
  </r>
  <r>
    <s v="AX21882"/>
    <s v="ENX2012"/>
    <s v="A107"/>
    <s v="EMP1026"/>
    <s v="C1774"/>
    <x v="34"/>
    <n v="1"/>
    <n v="1353"/>
    <n v="947"/>
    <n v="947"/>
    <n v="1353"/>
    <n v="406"/>
    <s v="Product 13"/>
    <x v="21"/>
    <s v="Martin Perry"/>
    <x v="232"/>
    <n v="1"/>
    <x v="0"/>
    <x v="2"/>
    <x v="2"/>
    <x v="0"/>
    <x v="2"/>
  </r>
  <r>
    <s v="AX22004"/>
    <s v="ENX2028"/>
    <s v="A133"/>
    <s v="EMP1016"/>
    <s v="C1263"/>
    <x v="32"/>
    <n v="2"/>
    <n v="2283"/>
    <n v="1484"/>
    <n v="2968"/>
    <n v="4566"/>
    <n v="1598"/>
    <s v="Product 29"/>
    <x v="46"/>
    <s v="Henry Nelson"/>
    <x v="368"/>
    <n v="1"/>
    <x v="0"/>
    <x v="2"/>
    <x v="2"/>
    <x v="0"/>
    <x v="2"/>
  </r>
  <r>
    <s v="AX22419"/>
    <s v="ENX2067"/>
    <s v="A117"/>
    <s v="EMP1024"/>
    <s v="C1104"/>
    <x v="35"/>
    <n v="4"/>
    <n v="1119"/>
    <n v="683"/>
    <n v="2732"/>
    <n v="4476"/>
    <n v="1744"/>
    <s v="Product 68"/>
    <x v="29"/>
    <s v="Ernest Wheeler"/>
    <x v="367"/>
    <n v="1"/>
    <x v="0"/>
    <x v="2"/>
    <x v="2"/>
    <x v="0"/>
    <x v="2"/>
  </r>
  <r>
    <s v="AX22601"/>
    <s v="ENX2004"/>
    <s v="A133"/>
    <s v="EMP1005"/>
    <s v="C1188"/>
    <x v="34"/>
    <n v="1"/>
    <n v="1278"/>
    <n v="665"/>
    <n v="665"/>
    <n v="1278"/>
    <n v="613"/>
    <s v="Product 5"/>
    <x v="46"/>
    <s v="Ryan Welch"/>
    <x v="369"/>
    <n v="1"/>
    <x v="0"/>
    <x v="2"/>
    <x v="2"/>
    <x v="0"/>
    <x v="2"/>
  </r>
  <r>
    <s v="AX22762"/>
    <s v="ENX2047"/>
    <s v="A107"/>
    <s v="EMP1027"/>
    <s v="C1079"/>
    <x v="34"/>
    <n v="1"/>
    <n v="290"/>
    <n v="200"/>
    <n v="200"/>
    <n v="290"/>
    <n v="90"/>
    <s v="Product 48"/>
    <x v="21"/>
    <s v="Gary Rodriguez"/>
    <x v="370"/>
    <n v="1"/>
    <x v="0"/>
    <x v="2"/>
    <x v="2"/>
    <x v="0"/>
    <x v="2"/>
  </r>
  <r>
    <s v="AX23037"/>
    <s v="ENX2099"/>
    <s v="A149"/>
    <s v="EMP1031"/>
    <s v="C1357"/>
    <x v="34"/>
    <n v="2"/>
    <n v="1367"/>
    <n v="984"/>
    <n v="1968"/>
    <n v="2734"/>
    <n v="766"/>
    <s v="Product 100"/>
    <x v="59"/>
    <s v="Brian Thomas"/>
    <x v="327"/>
    <n v="1"/>
    <x v="0"/>
    <x v="2"/>
    <x v="2"/>
    <x v="0"/>
    <x v="2"/>
  </r>
  <r>
    <s v="AX24553"/>
    <s v="ENX2047"/>
    <s v="A163"/>
    <s v="EMP1014"/>
    <s v="C1756"/>
    <x v="32"/>
    <n v="1"/>
    <n v="290"/>
    <n v="200"/>
    <n v="200"/>
    <n v="290"/>
    <n v="90"/>
    <s v="Product 48"/>
    <x v="51"/>
    <s v="Ronald Reed"/>
    <x v="371"/>
    <n v="1"/>
    <x v="0"/>
    <x v="2"/>
    <x v="2"/>
    <x v="0"/>
    <x v="2"/>
  </r>
  <r>
    <s v="AX24911"/>
    <s v="ENX2056"/>
    <s v="A149"/>
    <s v="EMP1013"/>
    <s v="C1560"/>
    <x v="34"/>
    <n v="1"/>
    <n v="1635"/>
    <n v="1046"/>
    <n v="1046"/>
    <n v="1635"/>
    <n v="589"/>
    <s v="Product 57"/>
    <x v="59"/>
    <s v="Charles Harper"/>
    <x v="208"/>
    <n v="1"/>
    <x v="0"/>
    <x v="2"/>
    <x v="2"/>
    <x v="0"/>
    <x v="2"/>
  </r>
  <r>
    <s v="AX24976"/>
    <s v="ENX2017"/>
    <s v="A170"/>
    <s v="EMP1035"/>
    <s v="C1645"/>
    <x v="33"/>
    <n v="1"/>
    <n v="35"/>
    <n v="22"/>
    <n v="22"/>
    <n v="35"/>
    <n v="13"/>
    <s v="Product 18"/>
    <x v="47"/>
    <s v="Roger Ramos"/>
    <x v="128"/>
    <n v="1"/>
    <x v="0"/>
    <x v="2"/>
    <x v="2"/>
    <x v="0"/>
    <x v="2"/>
  </r>
  <r>
    <s v="AX10225"/>
    <s v="ENX2048"/>
    <s v="A118"/>
    <s v="EMP1043"/>
    <s v="C1776"/>
    <x v="36"/>
    <n v="2"/>
    <n v="502"/>
    <n v="296"/>
    <n v="592"/>
    <n v="1004"/>
    <n v="412"/>
    <s v="Product 49"/>
    <x v="19"/>
    <s v="Joshua Taylor"/>
    <x v="160"/>
    <n v="1"/>
    <x v="0"/>
    <x v="3"/>
    <x v="3"/>
    <x v="1"/>
    <x v="0"/>
  </r>
  <r>
    <s v="AX10391"/>
    <s v="ENX2065"/>
    <s v="A104"/>
    <s v="EMP1004"/>
    <s v="C1595"/>
    <x v="36"/>
    <n v="1"/>
    <n v="2396"/>
    <n v="1965"/>
    <n v="1965"/>
    <n v="2396"/>
    <n v="431"/>
    <s v="Product 66"/>
    <x v="50"/>
    <s v="Kenneth Bradley"/>
    <x v="372"/>
    <n v="1"/>
    <x v="0"/>
    <x v="3"/>
    <x v="3"/>
    <x v="1"/>
    <x v="0"/>
  </r>
  <r>
    <s v="AX10506"/>
    <s v="ENX2007"/>
    <s v="A118"/>
    <s v="EMP1009"/>
    <s v="C1715"/>
    <x v="36"/>
    <n v="1"/>
    <n v="1405"/>
    <n v="1054"/>
    <n v="1054"/>
    <n v="1405"/>
    <n v="351"/>
    <s v="Product 8"/>
    <x v="19"/>
    <s v="Kenneth Fields"/>
    <x v="342"/>
    <n v="1"/>
    <x v="0"/>
    <x v="3"/>
    <x v="3"/>
    <x v="1"/>
    <x v="0"/>
  </r>
  <r>
    <s v="AX10526"/>
    <s v="ENX2040"/>
    <s v="A170"/>
    <s v="EMP1005"/>
    <s v="C1295"/>
    <x v="36"/>
    <n v="1"/>
    <n v="1889"/>
    <n v="945"/>
    <n v="945"/>
    <n v="1889"/>
    <n v="944"/>
    <s v="Product 41"/>
    <x v="47"/>
    <s v="Ryan Welch"/>
    <x v="373"/>
    <n v="1"/>
    <x v="0"/>
    <x v="3"/>
    <x v="3"/>
    <x v="1"/>
    <x v="0"/>
  </r>
  <r>
    <s v="AX10611"/>
    <s v="ENX2014"/>
    <s v="A151"/>
    <s v="EMP1007"/>
    <s v="C1126"/>
    <x v="36"/>
    <n v="1"/>
    <n v="1809"/>
    <n v="1067"/>
    <n v="1067"/>
    <n v="1809"/>
    <n v="742"/>
    <s v="Product 15"/>
    <x v="1"/>
    <s v="Jeremy Mendoza"/>
    <x v="374"/>
    <n v="1"/>
    <x v="0"/>
    <x v="3"/>
    <x v="3"/>
    <x v="1"/>
    <x v="0"/>
  </r>
  <r>
    <s v="AX10928"/>
    <s v="ENX2035"/>
    <s v="A165"/>
    <s v="EMP1031"/>
    <s v="C1527"/>
    <x v="37"/>
    <n v="1"/>
    <n v="458"/>
    <n v="376"/>
    <n v="376"/>
    <n v="458"/>
    <n v="82"/>
    <s v="Product 36"/>
    <x v="55"/>
    <s v="Brian Thomas"/>
    <x v="375"/>
    <n v="1"/>
    <x v="0"/>
    <x v="3"/>
    <x v="3"/>
    <x v="1"/>
    <x v="0"/>
  </r>
  <r>
    <s v="AX10989"/>
    <s v="ENX2078"/>
    <s v="A138"/>
    <s v="EMP1011"/>
    <s v="C1757"/>
    <x v="37"/>
    <n v="2"/>
    <n v="1798"/>
    <n v="971"/>
    <n v="1942"/>
    <n v="3596"/>
    <n v="1654"/>
    <s v="Product 79"/>
    <x v="37"/>
    <s v="Larry Marshall"/>
    <x v="376"/>
    <n v="1"/>
    <x v="0"/>
    <x v="3"/>
    <x v="3"/>
    <x v="1"/>
    <x v="0"/>
  </r>
  <r>
    <s v="AX11052"/>
    <s v="ENX2015"/>
    <s v="A133"/>
    <s v="EMP1005"/>
    <s v="C1106"/>
    <x v="38"/>
    <n v="2"/>
    <n v="637"/>
    <n v="389"/>
    <n v="778"/>
    <n v="1274"/>
    <n v="496"/>
    <s v="Product 16"/>
    <x v="46"/>
    <s v="Ryan Welch"/>
    <x v="377"/>
    <n v="1"/>
    <x v="0"/>
    <x v="3"/>
    <x v="3"/>
    <x v="1"/>
    <x v="0"/>
  </r>
  <r>
    <s v="AX11147"/>
    <s v="ENX2010"/>
    <s v="A126"/>
    <s v="EMP1029"/>
    <s v="C1621"/>
    <x v="38"/>
    <n v="4"/>
    <n v="1812"/>
    <n v="1305"/>
    <n v="5220"/>
    <n v="7248"/>
    <n v="2028"/>
    <s v="Product 11"/>
    <x v="5"/>
    <s v="Howard Gardner"/>
    <x v="159"/>
    <n v="1"/>
    <x v="0"/>
    <x v="3"/>
    <x v="3"/>
    <x v="1"/>
    <x v="0"/>
  </r>
  <r>
    <s v="AX11181"/>
    <s v="ENX2034"/>
    <s v="A129"/>
    <s v="EMP1033"/>
    <s v="C1724"/>
    <x v="36"/>
    <n v="2"/>
    <n v="871"/>
    <n v="540"/>
    <n v="1080"/>
    <n v="1742"/>
    <n v="662"/>
    <s v="Product 35"/>
    <x v="22"/>
    <s v="Jerry Perry"/>
    <x v="378"/>
    <n v="1"/>
    <x v="0"/>
    <x v="3"/>
    <x v="3"/>
    <x v="1"/>
    <x v="0"/>
  </r>
  <r>
    <s v="AX11304"/>
    <s v="ENX2027"/>
    <s v="A168"/>
    <s v="EMP1041"/>
    <s v="C1683"/>
    <x v="36"/>
    <n v="4"/>
    <n v="2497"/>
    <n v="1473"/>
    <n v="5892"/>
    <n v="9988"/>
    <n v="4096"/>
    <s v="Product 28"/>
    <x v="40"/>
    <s v="Joe Sims"/>
    <x v="379"/>
    <n v="1"/>
    <x v="0"/>
    <x v="3"/>
    <x v="3"/>
    <x v="1"/>
    <x v="0"/>
  </r>
  <r>
    <s v="AX11319"/>
    <s v="ENX2021"/>
    <s v="A161"/>
    <s v="EMP1031"/>
    <s v="C1493"/>
    <x v="36"/>
    <n v="4"/>
    <n v="217"/>
    <n v="171"/>
    <n v="684"/>
    <n v="868"/>
    <n v="184"/>
    <s v="Product 22"/>
    <x v="6"/>
    <s v="Brian Thomas"/>
    <x v="380"/>
    <n v="1"/>
    <x v="0"/>
    <x v="3"/>
    <x v="3"/>
    <x v="1"/>
    <x v="0"/>
  </r>
  <r>
    <s v="AX11348"/>
    <s v="ENX2033"/>
    <s v="A122"/>
    <s v="EMP1018"/>
    <s v="C1068"/>
    <x v="39"/>
    <n v="1"/>
    <n v="2182"/>
    <n v="1200"/>
    <n v="1200"/>
    <n v="2182"/>
    <n v="982"/>
    <s v="Product 34"/>
    <x v="71"/>
    <s v="Jimmy Young"/>
    <x v="288"/>
    <n v="1"/>
    <x v="0"/>
    <x v="3"/>
    <x v="3"/>
    <x v="1"/>
    <x v="0"/>
  </r>
  <r>
    <s v="AX11475"/>
    <s v="ENX2033"/>
    <s v="A108"/>
    <s v="EMP1003"/>
    <s v="C1244"/>
    <x v="37"/>
    <n v="2"/>
    <n v="2182"/>
    <n v="1200"/>
    <n v="2400"/>
    <n v="4364"/>
    <n v="1964"/>
    <s v="Product 34"/>
    <x v="49"/>
    <s v="Christopher Tucker"/>
    <x v="381"/>
    <n v="1"/>
    <x v="0"/>
    <x v="3"/>
    <x v="3"/>
    <x v="1"/>
    <x v="0"/>
  </r>
  <r>
    <s v="AX11606"/>
    <s v="ENX2060"/>
    <s v="A157"/>
    <s v="EMP1009"/>
    <s v="C1774"/>
    <x v="36"/>
    <n v="3"/>
    <n v="1467"/>
    <n v="807"/>
    <n v="2421"/>
    <n v="4401"/>
    <n v="1980"/>
    <s v="Product 61"/>
    <x v="7"/>
    <s v="Kenneth Fields"/>
    <x v="232"/>
    <n v="1"/>
    <x v="0"/>
    <x v="3"/>
    <x v="3"/>
    <x v="1"/>
    <x v="0"/>
  </r>
  <r>
    <s v="AX11631"/>
    <s v="ENX2021"/>
    <s v="A161"/>
    <s v="EMP1034"/>
    <s v="C1153"/>
    <x v="37"/>
    <n v="4"/>
    <n v="217"/>
    <n v="171"/>
    <n v="684"/>
    <n v="868"/>
    <n v="184"/>
    <s v="Product 22"/>
    <x v="6"/>
    <s v="Arthur Mccoy"/>
    <x v="382"/>
    <n v="1"/>
    <x v="0"/>
    <x v="3"/>
    <x v="3"/>
    <x v="1"/>
    <x v="0"/>
  </r>
  <r>
    <s v="AX11804"/>
    <s v="ENX2044"/>
    <s v="A119"/>
    <s v="EMP1004"/>
    <s v="C1573"/>
    <x v="38"/>
    <n v="3"/>
    <n v="886"/>
    <n v="478"/>
    <n v="1434"/>
    <n v="2658"/>
    <n v="1224"/>
    <s v="Product 45"/>
    <x v="16"/>
    <s v="Kenneth Bradley"/>
    <x v="383"/>
    <n v="1"/>
    <x v="0"/>
    <x v="3"/>
    <x v="3"/>
    <x v="1"/>
    <x v="0"/>
  </r>
  <r>
    <s v="AX12065"/>
    <s v="ENX2017"/>
    <s v="A103"/>
    <s v="EMP1035"/>
    <s v="C1538"/>
    <x v="36"/>
    <n v="4"/>
    <n v="35"/>
    <n v="22"/>
    <n v="88"/>
    <n v="140"/>
    <n v="52"/>
    <s v="Product 18"/>
    <x v="61"/>
    <s v="Roger Ramos"/>
    <x v="384"/>
    <n v="1"/>
    <x v="0"/>
    <x v="3"/>
    <x v="3"/>
    <x v="1"/>
    <x v="0"/>
  </r>
  <r>
    <s v="AX12574"/>
    <s v="ENX2100"/>
    <s v="A122"/>
    <s v="EMP1000"/>
    <s v="C1479"/>
    <x v="36"/>
    <n v="1"/>
    <n v="799"/>
    <n v="455"/>
    <n v="455"/>
    <n v="799"/>
    <n v="344"/>
    <s v="Product 101"/>
    <x v="71"/>
    <s v="Fred Robertson"/>
    <x v="385"/>
    <n v="1"/>
    <x v="0"/>
    <x v="3"/>
    <x v="3"/>
    <x v="1"/>
    <x v="0"/>
  </r>
  <r>
    <s v="AX12770"/>
    <s v="ENX2046"/>
    <s v="A126"/>
    <s v="EMP1019"/>
    <s v="C1352"/>
    <x v="39"/>
    <n v="2"/>
    <n v="2410"/>
    <n v="1518"/>
    <n v="3036"/>
    <n v="4820"/>
    <n v="1784"/>
    <s v="Product 47"/>
    <x v="5"/>
    <s v="Roger Robertson"/>
    <x v="20"/>
    <n v="1"/>
    <x v="0"/>
    <x v="3"/>
    <x v="3"/>
    <x v="1"/>
    <x v="0"/>
  </r>
  <r>
    <s v="AX12871"/>
    <s v="ENX2007"/>
    <s v="A139"/>
    <s v="EMP1009"/>
    <s v="C1673"/>
    <x v="39"/>
    <n v="4"/>
    <n v="1405"/>
    <n v="1054"/>
    <n v="4216"/>
    <n v="5620"/>
    <n v="1404"/>
    <s v="Product 8"/>
    <x v="38"/>
    <s v="Kenneth Fields"/>
    <x v="87"/>
    <n v="1"/>
    <x v="0"/>
    <x v="3"/>
    <x v="3"/>
    <x v="1"/>
    <x v="0"/>
  </r>
  <r>
    <s v="AX14151"/>
    <s v="ENX2019"/>
    <s v="A152"/>
    <s v="EMP1010"/>
    <s v="C1465"/>
    <x v="39"/>
    <n v="2"/>
    <n v="800"/>
    <n v="536"/>
    <n v="1072"/>
    <n v="1600"/>
    <n v="528"/>
    <s v="Product 20"/>
    <x v="26"/>
    <s v="Joshua Cook"/>
    <x v="88"/>
    <n v="1"/>
    <x v="0"/>
    <x v="3"/>
    <x v="3"/>
    <x v="1"/>
    <x v="0"/>
  </r>
  <r>
    <s v="AX14161"/>
    <s v="ENX2053"/>
    <s v="A117"/>
    <s v="EMP1022"/>
    <s v="C1764"/>
    <x v="38"/>
    <n v="1"/>
    <n v="596"/>
    <n v="358"/>
    <n v="358"/>
    <n v="596"/>
    <n v="238"/>
    <s v="Product 54"/>
    <x v="29"/>
    <s v="Walter Cook"/>
    <x v="386"/>
    <n v="1"/>
    <x v="0"/>
    <x v="3"/>
    <x v="3"/>
    <x v="1"/>
    <x v="0"/>
  </r>
  <r>
    <s v="AX14187"/>
    <s v="ENX2032"/>
    <s v="A123"/>
    <s v="EMP1027"/>
    <s v="C1559"/>
    <x v="36"/>
    <n v="1"/>
    <n v="1967"/>
    <n v="1397"/>
    <n v="1397"/>
    <n v="1967"/>
    <n v="570"/>
    <s v="Product 33"/>
    <x v="34"/>
    <s v="Gary Rodriguez"/>
    <x v="43"/>
    <n v="1"/>
    <x v="0"/>
    <x v="3"/>
    <x v="3"/>
    <x v="1"/>
    <x v="0"/>
  </r>
  <r>
    <s v="AX14269"/>
    <s v="ENX2027"/>
    <s v="A128"/>
    <s v="EMP1002"/>
    <s v="C1501"/>
    <x v="39"/>
    <n v="1"/>
    <n v="2497"/>
    <n v="1473"/>
    <n v="1473"/>
    <n v="2497"/>
    <n v="1024"/>
    <s v="Product 28"/>
    <x v="12"/>
    <s v="Andrew Bowman"/>
    <x v="387"/>
    <n v="1"/>
    <x v="0"/>
    <x v="3"/>
    <x v="3"/>
    <x v="1"/>
    <x v="0"/>
  </r>
  <r>
    <s v="AX14470"/>
    <s v="ENX2065"/>
    <s v="A126"/>
    <s v="EMP1036"/>
    <s v="C1315"/>
    <x v="37"/>
    <n v="1"/>
    <n v="2396"/>
    <n v="1965"/>
    <n v="1965"/>
    <n v="2396"/>
    <n v="431"/>
    <s v="Product 66"/>
    <x v="5"/>
    <s v="Robert Reed"/>
    <x v="388"/>
    <n v="1"/>
    <x v="0"/>
    <x v="3"/>
    <x v="3"/>
    <x v="1"/>
    <x v="0"/>
  </r>
  <r>
    <s v="AX14622"/>
    <s v="ENX2058"/>
    <s v="A136"/>
    <s v="EMP1040"/>
    <s v="C1664"/>
    <x v="36"/>
    <n v="1"/>
    <n v="2257"/>
    <n v="1535"/>
    <n v="1535"/>
    <n v="2257"/>
    <n v="722"/>
    <s v="Product 59"/>
    <x v="43"/>
    <s v="Patrick Ruiz"/>
    <x v="12"/>
    <n v="1"/>
    <x v="0"/>
    <x v="3"/>
    <x v="3"/>
    <x v="1"/>
    <x v="0"/>
  </r>
  <r>
    <s v="AX14877"/>
    <s v="ENX2010"/>
    <s v="A128"/>
    <s v="EMP1031"/>
    <s v="C1643"/>
    <x v="36"/>
    <n v="1"/>
    <n v="1812"/>
    <n v="1305"/>
    <n v="1305"/>
    <n v="1812"/>
    <n v="507"/>
    <s v="Product 11"/>
    <x v="12"/>
    <s v="Brian Thomas"/>
    <x v="142"/>
    <n v="1"/>
    <x v="0"/>
    <x v="3"/>
    <x v="3"/>
    <x v="1"/>
    <x v="0"/>
  </r>
  <r>
    <s v="AX15184"/>
    <s v="ENX2093"/>
    <s v="A157"/>
    <s v="EMP1000"/>
    <s v="C1382"/>
    <x v="37"/>
    <n v="4"/>
    <n v="112"/>
    <n v="90"/>
    <n v="360"/>
    <n v="448"/>
    <n v="88"/>
    <s v="Product 94"/>
    <x v="7"/>
    <s v="Fred Robertson"/>
    <x v="334"/>
    <n v="1"/>
    <x v="0"/>
    <x v="3"/>
    <x v="3"/>
    <x v="1"/>
    <x v="0"/>
  </r>
  <r>
    <s v="AX15202"/>
    <s v="ENX2089"/>
    <s v="A168"/>
    <s v="EMP1035"/>
    <s v="C1687"/>
    <x v="39"/>
    <n v="3"/>
    <n v="2294"/>
    <n v="1399"/>
    <n v="4197"/>
    <n v="6882"/>
    <n v="2685"/>
    <s v="Product 90"/>
    <x v="40"/>
    <s v="Roger Ramos"/>
    <x v="389"/>
    <n v="1"/>
    <x v="0"/>
    <x v="3"/>
    <x v="3"/>
    <x v="1"/>
    <x v="0"/>
  </r>
  <r>
    <s v="AX15297"/>
    <s v="ENX2008"/>
    <s v="A123"/>
    <s v="EMP1044"/>
    <s v="C1212"/>
    <x v="37"/>
    <n v="1"/>
    <n v="315"/>
    <n v="208"/>
    <n v="208"/>
    <n v="315"/>
    <n v="107"/>
    <s v="Product 9"/>
    <x v="34"/>
    <s v="Martin Carr"/>
    <x v="220"/>
    <n v="1"/>
    <x v="0"/>
    <x v="3"/>
    <x v="3"/>
    <x v="1"/>
    <x v="0"/>
  </r>
  <r>
    <s v="AX15642"/>
    <s v="ENX2063"/>
    <s v="A108"/>
    <s v="EMP1007"/>
    <s v="C1799"/>
    <x v="38"/>
    <n v="4"/>
    <n v="1708"/>
    <n v="871"/>
    <n v="3484"/>
    <n v="6832"/>
    <n v="3348"/>
    <s v="Product 64"/>
    <x v="49"/>
    <s v="Jeremy Mendoza"/>
    <x v="390"/>
    <n v="1"/>
    <x v="0"/>
    <x v="3"/>
    <x v="3"/>
    <x v="1"/>
    <x v="0"/>
  </r>
  <r>
    <s v="AX15755"/>
    <s v="ENX2042"/>
    <s v="A162"/>
    <s v="EMP1026"/>
    <s v="C1584"/>
    <x v="36"/>
    <n v="2"/>
    <n v="203"/>
    <n v="154"/>
    <n v="308"/>
    <n v="406"/>
    <n v="98"/>
    <s v="Product 43"/>
    <x v="2"/>
    <s v="Martin Perry"/>
    <x v="72"/>
    <n v="1"/>
    <x v="0"/>
    <x v="3"/>
    <x v="3"/>
    <x v="1"/>
    <x v="0"/>
  </r>
  <r>
    <s v="AX16412"/>
    <s v="ENX2034"/>
    <s v="A154"/>
    <s v="EMP1025"/>
    <s v="C1219"/>
    <x v="38"/>
    <n v="4"/>
    <n v="871"/>
    <n v="540"/>
    <n v="2160"/>
    <n v="3484"/>
    <n v="1324"/>
    <s v="Product 35"/>
    <x v="24"/>
    <s v="Ernest Wagner"/>
    <x v="301"/>
    <n v="1"/>
    <x v="0"/>
    <x v="3"/>
    <x v="3"/>
    <x v="1"/>
    <x v="0"/>
  </r>
  <r>
    <s v="AX16670"/>
    <s v="ENX2016"/>
    <s v="A140"/>
    <s v="EMP1035"/>
    <s v="C1048"/>
    <x v="36"/>
    <n v="3"/>
    <n v="1351"/>
    <n v="1108"/>
    <n v="3324"/>
    <n v="4053"/>
    <n v="729"/>
    <s v="Product 17"/>
    <x v="18"/>
    <s v="Roger Ramos"/>
    <x v="391"/>
    <n v="1"/>
    <x v="0"/>
    <x v="3"/>
    <x v="3"/>
    <x v="1"/>
    <x v="0"/>
  </r>
  <r>
    <s v="AX17440"/>
    <s v="ENX2087"/>
    <s v="A104"/>
    <s v="EMP1005"/>
    <s v="C1483"/>
    <x v="38"/>
    <n v="1"/>
    <n v="1022"/>
    <n v="818"/>
    <n v="818"/>
    <n v="1022"/>
    <n v="204"/>
    <s v="Product 88"/>
    <x v="50"/>
    <s v="Ryan Welch"/>
    <x v="255"/>
    <n v="1"/>
    <x v="0"/>
    <x v="3"/>
    <x v="3"/>
    <x v="1"/>
    <x v="0"/>
  </r>
  <r>
    <s v="AX17448"/>
    <s v="ENX2034"/>
    <s v="A141"/>
    <s v="EMP1021"/>
    <s v="C1561"/>
    <x v="36"/>
    <n v="3"/>
    <n v="871"/>
    <n v="540"/>
    <n v="1620"/>
    <n v="2613"/>
    <n v="993"/>
    <s v="Product 35"/>
    <x v="23"/>
    <s v="Clarence Fox"/>
    <x v="114"/>
    <n v="1"/>
    <x v="0"/>
    <x v="3"/>
    <x v="3"/>
    <x v="1"/>
    <x v="0"/>
  </r>
  <r>
    <s v="AX17829"/>
    <s v="ENX2100"/>
    <s v="A151"/>
    <s v="EMP1040"/>
    <s v="C1747"/>
    <x v="36"/>
    <n v="3"/>
    <n v="799"/>
    <n v="455"/>
    <n v="1365"/>
    <n v="2397"/>
    <n v="1032"/>
    <s v="Product 101"/>
    <x v="1"/>
    <s v="Patrick Ruiz"/>
    <x v="392"/>
    <n v="1"/>
    <x v="0"/>
    <x v="3"/>
    <x v="3"/>
    <x v="1"/>
    <x v="0"/>
  </r>
  <r>
    <s v="AX17832"/>
    <s v="ENX2085"/>
    <s v="A172"/>
    <s v="EMP1005"/>
    <s v="C1749"/>
    <x v="37"/>
    <n v="1"/>
    <n v="1862"/>
    <n v="1173"/>
    <n v="1173"/>
    <n v="1862"/>
    <n v="689"/>
    <s v="Product 86"/>
    <x v="36"/>
    <s v="Ryan Welch"/>
    <x v="393"/>
    <n v="1"/>
    <x v="0"/>
    <x v="3"/>
    <x v="3"/>
    <x v="1"/>
    <x v="0"/>
  </r>
  <r>
    <s v="AX18061"/>
    <s v="ENX2088"/>
    <s v="A104"/>
    <s v="EMP1001"/>
    <s v="C1099"/>
    <x v="39"/>
    <n v="1"/>
    <n v="603"/>
    <n v="416"/>
    <n v="416"/>
    <n v="603"/>
    <n v="187"/>
    <s v="Product 89"/>
    <x v="50"/>
    <s v="Kevin Butler"/>
    <x v="394"/>
    <n v="1"/>
    <x v="0"/>
    <x v="3"/>
    <x v="3"/>
    <x v="1"/>
    <x v="0"/>
  </r>
  <r>
    <s v="AX18266"/>
    <s v="ENX2094"/>
    <s v="A102"/>
    <s v="EMP1009"/>
    <s v="C1638"/>
    <x v="37"/>
    <n v="2"/>
    <n v="771"/>
    <n v="648"/>
    <n v="1296"/>
    <n v="1542"/>
    <n v="246"/>
    <s v="Product 95"/>
    <x v="44"/>
    <s v="Kenneth Fields"/>
    <x v="395"/>
    <n v="1"/>
    <x v="0"/>
    <x v="3"/>
    <x v="3"/>
    <x v="1"/>
    <x v="0"/>
  </r>
  <r>
    <s v="AX18718"/>
    <s v="ENX2075"/>
    <s v="A108"/>
    <s v="EMP1030"/>
    <s v="C1233"/>
    <x v="36"/>
    <n v="3"/>
    <n v="400"/>
    <n v="208"/>
    <n v="624"/>
    <n v="1200"/>
    <n v="576"/>
    <s v="Product 76"/>
    <x v="49"/>
    <s v="Bobby Russell"/>
    <x v="396"/>
    <n v="1"/>
    <x v="0"/>
    <x v="3"/>
    <x v="3"/>
    <x v="1"/>
    <x v="0"/>
  </r>
  <r>
    <s v="AX18754"/>
    <s v="ENX2050"/>
    <s v="A130"/>
    <s v="EMP1030"/>
    <s v="C1784"/>
    <x v="36"/>
    <n v="4"/>
    <n v="2391"/>
    <n v="1291"/>
    <n v="5164"/>
    <n v="9564"/>
    <n v="4400"/>
    <s v="Product 51"/>
    <x v="4"/>
    <s v="Bobby Russell"/>
    <x v="397"/>
    <n v="1"/>
    <x v="0"/>
    <x v="3"/>
    <x v="3"/>
    <x v="1"/>
    <x v="0"/>
  </r>
  <r>
    <s v="AX18863"/>
    <s v="ENX2069"/>
    <s v="A115"/>
    <s v="EMP1042"/>
    <s v="C1286"/>
    <x v="36"/>
    <n v="1"/>
    <n v="378"/>
    <n v="291"/>
    <n v="291"/>
    <n v="378"/>
    <n v="87"/>
    <s v="Product 70"/>
    <x v="33"/>
    <s v="Scott Clark"/>
    <x v="308"/>
    <n v="1"/>
    <x v="0"/>
    <x v="3"/>
    <x v="3"/>
    <x v="1"/>
    <x v="0"/>
  </r>
  <r>
    <s v="AX19030"/>
    <s v="ENX2076"/>
    <s v="A117"/>
    <s v="EMP1022"/>
    <s v="C1104"/>
    <x v="36"/>
    <n v="2"/>
    <n v="1522"/>
    <n v="791"/>
    <n v="1582"/>
    <n v="3044"/>
    <n v="1462"/>
    <s v="Product 77"/>
    <x v="29"/>
    <s v="Walter Cook"/>
    <x v="367"/>
    <n v="1"/>
    <x v="0"/>
    <x v="3"/>
    <x v="3"/>
    <x v="1"/>
    <x v="0"/>
  </r>
  <r>
    <s v="AX19062"/>
    <s v="ENX2027"/>
    <s v="A168"/>
    <s v="EMP1017"/>
    <s v="C1063"/>
    <x v="37"/>
    <n v="2"/>
    <n v="2497"/>
    <n v="1473"/>
    <n v="2946"/>
    <n v="4994"/>
    <n v="2048"/>
    <s v="Product 28"/>
    <x v="40"/>
    <s v="Brian Hansen"/>
    <x v="296"/>
    <n v="1"/>
    <x v="0"/>
    <x v="3"/>
    <x v="3"/>
    <x v="1"/>
    <x v="0"/>
  </r>
  <r>
    <s v="AX19130"/>
    <s v="ENX2049"/>
    <s v="A153"/>
    <s v="EMP1035"/>
    <s v="C1576"/>
    <x v="38"/>
    <n v="4"/>
    <n v="826"/>
    <n v="562"/>
    <n v="2248"/>
    <n v="3304"/>
    <n v="1056"/>
    <s v="Product 50"/>
    <x v="8"/>
    <s v="Roger Ramos"/>
    <x v="398"/>
    <n v="1"/>
    <x v="0"/>
    <x v="3"/>
    <x v="3"/>
    <x v="1"/>
    <x v="0"/>
  </r>
  <r>
    <s v="AX19162"/>
    <s v="ENX2036"/>
    <s v="A113"/>
    <s v="EMP1027"/>
    <s v="C1010"/>
    <x v="39"/>
    <n v="1"/>
    <n v="1582"/>
    <n v="1234"/>
    <n v="1234"/>
    <n v="1582"/>
    <n v="348"/>
    <s v="Product 37"/>
    <x v="73"/>
    <s v="Gary Rodriguez"/>
    <x v="399"/>
    <n v="1"/>
    <x v="0"/>
    <x v="3"/>
    <x v="3"/>
    <x v="1"/>
    <x v="0"/>
  </r>
  <r>
    <s v="AX19612"/>
    <s v="ENX2058"/>
    <s v="A114"/>
    <s v="EMP1031"/>
    <s v="C1585"/>
    <x v="36"/>
    <n v="3"/>
    <n v="2257"/>
    <n v="1535"/>
    <n v="4605"/>
    <n v="6771"/>
    <n v="2166"/>
    <s v="Product 59"/>
    <x v="28"/>
    <s v="Brian Thomas"/>
    <x v="400"/>
    <n v="1"/>
    <x v="0"/>
    <x v="3"/>
    <x v="3"/>
    <x v="1"/>
    <x v="0"/>
  </r>
  <r>
    <s v="AX19665"/>
    <s v="ENX2079"/>
    <s v="A142"/>
    <s v="EMP1005"/>
    <s v="C1567"/>
    <x v="36"/>
    <n v="1"/>
    <n v="1725"/>
    <n v="1363"/>
    <n v="1363"/>
    <n v="1725"/>
    <n v="362"/>
    <s v="Product 80"/>
    <x v="56"/>
    <s v="Ryan Welch"/>
    <x v="251"/>
    <n v="1"/>
    <x v="0"/>
    <x v="3"/>
    <x v="3"/>
    <x v="1"/>
    <x v="0"/>
  </r>
  <r>
    <s v="AX19771"/>
    <s v="ENX2059"/>
    <s v="A122"/>
    <s v="EMP1032"/>
    <s v="C1339"/>
    <x v="38"/>
    <n v="2"/>
    <n v="1494"/>
    <n v="971"/>
    <n v="1942"/>
    <n v="2988"/>
    <n v="1046"/>
    <s v="Product 60"/>
    <x v="71"/>
    <s v="Larry Castillo"/>
    <x v="401"/>
    <n v="1"/>
    <x v="0"/>
    <x v="3"/>
    <x v="3"/>
    <x v="1"/>
    <x v="0"/>
  </r>
  <r>
    <s v="AX20026"/>
    <s v="ENX2010"/>
    <s v="A136"/>
    <s v="EMP1014"/>
    <s v="C1017"/>
    <x v="37"/>
    <n v="1"/>
    <n v="1812"/>
    <n v="1305"/>
    <n v="1305"/>
    <n v="1812"/>
    <n v="507"/>
    <s v="Product 11"/>
    <x v="43"/>
    <s v="Ronald Reed"/>
    <x v="402"/>
    <n v="1"/>
    <x v="0"/>
    <x v="3"/>
    <x v="3"/>
    <x v="1"/>
    <x v="0"/>
  </r>
  <r>
    <s v="AX20028"/>
    <s v="ENX2026"/>
    <s v="A173"/>
    <s v="EMP1006"/>
    <s v="C1231"/>
    <x v="39"/>
    <n v="4"/>
    <n v="947"/>
    <n v="786"/>
    <n v="3144"/>
    <n v="3788"/>
    <n v="644"/>
    <s v="Product 27"/>
    <x v="25"/>
    <s v="Sean Miller"/>
    <x v="94"/>
    <n v="1"/>
    <x v="0"/>
    <x v="3"/>
    <x v="3"/>
    <x v="1"/>
    <x v="0"/>
  </r>
  <r>
    <s v="AX20598"/>
    <s v="ENX2092"/>
    <s v="A121"/>
    <s v="EMP1019"/>
    <s v="C1587"/>
    <x v="38"/>
    <n v="2"/>
    <n v="1639"/>
    <n v="1295"/>
    <n v="2590"/>
    <n v="3278"/>
    <n v="688"/>
    <s v="Product 93"/>
    <x v="72"/>
    <s v="Roger Robertson"/>
    <x v="403"/>
    <n v="1"/>
    <x v="0"/>
    <x v="3"/>
    <x v="3"/>
    <x v="1"/>
    <x v="0"/>
  </r>
  <r>
    <s v="AX20624"/>
    <s v="ENX2090"/>
    <s v="A120"/>
    <s v="EMP1028"/>
    <s v="C1183"/>
    <x v="37"/>
    <n v="1"/>
    <n v="1338"/>
    <n v="682"/>
    <n v="682"/>
    <n v="1338"/>
    <n v="656"/>
    <s v="Product 91"/>
    <x v="20"/>
    <s v="Howard Sims"/>
    <x v="404"/>
    <n v="1"/>
    <x v="0"/>
    <x v="3"/>
    <x v="3"/>
    <x v="1"/>
    <x v="0"/>
  </r>
  <r>
    <s v="AX20766"/>
    <s v="ENX2033"/>
    <s v="A173"/>
    <s v="EMP1025"/>
    <s v="C1417"/>
    <x v="36"/>
    <n v="2"/>
    <n v="2182"/>
    <n v="1200"/>
    <n v="2400"/>
    <n v="4364"/>
    <n v="1964"/>
    <s v="Product 34"/>
    <x v="25"/>
    <s v="Ernest Wagner"/>
    <x v="147"/>
    <n v="1"/>
    <x v="0"/>
    <x v="3"/>
    <x v="3"/>
    <x v="1"/>
    <x v="0"/>
  </r>
  <r>
    <s v="AX21021"/>
    <s v="ENX2051"/>
    <s v="A135"/>
    <s v="EMP1036"/>
    <s v="C1458"/>
    <x v="36"/>
    <n v="1"/>
    <n v="1077"/>
    <n v="732"/>
    <n v="732"/>
    <n v="1077"/>
    <n v="345"/>
    <s v="Product 52"/>
    <x v="10"/>
    <s v="Robert Reed"/>
    <x v="291"/>
    <n v="1"/>
    <x v="0"/>
    <x v="3"/>
    <x v="3"/>
    <x v="1"/>
    <x v="0"/>
  </r>
  <r>
    <s v="AX21085"/>
    <s v="ENX2095"/>
    <s v="A173"/>
    <s v="EMP1000"/>
    <s v="C1114"/>
    <x v="38"/>
    <n v="2"/>
    <n v="1743"/>
    <n v="872"/>
    <n v="1744"/>
    <n v="3486"/>
    <n v="1742"/>
    <s v="Product 96"/>
    <x v="25"/>
    <s v="Fred Robertson"/>
    <x v="405"/>
    <n v="1"/>
    <x v="0"/>
    <x v="3"/>
    <x v="3"/>
    <x v="1"/>
    <x v="0"/>
  </r>
  <r>
    <s v="AX21118"/>
    <s v="ENX2068"/>
    <s v="A162"/>
    <s v="EMP1026"/>
    <s v="C1786"/>
    <x v="39"/>
    <n v="3"/>
    <n v="1500"/>
    <n v="900"/>
    <n v="2700"/>
    <n v="4500"/>
    <n v="1800"/>
    <s v="Product 69"/>
    <x v="2"/>
    <s v="Martin Perry"/>
    <x v="406"/>
    <n v="1"/>
    <x v="0"/>
    <x v="3"/>
    <x v="3"/>
    <x v="1"/>
    <x v="0"/>
  </r>
  <r>
    <s v="AX21632"/>
    <s v="ENX2010"/>
    <s v="A128"/>
    <s v="EMP1012"/>
    <s v="C1797"/>
    <x v="36"/>
    <n v="1"/>
    <n v="1812"/>
    <n v="1305"/>
    <n v="1305"/>
    <n v="1812"/>
    <n v="507"/>
    <s v="Product 11"/>
    <x v="12"/>
    <s v="John Reyes"/>
    <x v="407"/>
    <n v="1"/>
    <x v="0"/>
    <x v="3"/>
    <x v="3"/>
    <x v="1"/>
    <x v="0"/>
  </r>
  <r>
    <s v="AX21910"/>
    <s v="ENX2004"/>
    <s v="A161"/>
    <s v="EMP1003"/>
    <s v="C1507"/>
    <x v="39"/>
    <n v="1"/>
    <n v="1278"/>
    <n v="665"/>
    <n v="665"/>
    <n v="1278"/>
    <n v="613"/>
    <s v="Product 5"/>
    <x v="6"/>
    <s v="Christopher Tucker"/>
    <x v="227"/>
    <n v="1"/>
    <x v="0"/>
    <x v="3"/>
    <x v="3"/>
    <x v="1"/>
    <x v="0"/>
  </r>
  <r>
    <s v="AX21988"/>
    <s v="ENX2097"/>
    <s v="A131"/>
    <s v="EMP1030"/>
    <s v="C1005"/>
    <x v="39"/>
    <n v="1"/>
    <n v="1052"/>
    <n v="589"/>
    <n v="589"/>
    <n v="1052"/>
    <n v="463"/>
    <s v="Product 98"/>
    <x v="32"/>
    <s v="Bobby Russell"/>
    <x v="304"/>
    <n v="1"/>
    <x v="0"/>
    <x v="3"/>
    <x v="3"/>
    <x v="1"/>
    <x v="0"/>
  </r>
  <r>
    <s v="AX22047"/>
    <s v="ENX2019"/>
    <s v="A127"/>
    <s v="EMP1041"/>
    <s v="C1477"/>
    <x v="39"/>
    <n v="4"/>
    <n v="800"/>
    <n v="536"/>
    <n v="2144"/>
    <n v="3200"/>
    <n v="1056"/>
    <s v="Product 20"/>
    <x v="69"/>
    <s v="Joe Sims"/>
    <x v="408"/>
    <n v="1"/>
    <x v="0"/>
    <x v="3"/>
    <x v="3"/>
    <x v="1"/>
    <x v="0"/>
  </r>
  <r>
    <s v="AX22079"/>
    <s v="ENX2062"/>
    <s v="A157"/>
    <s v="EMP1016"/>
    <s v="C1763"/>
    <x v="36"/>
    <n v="1"/>
    <n v="2464"/>
    <n v="1774"/>
    <n v="1774"/>
    <n v="2464"/>
    <n v="690"/>
    <s v="Product 63"/>
    <x v="7"/>
    <s v="Henry Nelson"/>
    <x v="409"/>
    <n v="1"/>
    <x v="0"/>
    <x v="3"/>
    <x v="3"/>
    <x v="1"/>
    <x v="0"/>
  </r>
  <r>
    <s v="AX22374"/>
    <s v="ENX2030"/>
    <s v="A160"/>
    <s v="EMP1027"/>
    <s v="C1026"/>
    <x v="39"/>
    <n v="1"/>
    <n v="1899"/>
    <n v="1044"/>
    <n v="1044"/>
    <n v="1899"/>
    <n v="855"/>
    <s v="Product 31"/>
    <x v="9"/>
    <s v="Gary Rodriguez"/>
    <x v="410"/>
    <n v="1"/>
    <x v="0"/>
    <x v="3"/>
    <x v="3"/>
    <x v="1"/>
    <x v="0"/>
  </r>
  <r>
    <s v="AX22448"/>
    <s v="ENX2008"/>
    <s v="A135"/>
    <s v="EMP1024"/>
    <s v="C1342"/>
    <x v="36"/>
    <n v="2"/>
    <n v="315"/>
    <n v="208"/>
    <n v="416"/>
    <n v="630"/>
    <n v="214"/>
    <s v="Product 9"/>
    <x v="10"/>
    <s v="Ernest Wheeler"/>
    <x v="62"/>
    <n v="1"/>
    <x v="0"/>
    <x v="3"/>
    <x v="3"/>
    <x v="1"/>
    <x v="0"/>
  </r>
  <r>
    <s v="AX22722"/>
    <s v="ENX2096"/>
    <s v="A108"/>
    <s v="EMP1000"/>
    <s v="C1794"/>
    <x v="36"/>
    <n v="1"/>
    <n v="1587"/>
    <n v="1301"/>
    <n v="1301"/>
    <n v="1587"/>
    <n v="286"/>
    <s v="Product 97"/>
    <x v="49"/>
    <s v="Fred Robertson"/>
    <x v="411"/>
    <n v="1"/>
    <x v="0"/>
    <x v="3"/>
    <x v="3"/>
    <x v="1"/>
    <x v="0"/>
  </r>
  <r>
    <s v="AX23393"/>
    <s v="ENX2035"/>
    <s v="A147"/>
    <s v="EMP1022"/>
    <s v="C1085"/>
    <x v="37"/>
    <n v="1"/>
    <n v="458"/>
    <n v="376"/>
    <n v="376"/>
    <n v="458"/>
    <n v="82"/>
    <s v="Product 36"/>
    <x v="42"/>
    <s v="Walter Cook"/>
    <x v="412"/>
    <n v="1"/>
    <x v="0"/>
    <x v="3"/>
    <x v="3"/>
    <x v="1"/>
    <x v="0"/>
  </r>
  <r>
    <s v="AX23465"/>
    <s v="ENX2096"/>
    <s v="A128"/>
    <s v="EMP1037"/>
    <s v="C1007"/>
    <x v="39"/>
    <n v="2"/>
    <n v="1587"/>
    <n v="1301"/>
    <n v="2602"/>
    <n v="3174"/>
    <n v="572"/>
    <s v="Product 97"/>
    <x v="12"/>
    <s v="Carl Hall"/>
    <x v="413"/>
    <n v="1"/>
    <x v="0"/>
    <x v="3"/>
    <x v="3"/>
    <x v="1"/>
    <x v="0"/>
  </r>
  <r>
    <s v="AX23930"/>
    <s v="ENX2022"/>
    <s v="A111"/>
    <s v="EMP1027"/>
    <s v="C1513"/>
    <x v="38"/>
    <n v="1"/>
    <n v="561"/>
    <n v="421"/>
    <n v="421"/>
    <n v="561"/>
    <n v="140"/>
    <s v="Product 23"/>
    <x v="54"/>
    <s v="Gary Rodriguez"/>
    <x v="414"/>
    <n v="1"/>
    <x v="0"/>
    <x v="3"/>
    <x v="3"/>
    <x v="1"/>
    <x v="0"/>
  </r>
  <r>
    <s v="AX24032"/>
    <s v="ENX2059"/>
    <s v="A139"/>
    <s v="EMP1009"/>
    <s v="C1157"/>
    <x v="36"/>
    <n v="2"/>
    <n v="1494"/>
    <n v="971"/>
    <n v="1942"/>
    <n v="2988"/>
    <n v="1046"/>
    <s v="Product 60"/>
    <x v="38"/>
    <s v="Kenneth Fields"/>
    <x v="415"/>
    <n v="1"/>
    <x v="0"/>
    <x v="3"/>
    <x v="3"/>
    <x v="1"/>
    <x v="0"/>
  </r>
  <r>
    <s v="AX10105"/>
    <s v="ENX2025"/>
    <s v="A146"/>
    <s v="EMP1015"/>
    <s v="C1607"/>
    <x v="40"/>
    <n v="2"/>
    <n v="667"/>
    <n v="387"/>
    <n v="774"/>
    <n v="1334"/>
    <n v="560"/>
    <s v="Product 26"/>
    <x v="27"/>
    <s v="Justin Lynch"/>
    <x v="211"/>
    <n v="1"/>
    <x v="0"/>
    <x v="3"/>
    <x v="3"/>
    <x v="1"/>
    <x v="2"/>
  </r>
  <r>
    <s v="AX10490"/>
    <s v="ENX2089"/>
    <s v="A169"/>
    <s v="EMP1025"/>
    <s v="C1595"/>
    <x v="40"/>
    <n v="1"/>
    <n v="2294"/>
    <n v="1399"/>
    <n v="1399"/>
    <n v="2294"/>
    <n v="895"/>
    <s v="Product 90"/>
    <x v="17"/>
    <s v="Ernest Wagner"/>
    <x v="372"/>
    <n v="1"/>
    <x v="0"/>
    <x v="3"/>
    <x v="3"/>
    <x v="1"/>
    <x v="2"/>
  </r>
  <r>
    <s v="AX10818"/>
    <s v="ENX2049"/>
    <s v="A156"/>
    <s v="EMP1007"/>
    <s v="C1183"/>
    <x v="41"/>
    <n v="1"/>
    <n v="826"/>
    <n v="562"/>
    <n v="562"/>
    <n v="826"/>
    <n v="264"/>
    <s v="Product 50"/>
    <x v="14"/>
    <s v="Jeremy Mendoza"/>
    <x v="404"/>
    <n v="1"/>
    <x v="0"/>
    <x v="3"/>
    <x v="3"/>
    <x v="1"/>
    <x v="2"/>
  </r>
  <r>
    <s v="AX11034"/>
    <s v="ENX2020"/>
    <s v="A133"/>
    <s v="EMP1039"/>
    <s v="C1307"/>
    <x v="42"/>
    <n v="1"/>
    <n v="2005"/>
    <n v="1223"/>
    <n v="1223"/>
    <n v="2005"/>
    <n v="782"/>
    <s v="Product 21"/>
    <x v="46"/>
    <s v="Eugene Holmes"/>
    <x v="416"/>
    <n v="1"/>
    <x v="0"/>
    <x v="3"/>
    <x v="3"/>
    <x v="1"/>
    <x v="2"/>
  </r>
  <r>
    <s v="AX11170"/>
    <s v="ENX2023"/>
    <s v="A105"/>
    <s v="EMP1040"/>
    <s v="C1028"/>
    <x v="41"/>
    <n v="1"/>
    <n v="818"/>
    <n v="450"/>
    <n v="450"/>
    <n v="818"/>
    <n v="368"/>
    <s v="Product 24"/>
    <x v="45"/>
    <s v="Patrick Ruiz"/>
    <x v="135"/>
    <n v="1"/>
    <x v="0"/>
    <x v="3"/>
    <x v="3"/>
    <x v="1"/>
    <x v="2"/>
  </r>
  <r>
    <s v="AX11244"/>
    <s v="ENX2001"/>
    <s v="A162"/>
    <s v="EMP1030"/>
    <s v="C1536"/>
    <x v="43"/>
    <n v="1"/>
    <n v="951"/>
    <n v="504"/>
    <n v="504"/>
    <n v="951"/>
    <n v="447"/>
    <s v="Product 2"/>
    <x v="2"/>
    <s v="Bobby Russell"/>
    <x v="74"/>
    <n v="1"/>
    <x v="0"/>
    <x v="3"/>
    <x v="3"/>
    <x v="1"/>
    <x v="2"/>
  </r>
  <r>
    <s v="AX11315"/>
    <s v="ENX2055"/>
    <s v="A157"/>
    <s v="EMP1007"/>
    <s v="C1664"/>
    <x v="41"/>
    <n v="1"/>
    <n v="2495"/>
    <n v="1896"/>
    <n v="1896"/>
    <n v="2495"/>
    <n v="599"/>
    <s v="Product 56"/>
    <x v="7"/>
    <s v="Jeremy Mendoza"/>
    <x v="12"/>
    <n v="1"/>
    <x v="0"/>
    <x v="3"/>
    <x v="3"/>
    <x v="1"/>
    <x v="2"/>
  </r>
  <r>
    <s v="AX11374"/>
    <s v="ENX2093"/>
    <s v="A125"/>
    <s v="EMP1000"/>
    <s v="C1543"/>
    <x v="42"/>
    <n v="1"/>
    <n v="112"/>
    <n v="90"/>
    <n v="90"/>
    <n v="112"/>
    <n v="22"/>
    <s v="Product 94"/>
    <x v="31"/>
    <s v="Fred Robertson"/>
    <x v="337"/>
    <n v="1"/>
    <x v="0"/>
    <x v="3"/>
    <x v="3"/>
    <x v="1"/>
    <x v="2"/>
  </r>
  <r>
    <s v="AX11481"/>
    <s v="ENX2062"/>
    <s v="A105"/>
    <s v="EMP1020"/>
    <s v="C1056"/>
    <x v="43"/>
    <n v="3"/>
    <n v="2464"/>
    <n v="1774"/>
    <n v="5322"/>
    <n v="7392"/>
    <n v="2070"/>
    <s v="Product 63"/>
    <x v="45"/>
    <s v="Ryan Butler"/>
    <x v="260"/>
    <n v="1"/>
    <x v="0"/>
    <x v="3"/>
    <x v="3"/>
    <x v="1"/>
    <x v="2"/>
  </r>
  <r>
    <s v="AX11522"/>
    <s v="ENX2036"/>
    <s v="A151"/>
    <s v="EMP1025"/>
    <s v="C1337"/>
    <x v="42"/>
    <n v="2"/>
    <n v="1582"/>
    <n v="1234"/>
    <n v="2468"/>
    <n v="3164"/>
    <n v="696"/>
    <s v="Product 37"/>
    <x v="1"/>
    <s v="Ernest Wagner"/>
    <x v="417"/>
    <n v="1"/>
    <x v="0"/>
    <x v="3"/>
    <x v="3"/>
    <x v="1"/>
    <x v="2"/>
  </r>
  <r>
    <s v="AX11706"/>
    <s v="ENX2046"/>
    <s v="A128"/>
    <s v="EMP1006"/>
    <s v="C1462"/>
    <x v="42"/>
    <n v="1"/>
    <n v="2410"/>
    <n v="1518"/>
    <n v="1518"/>
    <n v="2410"/>
    <n v="892"/>
    <s v="Product 47"/>
    <x v="12"/>
    <s v="Sean Miller"/>
    <x v="418"/>
    <n v="1"/>
    <x v="0"/>
    <x v="3"/>
    <x v="3"/>
    <x v="1"/>
    <x v="2"/>
  </r>
  <r>
    <s v="AX12217"/>
    <s v="ENX2083"/>
    <s v="A172"/>
    <s v="EMP1002"/>
    <s v="C1294"/>
    <x v="43"/>
    <n v="2"/>
    <n v="2141"/>
    <n v="1777"/>
    <n v="3554"/>
    <n v="4282"/>
    <n v="728"/>
    <s v="Product 84"/>
    <x v="36"/>
    <s v="Andrew Bowman"/>
    <x v="419"/>
    <n v="1"/>
    <x v="0"/>
    <x v="3"/>
    <x v="3"/>
    <x v="1"/>
    <x v="2"/>
  </r>
  <r>
    <s v="AX12306"/>
    <s v="ENX2093"/>
    <s v="A148"/>
    <s v="EMP1039"/>
    <s v="C1634"/>
    <x v="43"/>
    <n v="3"/>
    <n v="112"/>
    <n v="90"/>
    <n v="270"/>
    <n v="336"/>
    <n v="66"/>
    <s v="Product 94"/>
    <x v="62"/>
    <s v="Eugene Holmes"/>
    <x v="71"/>
    <n v="1"/>
    <x v="0"/>
    <x v="3"/>
    <x v="3"/>
    <x v="1"/>
    <x v="2"/>
  </r>
  <r>
    <s v="AX12361"/>
    <s v="ENX2044"/>
    <s v="A118"/>
    <s v="EMP1040"/>
    <s v="C1014"/>
    <x v="44"/>
    <n v="3"/>
    <n v="886"/>
    <n v="478"/>
    <n v="1434"/>
    <n v="2658"/>
    <n v="1224"/>
    <s v="Product 45"/>
    <x v="19"/>
    <s v="Patrick Ruiz"/>
    <x v="26"/>
    <n v="1"/>
    <x v="0"/>
    <x v="3"/>
    <x v="3"/>
    <x v="1"/>
    <x v="2"/>
  </r>
  <r>
    <s v="AX12534"/>
    <s v="ENX2016"/>
    <s v="A133"/>
    <s v="EMP1028"/>
    <s v="C1778"/>
    <x v="42"/>
    <n v="1"/>
    <n v="1351"/>
    <n v="1108"/>
    <n v="1108"/>
    <n v="1351"/>
    <n v="243"/>
    <s v="Product 17"/>
    <x v="46"/>
    <s v="Howard Sims"/>
    <x v="420"/>
    <n v="1"/>
    <x v="0"/>
    <x v="3"/>
    <x v="3"/>
    <x v="1"/>
    <x v="2"/>
  </r>
  <r>
    <s v="AX12596"/>
    <s v="ENX2064"/>
    <s v="A141"/>
    <s v="EMP1042"/>
    <s v="C1366"/>
    <x v="40"/>
    <n v="1"/>
    <n v="1414"/>
    <n v="962"/>
    <n v="962"/>
    <n v="1414"/>
    <n v="452"/>
    <s v="Product 65"/>
    <x v="23"/>
    <s v="Scott Clark"/>
    <x v="205"/>
    <n v="1"/>
    <x v="0"/>
    <x v="3"/>
    <x v="3"/>
    <x v="1"/>
    <x v="2"/>
  </r>
  <r>
    <s v="AX13060"/>
    <s v="ENX2099"/>
    <s v="A149"/>
    <s v="EMP1038"/>
    <s v="C1420"/>
    <x v="44"/>
    <n v="3"/>
    <n v="1367"/>
    <n v="984"/>
    <n v="2952"/>
    <n v="4101"/>
    <n v="1149"/>
    <s v="Product 100"/>
    <x v="59"/>
    <s v="Scott Mason"/>
    <x v="33"/>
    <n v="1"/>
    <x v="0"/>
    <x v="3"/>
    <x v="3"/>
    <x v="1"/>
    <x v="2"/>
  </r>
  <r>
    <s v="AX13449"/>
    <s v="ENX2001"/>
    <s v="A149"/>
    <s v="EMP1023"/>
    <s v="C1314"/>
    <x v="41"/>
    <n v="1"/>
    <n v="951"/>
    <n v="504"/>
    <n v="504"/>
    <n v="951"/>
    <n v="447"/>
    <s v="Product 2"/>
    <x v="59"/>
    <s v="Brian Davis"/>
    <x v="421"/>
    <n v="1"/>
    <x v="0"/>
    <x v="3"/>
    <x v="3"/>
    <x v="1"/>
    <x v="2"/>
  </r>
  <r>
    <s v="AX13949"/>
    <s v="ENX2078"/>
    <s v="A139"/>
    <s v="EMP1000"/>
    <s v="C1579"/>
    <x v="42"/>
    <n v="4"/>
    <n v="1798"/>
    <n v="971"/>
    <n v="3884"/>
    <n v="7192"/>
    <n v="3308"/>
    <s v="Product 79"/>
    <x v="38"/>
    <s v="Fred Robertson"/>
    <x v="422"/>
    <n v="1"/>
    <x v="0"/>
    <x v="3"/>
    <x v="3"/>
    <x v="1"/>
    <x v="2"/>
  </r>
  <r>
    <s v="AX14012"/>
    <s v="ENX2083"/>
    <s v="A109"/>
    <s v="EMP1028"/>
    <s v="C1020"/>
    <x v="40"/>
    <n v="1"/>
    <n v="2141"/>
    <n v="1777"/>
    <n v="1777"/>
    <n v="2141"/>
    <n v="364"/>
    <s v="Product 84"/>
    <x v="57"/>
    <s v="Howard Sims"/>
    <x v="423"/>
    <n v="1"/>
    <x v="0"/>
    <x v="3"/>
    <x v="3"/>
    <x v="1"/>
    <x v="2"/>
  </r>
  <r>
    <s v="AX14299"/>
    <s v="ENX2023"/>
    <s v="A163"/>
    <s v="EMP1012"/>
    <s v="C1152"/>
    <x v="43"/>
    <n v="1"/>
    <n v="818"/>
    <n v="450"/>
    <n v="450"/>
    <n v="818"/>
    <n v="368"/>
    <s v="Product 24"/>
    <x v="51"/>
    <s v="John Reyes"/>
    <x v="198"/>
    <n v="1"/>
    <x v="0"/>
    <x v="3"/>
    <x v="3"/>
    <x v="1"/>
    <x v="2"/>
  </r>
  <r>
    <s v="AX14315"/>
    <s v="ENX2008"/>
    <s v="A171"/>
    <s v="EMP1004"/>
    <s v="C1419"/>
    <x v="42"/>
    <n v="2"/>
    <n v="315"/>
    <n v="208"/>
    <n v="416"/>
    <n v="630"/>
    <n v="214"/>
    <s v="Product 9"/>
    <x v="0"/>
    <s v="Kenneth Bradley"/>
    <x v="163"/>
    <n v="1"/>
    <x v="0"/>
    <x v="3"/>
    <x v="3"/>
    <x v="1"/>
    <x v="2"/>
  </r>
  <r>
    <s v="AX14860"/>
    <s v="ENX2043"/>
    <s v="A132"/>
    <s v="EMP1019"/>
    <s v="C1703"/>
    <x v="44"/>
    <n v="4"/>
    <n v="545"/>
    <n v="425"/>
    <n v="1700"/>
    <n v="2180"/>
    <n v="480"/>
    <s v="Product 44"/>
    <x v="48"/>
    <s v="Roger Robertson"/>
    <x v="424"/>
    <n v="1"/>
    <x v="0"/>
    <x v="3"/>
    <x v="3"/>
    <x v="1"/>
    <x v="2"/>
  </r>
  <r>
    <s v="AX14905"/>
    <s v="ENX2045"/>
    <s v="A110"/>
    <s v="EMP1001"/>
    <s v="C1136"/>
    <x v="40"/>
    <n v="3"/>
    <n v="556"/>
    <n v="395"/>
    <n v="1185"/>
    <n v="1668"/>
    <n v="483"/>
    <s v="Product 46"/>
    <x v="63"/>
    <s v="Kevin Butler"/>
    <x v="425"/>
    <n v="1"/>
    <x v="0"/>
    <x v="3"/>
    <x v="3"/>
    <x v="1"/>
    <x v="2"/>
  </r>
  <r>
    <s v="AX15251"/>
    <s v="ENX2077"/>
    <s v="A161"/>
    <s v="EMP1001"/>
    <s v="C1621"/>
    <x v="41"/>
    <n v="1"/>
    <n v="530"/>
    <n v="424"/>
    <n v="424"/>
    <n v="530"/>
    <n v="106"/>
    <s v="Product 78"/>
    <x v="6"/>
    <s v="Kevin Butler"/>
    <x v="159"/>
    <n v="1"/>
    <x v="0"/>
    <x v="3"/>
    <x v="3"/>
    <x v="1"/>
    <x v="2"/>
  </r>
  <r>
    <s v="AX15326"/>
    <s v="ENX2056"/>
    <s v="A166"/>
    <s v="EMP1000"/>
    <s v="C1486"/>
    <x v="41"/>
    <n v="4"/>
    <n v="1635"/>
    <n v="1046"/>
    <n v="4184"/>
    <n v="6540"/>
    <n v="2356"/>
    <s v="Product 57"/>
    <x v="70"/>
    <s v="Fred Robertson"/>
    <x v="357"/>
    <n v="1"/>
    <x v="0"/>
    <x v="3"/>
    <x v="3"/>
    <x v="1"/>
    <x v="2"/>
  </r>
  <r>
    <s v="AX15460"/>
    <s v="ENX2028"/>
    <s v="A146"/>
    <s v="EMP1005"/>
    <s v="C1211"/>
    <x v="40"/>
    <n v="1"/>
    <n v="2283"/>
    <n v="1484"/>
    <n v="1484"/>
    <n v="2283"/>
    <n v="799"/>
    <s v="Product 29"/>
    <x v="27"/>
    <s v="Ryan Welch"/>
    <x v="137"/>
    <n v="1"/>
    <x v="0"/>
    <x v="3"/>
    <x v="3"/>
    <x v="1"/>
    <x v="2"/>
  </r>
  <r>
    <s v="AX15856"/>
    <s v="ENX2005"/>
    <s v="A128"/>
    <s v="EMP1006"/>
    <s v="C1707"/>
    <x v="40"/>
    <n v="1"/>
    <n v="684"/>
    <n v="561"/>
    <n v="561"/>
    <n v="684"/>
    <n v="123"/>
    <s v="Product 6"/>
    <x v="12"/>
    <s v="Sean Miller"/>
    <x v="192"/>
    <n v="1"/>
    <x v="0"/>
    <x v="3"/>
    <x v="3"/>
    <x v="1"/>
    <x v="2"/>
  </r>
  <r>
    <s v="AX15857"/>
    <s v="ENX2052"/>
    <s v="A125"/>
    <s v="EMP1000"/>
    <s v="C1277"/>
    <x v="42"/>
    <n v="2"/>
    <n v="1526"/>
    <n v="1251"/>
    <n v="2502"/>
    <n v="3052"/>
    <n v="550"/>
    <s v="Product 53"/>
    <x v="31"/>
    <s v="Fred Robertson"/>
    <x v="151"/>
    <n v="1"/>
    <x v="0"/>
    <x v="3"/>
    <x v="3"/>
    <x v="1"/>
    <x v="2"/>
  </r>
  <r>
    <s v="AX15970"/>
    <s v="ENX2073"/>
    <s v="A142"/>
    <s v="EMP1017"/>
    <s v="C1519"/>
    <x v="41"/>
    <n v="3"/>
    <n v="95"/>
    <n v="61"/>
    <n v="183"/>
    <n v="285"/>
    <n v="102"/>
    <s v="Product 74"/>
    <x v="56"/>
    <s v="Brian Hansen"/>
    <x v="426"/>
    <n v="1"/>
    <x v="0"/>
    <x v="3"/>
    <x v="3"/>
    <x v="1"/>
    <x v="2"/>
  </r>
  <r>
    <s v="AX16331"/>
    <s v="ENX2072"/>
    <s v="A109"/>
    <s v="EMP1041"/>
    <s v="C1147"/>
    <x v="43"/>
    <n v="1"/>
    <n v="1887"/>
    <n v="1378"/>
    <n v="1378"/>
    <n v="1887"/>
    <n v="509"/>
    <s v="Product 73"/>
    <x v="57"/>
    <s v="Joe Sims"/>
    <x v="427"/>
    <n v="1"/>
    <x v="0"/>
    <x v="3"/>
    <x v="3"/>
    <x v="1"/>
    <x v="2"/>
  </r>
  <r>
    <s v="AX16589"/>
    <s v="ENX2020"/>
    <s v="A108"/>
    <s v="EMP1027"/>
    <s v="C1164"/>
    <x v="40"/>
    <n v="2"/>
    <n v="2005"/>
    <n v="1223"/>
    <n v="2446"/>
    <n v="4010"/>
    <n v="1564"/>
    <s v="Product 21"/>
    <x v="49"/>
    <s v="Gary Rodriguez"/>
    <x v="149"/>
    <n v="1"/>
    <x v="0"/>
    <x v="3"/>
    <x v="3"/>
    <x v="1"/>
    <x v="2"/>
  </r>
  <r>
    <s v="AX16692"/>
    <s v="ENX2094"/>
    <s v="A116"/>
    <s v="EMP1021"/>
    <s v="C1790"/>
    <x v="43"/>
    <n v="1"/>
    <n v="771"/>
    <n v="648"/>
    <n v="648"/>
    <n v="771"/>
    <n v="123"/>
    <s v="Product 95"/>
    <x v="15"/>
    <s v="Clarence Fox"/>
    <x v="428"/>
    <n v="1"/>
    <x v="0"/>
    <x v="3"/>
    <x v="3"/>
    <x v="1"/>
    <x v="2"/>
  </r>
  <r>
    <s v="AX16985"/>
    <s v="ENX2053"/>
    <s v="A122"/>
    <s v="EMP1007"/>
    <s v="C1221"/>
    <x v="43"/>
    <n v="4"/>
    <n v="596"/>
    <n v="358"/>
    <n v="1432"/>
    <n v="2384"/>
    <n v="952"/>
    <s v="Product 54"/>
    <x v="71"/>
    <s v="Jeremy Mendoza"/>
    <x v="429"/>
    <n v="1"/>
    <x v="0"/>
    <x v="3"/>
    <x v="3"/>
    <x v="1"/>
    <x v="2"/>
  </r>
  <r>
    <s v="AX17718"/>
    <s v="ENX2063"/>
    <s v="A156"/>
    <s v="EMP1004"/>
    <s v="C1648"/>
    <x v="42"/>
    <n v="4"/>
    <n v="1708"/>
    <n v="871"/>
    <n v="3484"/>
    <n v="6832"/>
    <n v="3348"/>
    <s v="Product 64"/>
    <x v="14"/>
    <s v="Kenneth Bradley"/>
    <x v="430"/>
    <n v="1"/>
    <x v="0"/>
    <x v="3"/>
    <x v="3"/>
    <x v="1"/>
    <x v="2"/>
  </r>
  <r>
    <s v="AX17812"/>
    <s v="ENX2091"/>
    <s v="A161"/>
    <s v="EMP1007"/>
    <s v="C1543"/>
    <x v="42"/>
    <n v="3"/>
    <n v="368"/>
    <n v="294"/>
    <n v="882"/>
    <n v="1104"/>
    <n v="222"/>
    <s v="Product 92"/>
    <x v="6"/>
    <s v="Jeremy Mendoza"/>
    <x v="337"/>
    <n v="1"/>
    <x v="0"/>
    <x v="3"/>
    <x v="3"/>
    <x v="1"/>
    <x v="2"/>
  </r>
  <r>
    <s v="AX18494"/>
    <s v="ENX2071"/>
    <s v="A171"/>
    <s v="EMP1010"/>
    <s v="C1070"/>
    <x v="44"/>
    <n v="3"/>
    <n v="136"/>
    <n v="72"/>
    <n v="216"/>
    <n v="408"/>
    <n v="192"/>
    <s v="Product 72"/>
    <x v="0"/>
    <s v="Joshua Cook"/>
    <x v="48"/>
    <n v="1"/>
    <x v="0"/>
    <x v="3"/>
    <x v="3"/>
    <x v="1"/>
    <x v="2"/>
  </r>
  <r>
    <s v="AX18561"/>
    <s v="ENX2084"/>
    <s v="A137"/>
    <s v="EMP1014"/>
    <s v="C1374"/>
    <x v="42"/>
    <n v="3"/>
    <n v="1783"/>
    <n v="1230"/>
    <n v="3690"/>
    <n v="5349"/>
    <n v="1659"/>
    <s v="Product 85"/>
    <x v="68"/>
    <s v="Ronald Reed"/>
    <x v="189"/>
    <n v="1"/>
    <x v="0"/>
    <x v="3"/>
    <x v="3"/>
    <x v="1"/>
    <x v="2"/>
  </r>
  <r>
    <s v="AX18584"/>
    <s v="ENX2042"/>
    <s v="A127"/>
    <s v="EMP1015"/>
    <s v="C1263"/>
    <x v="40"/>
    <n v="1"/>
    <n v="203"/>
    <n v="154"/>
    <n v="154"/>
    <n v="203"/>
    <n v="49"/>
    <s v="Product 43"/>
    <x v="69"/>
    <s v="Justin Lynch"/>
    <x v="368"/>
    <n v="1"/>
    <x v="0"/>
    <x v="3"/>
    <x v="3"/>
    <x v="1"/>
    <x v="2"/>
  </r>
  <r>
    <s v="AX18625"/>
    <s v="ENX2080"/>
    <s v="A149"/>
    <s v="EMP1043"/>
    <s v="C1013"/>
    <x v="44"/>
    <n v="3"/>
    <n v="2353"/>
    <n v="1788"/>
    <n v="5364"/>
    <n v="7059"/>
    <n v="1695"/>
    <s v="Product 81"/>
    <x v="59"/>
    <s v="Joshua Taylor"/>
    <x v="431"/>
    <n v="1"/>
    <x v="0"/>
    <x v="3"/>
    <x v="3"/>
    <x v="1"/>
    <x v="2"/>
  </r>
  <r>
    <s v="AX19249"/>
    <s v="ENX2080"/>
    <s v="A128"/>
    <s v="EMP1036"/>
    <s v="C1578"/>
    <x v="43"/>
    <n v="1"/>
    <n v="2353"/>
    <n v="1788"/>
    <n v="1788"/>
    <n v="2353"/>
    <n v="565"/>
    <s v="Product 81"/>
    <x v="12"/>
    <s v="Robert Reed"/>
    <x v="17"/>
    <n v="1"/>
    <x v="0"/>
    <x v="3"/>
    <x v="3"/>
    <x v="1"/>
    <x v="2"/>
  </r>
  <r>
    <s v="AX19302"/>
    <s v="ENX2099"/>
    <s v="A150"/>
    <s v="EMP1032"/>
    <s v="C1051"/>
    <x v="42"/>
    <n v="1"/>
    <n v="1367"/>
    <n v="984"/>
    <n v="984"/>
    <n v="1367"/>
    <n v="383"/>
    <s v="Product 100"/>
    <x v="30"/>
    <s v="Larry Castillo"/>
    <x v="432"/>
    <n v="1"/>
    <x v="0"/>
    <x v="3"/>
    <x v="3"/>
    <x v="1"/>
    <x v="2"/>
  </r>
  <r>
    <s v="AX19511"/>
    <s v="ENX2085"/>
    <s v="A108"/>
    <s v="EMP1030"/>
    <s v="C1016"/>
    <x v="44"/>
    <n v="1"/>
    <n v="1862"/>
    <n v="1173"/>
    <n v="1173"/>
    <n v="1862"/>
    <n v="689"/>
    <s v="Product 86"/>
    <x v="49"/>
    <s v="Bobby Russell"/>
    <x v="335"/>
    <n v="1"/>
    <x v="0"/>
    <x v="3"/>
    <x v="3"/>
    <x v="1"/>
    <x v="2"/>
  </r>
  <r>
    <s v="AX19581"/>
    <s v="ENX2023"/>
    <s v="A118"/>
    <s v="EMP1019"/>
    <s v="C1571"/>
    <x v="44"/>
    <n v="1"/>
    <n v="818"/>
    <n v="450"/>
    <n v="450"/>
    <n v="818"/>
    <n v="368"/>
    <s v="Product 24"/>
    <x v="19"/>
    <s v="Roger Robertson"/>
    <x v="316"/>
    <n v="1"/>
    <x v="0"/>
    <x v="3"/>
    <x v="3"/>
    <x v="1"/>
    <x v="2"/>
  </r>
  <r>
    <s v="AX19598"/>
    <s v="ENX2046"/>
    <s v="A160"/>
    <s v="EMP1036"/>
    <s v="C1340"/>
    <x v="42"/>
    <n v="3"/>
    <n v="2410"/>
    <n v="1518"/>
    <n v="4554"/>
    <n v="7230"/>
    <n v="2676"/>
    <s v="Product 47"/>
    <x v="9"/>
    <s v="Robert Reed"/>
    <x v="433"/>
    <n v="1"/>
    <x v="0"/>
    <x v="3"/>
    <x v="3"/>
    <x v="1"/>
    <x v="2"/>
  </r>
  <r>
    <s v="AX19618"/>
    <s v="ENX2092"/>
    <s v="A141"/>
    <s v="EMP1028"/>
    <s v="C1653"/>
    <x v="42"/>
    <n v="1"/>
    <n v="1639"/>
    <n v="1295"/>
    <n v="1295"/>
    <n v="1639"/>
    <n v="344"/>
    <s v="Product 93"/>
    <x v="23"/>
    <s v="Howard Sims"/>
    <x v="187"/>
    <n v="1"/>
    <x v="0"/>
    <x v="3"/>
    <x v="3"/>
    <x v="1"/>
    <x v="2"/>
  </r>
  <r>
    <s v="AX20186"/>
    <s v="ENX2040"/>
    <s v="A145"/>
    <s v="EMP1027"/>
    <s v="C1474"/>
    <x v="44"/>
    <n v="2"/>
    <n v="1889"/>
    <n v="945"/>
    <n v="1890"/>
    <n v="3778"/>
    <n v="1888"/>
    <s v="Product 41"/>
    <x v="35"/>
    <s v="Gary Rodriguez"/>
    <x v="265"/>
    <n v="1"/>
    <x v="0"/>
    <x v="3"/>
    <x v="3"/>
    <x v="1"/>
    <x v="2"/>
  </r>
  <r>
    <s v="AX20713"/>
    <s v="ENX2012"/>
    <s v="A169"/>
    <s v="EMP1004"/>
    <s v="C1742"/>
    <x v="40"/>
    <n v="4"/>
    <n v="1353"/>
    <n v="947"/>
    <n v="3788"/>
    <n v="5412"/>
    <n v="1624"/>
    <s v="Product 13"/>
    <x v="17"/>
    <s v="Kenneth Bradley"/>
    <x v="434"/>
    <n v="1"/>
    <x v="0"/>
    <x v="3"/>
    <x v="3"/>
    <x v="1"/>
    <x v="2"/>
  </r>
  <r>
    <s v="AX20808"/>
    <s v="ENX2031"/>
    <s v="A172"/>
    <s v="EMP1029"/>
    <s v="C1474"/>
    <x v="41"/>
    <n v="4"/>
    <n v="1638"/>
    <n v="1261"/>
    <n v="5044"/>
    <n v="6552"/>
    <n v="1508"/>
    <s v="Product 32"/>
    <x v="36"/>
    <s v="Howard Gardner"/>
    <x v="265"/>
    <n v="1"/>
    <x v="0"/>
    <x v="3"/>
    <x v="3"/>
    <x v="1"/>
    <x v="2"/>
  </r>
  <r>
    <s v="AX20882"/>
    <s v="ENX2095"/>
    <s v="A114"/>
    <s v="EMP1020"/>
    <s v="C1053"/>
    <x v="40"/>
    <n v="1"/>
    <n v="1743"/>
    <n v="872"/>
    <n v="872"/>
    <n v="1743"/>
    <n v="871"/>
    <s v="Product 96"/>
    <x v="28"/>
    <s v="Ryan Butler"/>
    <x v="435"/>
    <n v="1"/>
    <x v="0"/>
    <x v="3"/>
    <x v="3"/>
    <x v="1"/>
    <x v="2"/>
  </r>
  <r>
    <s v="AX20908"/>
    <s v="ENX2070"/>
    <s v="A110"/>
    <s v="EMP1032"/>
    <s v="C1696"/>
    <x v="43"/>
    <n v="2"/>
    <n v="1671"/>
    <n v="1220"/>
    <n v="2440"/>
    <n v="3342"/>
    <n v="902"/>
    <s v="Product 71"/>
    <x v="63"/>
    <s v="Larry Castillo"/>
    <x v="436"/>
    <n v="1"/>
    <x v="0"/>
    <x v="3"/>
    <x v="3"/>
    <x v="1"/>
    <x v="2"/>
  </r>
  <r>
    <s v="AX20926"/>
    <s v="ENX2090"/>
    <s v="A133"/>
    <s v="EMP1026"/>
    <s v="C1659"/>
    <x v="43"/>
    <n v="3"/>
    <n v="1338"/>
    <n v="682"/>
    <n v="2046"/>
    <n v="4014"/>
    <n v="1968"/>
    <s v="Product 91"/>
    <x v="46"/>
    <s v="Martin Perry"/>
    <x v="51"/>
    <n v="1"/>
    <x v="0"/>
    <x v="3"/>
    <x v="3"/>
    <x v="1"/>
    <x v="2"/>
  </r>
  <r>
    <s v="AX20990"/>
    <s v="ENX2045"/>
    <s v="A148"/>
    <s v="EMP1023"/>
    <s v="C1245"/>
    <x v="44"/>
    <n v="3"/>
    <n v="556"/>
    <n v="395"/>
    <n v="1185"/>
    <n v="1668"/>
    <n v="483"/>
    <s v="Product 46"/>
    <x v="62"/>
    <s v="Brian Davis"/>
    <x v="165"/>
    <n v="1"/>
    <x v="0"/>
    <x v="3"/>
    <x v="3"/>
    <x v="1"/>
    <x v="2"/>
  </r>
  <r>
    <s v="AX21218"/>
    <s v="ENX2054"/>
    <s v="A100"/>
    <s v="EMP1014"/>
    <s v="C1593"/>
    <x v="40"/>
    <n v="3"/>
    <n v="127"/>
    <n v="79"/>
    <n v="237"/>
    <n v="381"/>
    <n v="144"/>
    <s v="Product 55"/>
    <x v="52"/>
    <s v="Ronald Reed"/>
    <x v="25"/>
    <n v="1"/>
    <x v="0"/>
    <x v="3"/>
    <x v="3"/>
    <x v="1"/>
    <x v="2"/>
  </r>
  <r>
    <s v="AX21340"/>
    <s v="ENX2079"/>
    <s v="A129"/>
    <s v="EMP1003"/>
    <s v="C1014"/>
    <x v="40"/>
    <n v="3"/>
    <n v="1725"/>
    <n v="1363"/>
    <n v="4089"/>
    <n v="5175"/>
    <n v="1086"/>
    <s v="Product 80"/>
    <x v="22"/>
    <s v="Christopher Tucker"/>
    <x v="26"/>
    <n v="1"/>
    <x v="0"/>
    <x v="3"/>
    <x v="3"/>
    <x v="1"/>
    <x v="2"/>
  </r>
  <r>
    <s v="AX21341"/>
    <s v="ENX2021"/>
    <s v="A147"/>
    <s v="EMP1034"/>
    <s v="C1400"/>
    <x v="43"/>
    <n v="1"/>
    <n v="217"/>
    <n v="171"/>
    <n v="171"/>
    <n v="217"/>
    <n v="46"/>
    <s v="Product 22"/>
    <x v="42"/>
    <s v="Arthur Mccoy"/>
    <x v="437"/>
    <n v="1"/>
    <x v="0"/>
    <x v="3"/>
    <x v="3"/>
    <x v="1"/>
    <x v="2"/>
  </r>
  <r>
    <s v="AX21386"/>
    <s v="ENX2092"/>
    <s v="A134"/>
    <s v="EMP1015"/>
    <s v="C1127"/>
    <x v="43"/>
    <n v="1"/>
    <n v="1639"/>
    <n v="1295"/>
    <n v="1295"/>
    <n v="1639"/>
    <n v="344"/>
    <s v="Product 93"/>
    <x v="41"/>
    <s v="Justin Lynch"/>
    <x v="438"/>
    <n v="1"/>
    <x v="0"/>
    <x v="3"/>
    <x v="3"/>
    <x v="1"/>
    <x v="2"/>
  </r>
  <r>
    <s v="AX21557"/>
    <s v="ENX2006"/>
    <s v="A161"/>
    <s v="EMP1024"/>
    <s v="C1660"/>
    <x v="43"/>
    <n v="1"/>
    <n v="1826"/>
    <n v="1443"/>
    <n v="1443"/>
    <n v="1826"/>
    <n v="383"/>
    <s v="Product 7"/>
    <x v="6"/>
    <s v="Ernest Wheeler"/>
    <x v="146"/>
    <n v="1"/>
    <x v="0"/>
    <x v="3"/>
    <x v="3"/>
    <x v="1"/>
    <x v="2"/>
  </r>
  <r>
    <s v="AX21908"/>
    <s v="ENX2018"/>
    <s v="A109"/>
    <s v="EMP1030"/>
    <s v="C1141"/>
    <x v="41"/>
    <n v="3"/>
    <n v="1972"/>
    <n v="1321"/>
    <n v="3963"/>
    <n v="5916"/>
    <n v="1953"/>
    <s v="Product 19"/>
    <x v="57"/>
    <s v="Bobby Russell"/>
    <x v="166"/>
    <n v="1"/>
    <x v="0"/>
    <x v="3"/>
    <x v="3"/>
    <x v="1"/>
    <x v="2"/>
  </r>
  <r>
    <s v="AX22163"/>
    <s v="ENX2029"/>
    <s v="A102"/>
    <s v="EMP1004"/>
    <s v="C1390"/>
    <x v="40"/>
    <n v="4"/>
    <n v="1848"/>
    <n v="1294"/>
    <n v="5176"/>
    <n v="7392"/>
    <n v="2216"/>
    <s v="Product 30"/>
    <x v="44"/>
    <s v="Kenneth Bradley"/>
    <x v="279"/>
    <n v="1"/>
    <x v="0"/>
    <x v="3"/>
    <x v="3"/>
    <x v="1"/>
    <x v="2"/>
  </r>
  <r>
    <s v="AX22216"/>
    <s v="ENX2015"/>
    <s v="A109"/>
    <s v="EMP1043"/>
    <s v="C1787"/>
    <x v="44"/>
    <n v="1"/>
    <n v="637"/>
    <n v="389"/>
    <n v="389"/>
    <n v="637"/>
    <n v="248"/>
    <s v="Product 16"/>
    <x v="57"/>
    <s v="Joshua Taylor"/>
    <x v="439"/>
    <n v="1"/>
    <x v="0"/>
    <x v="3"/>
    <x v="3"/>
    <x v="1"/>
    <x v="2"/>
  </r>
  <r>
    <s v="AX22631"/>
    <s v="ENX2074"/>
    <s v="A121"/>
    <s v="EMP1040"/>
    <s v="C1205"/>
    <x v="40"/>
    <n v="2"/>
    <n v="504"/>
    <n v="408"/>
    <n v="816"/>
    <n v="1008"/>
    <n v="192"/>
    <s v="Product 75"/>
    <x v="72"/>
    <s v="Patrick Ruiz"/>
    <x v="285"/>
    <n v="1"/>
    <x v="0"/>
    <x v="3"/>
    <x v="3"/>
    <x v="1"/>
    <x v="2"/>
  </r>
  <r>
    <s v="AX22824"/>
    <s v="ENX2032"/>
    <s v="A140"/>
    <s v="EMP1038"/>
    <s v="C1285"/>
    <x v="43"/>
    <n v="1"/>
    <n v="1967"/>
    <n v="1397"/>
    <n v="1397"/>
    <n v="1967"/>
    <n v="570"/>
    <s v="Product 33"/>
    <x v="18"/>
    <s v="Scott Mason"/>
    <x v="440"/>
    <n v="1"/>
    <x v="0"/>
    <x v="3"/>
    <x v="3"/>
    <x v="1"/>
    <x v="2"/>
  </r>
  <r>
    <s v="AX22842"/>
    <s v="ENX2012"/>
    <s v="A172"/>
    <s v="EMP1039"/>
    <s v="C1081"/>
    <x v="44"/>
    <n v="1"/>
    <n v="1353"/>
    <n v="947"/>
    <n v="947"/>
    <n v="1353"/>
    <n v="406"/>
    <s v="Product 13"/>
    <x v="36"/>
    <s v="Eugene Holmes"/>
    <x v="168"/>
    <n v="1"/>
    <x v="0"/>
    <x v="3"/>
    <x v="3"/>
    <x v="1"/>
    <x v="2"/>
  </r>
  <r>
    <s v="AX22896"/>
    <s v="ENX2052"/>
    <s v="A166"/>
    <s v="EMP1036"/>
    <s v="C1418"/>
    <x v="41"/>
    <n v="1"/>
    <n v="1526"/>
    <n v="1251"/>
    <n v="1251"/>
    <n v="1526"/>
    <n v="275"/>
    <s v="Product 53"/>
    <x v="70"/>
    <s v="Robert Reed"/>
    <x v="441"/>
    <n v="1"/>
    <x v="0"/>
    <x v="3"/>
    <x v="3"/>
    <x v="1"/>
    <x v="2"/>
  </r>
  <r>
    <s v="AX23061"/>
    <s v="ENX2058"/>
    <s v="A106"/>
    <s v="EMP1013"/>
    <s v="C1759"/>
    <x v="40"/>
    <n v="3"/>
    <n v="2257"/>
    <n v="1535"/>
    <n v="4605"/>
    <n v="6771"/>
    <n v="2166"/>
    <s v="Product 59"/>
    <x v="11"/>
    <s v="Charles Harper"/>
    <x v="355"/>
    <n v="1"/>
    <x v="0"/>
    <x v="3"/>
    <x v="3"/>
    <x v="1"/>
    <x v="2"/>
  </r>
  <r>
    <s v="AX23138"/>
    <s v="ENX2035"/>
    <s v="A150"/>
    <s v="EMP1017"/>
    <s v="C1404"/>
    <x v="44"/>
    <n v="1"/>
    <n v="458"/>
    <n v="376"/>
    <n v="376"/>
    <n v="458"/>
    <n v="82"/>
    <s v="Product 36"/>
    <x v="30"/>
    <s v="Brian Hansen"/>
    <x v="75"/>
    <n v="1"/>
    <x v="0"/>
    <x v="3"/>
    <x v="3"/>
    <x v="1"/>
    <x v="2"/>
  </r>
  <r>
    <s v="AX23437"/>
    <s v="ENX2048"/>
    <s v="A104"/>
    <s v="EMP1019"/>
    <s v="C1509"/>
    <x v="44"/>
    <n v="3"/>
    <n v="502"/>
    <n v="296"/>
    <n v="888"/>
    <n v="1506"/>
    <n v="618"/>
    <s v="Product 49"/>
    <x v="50"/>
    <s v="Roger Robertson"/>
    <x v="442"/>
    <n v="1"/>
    <x v="0"/>
    <x v="3"/>
    <x v="3"/>
    <x v="1"/>
    <x v="2"/>
  </r>
  <r>
    <s v="AX23873"/>
    <s v="ENX2027"/>
    <s v="A158"/>
    <s v="EMP1002"/>
    <s v="C1287"/>
    <x v="42"/>
    <n v="1"/>
    <n v="2497"/>
    <n v="1473"/>
    <n v="1473"/>
    <n v="2497"/>
    <n v="1024"/>
    <s v="Product 28"/>
    <x v="58"/>
    <s v="Andrew Bowman"/>
    <x v="443"/>
    <n v="1"/>
    <x v="0"/>
    <x v="3"/>
    <x v="3"/>
    <x v="1"/>
    <x v="2"/>
  </r>
  <r>
    <s v="AX23874"/>
    <s v="ENX2082"/>
    <s v="A161"/>
    <s v="EMP1008"/>
    <s v="C1045"/>
    <x v="40"/>
    <n v="1"/>
    <n v="1103"/>
    <n v="838"/>
    <n v="838"/>
    <n v="1103"/>
    <n v="265"/>
    <s v="Product 83"/>
    <x v="6"/>
    <s v="Carl Elliott"/>
    <x v="444"/>
    <n v="1"/>
    <x v="0"/>
    <x v="3"/>
    <x v="3"/>
    <x v="1"/>
    <x v="2"/>
  </r>
  <r>
    <s v="AX24518"/>
    <s v="ENX2069"/>
    <s v="A153"/>
    <s v="EMP1001"/>
    <s v="C1620"/>
    <x v="44"/>
    <n v="2"/>
    <n v="378"/>
    <n v="291"/>
    <n v="582"/>
    <n v="756"/>
    <n v="174"/>
    <s v="Product 70"/>
    <x v="8"/>
    <s v="Kevin Butler"/>
    <x v="445"/>
    <n v="1"/>
    <x v="0"/>
    <x v="3"/>
    <x v="3"/>
    <x v="1"/>
    <x v="2"/>
  </r>
  <r>
    <s v="AX24895"/>
    <s v="ENX2063"/>
    <s v="A137"/>
    <s v="EMP1044"/>
    <s v="C1188"/>
    <x v="44"/>
    <n v="1"/>
    <n v="1708"/>
    <n v="871"/>
    <n v="871"/>
    <n v="1708"/>
    <n v="837"/>
    <s v="Product 64"/>
    <x v="68"/>
    <s v="Martin Carr"/>
    <x v="369"/>
    <n v="1"/>
    <x v="0"/>
    <x v="3"/>
    <x v="3"/>
    <x v="1"/>
    <x v="2"/>
  </r>
  <r>
    <s v="AX10689"/>
    <s v="ENX2019"/>
    <s v="A120"/>
    <s v="EMP1016"/>
    <s v="C1728"/>
    <x v="45"/>
    <n v="4"/>
    <n v="800"/>
    <n v="536"/>
    <n v="2144"/>
    <n v="3200"/>
    <n v="1056"/>
    <s v="Product 20"/>
    <x v="20"/>
    <s v="Henry Nelson"/>
    <x v="446"/>
    <n v="1"/>
    <x v="0"/>
    <x v="4"/>
    <x v="4"/>
    <x v="1"/>
    <x v="0"/>
  </r>
  <r>
    <s v="AX10824"/>
    <s v="ENX2068"/>
    <s v="A149"/>
    <s v="EMP1028"/>
    <s v="C1212"/>
    <x v="45"/>
    <n v="1"/>
    <n v="1500"/>
    <n v="900"/>
    <n v="900"/>
    <n v="1500"/>
    <n v="600"/>
    <s v="Product 69"/>
    <x v="59"/>
    <s v="Howard Sims"/>
    <x v="220"/>
    <n v="1"/>
    <x v="0"/>
    <x v="4"/>
    <x v="4"/>
    <x v="1"/>
    <x v="0"/>
  </r>
  <r>
    <s v="AX10825"/>
    <s v="ENX2011"/>
    <s v="A102"/>
    <s v="EMP1030"/>
    <s v="C1714"/>
    <x v="46"/>
    <n v="1"/>
    <n v="530"/>
    <n v="435"/>
    <n v="435"/>
    <n v="530"/>
    <n v="95"/>
    <s v="Product 12"/>
    <x v="44"/>
    <s v="Bobby Russell"/>
    <x v="317"/>
    <n v="1"/>
    <x v="0"/>
    <x v="4"/>
    <x v="4"/>
    <x v="1"/>
    <x v="0"/>
  </r>
  <r>
    <s v="AX10833"/>
    <s v="ENX2006"/>
    <s v="A131"/>
    <s v="EMP1026"/>
    <s v="C1533"/>
    <x v="45"/>
    <n v="1"/>
    <n v="1826"/>
    <n v="1443"/>
    <n v="1443"/>
    <n v="1826"/>
    <n v="383"/>
    <s v="Product 7"/>
    <x v="32"/>
    <s v="Martin Perry"/>
    <x v="179"/>
    <n v="1"/>
    <x v="0"/>
    <x v="4"/>
    <x v="4"/>
    <x v="1"/>
    <x v="0"/>
  </r>
  <r>
    <s v="AX10966"/>
    <s v="ENX2043"/>
    <s v="A115"/>
    <s v="EMP1019"/>
    <s v="C1610"/>
    <x v="46"/>
    <n v="1"/>
    <n v="545"/>
    <n v="425"/>
    <n v="425"/>
    <n v="545"/>
    <n v="120"/>
    <s v="Product 44"/>
    <x v="33"/>
    <s v="Roger Robertson"/>
    <x v="362"/>
    <n v="1"/>
    <x v="0"/>
    <x v="4"/>
    <x v="4"/>
    <x v="1"/>
    <x v="0"/>
  </r>
  <r>
    <s v="AX11163"/>
    <s v="ENX2046"/>
    <s v="A151"/>
    <s v="EMP1003"/>
    <s v="C1419"/>
    <x v="47"/>
    <n v="1"/>
    <n v="2410"/>
    <n v="1518"/>
    <n v="1518"/>
    <n v="2410"/>
    <n v="892"/>
    <s v="Product 47"/>
    <x v="1"/>
    <s v="Christopher Tucker"/>
    <x v="163"/>
    <n v="1"/>
    <x v="0"/>
    <x v="4"/>
    <x v="4"/>
    <x v="1"/>
    <x v="0"/>
  </r>
  <r>
    <s v="AX11233"/>
    <s v="ENX2075"/>
    <s v="A107"/>
    <s v="EMP1005"/>
    <s v="C1669"/>
    <x v="47"/>
    <n v="3"/>
    <n v="400"/>
    <n v="208"/>
    <n v="624"/>
    <n v="1200"/>
    <n v="576"/>
    <s v="Product 76"/>
    <x v="21"/>
    <s v="Ryan Welch"/>
    <x v="447"/>
    <n v="1"/>
    <x v="0"/>
    <x v="4"/>
    <x v="4"/>
    <x v="1"/>
    <x v="0"/>
  </r>
  <r>
    <s v="AX11687"/>
    <s v="ENX2062"/>
    <s v="A147"/>
    <s v="EMP1015"/>
    <s v="C1415"/>
    <x v="47"/>
    <n v="3"/>
    <n v="2464"/>
    <n v="1774"/>
    <n v="5322"/>
    <n v="7392"/>
    <n v="2070"/>
    <s v="Product 63"/>
    <x v="42"/>
    <s v="Justin Lynch"/>
    <x v="352"/>
    <n v="1"/>
    <x v="0"/>
    <x v="4"/>
    <x v="4"/>
    <x v="1"/>
    <x v="0"/>
  </r>
  <r>
    <s v="AX11855"/>
    <s v="ENX2085"/>
    <s v="A123"/>
    <s v="EMP1032"/>
    <s v="C1130"/>
    <x v="47"/>
    <n v="1"/>
    <n v="1862"/>
    <n v="1173"/>
    <n v="1173"/>
    <n v="1862"/>
    <n v="689"/>
    <s v="Product 86"/>
    <x v="34"/>
    <s v="Larry Castillo"/>
    <x v="448"/>
    <n v="1"/>
    <x v="0"/>
    <x v="4"/>
    <x v="4"/>
    <x v="1"/>
    <x v="0"/>
  </r>
  <r>
    <s v="AX12012"/>
    <s v="ENX2058"/>
    <s v="A134"/>
    <s v="EMP1036"/>
    <s v="C1181"/>
    <x v="45"/>
    <n v="4"/>
    <n v="2257"/>
    <n v="1535"/>
    <n v="6140"/>
    <n v="9028"/>
    <n v="2888"/>
    <s v="Product 59"/>
    <x v="41"/>
    <s v="Robert Reed"/>
    <x v="449"/>
    <n v="1"/>
    <x v="0"/>
    <x v="4"/>
    <x v="4"/>
    <x v="1"/>
    <x v="0"/>
  </r>
  <r>
    <s v="AX12346"/>
    <s v="ENX2072"/>
    <s v="A124"/>
    <s v="EMP1042"/>
    <s v="C1365"/>
    <x v="47"/>
    <n v="1"/>
    <n v="1887"/>
    <n v="1378"/>
    <n v="1378"/>
    <n v="1887"/>
    <n v="509"/>
    <s v="Product 73"/>
    <x v="67"/>
    <s v="Scott Clark"/>
    <x v="450"/>
    <n v="1"/>
    <x v="0"/>
    <x v="4"/>
    <x v="4"/>
    <x v="1"/>
    <x v="0"/>
  </r>
  <r>
    <s v="AX12562"/>
    <s v="ENX2065"/>
    <s v="A167"/>
    <s v="EMP1033"/>
    <s v="C1010"/>
    <x v="48"/>
    <n v="1"/>
    <n v="2396"/>
    <n v="1965"/>
    <n v="1965"/>
    <n v="2396"/>
    <n v="431"/>
    <s v="Product 66"/>
    <x v="64"/>
    <s v="Jerry Perry"/>
    <x v="399"/>
    <n v="1"/>
    <x v="0"/>
    <x v="4"/>
    <x v="4"/>
    <x v="1"/>
    <x v="0"/>
  </r>
  <r>
    <s v="AX13067"/>
    <s v="ENX2096"/>
    <s v="A118"/>
    <s v="EMP1014"/>
    <s v="C1634"/>
    <x v="48"/>
    <n v="1"/>
    <n v="1587"/>
    <n v="1301"/>
    <n v="1301"/>
    <n v="1587"/>
    <n v="286"/>
    <s v="Product 97"/>
    <x v="19"/>
    <s v="Ronald Reed"/>
    <x v="71"/>
    <n v="1"/>
    <x v="0"/>
    <x v="4"/>
    <x v="4"/>
    <x v="1"/>
    <x v="0"/>
  </r>
  <r>
    <s v="AX13272"/>
    <s v="ENX2008"/>
    <s v="A164"/>
    <s v="EMP1044"/>
    <s v="C1302"/>
    <x v="48"/>
    <n v="1"/>
    <n v="315"/>
    <n v="208"/>
    <n v="208"/>
    <n v="315"/>
    <n v="107"/>
    <s v="Product 9"/>
    <x v="3"/>
    <s v="Martin Carr"/>
    <x v="451"/>
    <n v="1"/>
    <x v="0"/>
    <x v="4"/>
    <x v="4"/>
    <x v="1"/>
    <x v="0"/>
  </r>
  <r>
    <s v="AX13751"/>
    <s v="ENX2100"/>
    <s v="A107"/>
    <s v="EMP1022"/>
    <s v="C1766"/>
    <x v="45"/>
    <n v="3"/>
    <n v="799"/>
    <n v="455"/>
    <n v="1365"/>
    <n v="2397"/>
    <n v="1032"/>
    <s v="Product 101"/>
    <x v="21"/>
    <s v="Walter Cook"/>
    <x v="452"/>
    <n v="1"/>
    <x v="0"/>
    <x v="4"/>
    <x v="4"/>
    <x v="1"/>
    <x v="0"/>
  </r>
  <r>
    <s v="AX13820"/>
    <s v="ENX2021"/>
    <s v="A172"/>
    <s v="EMP1011"/>
    <s v="C1800"/>
    <x v="48"/>
    <n v="2"/>
    <n v="217"/>
    <n v="171"/>
    <n v="342"/>
    <n v="434"/>
    <n v="92"/>
    <s v="Product 22"/>
    <x v="36"/>
    <s v="Larry Marshall"/>
    <x v="319"/>
    <n v="1"/>
    <x v="0"/>
    <x v="4"/>
    <x v="4"/>
    <x v="1"/>
    <x v="0"/>
  </r>
  <r>
    <s v="AX13845"/>
    <s v="ENX2070"/>
    <s v="A148"/>
    <s v="EMP1033"/>
    <s v="C1675"/>
    <x v="48"/>
    <n v="1"/>
    <n v="1671"/>
    <n v="1220"/>
    <n v="1220"/>
    <n v="1671"/>
    <n v="451"/>
    <s v="Product 71"/>
    <x v="62"/>
    <s v="Jerry Perry"/>
    <x v="453"/>
    <n v="1"/>
    <x v="0"/>
    <x v="4"/>
    <x v="4"/>
    <x v="1"/>
    <x v="0"/>
  </r>
  <r>
    <s v="AX14544"/>
    <s v="ENX2071"/>
    <s v="A158"/>
    <s v="EMP1035"/>
    <s v="C1016"/>
    <x v="45"/>
    <n v="1"/>
    <n v="136"/>
    <n v="72"/>
    <n v="72"/>
    <n v="136"/>
    <n v="64"/>
    <s v="Product 72"/>
    <x v="58"/>
    <s v="Roger Ramos"/>
    <x v="335"/>
    <n v="1"/>
    <x v="0"/>
    <x v="4"/>
    <x v="4"/>
    <x v="1"/>
    <x v="0"/>
  </r>
  <r>
    <s v="AX14904"/>
    <s v="ENX2006"/>
    <s v="A168"/>
    <s v="EMP1001"/>
    <s v="C1556"/>
    <x v="47"/>
    <n v="1"/>
    <n v="1826"/>
    <n v="1443"/>
    <n v="1443"/>
    <n v="1826"/>
    <n v="383"/>
    <s v="Product 7"/>
    <x v="40"/>
    <s v="Kevin Butler"/>
    <x v="223"/>
    <n v="1"/>
    <x v="0"/>
    <x v="4"/>
    <x v="4"/>
    <x v="1"/>
    <x v="0"/>
  </r>
  <r>
    <s v="AX15543"/>
    <s v="ENX2056"/>
    <s v="A169"/>
    <s v="EMP1038"/>
    <s v="C1073"/>
    <x v="48"/>
    <n v="1"/>
    <n v="1635"/>
    <n v="1046"/>
    <n v="1046"/>
    <n v="1635"/>
    <n v="589"/>
    <s v="Product 57"/>
    <x v="17"/>
    <s v="Scott Mason"/>
    <x v="237"/>
    <n v="1"/>
    <x v="0"/>
    <x v="4"/>
    <x v="4"/>
    <x v="1"/>
    <x v="0"/>
  </r>
  <r>
    <s v="AX15719"/>
    <s v="ENX2012"/>
    <s v="A133"/>
    <s v="EMP1009"/>
    <s v="C1444"/>
    <x v="45"/>
    <n v="1"/>
    <n v="1353"/>
    <n v="947"/>
    <n v="947"/>
    <n v="1353"/>
    <n v="406"/>
    <s v="Product 13"/>
    <x v="46"/>
    <s v="Kenneth Fields"/>
    <x v="454"/>
    <n v="1"/>
    <x v="0"/>
    <x v="4"/>
    <x v="4"/>
    <x v="1"/>
    <x v="0"/>
  </r>
  <r>
    <s v="AX16177"/>
    <s v="ENX2014"/>
    <s v="A110"/>
    <s v="EMP1010"/>
    <s v="C1240"/>
    <x v="46"/>
    <n v="1"/>
    <n v="1809"/>
    <n v="1067"/>
    <n v="1067"/>
    <n v="1809"/>
    <n v="742"/>
    <s v="Product 15"/>
    <x v="63"/>
    <s v="Joshua Cook"/>
    <x v="455"/>
    <n v="1"/>
    <x v="0"/>
    <x v="4"/>
    <x v="4"/>
    <x v="1"/>
    <x v="0"/>
  </r>
  <r>
    <s v="AX16398"/>
    <s v="ENX2079"/>
    <s v="A157"/>
    <s v="EMP1034"/>
    <s v="C1358"/>
    <x v="45"/>
    <n v="1"/>
    <n v="1725"/>
    <n v="1363"/>
    <n v="1363"/>
    <n v="1725"/>
    <n v="362"/>
    <s v="Product 80"/>
    <x v="7"/>
    <s v="Arthur Mccoy"/>
    <x v="242"/>
    <n v="1"/>
    <x v="0"/>
    <x v="4"/>
    <x v="4"/>
    <x v="1"/>
    <x v="0"/>
  </r>
  <r>
    <s v="AX16538"/>
    <s v="ENX2096"/>
    <s v="A109"/>
    <s v="EMP1037"/>
    <s v="C1141"/>
    <x v="47"/>
    <n v="1"/>
    <n v="1587"/>
    <n v="1301"/>
    <n v="1301"/>
    <n v="1587"/>
    <n v="286"/>
    <s v="Product 97"/>
    <x v="57"/>
    <s v="Carl Hall"/>
    <x v="166"/>
    <n v="1"/>
    <x v="0"/>
    <x v="4"/>
    <x v="4"/>
    <x v="1"/>
    <x v="0"/>
  </r>
  <r>
    <s v="AX16576"/>
    <s v="ENX2020"/>
    <s v="A125"/>
    <s v="EMP1001"/>
    <s v="C1415"/>
    <x v="48"/>
    <n v="1"/>
    <n v="2005"/>
    <n v="1223"/>
    <n v="1223"/>
    <n v="2005"/>
    <n v="782"/>
    <s v="Product 21"/>
    <x v="31"/>
    <s v="Kevin Butler"/>
    <x v="352"/>
    <n v="1"/>
    <x v="0"/>
    <x v="4"/>
    <x v="4"/>
    <x v="1"/>
    <x v="0"/>
  </r>
  <r>
    <s v="AX16646"/>
    <s v="ENX2091"/>
    <s v="A167"/>
    <s v="EMP1028"/>
    <s v="C1205"/>
    <x v="47"/>
    <n v="3"/>
    <n v="368"/>
    <n v="294"/>
    <n v="882"/>
    <n v="1104"/>
    <n v="222"/>
    <s v="Product 92"/>
    <x v="64"/>
    <s v="Howard Sims"/>
    <x v="285"/>
    <n v="1"/>
    <x v="0"/>
    <x v="4"/>
    <x v="4"/>
    <x v="1"/>
    <x v="0"/>
  </r>
  <r>
    <s v="AX17466"/>
    <s v="ENX2100"/>
    <s v="A116"/>
    <s v="EMP1024"/>
    <s v="C1150"/>
    <x v="47"/>
    <n v="3"/>
    <n v="799"/>
    <n v="455"/>
    <n v="1365"/>
    <n v="2397"/>
    <n v="1032"/>
    <s v="Product 101"/>
    <x v="15"/>
    <s v="Ernest Wheeler"/>
    <x v="456"/>
    <n v="1"/>
    <x v="0"/>
    <x v="4"/>
    <x v="4"/>
    <x v="1"/>
    <x v="0"/>
  </r>
  <r>
    <s v="AX17552"/>
    <s v="ENX2076"/>
    <s v="A105"/>
    <s v="EMP1028"/>
    <s v="C1615"/>
    <x v="48"/>
    <n v="1"/>
    <n v="1522"/>
    <n v="791"/>
    <n v="791"/>
    <n v="1522"/>
    <n v="731"/>
    <s v="Product 77"/>
    <x v="45"/>
    <s v="Howard Sims"/>
    <x v="457"/>
    <n v="1"/>
    <x v="0"/>
    <x v="4"/>
    <x v="4"/>
    <x v="1"/>
    <x v="0"/>
  </r>
  <r>
    <s v="AX18210"/>
    <s v="ENX2094"/>
    <s v="A136"/>
    <s v="EMP1019"/>
    <s v="C1009"/>
    <x v="48"/>
    <n v="1"/>
    <n v="771"/>
    <n v="648"/>
    <n v="648"/>
    <n v="771"/>
    <n v="123"/>
    <s v="Product 95"/>
    <x v="43"/>
    <s v="Roger Robertson"/>
    <x v="458"/>
    <n v="1"/>
    <x v="0"/>
    <x v="4"/>
    <x v="4"/>
    <x v="1"/>
    <x v="0"/>
  </r>
  <r>
    <s v="AX18521"/>
    <s v="ENX2071"/>
    <s v="A102"/>
    <s v="EMP1038"/>
    <s v="C1152"/>
    <x v="47"/>
    <n v="1"/>
    <n v="136"/>
    <n v="72"/>
    <n v="72"/>
    <n v="136"/>
    <n v="64"/>
    <s v="Product 72"/>
    <x v="44"/>
    <s v="Scott Mason"/>
    <x v="198"/>
    <n v="1"/>
    <x v="0"/>
    <x v="4"/>
    <x v="4"/>
    <x v="1"/>
    <x v="0"/>
  </r>
  <r>
    <s v="AX18871"/>
    <s v="ENX2074"/>
    <s v="A117"/>
    <s v="EMP1003"/>
    <s v="C1042"/>
    <x v="47"/>
    <n v="2"/>
    <n v="504"/>
    <n v="408"/>
    <n v="816"/>
    <n v="1008"/>
    <n v="192"/>
    <s v="Product 75"/>
    <x v="29"/>
    <s v="Christopher Tucker"/>
    <x v="459"/>
    <n v="1"/>
    <x v="0"/>
    <x v="4"/>
    <x v="4"/>
    <x v="1"/>
    <x v="0"/>
  </r>
  <r>
    <s v="AX18947"/>
    <s v="ENX2067"/>
    <s v="A170"/>
    <s v="EMP1007"/>
    <s v="C1412"/>
    <x v="45"/>
    <n v="2"/>
    <n v="1119"/>
    <n v="683"/>
    <n v="1366"/>
    <n v="2238"/>
    <n v="872"/>
    <s v="Product 68"/>
    <x v="47"/>
    <s v="Jeremy Mendoza"/>
    <x v="460"/>
    <n v="1"/>
    <x v="0"/>
    <x v="4"/>
    <x v="4"/>
    <x v="1"/>
    <x v="0"/>
  </r>
  <r>
    <s v="AX19139"/>
    <s v="ENX2041"/>
    <s v="A107"/>
    <s v="EMP1020"/>
    <s v="C1587"/>
    <x v="45"/>
    <n v="2"/>
    <n v="1380"/>
    <n v="1090"/>
    <n v="2180"/>
    <n v="2760"/>
    <n v="580"/>
    <s v="Product 42"/>
    <x v="21"/>
    <s v="Ryan Butler"/>
    <x v="403"/>
    <n v="1"/>
    <x v="0"/>
    <x v="4"/>
    <x v="4"/>
    <x v="1"/>
    <x v="0"/>
  </r>
  <r>
    <s v="AX19195"/>
    <s v="ENX2053"/>
    <s v="A102"/>
    <s v="EMP1004"/>
    <s v="C1645"/>
    <x v="46"/>
    <n v="3"/>
    <n v="596"/>
    <n v="358"/>
    <n v="1074"/>
    <n v="1788"/>
    <n v="714"/>
    <s v="Product 54"/>
    <x v="44"/>
    <s v="Kenneth Bradley"/>
    <x v="128"/>
    <n v="1"/>
    <x v="0"/>
    <x v="4"/>
    <x v="4"/>
    <x v="1"/>
    <x v="0"/>
  </r>
  <r>
    <s v="AX19381"/>
    <s v="ENX2030"/>
    <s v="A129"/>
    <s v="EMP1036"/>
    <s v="C1487"/>
    <x v="48"/>
    <n v="4"/>
    <n v="1899"/>
    <n v="1044"/>
    <n v="4176"/>
    <n v="7596"/>
    <n v="3420"/>
    <s v="Product 31"/>
    <x v="22"/>
    <s v="Robert Reed"/>
    <x v="461"/>
    <n v="1"/>
    <x v="0"/>
    <x v="4"/>
    <x v="4"/>
    <x v="1"/>
    <x v="0"/>
  </r>
  <r>
    <s v="AX20254"/>
    <s v="ENX2047"/>
    <s v="A163"/>
    <s v="EMP1006"/>
    <s v="C1797"/>
    <x v="46"/>
    <n v="1"/>
    <n v="290"/>
    <n v="200"/>
    <n v="200"/>
    <n v="290"/>
    <n v="90"/>
    <s v="Product 48"/>
    <x v="51"/>
    <s v="Sean Miller"/>
    <x v="407"/>
    <n v="1"/>
    <x v="0"/>
    <x v="4"/>
    <x v="4"/>
    <x v="1"/>
    <x v="0"/>
  </r>
  <r>
    <s v="AX20439"/>
    <s v="ENX2018"/>
    <s v="A135"/>
    <s v="EMP1040"/>
    <s v="C1667"/>
    <x v="47"/>
    <n v="1"/>
    <n v="1972"/>
    <n v="1321"/>
    <n v="1321"/>
    <n v="1972"/>
    <n v="651"/>
    <s v="Product 19"/>
    <x v="10"/>
    <s v="Patrick Ruiz"/>
    <x v="462"/>
    <n v="1"/>
    <x v="0"/>
    <x v="4"/>
    <x v="4"/>
    <x v="1"/>
    <x v="0"/>
  </r>
  <r>
    <s v="AX20613"/>
    <s v="ENX2052"/>
    <s v="A146"/>
    <s v="EMP1042"/>
    <s v="C1608"/>
    <x v="48"/>
    <n v="4"/>
    <n v="1526"/>
    <n v="1251"/>
    <n v="5004"/>
    <n v="6104"/>
    <n v="1100"/>
    <s v="Product 53"/>
    <x v="27"/>
    <s v="Scott Clark"/>
    <x v="463"/>
    <n v="1"/>
    <x v="0"/>
    <x v="4"/>
    <x v="4"/>
    <x v="1"/>
    <x v="0"/>
  </r>
  <r>
    <s v="AX21515"/>
    <s v="ENX2024"/>
    <s v="A117"/>
    <s v="EMP1000"/>
    <s v="C1319"/>
    <x v="46"/>
    <n v="1"/>
    <n v="356"/>
    <n v="292"/>
    <n v="292"/>
    <n v="356"/>
    <n v="64"/>
    <s v="Product 25"/>
    <x v="29"/>
    <s v="Fred Robertson"/>
    <x v="464"/>
    <n v="1"/>
    <x v="0"/>
    <x v="4"/>
    <x v="4"/>
    <x v="1"/>
    <x v="0"/>
  </r>
  <r>
    <s v="AX21853"/>
    <s v="ENX2077"/>
    <s v="A112"/>
    <s v="EMP1013"/>
    <s v="C1608"/>
    <x v="47"/>
    <n v="3"/>
    <n v="530"/>
    <n v="424"/>
    <n v="1272"/>
    <n v="1590"/>
    <n v="318"/>
    <s v="Product 78"/>
    <x v="66"/>
    <s v="Charles Harper"/>
    <x v="463"/>
    <n v="1"/>
    <x v="0"/>
    <x v="4"/>
    <x v="4"/>
    <x v="1"/>
    <x v="0"/>
  </r>
  <r>
    <s v="AX22032"/>
    <s v="ENX2057"/>
    <s v="A107"/>
    <s v="EMP1006"/>
    <s v="C1126"/>
    <x v="45"/>
    <n v="1"/>
    <n v="181"/>
    <n v="130"/>
    <n v="130"/>
    <n v="181"/>
    <n v="51"/>
    <s v="Product 58"/>
    <x v="21"/>
    <s v="Sean Miller"/>
    <x v="374"/>
    <n v="1"/>
    <x v="0"/>
    <x v="4"/>
    <x v="4"/>
    <x v="1"/>
    <x v="0"/>
  </r>
  <r>
    <s v="AX22191"/>
    <s v="ENX2016"/>
    <s v="A128"/>
    <s v="EMP1017"/>
    <s v="C1178"/>
    <x v="48"/>
    <n v="1"/>
    <n v="1351"/>
    <n v="1108"/>
    <n v="1108"/>
    <n v="1351"/>
    <n v="243"/>
    <s v="Product 17"/>
    <x v="12"/>
    <s v="Brian Hansen"/>
    <x v="465"/>
    <n v="1"/>
    <x v="0"/>
    <x v="4"/>
    <x v="4"/>
    <x v="1"/>
    <x v="0"/>
  </r>
  <r>
    <s v="AX22774"/>
    <s v="ENX2070"/>
    <s v="A123"/>
    <s v="EMP1042"/>
    <s v="C1484"/>
    <x v="46"/>
    <n v="1"/>
    <n v="1671"/>
    <n v="1220"/>
    <n v="1220"/>
    <n v="1671"/>
    <n v="451"/>
    <s v="Product 71"/>
    <x v="34"/>
    <s v="Scott Clark"/>
    <x v="466"/>
    <n v="1"/>
    <x v="0"/>
    <x v="4"/>
    <x v="4"/>
    <x v="1"/>
    <x v="0"/>
  </r>
  <r>
    <s v="AX23203"/>
    <s v="ENX2063"/>
    <s v="A100"/>
    <s v="EMP1041"/>
    <s v="C1186"/>
    <x v="46"/>
    <n v="1"/>
    <n v="1708"/>
    <n v="871"/>
    <n v="871"/>
    <n v="1708"/>
    <n v="837"/>
    <s v="Product 64"/>
    <x v="52"/>
    <s v="Joe Sims"/>
    <x v="467"/>
    <n v="1"/>
    <x v="0"/>
    <x v="4"/>
    <x v="4"/>
    <x v="1"/>
    <x v="0"/>
  </r>
  <r>
    <s v="AX23248"/>
    <s v="ENX2051"/>
    <s v="A119"/>
    <s v="EMP1039"/>
    <s v="C1133"/>
    <x v="46"/>
    <n v="1"/>
    <n v="1077"/>
    <n v="732"/>
    <n v="732"/>
    <n v="1077"/>
    <n v="345"/>
    <s v="Product 52"/>
    <x v="16"/>
    <s v="Eugene Holmes"/>
    <x v="468"/>
    <n v="1"/>
    <x v="0"/>
    <x v="4"/>
    <x v="4"/>
    <x v="1"/>
    <x v="0"/>
  </r>
  <r>
    <s v="AX23326"/>
    <s v="ENX2085"/>
    <s v="A145"/>
    <s v="EMP1043"/>
    <s v="C1273"/>
    <x v="46"/>
    <n v="2"/>
    <n v="1862"/>
    <n v="1173"/>
    <n v="2346"/>
    <n v="3724"/>
    <n v="1378"/>
    <s v="Product 86"/>
    <x v="35"/>
    <s v="Joshua Taylor"/>
    <x v="469"/>
    <n v="1"/>
    <x v="0"/>
    <x v="4"/>
    <x v="4"/>
    <x v="1"/>
    <x v="0"/>
  </r>
  <r>
    <s v="AX23511"/>
    <s v="ENX2092"/>
    <s v="A106"/>
    <s v="EMP1028"/>
    <s v="C1582"/>
    <x v="48"/>
    <n v="1"/>
    <n v="1639"/>
    <n v="1295"/>
    <n v="1295"/>
    <n v="1639"/>
    <n v="344"/>
    <s v="Product 93"/>
    <x v="11"/>
    <s v="Howard Sims"/>
    <x v="259"/>
    <n v="1"/>
    <x v="0"/>
    <x v="4"/>
    <x v="4"/>
    <x v="1"/>
    <x v="0"/>
  </r>
  <r>
    <s v="AX23765"/>
    <s v="ENX2017"/>
    <s v="A137"/>
    <s v="EMP1035"/>
    <s v="C1765"/>
    <x v="45"/>
    <n v="1"/>
    <n v="35"/>
    <n v="22"/>
    <n v="22"/>
    <n v="35"/>
    <n v="13"/>
    <s v="Product 18"/>
    <x v="68"/>
    <s v="Roger Ramos"/>
    <x v="470"/>
    <n v="1"/>
    <x v="0"/>
    <x v="4"/>
    <x v="4"/>
    <x v="1"/>
    <x v="0"/>
  </r>
  <r>
    <s v="AX24785"/>
    <s v="ENX2000"/>
    <s v="A120"/>
    <s v="EMP1000"/>
    <s v="C1637"/>
    <x v="48"/>
    <n v="3"/>
    <n v="2241"/>
    <n v="1367"/>
    <n v="4101"/>
    <n v="6723"/>
    <n v="2622"/>
    <s v="Product 1"/>
    <x v="20"/>
    <s v="Fred Robertson"/>
    <x v="326"/>
    <n v="1"/>
    <x v="0"/>
    <x v="4"/>
    <x v="4"/>
    <x v="1"/>
    <x v="0"/>
  </r>
  <r>
    <s v="AX24908"/>
    <s v="ENX2092"/>
    <s v="A101"/>
    <s v="EMP1013"/>
    <s v="C1373"/>
    <x v="46"/>
    <n v="1"/>
    <n v="1639"/>
    <n v="1295"/>
    <n v="1295"/>
    <n v="1639"/>
    <n v="344"/>
    <s v="Product 93"/>
    <x v="60"/>
    <s v="Charles Harper"/>
    <x v="471"/>
    <n v="1"/>
    <x v="0"/>
    <x v="4"/>
    <x v="4"/>
    <x v="1"/>
    <x v="0"/>
  </r>
  <r>
    <s v="AX10129"/>
    <s v="ENX2083"/>
    <s v="A129"/>
    <s v="EMP1026"/>
    <s v="C1013"/>
    <x v="49"/>
    <n v="1"/>
    <n v="2141"/>
    <n v="1777"/>
    <n v="1777"/>
    <n v="2141"/>
    <n v="364"/>
    <s v="Product 84"/>
    <x v="22"/>
    <s v="Martin Perry"/>
    <x v="431"/>
    <n v="1"/>
    <x v="0"/>
    <x v="4"/>
    <x v="4"/>
    <x v="1"/>
    <x v="2"/>
  </r>
  <r>
    <s v="AX10462"/>
    <s v="ENX2034"/>
    <s v="A113"/>
    <s v="EMP1003"/>
    <s v="C1188"/>
    <x v="49"/>
    <n v="1"/>
    <n v="871"/>
    <n v="540"/>
    <n v="540"/>
    <n v="871"/>
    <n v="331"/>
    <s v="Product 35"/>
    <x v="73"/>
    <s v="Christopher Tucker"/>
    <x v="369"/>
    <n v="1"/>
    <x v="0"/>
    <x v="4"/>
    <x v="4"/>
    <x v="1"/>
    <x v="2"/>
  </r>
  <r>
    <s v="AX10469"/>
    <s v="ENX2031"/>
    <s v="A120"/>
    <s v="EMP1037"/>
    <s v="C1736"/>
    <x v="50"/>
    <n v="3"/>
    <n v="1638"/>
    <n v="1261"/>
    <n v="3783"/>
    <n v="4914"/>
    <n v="1131"/>
    <s v="Product 32"/>
    <x v="20"/>
    <s v="Carl Hall"/>
    <x v="472"/>
    <n v="1"/>
    <x v="0"/>
    <x v="4"/>
    <x v="4"/>
    <x v="1"/>
    <x v="2"/>
  </r>
  <r>
    <s v="AX10713"/>
    <s v="ENX2025"/>
    <s v="A142"/>
    <s v="EMP1036"/>
    <s v="C1666"/>
    <x v="49"/>
    <n v="1"/>
    <n v="667"/>
    <n v="387"/>
    <n v="387"/>
    <n v="667"/>
    <n v="280"/>
    <s v="Product 26"/>
    <x v="56"/>
    <s v="Robert Reed"/>
    <x v="473"/>
    <n v="1"/>
    <x v="0"/>
    <x v="4"/>
    <x v="4"/>
    <x v="1"/>
    <x v="2"/>
  </r>
  <r>
    <s v="AX10952"/>
    <s v="ENX2055"/>
    <s v="A106"/>
    <s v="EMP1029"/>
    <s v="C1425"/>
    <x v="50"/>
    <n v="1"/>
    <n v="2495"/>
    <n v="1896"/>
    <n v="1896"/>
    <n v="2495"/>
    <n v="599"/>
    <s v="Product 56"/>
    <x v="11"/>
    <s v="Howard Gardner"/>
    <x v="474"/>
    <n v="1"/>
    <x v="0"/>
    <x v="4"/>
    <x v="4"/>
    <x v="1"/>
    <x v="2"/>
  </r>
  <r>
    <s v="AX11004"/>
    <s v="ENX2097"/>
    <s v="A144"/>
    <s v="EMP1022"/>
    <s v="C1140"/>
    <x v="51"/>
    <n v="1"/>
    <n v="1052"/>
    <n v="589"/>
    <n v="589"/>
    <n v="1052"/>
    <n v="463"/>
    <s v="Product 98"/>
    <x v="65"/>
    <s v="Walter Cook"/>
    <x v="40"/>
    <n v="1"/>
    <x v="0"/>
    <x v="4"/>
    <x v="4"/>
    <x v="1"/>
    <x v="2"/>
  </r>
  <r>
    <s v="AX11267"/>
    <s v="ENX2027"/>
    <s v="A127"/>
    <s v="EMP1007"/>
    <s v="C1259"/>
    <x v="52"/>
    <n v="2"/>
    <n v="2497"/>
    <n v="1473"/>
    <n v="2946"/>
    <n v="4994"/>
    <n v="2048"/>
    <s v="Product 28"/>
    <x v="69"/>
    <s v="Jeremy Mendoza"/>
    <x v="475"/>
    <n v="1"/>
    <x v="0"/>
    <x v="4"/>
    <x v="4"/>
    <x v="1"/>
    <x v="2"/>
  </r>
  <r>
    <s v="AX11842"/>
    <s v="ENX2027"/>
    <s v="A118"/>
    <s v="EMP1034"/>
    <s v="C1286"/>
    <x v="51"/>
    <n v="1"/>
    <n v="2497"/>
    <n v="1473"/>
    <n v="1473"/>
    <n v="2497"/>
    <n v="1024"/>
    <s v="Product 28"/>
    <x v="19"/>
    <s v="Arthur Mccoy"/>
    <x v="308"/>
    <n v="1"/>
    <x v="0"/>
    <x v="4"/>
    <x v="4"/>
    <x v="1"/>
    <x v="2"/>
  </r>
  <r>
    <s v="AX12134"/>
    <s v="ENX2033"/>
    <s v="A152"/>
    <s v="EMP1016"/>
    <s v="C1175"/>
    <x v="49"/>
    <n v="1"/>
    <n v="2182"/>
    <n v="1200"/>
    <n v="1200"/>
    <n v="2182"/>
    <n v="982"/>
    <s v="Product 34"/>
    <x v="26"/>
    <s v="Henry Nelson"/>
    <x v="89"/>
    <n v="1"/>
    <x v="0"/>
    <x v="4"/>
    <x v="4"/>
    <x v="1"/>
    <x v="2"/>
  </r>
  <r>
    <s v="AX12452"/>
    <s v="ENX2083"/>
    <s v="A116"/>
    <s v="EMP1034"/>
    <s v="C1446"/>
    <x v="49"/>
    <n v="4"/>
    <n v="2141"/>
    <n v="1777"/>
    <n v="7108"/>
    <n v="8564"/>
    <n v="1456"/>
    <s v="Product 84"/>
    <x v="15"/>
    <s v="Arthur Mccoy"/>
    <x v="345"/>
    <n v="1"/>
    <x v="0"/>
    <x v="4"/>
    <x v="4"/>
    <x v="1"/>
    <x v="2"/>
  </r>
  <r>
    <s v="AX12981"/>
    <s v="ENX2093"/>
    <s v="A154"/>
    <s v="EMP1026"/>
    <s v="C1435"/>
    <x v="50"/>
    <n v="4"/>
    <n v="112"/>
    <n v="90"/>
    <n v="360"/>
    <n v="448"/>
    <n v="88"/>
    <s v="Product 94"/>
    <x v="24"/>
    <s v="Martin Perry"/>
    <x v="476"/>
    <n v="1"/>
    <x v="0"/>
    <x v="4"/>
    <x v="4"/>
    <x v="1"/>
    <x v="2"/>
  </r>
  <r>
    <s v="AX13197"/>
    <s v="ENX2098"/>
    <s v="A132"/>
    <s v="EMP1042"/>
    <s v="C1364"/>
    <x v="50"/>
    <n v="2"/>
    <n v="1178"/>
    <n v="683"/>
    <n v="1366"/>
    <n v="2356"/>
    <n v="990"/>
    <s v="Product 99"/>
    <x v="48"/>
    <s v="Scott Clark"/>
    <x v="477"/>
    <n v="1"/>
    <x v="0"/>
    <x v="4"/>
    <x v="4"/>
    <x v="1"/>
    <x v="2"/>
  </r>
  <r>
    <s v="AX13230"/>
    <s v="ENX2002"/>
    <s v="A109"/>
    <s v="EMP1009"/>
    <s v="C1562"/>
    <x v="49"/>
    <n v="4"/>
    <n v="847"/>
    <n v="534"/>
    <n v="2136"/>
    <n v="3388"/>
    <n v="1252"/>
    <s v="Product 3"/>
    <x v="57"/>
    <s v="Kenneth Fields"/>
    <x v="312"/>
    <n v="1"/>
    <x v="0"/>
    <x v="4"/>
    <x v="4"/>
    <x v="1"/>
    <x v="2"/>
  </r>
  <r>
    <s v="AX13278"/>
    <s v="ENX2000"/>
    <s v="A135"/>
    <s v="EMP1007"/>
    <s v="C1326"/>
    <x v="52"/>
    <n v="1"/>
    <n v="2241"/>
    <n v="1367"/>
    <n v="1367"/>
    <n v="2241"/>
    <n v="874"/>
    <s v="Product 1"/>
    <x v="10"/>
    <s v="Jeremy Mendoza"/>
    <x v="98"/>
    <n v="1"/>
    <x v="0"/>
    <x v="4"/>
    <x v="4"/>
    <x v="1"/>
    <x v="2"/>
  </r>
  <r>
    <s v="AX13438"/>
    <s v="ENX2020"/>
    <s v="A146"/>
    <s v="EMP1032"/>
    <s v="C1766"/>
    <x v="49"/>
    <n v="1"/>
    <n v="2005"/>
    <n v="1223"/>
    <n v="1223"/>
    <n v="2005"/>
    <n v="782"/>
    <s v="Product 21"/>
    <x v="27"/>
    <s v="Larry Castillo"/>
    <x v="452"/>
    <n v="1"/>
    <x v="0"/>
    <x v="4"/>
    <x v="4"/>
    <x v="1"/>
    <x v="2"/>
  </r>
  <r>
    <s v="AX13716"/>
    <s v="ENX2064"/>
    <s v="A119"/>
    <s v="EMP1029"/>
    <s v="C1144"/>
    <x v="49"/>
    <n v="4"/>
    <n v="1414"/>
    <n v="962"/>
    <n v="3848"/>
    <n v="5656"/>
    <n v="1808"/>
    <s v="Product 65"/>
    <x v="16"/>
    <s v="Howard Gardner"/>
    <x v="478"/>
    <n v="1"/>
    <x v="0"/>
    <x v="4"/>
    <x v="4"/>
    <x v="1"/>
    <x v="2"/>
  </r>
  <r>
    <s v="AX13806"/>
    <s v="ENX2036"/>
    <s v="A161"/>
    <s v="EMP1009"/>
    <s v="C1239"/>
    <x v="51"/>
    <n v="1"/>
    <n v="1582"/>
    <n v="1234"/>
    <n v="1234"/>
    <n v="1582"/>
    <n v="348"/>
    <s v="Product 37"/>
    <x v="6"/>
    <s v="Kenneth Fields"/>
    <x v="479"/>
    <n v="1"/>
    <x v="0"/>
    <x v="4"/>
    <x v="4"/>
    <x v="1"/>
    <x v="2"/>
  </r>
  <r>
    <s v="AX13878"/>
    <s v="ENX2083"/>
    <s v="A110"/>
    <s v="EMP1022"/>
    <s v="C1480"/>
    <x v="51"/>
    <n v="1"/>
    <n v="2141"/>
    <n v="1777"/>
    <n v="1777"/>
    <n v="2141"/>
    <n v="364"/>
    <s v="Product 84"/>
    <x v="63"/>
    <s v="Walter Cook"/>
    <x v="64"/>
    <n v="1"/>
    <x v="0"/>
    <x v="4"/>
    <x v="4"/>
    <x v="1"/>
    <x v="2"/>
  </r>
  <r>
    <s v="AX13919"/>
    <s v="ENX2031"/>
    <s v="A125"/>
    <s v="EMP1009"/>
    <s v="C1320"/>
    <x v="50"/>
    <n v="2"/>
    <n v="1638"/>
    <n v="1261"/>
    <n v="2522"/>
    <n v="3276"/>
    <n v="754"/>
    <s v="Product 32"/>
    <x v="31"/>
    <s v="Kenneth Fields"/>
    <x v="480"/>
    <n v="1"/>
    <x v="0"/>
    <x v="4"/>
    <x v="4"/>
    <x v="1"/>
    <x v="2"/>
  </r>
  <r>
    <s v="AX14152"/>
    <s v="ENX2002"/>
    <s v="A165"/>
    <s v="EMP1034"/>
    <s v="C1537"/>
    <x v="50"/>
    <n v="1"/>
    <n v="847"/>
    <n v="534"/>
    <n v="534"/>
    <n v="847"/>
    <n v="313"/>
    <s v="Product 3"/>
    <x v="55"/>
    <s v="Arthur Mccoy"/>
    <x v="141"/>
    <n v="1"/>
    <x v="0"/>
    <x v="4"/>
    <x v="4"/>
    <x v="1"/>
    <x v="2"/>
  </r>
  <r>
    <s v="AX15553"/>
    <s v="ENX2055"/>
    <s v="A144"/>
    <s v="EMP1024"/>
    <s v="C1090"/>
    <x v="52"/>
    <n v="2"/>
    <n v="2495"/>
    <n v="1896"/>
    <n v="3792"/>
    <n v="4990"/>
    <n v="1198"/>
    <s v="Product 56"/>
    <x v="65"/>
    <s v="Ernest Wheeler"/>
    <x v="0"/>
    <n v="1"/>
    <x v="0"/>
    <x v="4"/>
    <x v="4"/>
    <x v="1"/>
    <x v="2"/>
  </r>
  <r>
    <s v="AX15584"/>
    <s v="ENX2091"/>
    <s v="A152"/>
    <s v="EMP1009"/>
    <s v="C1167"/>
    <x v="51"/>
    <n v="3"/>
    <n v="368"/>
    <n v="294"/>
    <n v="882"/>
    <n v="1104"/>
    <n v="222"/>
    <s v="Product 92"/>
    <x v="26"/>
    <s v="Kenneth Fields"/>
    <x v="481"/>
    <n v="1"/>
    <x v="0"/>
    <x v="4"/>
    <x v="4"/>
    <x v="1"/>
    <x v="2"/>
  </r>
  <r>
    <s v="AX15678"/>
    <s v="ENX2017"/>
    <s v="A119"/>
    <s v="EMP1040"/>
    <s v="C1787"/>
    <x v="51"/>
    <n v="1"/>
    <n v="35"/>
    <n v="22"/>
    <n v="22"/>
    <n v="35"/>
    <n v="13"/>
    <s v="Product 18"/>
    <x v="16"/>
    <s v="Patrick Ruiz"/>
    <x v="439"/>
    <n v="1"/>
    <x v="0"/>
    <x v="4"/>
    <x v="4"/>
    <x v="1"/>
    <x v="2"/>
  </r>
  <r>
    <s v="AX15922"/>
    <s v="ENX2061"/>
    <s v="A103"/>
    <s v="EMP1013"/>
    <s v="C1648"/>
    <x v="50"/>
    <n v="2"/>
    <n v="913"/>
    <n v="584"/>
    <n v="1168"/>
    <n v="1826"/>
    <n v="658"/>
    <s v="Product 62"/>
    <x v="61"/>
    <s v="Charles Harper"/>
    <x v="430"/>
    <n v="1"/>
    <x v="0"/>
    <x v="4"/>
    <x v="4"/>
    <x v="1"/>
    <x v="2"/>
  </r>
  <r>
    <s v="AX16039"/>
    <s v="ENX2002"/>
    <s v="A117"/>
    <s v="EMP1001"/>
    <s v="C1618"/>
    <x v="49"/>
    <n v="4"/>
    <n v="847"/>
    <n v="534"/>
    <n v="2136"/>
    <n v="3388"/>
    <n v="1252"/>
    <s v="Product 3"/>
    <x v="29"/>
    <s v="Kevin Butler"/>
    <x v="292"/>
    <n v="1"/>
    <x v="0"/>
    <x v="4"/>
    <x v="4"/>
    <x v="1"/>
    <x v="2"/>
  </r>
  <r>
    <s v="AX16429"/>
    <s v="ENX2095"/>
    <s v="A151"/>
    <s v="EMP1013"/>
    <s v="C1377"/>
    <x v="51"/>
    <n v="1"/>
    <n v="1743"/>
    <n v="872"/>
    <n v="872"/>
    <n v="1743"/>
    <n v="871"/>
    <s v="Product 96"/>
    <x v="1"/>
    <s v="Charles Harper"/>
    <x v="214"/>
    <n v="1"/>
    <x v="0"/>
    <x v="4"/>
    <x v="4"/>
    <x v="1"/>
    <x v="2"/>
  </r>
  <r>
    <s v="AX16654"/>
    <s v="ENX2099"/>
    <s v="A114"/>
    <s v="EMP1002"/>
    <s v="C1152"/>
    <x v="51"/>
    <n v="2"/>
    <n v="1367"/>
    <n v="984"/>
    <n v="1968"/>
    <n v="2734"/>
    <n v="766"/>
    <s v="Product 100"/>
    <x v="28"/>
    <s v="Andrew Bowman"/>
    <x v="198"/>
    <n v="1"/>
    <x v="0"/>
    <x v="4"/>
    <x v="4"/>
    <x v="1"/>
    <x v="2"/>
  </r>
  <r>
    <s v="AX16726"/>
    <s v="ENX2090"/>
    <s v="A134"/>
    <s v="EMP1017"/>
    <s v="C1045"/>
    <x v="49"/>
    <n v="2"/>
    <n v="1338"/>
    <n v="682"/>
    <n v="1364"/>
    <n v="2676"/>
    <n v="1312"/>
    <s v="Product 91"/>
    <x v="41"/>
    <s v="Brian Hansen"/>
    <x v="444"/>
    <n v="1"/>
    <x v="0"/>
    <x v="4"/>
    <x v="4"/>
    <x v="1"/>
    <x v="2"/>
  </r>
  <r>
    <s v="AX17031"/>
    <s v="ENX2090"/>
    <s v="A168"/>
    <s v="EMP1035"/>
    <s v="C1255"/>
    <x v="49"/>
    <n v="1"/>
    <n v="1338"/>
    <n v="682"/>
    <n v="682"/>
    <n v="1338"/>
    <n v="656"/>
    <s v="Product 91"/>
    <x v="40"/>
    <s v="Roger Ramos"/>
    <x v="111"/>
    <n v="1"/>
    <x v="0"/>
    <x v="4"/>
    <x v="4"/>
    <x v="1"/>
    <x v="2"/>
  </r>
  <r>
    <s v="AX17461"/>
    <s v="ENX2098"/>
    <s v="A109"/>
    <s v="EMP1007"/>
    <s v="C1331"/>
    <x v="52"/>
    <n v="1"/>
    <n v="1178"/>
    <n v="683"/>
    <n v="683"/>
    <n v="1178"/>
    <n v="495"/>
    <s v="Product 99"/>
    <x v="57"/>
    <s v="Jeremy Mendoza"/>
    <x v="482"/>
    <n v="1"/>
    <x v="0"/>
    <x v="4"/>
    <x v="4"/>
    <x v="1"/>
    <x v="2"/>
  </r>
  <r>
    <s v="AX18004"/>
    <s v="ENX2013"/>
    <s v="A104"/>
    <s v="EMP1010"/>
    <s v="C1310"/>
    <x v="50"/>
    <n v="1"/>
    <n v="368"/>
    <n v="269"/>
    <n v="269"/>
    <n v="368"/>
    <n v="99"/>
    <s v="Product 14"/>
    <x v="50"/>
    <s v="Joshua Cook"/>
    <x v="169"/>
    <n v="1"/>
    <x v="0"/>
    <x v="4"/>
    <x v="4"/>
    <x v="1"/>
    <x v="2"/>
  </r>
  <r>
    <s v="AX18170"/>
    <s v="ENX2085"/>
    <s v="A156"/>
    <s v="EMP1044"/>
    <s v="C1103"/>
    <x v="51"/>
    <n v="4"/>
    <n v="1862"/>
    <n v="1173"/>
    <n v="4692"/>
    <n v="7448"/>
    <n v="2756"/>
    <s v="Product 86"/>
    <x v="14"/>
    <s v="Martin Carr"/>
    <x v="336"/>
    <n v="1"/>
    <x v="0"/>
    <x v="4"/>
    <x v="4"/>
    <x v="1"/>
    <x v="2"/>
  </r>
  <r>
    <s v="AX18251"/>
    <s v="ENX2021"/>
    <s v="A136"/>
    <s v="EMP1015"/>
    <s v="C1021"/>
    <x v="50"/>
    <n v="3"/>
    <n v="217"/>
    <n v="171"/>
    <n v="513"/>
    <n v="651"/>
    <n v="138"/>
    <s v="Product 22"/>
    <x v="43"/>
    <s v="Justin Lynch"/>
    <x v="246"/>
    <n v="1"/>
    <x v="0"/>
    <x v="4"/>
    <x v="4"/>
    <x v="1"/>
    <x v="2"/>
  </r>
  <r>
    <s v="AX18679"/>
    <s v="ENX2092"/>
    <s v="A152"/>
    <s v="EMP1031"/>
    <s v="C1478"/>
    <x v="50"/>
    <n v="1"/>
    <n v="1639"/>
    <n v="1295"/>
    <n v="1295"/>
    <n v="1639"/>
    <n v="344"/>
    <s v="Product 93"/>
    <x v="26"/>
    <s v="Brian Thomas"/>
    <x v="483"/>
    <n v="1"/>
    <x v="0"/>
    <x v="4"/>
    <x v="4"/>
    <x v="1"/>
    <x v="2"/>
  </r>
  <r>
    <s v="AX19105"/>
    <s v="ENX2068"/>
    <s v="A149"/>
    <s v="EMP1012"/>
    <s v="C1237"/>
    <x v="49"/>
    <n v="1"/>
    <n v="1500"/>
    <n v="900"/>
    <n v="900"/>
    <n v="1500"/>
    <n v="600"/>
    <s v="Product 69"/>
    <x v="59"/>
    <s v="John Reyes"/>
    <x v="484"/>
    <n v="1"/>
    <x v="0"/>
    <x v="4"/>
    <x v="4"/>
    <x v="1"/>
    <x v="2"/>
  </r>
  <r>
    <s v="AX19647"/>
    <s v="ENX2015"/>
    <s v="A170"/>
    <s v="EMP1030"/>
    <s v="C1401"/>
    <x v="51"/>
    <n v="3"/>
    <n v="637"/>
    <n v="389"/>
    <n v="1167"/>
    <n v="1911"/>
    <n v="744"/>
    <s v="Product 16"/>
    <x v="47"/>
    <s v="Bobby Russell"/>
    <x v="36"/>
    <n v="1"/>
    <x v="0"/>
    <x v="4"/>
    <x v="4"/>
    <x v="1"/>
    <x v="2"/>
  </r>
  <r>
    <s v="AX19848"/>
    <s v="ENX2045"/>
    <s v="A158"/>
    <s v="EMP1012"/>
    <s v="C1569"/>
    <x v="52"/>
    <n v="1"/>
    <n v="556"/>
    <n v="395"/>
    <n v="395"/>
    <n v="556"/>
    <n v="161"/>
    <s v="Product 46"/>
    <x v="58"/>
    <s v="John Reyes"/>
    <x v="485"/>
    <n v="1"/>
    <x v="0"/>
    <x v="4"/>
    <x v="4"/>
    <x v="1"/>
    <x v="2"/>
  </r>
  <r>
    <s v="AX19856"/>
    <s v="ENX2030"/>
    <s v="A161"/>
    <s v="EMP1036"/>
    <s v="C1047"/>
    <x v="51"/>
    <n v="1"/>
    <n v="1899"/>
    <n v="1044"/>
    <n v="1044"/>
    <n v="1899"/>
    <n v="855"/>
    <s v="Product 31"/>
    <x v="6"/>
    <s v="Robert Reed"/>
    <x v="486"/>
    <n v="1"/>
    <x v="0"/>
    <x v="4"/>
    <x v="4"/>
    <x v="1"/>
    <x v="2"/>
  </r>
  <r>
    <s v="AX19986"/>
    <s v="ENX2006"/>
    <s v="A148"/>
    <s v="EMP1019"/>
    <s v="C1213"/>
    <x v="51"/>
    <n v="2"/>
    <n v="1826"/>
    <n v="1443"/>
    <n v="2886"/>
    <n v="3652"/>
    <n v="766"/>
    <s v="Product 7"/>
    <x v="62"/>
    <s v="Roger Robertson"/>
    <x v="487"/>
    <n v="1"/>
    <x v="0"/>
    <x v="4"/>
    <x v="4"/>
    <x v="1"/>
    <x v="2"/>
  </r>
  <r>
    <s v="AX20575"/>
    <s v="ENX2085"/>
    <s v="A112"/>
    <s v="EMP1035"/>
    <s v="C1328"/>
    <x v="51"/>
    <n v="1"/>
    <n v="1862"/>
    <n v="1173"/>
    <n v="1173"/>
    <n v="1862"/>
    <n v="689"/>
    <s v="Product 86"/>
    <x v="66"/>
    <s v="Roger Ramos"/>
    <x v="488"/>
    <n v="1"/>
    <x v="0"/>
    <x v="4"/>
    <x v="4"/>
    <x v="1"/>
    <x v="2"/>
  </r>
  <r>
    <s v="AX20724"/>
    <s v="ENX2005"/>
    <s v="A103"/>
    <s v="EMP1016"/>
    <s v="C1127"/>
    <x v="51"/>
    <n v="2"/>
    <n v="684"/>
    <n v="561"/>
    <n v="1122"/>
    <n v="1368"/>
    <n v="246"/>
    <s v="Product 6"/>
    <x v="61"/>
    <s v="Henry Nelson"/>
    <x v="438"/>
    <n v="1"/>
    <x v="0"/>
    <x v="4"/>
    <x v="4"/>
    <x v="1"/>
    <x v="2"/>
  </r>
  <r>
    <s v="AX22080"/>
    <s v="ENX2079"/>
    <s v="A171"/>
    <s v="EMP1002"/>
    <s v="C1281"/>
    <x v="52"/>
    <n v="1"/>
    <n v="1725"/>
    <n v="1363"/>
    <n v="1363"/>
    <n v="1725"/>
    <n v="362"/>
    <s v="Product 80"/>
    <x v="0"/>
    <s v="Andrew Bowman"/>
    <x v="216"/>
    <n v="1"/>
    <x v="0"/>
    <x v="4"/>
    <x v="4"/>
    <x v="1"/>
    <x v="2"/>
  </r>
  <r>
    <s v="AX23325"/>
    <s v="ENX2087"/>
    <s v="A164"/>
    <s v="EMP1035"/>
    <s v="C1145"/>
    <x v="51"/>
    <n v="1"/>
    <n v="1022"/>
    <n v="818"/>
    <n v="818"/>
    <n v="1022"/>
    <n v="204"/>
    <s v="Product 88"/>
    <x v="3"/>
    <s v="Roger Ramos"/>
    <x v="489"/>
    <n v="1"/>
    <x v="0"/>
    <x v="4"/>
    <x v="4"/>
    <x v="1"/>
    <x v="2"/>
  </r>
  <r>
    <s v="AX23491"/>
    <s v="ENX2029"/>
    <s v="A112"/>
    <s v="EMP1005"/>
    <s v="C1281"/>
    <x v="49"/>
    <n v="4"/>
    <n v="1848"/>
    <n v="1294"/>
    <n v="5176"/>
    <n v="7392"/>
    <n v="2216"/>
    <s v="Product 30"/>
    <x v="66"/>
    <s v="Ryan Welch"/>
    <x v="216"/>
    <n v="1"/>
    <x v="0"/>
    <x v="4"/>
    <x v="4"/>
    <x v="1"/>
    <x v="2"/>
  </r>
  <r>
    <s v="AX23691"/>
    <s v="ENX2029"/>
    <s v="A163"/>
    <s v="EMP1009"/>
    <s v="C1440"/>
    <x v="51"/>
    <n v="3"/>
    <n v="1848"/>
    <n v="1294"/>
    <n v="3882"/>
    <n v="5544"/>
    <n v="1662"/>
    <s v="Product 30"/>
    <x v="51"/>
    <s v="Kenneth Fields"/>
    <x v="52"/>
    <n v="1"/>
    <x v="0"/>
    <x v="4"/>
    <x v="4"/>
    <x v="1"/>
    <x v="2"/>
  </r>
  <r>
    <s v="AX23916"/>
    <s v="ENX2066"/>
    <s v="A167"/>
    <s v="EMP1041"/>
    <s v="C1140"/>
    <x v="52"/>
    <n v="1"/>
    <n v="2091"/>
    <n v="1485"/>
    <n v="1485"/>
    <n v="2091"/>
    <n v="606"/>
    <s v="Product 67"/>
    <x v="64"/>
    <s v="Joe Sims"/>
    <x v="40"/>
    <n v="1"/>
    <x v="0"/>
    <x v="4"/>
    <x v="4"/>
    <x v="1"/>
    <x v="2"/>
  </r>
  <r>
    <s v="AX23918"/>
    <s v="ENX2060"/>
    <s v="A141"/>
    <s v="EMP1033"/>
    <s v="C1367"/>
    <x v="49"/>
    <n v="1"/>
    <n v="1467"/>
    <n v="807"/>
    <n v="807"/>
    <n v="1467"/>
    <n v="660"/>
    <s v="Product 61"/>
    <x v="23"/>
    <s v="Jerry Perry"/>
    <x v="490"/>
    <n v="1"/>
    <x v="0"/>
    <x v="4"/>
    <x v="4"/>
    <x v="1"/>
    <x v="2"/>
  </r>
  <r>
    <s v="AX10656"/>
    <s v="ENX2013"/>
    <s v="A121"/>
    <s v="EMP1002"/>
    <s v="C1272"/>
    <x v="53"/>
    <n v="1"/>
    <n v="368"/>
    <n v="269"/>
    <n v="269"/>
    <n v="368"/>
    <n v="99"/>
    <s v="Product 14"/>
    <x v="72"/>
    <s v="Andrew Bowman"/>
    <x v="491"/>
    <n v="1"/>
    <x v="0"/>
    <x v="5"/>
    <x v="5"/>
    <x v="1"/>
    <x v="0"/>
  </r>
  <r>
    <s v="AX10883"/>
    <s v="ENX2020"/>
    <s v="A156"/>
    <s v="EMP1013"/>
    <s v="C1224"/>
    <x v="54"/>
    <n v="2"/>
    <n v="2005"/>
    <n v="1223"/>
    <n v="2446"/>
    <n v="4010"/>
    <n v="1564"/>
    <s v="Product 21"/>
    <x v="14"/>
    <s v="Charles Harper"/>
    <x v="492"/>
    <n v="1"/>
    <x v="0"/>
    <x v="5"/>
    <x v="5"/>
    <x v="1"/>
    <x v="0"/>
  </r>
  <r>
    <s v="AX10923"/>
    <s v="ENX2010"/>
    <s v="A124"/>
    <s v="EMP1011"/>
    <s v="C1540"/>
    <x v="53"/>
    <n v="1"/>
    <n v="1812"/>
    <n v="1305"/>
    <n v="1305"/>
    <n v="1812"/>
    <n v="507"/>
    <s v="Product 11"/>
    <x v="67"/>
    <s v="Larry Marshall"/>
    <x v="493"/>
    <n v="1"/>
    <x v="0"/>
    <x v="5"/>
    <x v="5"/>
    <x v="1"/>
    <x v="0"/>
  </r>
  <r>
    <s v="AX11092"/>
    <s v="ENX2032"/>
    <s v="A156"/>
    <s v="EMP1015"/>
    <s v="C1003"/>
    <x v="55"/>
    <n v="3"/>
    <n v="1967"/>
    <n v="1397"/>
    <n v="4191"/>
    <n v="5901"/>
    <n v="1710"/>
    <s v="Product 33"/>
    <x v="14"/>
    <s v="Justin Lynch"/>
    <x v="494"/>
    <n v="1"/>
    <x v="0"/>
    <x v="5"/>
    <x v="5"/>
    <x v="1"/>
    <x v="0"/>
  </r>
  <r>
    <s v="AX11228"/>
    <s v="ENX2021"/>
    <s v="A134"/>
    <s v="EMP1017"/>
    <s v="C1134"/>
    <x v="54"/>
    <n v="1"/>
    <n v="217"/>
    <n v="171"/>
    <n v="171"/>
    <n v="217"/>
    <n v="46"/>
    <s v="Product 22"/>
    <x v="41"/>
    <s v="Brian Hansen"/>
    <x v="495"/>
    <n v="1"/>
    <x v="0"/>
    <x v="5"/>
    <x v="5"/>
    <x v="1"/>
    <x v="0"/>
  </r>
  <r>
    <s v="AX11509"/>
    <s v="ENX2044"/>
    <s v="A172"/>
    <s v="EMP1031"/>
    <s v="C1606"/>
    <x v="56"/>
    <n v="3"/>
    <n v="886"/>
    <n v="478"/>
    <n v="1434"/>
    <n v="2658"/>
    <n v="1224"/>
    <s v="Product 45"/>
    <x v="36"/>
    <s v="Brian Thomas"/>
    <x v="250"/>
    <n v="1"/>
    <x v="0"/>
    <x v="5"/>
    <x v="5"/>
    <x v="1"/>
    <x v="0"/>
  </r>
  <r>
    <s v="AX11681"/>
    <s v="ENX2051"/>
    <s v="A101"/>
    <s v="EMP1030"/>
    <s v="C1768"/>
    <x v="56"/>
    <n v="4"/>
    <n v="1077"/>
    <n v="732"/>
    <n v="2928"/>
    <n v="4308"/>
    <n v="1380"/>
    <s v="Product 52"/>
    <x v="60"/>
    <s v="Bobby Russell"/>
    <x v="496"/>
    <n v="1"/>
    <x v="0"/>
    <x v="5"/>
    <x v="5"/>
    <x v="1"/>
    <x v="0"/>
  </r>
  <r>
    <s v="AX11782"/>
    <s v="ENX2013"/>
    <s v="A169"/>
    <s v="EMP1044"/>
    <s v="C1676"/>
    <x v="53"/>
    <n v="4"/>
    <n v="368"/>
    <n v="269"/>
    <n v="1076"/>
    <n v="1472"/>
    <n v="396"/>
    <s v="Product 14"/>
    <x v="17"/>
    <s v="Martin Carr"/>
    <x v="497"/>
    <n v="1"/>
    <x v="0"/>
    <x v="5"/>
    <x v="5"/>
    <x v="1"/>
    <x v="0"/>
  </r>
  <r>
    <s v="AX11898"/>
    <s v="ENX2097"/>
    <s v="A152"/>
    <s v="EMP1017"/>
    <s v="C1676"/>
    <x v="56"/>
    <n v="2"/>
    <n v="1052"/>
    <n v="589"/>
    <n v="1178"/>
    <n v="2104"/>
    <n v="926"/>
    <s v="Product 98"/>
    <x v="26"/>
    <s v="Brian Hansen"/>
    <x v="497"/>
    <n v="1"/>
    <x v="0"/>
    <x v="5"/>
    <x v="5"/>
    <x v="1"/>
    <x v="0"/>
  </r>
  <r>
    <s v="AX12127"/>
    <s v="ENX2083"/>
    <s v="A118"/>
    <s v="EMP1001"/>
    <s v="C1589"/>
    <x v="54"/>
    <n v="3"/>
    <n v="2141"/>
    <n v="1777"/>
    <n v="5331"/>
    <n v="6423"/>
    <n v="1092"/>
    <s v="Product 84"/>
    <x v="19"/>
    <s v="Kevin Butler"/>
    <x v="39"/>
    <n v="1"/>
    <x v="0"/>
    <x v="5"/>
    <x v="5"/>
    <x v="1"/>
    <x v="0"/>
  </r>
  <r>
    <s v="AX12260"/>
    <s v="ENX2032"/>
    <s v="A150"/>
    <s v="EMP1043"/>
    <s v="C1617"/>
    <x v="56"/>
    <n v="2"/>
    <n v="1967"/>
    <n v="1397"/>
    <n v="2794"/>
    <n v="3934"/>
    <n v="1140"/>
    <s v="Product 33"/>
    <x v="30"/>
    <s v="Joshua Taylor"/>
    <x v="195"/>
    <n v="1"/>
    <x v="0"/>
    <x v="5"/>
    <x v="5"/>
    <x v="1"/>
    <x v="0"/>
  </r>
  <r>
    <s v="AX12494"/>
    <s v="ENX2038"/>
    <s v="A111"/>
    <s v="EMP1024"/>
    <s v="C1088"/>
    <x v="54"/>
    <n v="4"/>
    <n v="392"/>
    <n v="255"/>
    <n v="1020"/>
    <n v="1568"/>
    <n v="548"/>
    <s v="Product 39"/>
    <x v="54"/>
    <s v="Ernest Wheeler"/>
    <x v="498"/>
    <n v="1"/>
    <x v="0"/>
    <x v="5"/>
    <x v="5"/>
    <x v="1"/>
    <x v="0"/>
  </r>
  <r>
    <s v="AX12875"/>
    <s v="ENX2012"/>
    <s v="A116"/>
    <s v="EMP1005"/>
    <s v="C1592"/>
    <x v="55"/>
    <n v="1"/>
    <n v="1353"/>
    <n v="947"/>
    <n v="947"/>
    <n v="1353"/>
    <n v="406"/>
    <s v="Product 13"/>
    <x v="15"/>
    <s v="Ryan Welch"/>
    <x v="499"/>
    <n v="1"/>
    <x v="0"/>
    <x v="5"/>
    <x v="5"/>
    <x v="1"/>
    <x v="0"/>
  </r>
  <r>
    <s v="AX12915"/>
    <s v="ENX2033"/>
    <s v="A115"/>
    <s v="EMP1044"/>
    <s v="C1744"/>
    <x v="56"/>
    <n v="3"/>
    <n v="2182"/>
    <n v="1200"/>
    <n v="3600"/>
    <n v="6546"/>
    <n v="2946"/>
    <s v="Product 34"/>
    <x v="33"/>
    <s v="Martin Carr"/>
    <x v="500"/>
    <n v="1"/>
    <x v="0"/>
    <x v="5"/>
    <x v="5"/>
    <x v="1"/>
    <x v="0"/>
  </r>
  <r>
    <s v="AX12933"/>
    <s v="ENX2099"/>
    <s v="A143"/>
    <s v="EMP1044"/>
    <s v="C1449"/>
    <x v="55"/>
    <n v="1"/>
    <n v="1367"/>
    <n v="984"/>
    <n v="984"/>
    <n v="1367"/>
    <n v="383"/>
    <s v="Product 100"/>
    <x v="39"/>
    <s v="Martin Carr"/>
    <x v="230"/>
    <n v="1"/>
    <x v="0"/>
    <x v="5"/>
    <x v="5"/>
    <x v="1"/>
    <x v="0"/>
  </r>
  <r>
    <s v="AX13108"/>
    <s v="ENX2045"/>
    <s v="A115"/>
    <s v="EMP1007"/>
    <s v="C1644"/>
    <x v="55"/>
    <n v="4"/>
    <n v="556"/>
    <n v="395"/>
    <n v="1580"/>
    <n v="2224"/>
    <n v="644"/>
    <s v="Product 46"/>
    <x v="33"/>
    <s v="Jeremy Mendoza"/>
    <x v="109"/>
    <n v="1"/>
    <x v="0"/>
    <x v="5"/>
    <x v="5"/>
    <x v="1"/>
    <x v="0"/>
  </r>
  <r>
    <s v="AX13471"/>
    <s v="ENX2092"/>
    <s v="A130"/>
    <s v="EMP1044"/>
    <s v="C1684"/>
    <x v="57"/>
    <n v="2"/>
    <n v="1639"/>
    <n v="1295"/>
    <n v="2590"/>
    <n v="3278"/>
    <n v="688"/>
    <s v="Product 93"/>
    <x v="4"/>
    <s v="Martin Carr"/>
    <x v="258"/>
    <n v="1"/>
    <x v="0"/>
    <x v="5"/>
    <x v="5"/>
    <x v="1"/>
    <x v="0"/>
  </r>
  <r>
    <s v="AX13617"/>
    <s v="ENX2032"/>
    <s v="A126"/>
    <s v="EMP1037"/>
    <s v="C1133"/>
    <x v="56"/>
    <n v="1"/>
    <n v="1967"/>
    <n v="1397"/>
    <n v="1397"/>
    <n v="1967"/>
    <n v="570"/>
    <s v="Product 33"/>
    <x v="5"/>
    <s v="Carl Hall"/>
    <x v="468"/>
    <n v="1"/>
    <x v="0"/>
    <x v="5"/>
    <x v="5"/>
    <x v="1"/>
    <x v="0"/>
  </r>
  <r>
    <s v="AX13827"/>
    <s v="ENX2068"/>
    <s v="A150"/>
    <s v="EMP1034"/>
    <s v="C1260"/>
    <x v="55"/>
    <n v="2"/>
    <n v="1500"/>
    <n v="900"/>
    <n v="1800"/>
    <n v="3000"/>
    <n v="1200"/>
    <s v="Product 69"/>
    <x v="30"/>
    <s v="Arthur Mccoy"/>
    <x v="27"/>
    <n v="1"/>
    <x v="0"/>
    <x v="5"/>
    <x v="5"/>
    <x v="1"/>
    <x v="0"/>
  </r>
  <r>
    <s v="AX13884"/>
    <s v="ENX2012"/>
    <s v="A129"/>
    <s v="EMP1040"/>
    <s v="C1349"/>
    <x v="54"/>
    <n v="3"/>
    <n v="1353"/>
    <n v="947"/>
    <n v="2841"/>
    <n v="4059"/>
    <n v="1218"/>
    <s v="Product 13"/>
    <x v="22"/>
    <s v="Patrick Ruiz"/>
    <x v="501"/>
    <n v="1"/>
    <x v="0"/>
    <x v="5"/>
    <x v="5"/>
    <x v="1"/>
    <x v="0"/>
  </r>
  <r>
    <s v="AX13946"/>
    <s v="ENX2069"/>
    <s v="A164"/>
    <s v="EMP1002"/>
    <s v="C1115"/>
    <x v="55"/>
    <n v="3"/>
    <n v="378"/>
    <n v="291"/>
    <n v="873"/>
    <n v="1134"/>
    <n v="261"/>
    <s v="Product 70"/>
    <x v="3"/>
    <s v="Andrew Bowman"/>
    <x v="338"/>
    <n v="1"/>
    <x v="0"/>
    <x v="5"/>
    <x v="5"/>
    <x v="1"/>
    <x v="0"/>
  </r>
  <r>
    <s v="AX13965"/>
    <s v="ENX2032"/>
    <s v="A143"/>
    <s v="EMP1030"/>
    <s v="C1401"/>
    <x v="54"/>
    <n v="1"/>
    <n v="1967"/>
    <n v="1397"/>
    <n v="1397"/>
    <n v="1967"/>
    <n v="570"/>
    <s v="Product 33"/>
    <x v="39"/>
    <s v="Bobby Russell"/>
    <x v="36"/>
    <n v="1"/>
    <x v="0"/>
    <x v="5"/>
    <x v="5"/>
    <x v="1"/>
    <x v="0"/>
  </r>
  <r>
    <s v="AX14362"/>
    <s v="ENX2100"/>
    <s v="A145"/>
    <s v="EMP1002"/>
    <s v="C1047"/>
    <x v="55"/>
    <n v="3"/>
    <n v="799"/>
    <n v="455"/>
    <n v="1365"/>
    <n v="2397"/>
    <n v="1032"/>
    <s v="Product 101"/>
    <x v="35"/>
    <s v="Andrew Bowman"/>
    <x v="486"/>
    <n v="1"/>
    <x v="0"/>
    <x v="5"/>
    <x v="5"/>
    <x v="1"/>
    <x v="0"/>
  </r>
  <r>
    <s v="AX14527"/>
    <s v="ENX2092"/>
    <s v="A142"/>
    <s v="EMP1010"/>
    <s v="C1678"/>
    <x v="55"/>
    <n v="3"/>
    <n v="1639"/>
    <n v="1295"/>
    <n v="3885"/>
    <n v="4917"/>
    <n v="1032"/>
    <s v="Product 93"/>
    <x v="56"/>
    <s v="Joshua Cook"/>
    <x v="191"/>
    <n v="1"/>
    <x v="0"/>
    <x v="5"/>
    <x v="5"/>
    <x v="1"/>
    <x v="0"/>
  </r>
  <r>
    <s v="AX14573"/>
    <s v="ENX2087"/>
    <s v="A141"/>
    <s v="EMP1013"/>
    <s v="C1483"/>
    <x v="56"/>
    <n v="2"/>
    <n v="1022"/>
    <n v="818"/>
    <n v="1636"/>
    <n v="2044"/>
    <n v="408"/>
    <s v="Product 88"/>
    <x v="23"/>
    <s v="Charles Harper"/>
    <x v="255"/>
    <n v="1"/>
    <x v="0"/>
    <x v="5"/>
    <x v="5"/>
    <x v="1"/>
    <x v="0"/>
  </r>
  <r>
    <s v="AX14616"/>
    <s v="ENX2054"/>
    <s v="A164"/>
    <s v="EMP1004"/>
    <s v="C1760"/>
    <x v="57"/>
    <n v="3"/>
    <n v="127"/>
    <n v="79"/>
    <n v="237"/>
    <n v="381"/>
    <n v="144"/>
    <s v="Product 55"/>
    <x v="3"/>
    <s v="Kenneth Bradley"/>
    <x v="502"/>
    <n v="1"/>
    <x v="0"/>
    <x v="5"/>
    <x v="5"/>
    <x v="1"/>
    <x v="0"/>
  </r>
  <r>
    <s v="AX14986"/>
    <s v="ENX2076"/>
    <s v="A141"/>
    <s v="EMP1026"/>
    <s v="C1019"/>
    <x v="57"/>
    <n v="1"/>
    <n v="1522"/>
    <n v="791"/>
    <n v="791"/>
    <n v="1522"/>
    <n v="731"/>
    <s v="Product 77"/>
    <x v="23"/>
    <s v="Martin Perry"/>
    <x v="503"/>
    <n v="1"/>
    <x v="0"/>
    <x v="5"/>
    <x v="5"/>
    <x v="1"/>
    <x v="0"/>
  </r>
  <r>
    <s v="AX15137"/>
    <s v="ENX2100"/>
    <s v="A112"/>
    <s v="EMP1012"/>
    <s v="C1317"/>
    <x v="56"/>
    <n v="4"/>
    <n v="799"/>
    <n v="455"/>
    <n v="1820"/>
    <n v="3196"/>
    <n v="1376"/>
    <s v="Product 101"/>
    <x v="66"/>
    <s v="John Reyes"/>
    <x v="504"/>
    <n v="1"/>
    <x v="0"/>
    <x v="5"/>
    <x v="5"/>
    <x v="1"/>
    <x v="0"/>
  </r>
  <r>
    <s v="AX15626"/>
    <s v="ENX2015"/>
    <s v="A108"/>
    <s v="EMP1016"/>
    <s v="C1440"/>
    <x v="53"/>
    <n v="4"/>
    <n v="637"/>
    <n v="389"/>
    <n v="1556"/>
    <n v="2548"/>
    <n v="992"/>
    <s v="Product 16"/>
    <x v="49"/>
    <s v="Henry Nelson"/>
    <x v="52"/>
    <n v="1"/>
    <x v="0"/>
    <x v="5"/>
    <x v="5"/>
    <x v="1"/>
    <x v="0"/>
  </r>
  <r>
    <s v="AX15797"/>
    <s v="ENX2099"/>
    <s v="A100"/>
    <s v="EMP1044"/>
    <s v="C1711"/>
    <x v="53"/>
    <n v="2"/>
    <n v="1367"/>
    <n v="984"/>
    <n v="1968"/>
    <n v="2734"/>
    <n v="766"/>
    <s v="Product 100"/>
    <x v="52"/>
    <s v="Martin Carr"/>
    <x v="66"/>
    <n v="1"/>
    <x v="0"/>
    <x v="5"/>
    <x v="5"/>
    <x v="1"/>
    <x v="0"/>
  </r>
  <r>
    <s v="AX15968"/>
    <s v="ENX2031"/>
    <s v="A122"/>
    <s v="EMP1011"/>
    <s v="C1363"/>
    <x v="53"/>
    <n v="1"/>
    <n v="1638"/>
    <n v="1261"/>
    <n v="1261"/>
    <n v="1638"/>
    <n v="377"/>
    <s v="Product 32"/>
    <x v="71"/>
    <s v="Larry Marshall"/>
    <x v="505"/>
    <n v="1"/>
    <x v="0"/>
    <x v="5"/>
    <x v="5"/>
    <x v="1"/>
    <x v="0"/>
  </r>
  <r>
    <s v="AX16231"/>
    <s v="ENX2015"/>
    <s v="A167"/>
    <s v="EMP1043"/>
    <s v="C1607"/>
    <x v="54"/>
    <n v="1"/>
    <n v="637"/>
    <n v="389"/>
    <n v="389"/>
    <n v="637"/>
    <n v="248"/>
    <s v="Product 16"/>
    <x v="64"/>
    <s v="Joshua Taylor"/>
    <x v="211"/>
    <n v="1"/>
    <x v="0"/>
    <x v="5"/>
    <x v="5"/>
    <x v="1"/>
    <x v="0"/>
  </r>
  <r>
    <s v="AX16280"/>
    <s v="ENX2097"/>
    <s v="A103"/>
    <s v="EMP1040"/>
    <s v="C1694"/>
    <x v="54"/>
    <n v="2"/>
    <n v="1052"/>
    <n v="589"/>
    <n v="1178"/>
    <n v="2104"/>
    <n v="926"/>
    <s v="Product 98"/>
    <x v="61"/>
    <s v="Patrick Ruiz"/>
    <x v="506"/>
    <n v="1"/>
    <x v="0"/>
    <x v="5"/>
    <x v="5"/>
    <x v="1"/>
    <x v="0"/>
  </r>
  <r>
    <s v="AX16905"/>
    <s v="ENX2097"/>
    <s v="A105"/>
    <s v="EMP1010"/>
    <s v="C1705"/>
    <x v="57"/>
    <n v="3"/>
    <n v="1052"/>
    <n v="589"/>
    <n v="1767"/>
    <n v="3156"/>
    <n v="1389"/>
    <s v="Product 98"/>
    <x v="45"/>
    <s v="Joshua Cook"/>
    <x v="507"/>
    <n v="1"/>
    <x v="0"/>
    <x v="5"/>
    <x v="5"/>
    <x v="1"/>
    <x v="0"/>
  </r>
  <r>
    <s v="AX16912"/>
    <s v="ENX2067"/>
    <s v="A114"/>
    <s v="EMP1006"/>
    <s v="C1304"/>
    <x v="54"/>
    <n v="1"/>
    <n v="1119"/>
    <n v="683"/>
    <n v="683"/>
    <n v="1119"/>
    <n v="436"/>
    <s v="Product 68"/>
    <x v="28"/>
    <s v="Sean Miller"/>
    <x v="298"/>
    <n v="1"/>
    <x v="0"/>
    <x v="5"/>
    <x v="5"/>
    <x v="1"/>
    <x v="0"/>
  </r>
  <r>
    <s v="AX17071"/>
    <s v="ENX2035"/>
    <s v="A170"/>
    <s v="EMP1004"/>
    <s v="C1096"/>
    <x v="55"/>
    <n v="1"/>
    <n v="458"/>
    <n v="376"/>
    <n v="376"/>
    <n v="458"/>
    <n v="82"/>
    <s v="Product 36"/>
    <x v="47"/>
    <s v="Kenneth Bradley"/>
    <x v="91"/>
    <n v="1"/>
    <x v="0"/>
    <x v="5"/>
    <x v="5"/>
    <x v="1"/>
    <x v="0"/>
  </r>
  <r>
    <s v="AX17167"/>
    <s v="ENX2038"/>
    <s v="A110"/>
    <s v="EMP1018"/>
    <s v="C1383"/>
    <x v="55"/>
    <n v="1"/>
    <n v="392"/>
    <n v="255"/>
    <n v="255"/>
    <n v="392"/>
    <n v="137"/>
    <s v="Product 39"/>
    <x v="63"/>
    <s v="Jimmy Young"/>
    <x v="508"/>
    <n v="1"/>
    <x v="0"/>
    <x v="5"/>
    <x v="5"/>
    <x v="1"/>
    <x v="0"/>
  </r>
  <r>
    <s v="AX17228"/>
    <s v="ENX2007"/>
    <s v="A106"/>
    <s v="EMP1042"/>
    <s v="C1428"/>
    <x v="53"/>
    <n v="4"/>
    <n v="1405"/>
    <n v="1054"/>
    <n v="4216"/>
    <n v="5620"/>
    <n v="1404"/>
    <s v="Product 8"/>
    <x v="11"/>
    <s v="Scott Clark"/>
    <x v="509"/>
    <n v="1"/>
    <x v="0"/>
    <x v="5"/>
    <x v="5"/>
    <x v="1"/>
    <x v="0"/>
  </r>
  <r>
    <s v="AX17262"/>
    <s v="ENX2042"/>
    <s v="A120"/>
    <s v="EMP1031"/>
    <s v="C1498"/>
    <x v="53"/>
    <n v="1"/>
    <n v="203"/>
    <n v="154"/>
    <n v="154"/>
    <n v="203"/>
    <n v="49"/>
    <s v="Product 43"/>
    <x v="20"/>
    <s v="Brian Thomas"/>
    <x v="10"/>
    <n v="1"/>
    <x v="0"/>
    <x v="5"/>
    <x v="5"/>
    <x v="1"/>
    <x v="0"/>
  </r>
  <r>
    <s v="AX17524"/>
    <s v="ENX2083"/>
    <s v="A122"/>
    <s v="EMP1016"/>
    <s v="C1600"/>
    <x v="57"/>
    <n v="1"/>
    <n v="2141"/>
    <n v="1777"/>
    <n v="1777"/>
    <n v="2141"/>
    <n v="364"/>
    <s v="Product 84"/>
    <x v="71"/>
    <s v="Henry Nelson"/>
    <x v="266"/>
    <n v="1"/>
    <x v="0"/>
    <x v="5"/>
    <x v="5"/>
    <x v="1"/>
    <x v="0"/>
  </r>
  <r>
    <s v="AX17561"/>
    <s v="ENX2055"/>
    <s v="A168"/>
    <s v="EMP1038"/>
    <s v="C1725"/>
    <x v="57"/>
    <n v="1"/>
    <n v="2495"/>
    <n v="1896"/>
    <n v="1896"/>
    <n v="2495"/>
    <n v="599"/>
    <s v="Product 56"/>
    <x v="40"/>
    <s v="Scott Mason"/>
    <x v="81"/>
    <n v="1"/>
    <x v="0"/>
    <x v="5"/>
    <x v="5"/>
    <x v="1"/>
    <x v="0"/>
  </r>
  <r>
    <s v="AX17604"/>
    <s v="ENX2008"/>
    <s v="A116"/>
    <s v="EMP1018"/>
    <s v="C1581"/>
    <x v="55"/>
    <n v="1"/>
    <n v="315"/>
    <n v="208"/>
    <n v="208"/>
    <n v="315"/>
    <n v="107"/>
    <s v="Product 9"/>
    <x v="15"/>
    <s v="Jimmy Young"/>
    <x v="510"/>
    <n v="1"/>
    <x v="0"/>
    <x v="5"/>
    <x v="5"/>
    <x v="1"/>
    <x v="0"/>
  </r>
  <r>
    <s v="AX17850"/>
    <s v="ENX2096"/>
    <s v="A160"/>
    <s v="EMP1019"/>
    <s v="C1655"/>
    <x v="57"/>
    <n v="1"/>
    <n v="1587"/>
    <n v="1301"/>
    <n v="1301"/>
    <n v="1587"/>
    <n v="286"/>
    <s v="Product 97"/>
    <x v="9"/>
    <s v="Roger Robertson"/>
    <x v="73"/>
    <n v="1"/>
    <x v="0"/>
    <x v="5"/>
    <x v="5"/>
    <x v="1"/>
    <x v="0"/>
  </r>
  <r>
    <s v="AX17957"/>
    <s v="ENX2076"/>
    <s v="A107"/>
    <s v="EMP1012"/>
    <s v="C1330"/>
    <x v="54"/>
    <n v="2"/>
    <n v="1522"/>
    <n v="791"/>
    <n v="1582"/>
    <n v="3044"/>
    <n v="1462"/>
    <s v="Product 77"/>
    <x v="21"/>
    <s v="John Reyes"/>
    <x v="511"/>
    <n v="1"/>
    <x v="0"/>
    <x v="5"/>
    <x v="5"/>
    <x v="1"/>
    <x v="0"/>
  </r>
  <r>
    <s v="AX18261"/>
    <s v="ENX2083"/>
    <s v="A102"/>
    <s v="EMP1012"/>
    <s v="C1293"/>
    <x v="55"/>
    <n v="1"/>
    <n v="2141"/>
    <n v="1777"/>
    <n v="1777"/>
    <n v="2141"/>
    <n v="364"/>
    <s v="Product 84"/>
    <x v="44"/>
    <s v="John Reyes"/>
    <x v="512"/>
    <n v="1"/>
    <x v="0"/>
    <x v="5"/>
    <x v="5"/>
    <x v="1"/>
    <x v="0"/>
  </r>
  <r>
    <s v="AX18986"/>
    <s v="ENX2049"/>
    <s v="A171"/>
    <s v="EMP1023"/>
    <s v="C1091"/>
    <x v="55"/>
    <n v="1"/>
    <n v="826"/>
    <n v="562"/>
    <n v="562"/>
    <n v="826"/>
    <n v="264"/>
    <s v="Product 50"/>
    <x v="0"/>
    <s v="Brian Davis"/>
    <x v="513"/>
    <n v="1"/>
    <x v="0"/>
    <x v="5"/>
    <x v="5"/>
    <x v="1"/>
    <x v="0"/>
  </r>
  <r>
    <s v="AX19018"/>
    <s v="ENX2030"/>
    <s v="A100"/>
    <s v="EMP1005"/>
    <s v="C1149"/>
    <x v="57"/>
    <n v="3"/>
    <n v="1899"/>
    <n v="1044"/>
    <n v="3132"/>
    <n v="5697"/>
    <n v="2565"/>
    <s v="Product 31"/>
    <x v="52"/>
    <s v="Ryan Welch"/>
    <x v="514"/>
    <n v="1"/>
    <x v="0"/>
    <x v="5"/>
    <x v="5"/>
    <x v="1"/>
    <x v="0"/>
  </r>
  <r>
    <s v="AX19114"/>
    <s v="ENX2024"/>
    <s v="A112"/>
    <s v="EMP1044"/>
    <s v="C1764"/>
    <x v="56"/>
    <n v="1"/>
    <n v="356"/>
    <n v="292"/>
    <n v="292"/>
    <n v="356"/>
    <n v="64"/>
    <s v="Product 25"/>
    <x v="66"/>
    <s v="Martin Carr"/>
    <x v="386"/>
    <n v="1"/>
    <x v="0"/>
    <x v="5"/>
    <x v="5"/>
    <x v="1"/>
    <x v="0"/>
  </r>
  <r>
    <s v="AX19911"/>
    <s v="ENX2093"/>
    <s v="A165"/>
    <s v="EMP1005"/>
    <s v="C1033"/>
    <x v="56"/>
    <n v="1"/>
    <n v="112"/>
    <n v="90"/>
    <n v="90"/>
    <n v="112"/>
    <n v="22"/>
    <s v="Product 94"/>
    <x v="55"/>
    <s v="Ryan Welch"/>
    <x v="515"/>
    <n v="1"/>
    <x v="0"/>
    <x v="5"/>
    <x v="5"/>
    <x v="1"/>
    <x v="0"/>
  </r>
  <r>
    <s v="AX20075"/>
    <s v="ENX2055"/>
    <s v="A157"/>
    <s v="EMP1034"/>
    <s v="C1554"/>
    <x v="53"/>
    <n v="2"/>
    <n v="2495"/>
    <n v="1896"/>
    <n v="3792"/>
    <n v="4990"/>
    <n v="1198"/>
    <s v="Product 56"/>
    <x v="7"/>
    <s v="Arthur Mccoy"/>
    <x v="516"/>
    <n v="1"/>
    <x v="0"/>
    <x v="5"/>
    <x v="5"/>
    <x v="1"/>
    <x v="0"/>
  </r>
  <r>
    <s v="AX20139"/>
    <s v="ENX2024"/>
    <s v="A140"/>
    <s v="EMP1004"/>
    <s v="C1270"/>
    <x v="54"/>
    <n v="1"/>
    <n v="356"/>
    <n v="292"/>
    <n v="292"/>
    <n v="356"/>
    <n v="64"/>
    <s v="Product 25"/>
    <x v="18"/>
    <s v="Kenneth Bradley"/>
    <x v="517"/>
    <n v="1"/>
    <x v="0"/>
    <x v="5"/>
    <x v="5"/>
    <x v="1"/>
    <x v="0"/>
  </r>
  <r>
    <s v="AX20252"/>
    <s v="ENX2012"/>
    <s v="A112"/>
    <s v="EMP1030"/>
    <s v="C1560"/>
    <x v="53"/>
    <n v="3"/>
    <n v="1353"/>
    <n v="947"/>
    <n v="2841"/>
    <n v="4059"/>
    <n v="1218"/>
    <s v="Product 13"/>
    <x v="66"/>
    <s v="Bobby Russell"/>
    <x v="208"/>
    <n v="1"/>
    <x v="0"/>
    <x v="5"/>
    <x v="5"/>
    <x v="1"/>
    <x v="0"/>
  </r>
  <r>
    <s v="AX20263"/>
    <s v="ENX2037"/>
    <s v="A172"/>
    <s v="EMP1044"/>
    <s v="C1536"/>
    <x v="55"/>
    <n v="1"/>
    <n v="880"/>
    <n v="634"/>
    <n v="634"/>
    <n v="880"/>
    <n v="246"/>
    <s v="Product 38"/>
    <x v="36"/>
    <s v="Martin Carr"/>
    <x v="74"/>
    <n v="1"/>
    <x v="0"/>
    <x v="5"/>
    <x v="5"/>
    <x v="1"/>
    <x v="0"/>
  </r>
  <r>
    <s v="AX20482"/>
    <s v="ENX2089"/>
    <s v="A158"/>
    <s v="EMP1008"/>
    <s v="C1129"/>
    <x v="56"/>
    <n v="1"/>
    <n v="2294"/>
    <n v="1399"/>
    <n v="1399"/>
    <n v="2294"/>
    <n v="895"/>
    <s v="Product 90"/>
    <x v="58"/>
    <s v="Carl Elliott"/>
    <x v="281"/>
    <n v="1"/>
    <x v="0"/>
    <x v="5"/>
    <x v="5"/>
    <x v="1"/>
    <x v="0"/>
  </r>
  <r>
    <s v="AX20612"/>
    <s v="ENX2087"/>
    <s v="A149"/>
    <s v="EMP1044"/>
    <s v="C1295"/>
    <x v="55"/>
    <n v="4"/>
    <n v="1022"/>
    <n v="818"/>
    <n v="3272"/>
    <n v="4088"/>
    <n v="816"/>
    <s v="Product 88"/>
    <x v="59"/>
    <s v="Martin Carr"/>
    <x v="373"/>
    <n v="1"/>
    <x v="0"/>
    <x v="5"/>
    <x v="5"/>
    <x v="1"/>
    <x v="0"/>
  </r>
  <r>
    <s v="AX20623"/>
    <s v="ENX2032"/>
    <s v="A146"/>
    <s v="EMP1017"/>
    <s v="C1087"/>
    <x v="55"/>
    <n v="1"/>
    <n v="1967"/>
    <n v="1397"/>
    <n v="1397"/>
    <n v="1967"/>
    <n v="570"/>
    <s v="Product 33"/>
    <x v="27"/>
    <s v="Brian Hansen"/>
    <x v="156"/>
    <n v="1"/>
    <x v="0"/>
    <x v="5"/>
    <x v="5"/>
    <x v="1"/>
    <x v="0"/>
  </r>
  <r>
    <s v="AX20704"/>
    <s v="ENX2096"/>
    <s v="A122"/>
    <s v="EMP1005"/>
    <s v="C1206"/>
    <x v="56"/>
    <n v="2"/>
    <n v="1587"/>
    <n v="1301"/>
    <n v="2602"/>
    <n v="3174"/>
    <n v="572"/>
    <s v="Product 97"/>
    <x v="71"/>
    <s v="Ryan Welch"/>
    <x v="518"/>
    <n v="1"/>
    <x v="0"/>
    <x v="5"/>
    <x v="5"/>
    <x v="1"/>
    <x v="0"/>
  </r>
  <r>
    <s v="AX21185"/>
    <s v="ENX2090"/>
    <s v="A105"/>
    <s v="EMP1001"/>
    <s v="C1390"/>
    <x v="54"/>
    <n v="2"/>
    <n v="1338"/>
    <n v="682"/>
    <n v="1364"/>
    <n v="2676"/>
    <n v="1312"/>
    <s v="Product 91"/>
    <x v="45"/>
    <s v="Kevin Butler"/>
    <x v="279"/>
    <n v="1"/>
    <x v="0"/>
    <x v="5"/>
    <x v="5"/>
    <x v="1"/>
    <x v="0"/>
  </r>
  <r>
    <s v="AX21192"/>
    <s v="ENX2003"/>
    <s v="A142"/>
    <s v="EMP1026"/>
    <s v="C1117"/>
    <x v="56"/>
    <n v="3"/>
    <n v="1783"/>
    <n v="1516"/>
    <n v="4548"/>
    <n v="5349"/>
    <n v="801"/>
    <s v="Product 4"/>
    <x v="56"/>
    <s v="Martin Perry"/>
    <x v="519"/>
    <n v="1"/>
    <x v="0"/>
    <x v="5"/>
    <x v="5"/>
    <x v="1"/>
    <x v="0"/>
  </r>
  <r>
    <s v="AX21317"/>
    <s v="ENX2053"/>
    <s v="A161"/>
    <s v="EMP1012"/>
    <s v="C1554"/>
    <x v="56"/>
    <n v="1"/>
    <n v="596"/>
    <n v="358"/>
    <n v="358"/>
    <n v="596"/>
    <n v="238"/>
    <s v="Product 54"/>
    <x v="6"/>
    <s v="John Reyes"/>
    <x v="516"/>
    <n v="1"/>
    <x v="0"/>
    <x v="5"/>
    <x v="5"/>
    <x v="1"/>
    <x v="0"/>
  </r>
  <r>
    <s v="AX21395"/>
    <s v="ENX2051"/>
    <s v="A169"/>
    <s v="EMP1006"/>
    <s v="C1722"/>
    <x v="57"/>
    <n v="1"/>
    <n v="1077"/>
    <n v="732"/>
    <n v="732"/>
    <n v="1077"/>
    <n v="345"/>
    <s v="Product 52"/>
    <x v="17"/>
    <s v="Sean Miller"/>
    <x v="257"/>
    <n v="1"/>
    <x v="0"/>
    <x v="5"/>
    <x v="5"/>
    <x v="1"/>
    <x v="0"/>
  </r>
  <r>
    <s v="AX21856"/>
    <s v="ENX2035"/>
    <s v="A159"/>
    <s v="EMP1030"/>
    <s v="C1440"/>
    <x v="56"/>
    <n v="3"/>
    <n v="458"/>
    <n v="376"/>
    <n v="1128"/>
    <n v="1374"/>
    <n v="246"/>
    <s v="Product 36"/>
    <x v="13"/>
    <s v="Bobby Russell"/>
    <x v="52"/>
    <n v="1"/>
    <x v="0"/>
    <x v="5"/>
    <x v="5"/>
    <x v="1"/>
    <x v="0"/>
  </r>
  <r>
    <s v="AX21865"/>
    <s v="ENX2087"/>
    <s v="A101"/>
    <s v="EMP1037"/>
    <s v="C1486"/>
    <x v="55"/>
    <n v="3"/>
    <n v="1022"/>
    <n v="818"/>
    <n v="2454"/>
    <n v="3066"/>
    <n v="612"/>
    <s v="Product 88"/>
    <x v="60"/>
    <s v="Carl Hall"/>
    <x v="357"/>
    <n v="1"/>
    <x v="0"/>
    <x v="5"/>
    <x v="5"/>
    <x v="1"/>
    <x v="0"/>
  </r>
  <r>
    <s v="AX21923"/>
    <s v="ENX2077"/>
    <s v="A142"/>
    <s v="EMP1003"/>
    <s v="C1003"/>
    <x v="53"/>
    <n v="3"/>
    <n v="530"/>
    <n v="424"/>
    <n v="1272"/>
    <n v="1590"/>
    <n v="318"/>
    <s v="Product 78"/>
    <x v="56"/>
    <s v="Christopher Tucker"/>
    <x v="494"/>
    <n v="1"/>
    <x v="0"/>
    <x v="5"/>
    <x v="5"/>
    <x v="1"/>
    <x v="0"/>
  </r>
  <r>
    <s v="AX22552"/>
    <s v="ENX2083"/>
    <s v="A163"/>
    <s v="EMP1038"/>
    <s v="C1282"/>
    <x v="54"/>
    <n v="4"/>
    <n v="2141"/>
    <n v="1777"/>
    <n v="7108"/>
    <n v="8564"/>
    <n v="1456"/>
    <s v="Product 84"/>
    <x v="51"/>
    <s v="Scott Mason"/>
    <x v="520"/>
    <n v="1"/>
    <x v="0"/>
    <x v="5"/>
    <x v="5"/>
    <x v="1"/>
    <x v="0"/>
  </r>
  <r>
    <s v="AX22871"/>
    <s v="ENX2028"/>
    <s v="A100"/>
    <s v="EMP1026"/>
    <s v="C1264"/>
    <x v="57"/>
    <n v="1"/>
    <n v="2283"/>
    <n v="1484"/>
    <n v="1484"/>
    <n v="2283"/>
    <n v="799"/>
    <s v="Product 29"/>
    <x v="52"/>
    <s v="Martin Perry"/>
    <x v="206"/>
    <n v="1"/>
    <x v="0"/>
    <x v="5"/>
    <x v="5"/>
    <x v="1"/>
    <x v="0"/>
  </r>
  <r>
    <s v="AX22914"/>
    <s v="ENX2013"/>
    <s v="A143"/>
    <s v="EMP1019"/>
    <s v="C1395"/>
    <x v="55"/>
    <n v="2"/>
    <n v="368"/>
    <n v="269"/>
    <n v="538"/>
    <n v="736"/>
    <n v="198"/>
    <s v="Product 14"/>
    <x v="39"/>
    <s v="Roger Robertson"/>
    <x v="202"/>
    <n v="1"/>
    <x v="0"/>
    <x v="5"/>
    <x v="5"/>
    <x v="1"/>
    <x v="0"/>
  </r>
  <r>
    <s v="AX22968"/>
    <s v="ENX2047"/>
    <s v="A129"/>
    <s v="EMP1004"/>
    <s v="C1739"/>
    <x v="55"/>
    <n v="1"/>
    <n v="290"/>
    <n v="200"/>
    <n v="200"/>
    <n v="290"/>
    <n v="90"/>
    <s v="Product 48"/>
    <x v="22"/>
    <s v="Kenneth Bradley"/>
    <x v="286"/>
    <n v="1"/>
    <x v="0"/>
    <x v="5"/>
    <x v="5"/>
    <x v="1"/>
    <x v="0"/>
  </r>
  <r>
    <s v="AX23414"/>
    <s v="ENX2062"/>
    <s v="A112"/>
    <s v="EMP1040"/>
    <s v="C1574"/>
    <x v="55"/>
    <n v="3"/>
    <n v="2464"/>
    <n v="1774"/>
    <n v="5322"/>
    <n v="7392"/>
    <n v="2070"/>
    <s v="Product 63"/>
    <x v="66"/>
    <s v="Patrick Ruiz"/>
    <x v="521"/>
    <n v="1"/>
    <x v="0"/>
    <x v="5"/>
    <x v="5"/>
    <x v="1"/>
    <x v="0"/>
  </r>
  <r>
    <s v="AX23510"/>
    <s v="ENX2069"/>
    <s v="A112"/>
    <s v="EMP1009"/>
    <s v="C1457"/>
    <x v="57"/>
    <n v="1"/>
    <n v="378"/>
    <n v="291"/>
    <n v="291"/>
    <n v="378"/>
    <n v="87"/>
    <s v="Product 70"/>
    <x v="66"/>
    <s v="Kenneth Fields"/>
    <x v="522"/>
    <n v="1"/>
    <x v="0"/>
    <x v="5"/>
    <x v="5"/>
    <x v="1"/>
    <x v="0"/>
  </r>
  <r>
    <s v="AX23526"/>
    <s v="ENX2049"/>
    <s v="A141"/>
    <s v="EMP1029"/>
    <s v="C1525"/>
    <x v="53"/>
    <n v="1"/>
    <n v="826"/>
    <n v="562"/>
    <n v="562"/>
    <n v="826"/>
    <n v="264"/>
    <s v="Product 50"/>
    <x v="23"/>
    <s v="Howard Gardner"/>
    <x v="360"/>
    <n v="1"/>
    <x v="0"/>
    <x v="5"/>
    <x v="5"/>
    <x v="1"/>
    <x v="0"/>
  </r>
  <r>
    <s v="AX23710"/>
    <s v="ENX2017"/>
    <s v="A114"/>
    <s v="EMP1027"/>
    <s v="C1578"/>
    <x v="56"/>
    <n v="1"/>
    <n v="35"/>
    <n v="22"/>
    <n v="22"/>
    <n v="35"/>
    <n v="13"/>
    <s v="Product 18"/>
    <x v="28"/>
    <s v="Gary Rodriguez"/>
    <x v="17"/>
    <n v="1"/>
    <x v="0"/>
    <x v="5"/>
    <x v="5"/>
    <x v="1"/>
    <x v="0"/>
  </r>
  <r>
    <s v="AX23723"/>
    <s v="ENX2063"/>
    <s v="A114"/>
    <s v="EMP1044"/>
    <s v="C1385"/>
    <x v="57"/>
    <n v="3"/>
    <n v="1708"/>
    <n v="871"/>
    <n v="2613"/>
    <n v="5124"/>
    <n v="2511"/>
    <s v="Product 64"/>
    <x v="28"/>
    <s v="Martin Carr"/>
    <x v="523"/>
    <n v="1"/>
    <x v="0"/>
    <x v="5"/>
    <x v="5"/>
    <x v="1"/>
    <x v="0"/>
  </r>
  <r>
    <s v="AX23820"/>
    <s v="ENX2023"/>
    <s v="A117"/>
    <s v="EMP1017"/>
    <s v="C1256"/>
    <x v="54"/>
    <n v="2"/>
    <n v="818"/>
    <n v="450"/>
    <n v="900"/>
    <n v="1636"/>
    <n v="736"/>
    <s v="Product 24"/>
    <x v="29"/>
    <s v="Brian Hansen"/>
    <x v="524"/>
    <n v="1"/>
    <x v="0"/>
    <x v="5"/>
    <x v="5"/>
    <x v="1"/>
    <x v="0"/>
  </r>
  <r>
    <s v="AX24087"/>
    <s v="ENX2086"/>
    <s v="A148"/>
    <s v="EMP1005"/>
    <s v="C1069"/>
    <x v="57"/>
    <n v="3"/>
    <n v="123"/>
    <n v="84"/>
    <n v="252"/>
    <n v="369"/>
    <n v="117"/>
    <s v="Product 87"/>
    <x v="62"/>
    <s v="Ryan Welch"/>
    <x v="284"/>
    <n v="1"/>
    <x v="0"/>
    <x v="5"/>
    <x v="5"/>
    <x v="1"/>
    <x v="0"/>
  </r>
  <r>
    <s v="AX24113"/>
    <s v="ENX2030"/>
    <s v="A171"/>
    <s v="EMP1015"/>
    <s v="C1695"/>
    <x v="56"/>
    <n v="1"/>
    <n v="1899"/>
    <n v="1044"/>
    <n v="1044"/>
    <n v="1899"/>
    <n v="855"/>
    <s v="Product 31"/>
    <x v="0"/>
    <s v="Justin Lynch"/>
    <x v="18"/>
    <n v="1"/>
    <x v="0"/>
    <x v="5"/>
    <x v="5"/>
    <x v="1"/>
    <x v="0"/>
  </r>
  <r>
    <s v="AX24132"/>
    <s v="ENX2037"/>
    <s v="A150"/>
    <s v="EMP1011"/>
    <s v="C1085"/>
    <x v="55"/>
    <n v="1"/>
    <n v="880"/>
    <n v="634"/>
    <n v="634"/>
    <n v="880"/>
    <n v="246"/>
    <s v="Product 38"/>
    <x v="30"/>
    <s v="Larry Marshall"/>
    <x v="412"/>
    <n v="1"/>
    <x v="0"/>
    <x v="5"/>
    <x v="5"/>
    <x v="1"/>
    <x v="0"/>
  </r>
  <r>
    <s v="AX24148"/>
    <s v="ENX2045"/>
    <s v="A132"/>
    <s v="EMP1017"/>
    <s v="C1433"/>
    <x v="56"/>
    <n v="1"/>
    <n v="556"/>
    <n v="395"/>
    <n v="395"/>
    <n v="556"/>
    <n v="161"/>
    <s v="Product 46"/>
    <x v="48"/>
    <s v="Brian Hansen"/>
    <x v="525"/>
    <n v="1"/>
    <x v="0"/>
    <x v="5"/>
    <x v="5"/>
    <x v="1"/>
    <x v="0"/>
  </r>
  <r>
    <s v="AX24255"/>
    <s v="ENX2006"/>
    <s v="A147"/>
    <s v="EMP1034"/>
    <s v="C1546"/>
    <x v="56"/>
    <n v="4"/>
    <n v="1826"/>
    <n v="1443"/>
    <n v="5772"/>
    <n v="7304"/>
    <n v="1532"/>
    <s v="Product 7"/>
    <x v="42"/>
    <s v="Arthur Mccoy"/>
    <x v="119"/>
    <n v="1"/>
    <x v="0"/>
    <x v="5"/>
    <x v="5"/>
    <x v="1"/>
    <x v="0"/>
  </r>
  <r>
    <s v="AX24360"/>
    <s v="ENX2021"/>
    <s v="A140"/>
    <s v="EMP1039"/>
    <s v="C1755"/>
    <x v="57"/>
    <n v="3"/>
    <n v="217"/>
    <n v="171"/>
    <n v="513"/>
    <n v="651"/>
    <n v="138"/>
    <s v="Product 22"/>
    <x v="18"/>
    <s v="Eugene Holmes"/>
    <x v="178"/>
    <n v="1"/>
    <x v="0"/>
    <x v="5"/>
    <x v="5"/>
    <x v="1"/>
    <x v="0"/>
  </r>
  <r>
    <s v="AX24666"/>
    <s v="ENX2022"/>
    <s v="A167"/>
    <s v="EMP1023"/>
    <s v="C1171"/>
    <x v="56"/>
    <n v="1"/>
    <n v="561"/>
    <n v="421"/>
    <n v="421"/>
    <n v="561"/>
    <n v="140"/>
    <s v="Product 23"/>
    <x v="64"/>
    <s v="Brian Davis"/>
    <x v="150"/>
    <n v="1"/>
    <x v="0"/>
    <x v="5"/>
    <x v="5"/>
    <x v="1"/>
    <x v="0"/>
  </r>
  <r>
    <s v="AX24738"/>
    <s v="ENX2043"/>
    <s v="A115"/>
    <s v="EMP1038"/>
    <s v="C1684"/>
    <x v="54"/>
    <n v="3"/>
    <n v="545"/>
    <n v="425"/>
    <n v="1275"/>
    <n v="1635"/>
    <n v="360"/>
    <s v="Product 44"/>
    <x v="33"/>
    <s v="Scott Mason"/>
    <x v="258"/>
    <n v="1"/>
    <x v="0"/>
    <x v="5"/>
    <x v="5"/>
    <x v="1"/>
    <x v="0"/>
  </r>
  <r>
    <s v="AX10535"/>
    <s v="ENX2058"/>
    <s v="A128"/>
    <s v="EMP1009"/>
    <s v="C1268"/>
    <x v="58"/>
    <n v="1"/>
    <n v="2257"/>
    <n v="1535"/>
    <n v="1535"/>
    <n v="2257"/>
    <n v="722"/>
    <s v="Product 59"/>
    <x v="12"/>
    <s v="Kenneth Fields"/>
    <x v="526"/>
    <n v="1"/>
    <x v="0"/>
    <x v="5"/>
    <x v="5"/>
    <x v="1"/>
    <x v="2"/>
  </r>
  <r>
    <s v="AX10761"/>
    <s v="ENX2085"/>
    <s v="A142"/>
    <s v="EMP1024"/>
    <s v="C1475"/>
    <x v="59"/>
    <n v="1"/>
    <n v="1862"/>
    <n v="1173"/>
    <n v="1173"/>
    <n v="1862"/>
    <n v="689"/>
    <s v="Product 86"/>
    <x v="56"/>
    <s v="Ernest Wheeler"/>
    <x v="527"/>
    <n v="1"/>
    <x v="0"/>
    <x v="5"/>
    <x v="5"/>
    <x v="1"/>
    <x v="2"/>
  </r>
  <r>
    <s v="AX11325"/>
    <s v="ENX2078"/>
    <s v="A141"/>
    <s v="EMP1039"/>
    <s v="C1124"/>
    <x v="59"/>
    <n v="2"/>
    <n v="1798"/>
    <n v="971"/>
    <n v="1942"/>
    <n v="3596"/>
    <n v="1654"/>
    <s v="Product 79"/>
    <x v="23"/>
    <s v="Eugene Holmes"/>
    <x v="102"/>
    <n v="1"/>
    <x v="0"/>
    <x v="5"/>
    <x v="5"/>
    <x v="1"/>
    <x v="2"/>
  </r>
  <r>
    <s v="AX11642"/>
    <s v="ENX2067"/>
    <s v="A166"/>
    <s v="EMP1021"/>
    <s v="C1478"/>
    <x v="60"/>
    <n v="3"/>
    <n v="1119"/>
    <n v="683"/>
    <n v="2049"/>
    <n v="3357"/>
    <n v="1308"/>
    <s v="Product 68"/>
    <x v="70"/>
    <s v="Clarence Fox"/>
    <x v="483"/>
    <n v="1"/>
    <x v="0"/>
    <x v="5"/>
    <x v="5"/>
    <x v="1"/>
    <x v="2"/>
  </r>
  <r>
    <s v="AX11680"/>
    <s v="ENX2093"/>
    <s v="A119"/>
    <s v="EMP1010"/>
    <s v="C1027"/>
    <x v="59"/>
    <n v="2"/>
    <n v="112"/>
    <n v="90"/>
    <n v="180"/>
    <n v="224"/>
    <n v="44"/>
    <s v="Product 94"/>
    <x v="16"/>
    <s v="Joshua Cook"/>
    <x v="528"/>
    <n v="1"/>
    <x v="0"/>
    <x v="5"/>
    <x v="5"/>
    <x v="1"/>
    <x v="2"/>
  </r>
  <r>
    <s v="AX12051"/>
    <s v="ENX2009"/>
    <s v="A120"/>
    <s v="EMP1011"/>
    <s v="C1774"/>
    <x v="58"/>
    <n v="1"/>
    <n v="584"/>
    <n v="420"/>
    <n v="420"/>
    <n v="584"/>
    <n v="164"/>
    <s v="Product 10"/>
    <x v="20"/>
    <s v="Larry Marshall"/>
    <x v="232"/>
    <n v="1"/>
    <x v="0"/>
    <x v="5"/>
    <x v="5"/>
    <x v="1"/>
    <x v="2"/>
  </r>
  <r>
    <s v="AX12379"/>
    <s v="ENX2066"/>
    <s v="A134"/>
    <s v="EMP1022"/>
    <s v="C1072"/>
    <x v="59"/>
    <n v="3"/>
    <n v="2091"/>
    <n v="1485"/>
    <n v="4455"/>
    <n v="6273"/>
    <n v="1818"/>
    <s v="Product 67"/>
    <x v="41"/>
    <s v="Walter Cook"/>
    <x v="529"/>
    <n v="1"/>
    <x v="0"/>
    <x v="5"/>
    <x v="5"/>
    <x v="1"/>
    <x v="2"/>
  </r>
  <r>
    <s v="AX12459"/>
    <s v="ENX2080"/>
    <s v="A166"/>
    <s v="EMP1033"/>
    <s v="C1103"/>
    <x v="58"/>
    <n v="2"/>
    <n v="2353"/>
    <n v="1788"/>
    <n v="3576"/>
    <n v="4706"/>
    <n v="1130"/>
    <s v="Product 81"/>
    <x v="70"/>
    <s v="Jerry Perry"/>
    <x v="336"/>
    <n v="1"/>
    <x v="0"/>
    <x v="5"/>
    <x v="5"/>
    <x v="1"/>
    <x v="2"/>
  </r>
  <r>
    <s v="AX12658"/>
    <s v="ENX2036"/>
    <s v="A166"/>
    <s v="EMP1027"/>
    <s v="C1228"/>
    <x v="60"/>
    <n v="3"/>
    <n v="1582"/>
    <n v="1234"/>
    <n v="3702"/>
    <n v="4746"/>
    <n v="1044"/>
    <s v="Product 37"/>
    <x v="70"/>
    <s v="Gary Rodriguez"/>
    <x v="530"/>
    <n v="1"/>
    <x v="0"/>
    <x v="5"/>
    <x v="5"/>
    <x v="1"/>
    <x v="2"/>
  </r>
  <r>
    <s v="AX12675"/>
    <s v="ENX2028"/>
    <s v="A138"/>
    <s v="EMP1009"/>
    <s v="C1303"/>
    <x v="59"/>
    <n v="1"/>
    <n v="2283"/>
    <n v="1484"/>
    <n v="1484"/>
    <n v="2283"/>
    <n v="799"/>
    <s v="Product 29"/>
    <x v="37"/>
    <s v="Kenneth Fields"/>
    <x v="531"/>
    <n v="1"/>
    <x v="0"/>
    <x v="5"/>
    <x v="5"/>
    <x v="1"/>
    <x v="2"/>
  </r>
  <r>
    <s v="AX12976"/>
    <s v="ENX2085"/>
    <s v="A102"/>
    <s v="EMP1019"/>
    <s v="C1168"/>
    <x v="60"/>
    <n v="1"/>
    <n v="1862"/>
    <n v="1173"/>
    <n v="1173"/>
    <n v="1862"/>
    <n v="689"/>
    <s v="Product 86"/>
    <x v="44"/>
    <s v="Roger Robertson"/>
    <x v="532"/>
    <n v="1"/>
    <x v="0"/>
    <x v="5"/>
    <x v="5"/>
    <x v="1"/>
    <x v="2"/>
  </r>
  <r>
    <s v="AX13603"/>
    <s v="ENX2029"/>
    <s v="A128"/>
    <s v="EMP1040"/>
    <s v="C1492"/>
    <x v="59"/>
    <n v="3"/>
    <n v="1848"/>
    <n v="1294"/>
    <n v="3882"/>
    <n v="5544"/>
    <n v="1662"/>
    <s v="Product 30"/>
    <x v="12"/>
    <s v="Patrick Ruiz"/>
    <x v="533"/>
    <n v="1"/>
    <x v="0"/>
    <x v="5"/>
    <x v="5"/>
    <x v="1"/>
    <x v="2"/>
  </r>
  <r>
    <s v="AX13646"/>
    <s v="ENX2060"/>
    <s v="A128"/>
    <s v="EMP1020"/>
    <s v="C1741"/>
    <x v="61"/>
    <n v="3"/>
    <n v="1467"/>
    <n v="807"/>
    <n v="2421"/>
    <n v="4401"/>
    <n v="1980"/>
    <s v="Product 61"/>
    <x v="12"/>
    <s v="Ryan Butler"/>
    <x v="534"/>
    <n v="1"/>
    <x v="0"/>
    <x v="5"/>
    <x v="5"/>
    <x v="1"/>
    <x v="2"/>
  </r>
  <r>
    <s v="AX14215"/>
    <s v="ENX2079"/>
    <s v="A102"/>
    <s v="EMP1030"/>
    <s v="C1463"/>
    <x v="61"/>
    <n v="4"/>
    <n v="1725"/>
    <n v="1363"/>
    <n v="5452"/>
    <n v="6900"/>
    <n v="1448"/>
    <s v="Product 80"/>
    <x v="44"/>
    <s v="Bobby Russell"/>
    <x v="535"/>
    <n v="1"/>
    <x v="0"/>
    <x v="5"/>
    <x v="5"/>
    <x v="1"/>
    <x v="2"/>
  </r>
  <r>
    <s v="AX14276"/>
    <s v="ENX2087"/>
    <s v="A122"/>
    <s v="EMP1005"/>
    <s v="C1737"/>
    <x v="61"/>
    <n v="3"/>
    <n v="1022"/>
    <n v="818"/>
    <n v="2454"/>
    <n v="3066"/>
    <n v="612"/>
    <s v="Product 88"/>
    <x v="71"/>
    <s v="Ryan Welch"/>
    <x v="343"/>
    <n v="1"/>
    <x v="0"/>
    <x v="5"/>
    <x v="5"/>
    <x v="1"/>
    <x v="2"/>
  </r>
  <r>
    <s v="AX14326"/>
    <s v="ENX2095"/>
    <s v="A129"/>
    <s v="EMP1018"/>
    <s v="C1617"/>
    <x v="58"/>
    <n v="3"/>
    <n v="1743"/>
    <n v="872"/>
    <n v="2616"/>
    <n v="5229"/>
    <n v="2613"/>
    <s v="Product 96"/>
    <x v="22"/>
    <s v="Jimmy Young"/>
    <x v="195"/>
    <n v="1"/>
    <x v="0"/>
    <x v="5"/>
    <x v="5"/>
    <x v="1"/>
    <x v="2"/>
  </r>
  <r>
    <s v="AX15566"/>
    <s v="ENX2018"/>
    <s v="A137"/>
    <s v="EMP1024"/>
    <s v="C1005"/>
    <x v="60"/>
    <n v="1"/>
    <n v="1972"/>
    <n v="1321"/>
    <n v="1321"/>
    <n v="1972"/>
    <n v="651"/>
    <s v="Product 19"/>
    <x v="68"/>
    <s v="Ernest Wheeler"/>
    <x v="304"/>
    <n v="1"/>
    <x v="0"/>
    <x v="5"/>
    <x v="5"/>
    <x v="1"/>
    <x v="2"/>
  </r>
  <r>
    <s v="AX15653"/>
    <s v="ENX2019"/>
    <s v="A130"/>
    <s v="EMP1027"/>
    <s v="C1508"/>
    <x v="58"/>
    <n v="1"/>
    <n v="800"/>
    <n v="536"/>
    <n v="536"/>
    <n v="800"/>
    <n v="264"/>
    <s v="Product 20"/>
    <x v="4"/>
    <s v="Gary Rodriguez"/>
    <x v="37"/>
    <n v="1"/>
    <x v="0"/>
    <x v="5"/>
    <x v="5"/>
    <x v="1"/>
    <x v="2"/>
  </r>
  <r>
    <s v="AX15834"/>
    <s v="ENX2043"/>
    <s v="A172"/>
    <s v="EMP1002"/>
    <s v="C1261"/>
    <x v="61"/>
    <n v="4"/>
    <n v="545"/>
    <n v="425"/>
    <n v="1700"/>
    <n v="2180"/>
    <n v="480"/>
    <s v="Product 44"/>
    <x v="36"/>
    <s v="Andrew Bowman"/>
    <x v="295"/>
    <n v="1"/>
    <x v="0"/>
    <x v="5"/>
    <x v="5"/>
    <x v="1"/>
    <x v="2"/>
  </r>
  <r>
    <s v="AX15902"/>
    <s v="ENX2055"/>
    <s v="A103"/>
    <s v="EMP1036"/>
    <s v="C1561"/>
    <x v="58"/>
    <n v="1"/>
    <n v="2495"/>
    <n v="1896"/>
    <n v="1896"/>
    <n v="2495"/>
    <n v="599"/>
    <s v="Product 56"/>
    <x v="61"/>
    <s v="Robert Reed"/>
    <x v="114"/>
    <n v="1"/>
    <x v="0"/>
    <x v="5"/>
    <x v="5"/>
    <x v="1"/>
    <x v="2"/>
  </r>
  <r>
    <s v="AX15975"/>
    <s v="ENX2082"/>
    <s v="A115"/>
    <s v="EMP1034"/>
    <s v="C1069"/>
    <x v="59"/>
    <n v="2"/>
    <n v="1103"/>
    <n v="838"/>
    <n v="1676"/>
    <n v="2206"/>
    <n v="530"/>
    <s v="Product 83"/>
    <x v="33"/>
    <s v="Arthur Mccoy"/>
    <x v="284"/>
    <n v="1"/>
    <x v="0"/>
    <x v="5"/>
    <x v="5"/>
    <x v="1"/>
    <x v="2"/>
  </r>
  <r>
    <s v="AX16069"/>
    <s v="ENX2091"/>
    <s v="A107"/>
    <s v="EMP1021"/>
    <s v="C1537"/>
    <x v="58"/>
    <n v="2"/>
    <n v="368"/>
    <n v="294"/>
    <n v="588"/>
    <n v="736"/>
    <n v="148"/>
    <s v="Product 92"/>
    <x v="21"/>
    <s v="Clarence Fox"/>
    <x v="141"/>
    <n v="1"/>
    <x v="0"/>
    <x v="5"/>
    <x v="5"/>
    <x v="1"/>
    <x v="2"/>
  </r>
  <r>
    <s v="AX16179"/>
    <s v="ENX2064"/>
    <s v="A101"/>
    <s v="EMP1021"/>
    <s v="C1127"/>
    <x v="59"/>
    <n v="1"/>
    <n v="1414"/>
    <n v="962"/>
    <n v="962"/>
    <n v="1414"/>
    <n v="452"/>
    <s v="Product 65"/>
    <x v="60"/>
    <s v="Clarence Fox"/>
    <x v="438"/>
    <n v="1"/>
    <x v="0"/>
    <x v="5"/>
    <x v="5"/>
    <x v="1"/>
    <x v="2"/>
  </r>
  <r>
    <s v="AX16196"/>
    <s v="ENX2007"/>
    <s v="A149"/>
    <s v="EMP1017"/>
    <s v="C1525"/>
    <x v="60"/>
    <n v="1"/>
    <n v="1405"/>
    <n v="1054"/>
    <n v="1054"/>
    <n v="1405"/>
    <n v="351"/>
    <s v="Product 8"/>
    <x v="59"/>
    <s v="Brian Hansen"/>
    <x v="360"/>
    <n v="1"/>
    <x v="0"/>
    <x v="5"/>
    <x v="5"/>
    <x v="1"/>
    <x v="2"/>
  </r>
  <r>
    <s v="AX16316"/>
    <s v="ENX2071"/>
    <s v="A154"/>
    <s v="EMP1007"/>
    <s v="C1239"/>
    <x v="61"/>
    <n v="4"/>
    <n v="136"/>
    <n v="72"/>
    <n v="288"/>
    <n v="544"/>
    <n v="256"/>
    <s v="Product 72"/>
    <x v="24"/>
    <s v="Jeremy Mendoza"/>
    <x v="479"/>
    <n v="1"/>
    <x v="0"/>
    <x v="5"/>
    <x v="5"/>
    <x v="1"/>
    <x v="2"/>
  </r>
  <r>
    <s v="AX17736"/>
    <s v="ENX2085"/>
    <s v="A171"/>
    <s v="EMP1020"/>
    <s v="C1792"/>
    <x v="60"/>
    <n v="4"/>
    <n v="1862"/>
    <n v="1173"/>
    <n v="4692"/>
    <n v="7448"/>
    <n v="2756"/>
    <s v="Product 86"/>
    <x v="0"/>
    <s v="Ryan Butler"/>
    <x v="536"/>
    <n v="1"/>
    <x v="0"/>
    <x v="5"/>
    <x v="5"/>
    <x v="1"/>
    <x v="2"/>
  </r>
  <r>
    <s v="AX18038"/>
    <s v="ENX2057"/>
    <s v="A135"/>
    <s v="EMP1018"/>
    <s v="C1297"/>
    <x v="61"/>
    <n v="1"/>
    <n v="181"/>
    <n v="130"/>
    <n v="130"/>
    <n v="181"/>
    <n v="51"/>
    <s v="Product 58"/>
    <x v="10"/>
    <s v="Jimmy Young"/>
    <x v="537"/>
    <n v="1"/>
    <x v="0"/>
    <x v="5"/>
    <x v="5"/>
    <x v="1"/>
    <x v="2"/>
  </r>
  <r>
    <s v="AX18073"/>
    <s v="ENX2033"/>
    <s v="A132"/>
    <s v="EMP1028"/>
    <s v="C1140"/>
    <x v="59"/>
    <n v="1"/>
    <n v="2182"/>
    <n v="1200"/>
    <n v="1200"/>
    <n v="2182"/>
    <n v="982"/>
    <s v="Product 34"/>
    <x v="48"/>
    <s v="Howard Sims"/>
    <x v="40"/>
    <n v="1"/>
    <x v="0"/>
    <x v="5"/>
    <x v="5"/>
    <x v="1"/>
    <x v="2"/>
  </r>
  <r>
    <s v="AX18320"/>
    <s v="ENX2074"/>
    <s v="A148"/>
    <s v="EMP1036"/>
    <s v="C1664"/>
    <x v="59"/>
    <n v="2"/>
    <n v="504"/>
    <n v="408"/>
    <n v="816"/>
    <n v="1008"/>
    <n v="192"/>
    <s v="Product 75"/>
    <x v="62"/>
    <s v="Robert Reed"/>
    <x v="12"/>
    <n v="1"/>
    <x v="0"/>
    <x v="5"/>
    <x v="5"/>
    <x v="1"/>
    <x v="2"/>
  </r>
  <r>
    <s v="AX18365"/>
    <s v="ENX2063"/>
    <s v="A149"/>
    <s v="EMP1008"/>
    <s v="C1436"/>
    <x v="58"/>
    <n v="3"/>
    <n v="1708"/>
    <n v="871"/>
    <n v="2613"/>
    <n v="5124"/>
    <n v="2511"/>
    <s v="Product 64"/>
    <x v="59"/>
    <s v="Carl Elliott"/>
    <x v="283"/>
    <n v="1"/>
    <x v="0"/>
    <x v="5"/>
    <x v="5"/>
    <x v="1"/>
    <x v="2"/>
  </r>
  <r>
    <s v="AX18713"/>
    <s v="ENX2061"/>
    <s v="A152"/>
    <s v="EMP1024"/>
    <s v="C1507"/>
    <x v="58"/>
    <n v="2"/>
    <n v="913"/>
    <n v="584"/>
    <n v="1168"/>
    <n v="1826"/>
    <n v="658"/>
    <s v="Product 62"/>
    <x v="26"/>
    <s v="Ernest Wheeler"/>
    <x v="227"/>
    <n v="1"/>
    <x v="0"/>
    <x v="5"/>
    <x v="5"/>
    <x v="1"/>
    <x v="2"/>
  </r>
  <r>
    <s v="AX18746"/>
    <s v="ENX2076"/>
    <s v="A102"/>
    <s v="EMP1028"/>
    <s v="C1453"/>
    <x v="60"/>
    <n v="1"/>
    <n v="1522"/>
    <n v="791"/>
    <n v="791"/>
    <n v="1522"/>
    <n v="731"/>
    <s v="Product 77"/>
    <x v="44"/>
    <s v="Howard Sims"/>
    <x v="194"/>
    <n v="1"/>
    <x v="0"/>
    <x v="5"/>
    <x v="5"/>
    <x v="1"/>
    <x v="2"/>
  </r>
  <r>
    <s v="AX18753"/>
    <s v="ENX2085"/>
    <s v="A172"/>
    <s v="EMP1031"/>
    <s v="C1157"/>
    <x v="59"/>
    <n v="1"/>
    <n v="1862"/>
    <n v="1173"/>
    <n v="1173"/>
    <n v="1862"/>
    <n v="689"/>
    <s v="Product 86"/>
    <x v="36"/>
    <s v="Brian Thomas"/>
    <x v="415"/>
    <n v="1"/>
    <x v="0"/>
    <x v="5"/>
    <x v="5"/>
    <x v="1"/>
    <x v="2"/>
  </r>
  <r>
    <s v="AX18876"/>
    <s v="ENX2097"/>
    <s v="A161"/>
    <s v="EMP1017"/>
    <s v="C1486"/>
    <x v="58"/>
    <n v="2"/>
    <n v="1052"/>
    <n v="589"/>
    <n v="1178"/>
    <n v="2104"/>
    <n v="926"/>
    <s v="Product 98"/>
    <x v="6"/>
    <s v="Brian Hansen"/>
    <x v="357"/>
    <n v="1"/>
    <x v="0"/>
    <x v="5"/>
    <x v="5"/>
    <x v="1"/>
    <x v="2"/>
  </r>
  <r>
    <s v="AX19344"/>
    <s v="ENX2013"/>
    <s v="A142"/>
    <s v="EMP1037"/>
    <s v="C1002"/>
    <x v="60"/>
    <n v="4"/>
    <n v="368"/>
    <n v="269"/>
    <n v="1076"/>
    <n v="1472"/>
    <n v="396"/>
    <s v="Product 14"/>
    <x v="56"/>
    <s v="Carl Hall"/>
    <x v="49"/>
    <n v="1"/>
    <x v="0"/>
    <x v="5"/>
    <x v="5"/>
    <x v="1"/>
    <x v="2"/>
  </r>
  <r>
    <s v="AX19486"/>
    <s v="ENX2082"/>
    <s v="A115"/>
    <s v="EMP1005"/>
    <s v="C1483"/>
    <x v="58"/>
    <n v="1"/>
    <n v="1103"/>
    <n v="838"/>
    <n v="838"/>
    <n v="1103"/>
    <n v="265"/>
    <s v="Product 83"/>
    <x v="33"/>
    <s v="Ryan Welch"/>
    <x v="255"/>
    <n v="1"/>
    <x v="0"/>
    <x v="5"/>
    <x v="5"/>
    <x v="1"/>
    <x v="2"/>
  </r>
  <r>
    <s v="AX19559"/>
    <s v="ENX2081"/>
    <s v="A105"/>
    <s v="EMP1032"/>
    <s v="C1231"/>
    <x v="61"/>
    <n v="1"/>
    <n v="1566"/>
    <n v="1190"/>
    <n v="1190"/>
    <n v="1566"/>
    <n v="376"/>
    <s v="Product 82"/>
    <x v="45"/>
    <s v="Larry Castillo"/>
    <x v="94"/>
    <n v="1"/>
    <x v="0"/>
    <x v="5"/>
    <x v="5"/>
    <x v="1"/>
    <x v="2"/>
  </r>
  <r>
    <s v="AX19566"/>
    <s v="ENX2030"/>
    <s v="A133"/>
    <s v="EMP1027"/>
    <s v="C1506"/>
    <x v="59"/>
    <n v="2"/>
    <n v="1899"/>
    <n v="1044"/>
    <n v="2088"/>
    <n v="3798"/>
    <n v="1710"/>
    <s v="Product 31"/>
    <x v="46"/>
    <s v="Gary Rodriguez"/>
    <x v="538"/>
    <n v="1"/>
    <x v="0"/>
    <x v="5"/>
    <x v="5"/>
    <x v="1"/>
    <x v="2"/>
  </r>
  <r>
    <s v="AX19708"/>
    <s v="ENX2094"/>
    <s v="A116"/>
    <s v="EMP1001"/>
    <s v="C1125"/>
    <x v="60"/>
    <n v="2"/>
    <n v="771"/>
    <n v="648"/>
    <n v="1296"/>
    <n v="1542"/>
    <n v="246"/>
    <s v="Product 95"/>
    <x v="15"/>
    <s v="Kevin Butler"/>
    <x v="539"/>
    <n v="1"/>
    <x v="0"/>
    <x v="5"/>
    <x v="5"/>
    <x v="1"/>
    <x v="2"/>
  </r>
  <r>
    <s v="AX20200"/>
    <s v="ENX2089"/>
    <s v="A116"/>
    <s v="EMP1027"/>
    <s v="C1401"/>
    <x v="58"/>
    <n v="1"/>
    <n v="2294"/>
    <n v="1399"/>
    <n v="1399"/>
    <n v="2294"/>
    <n v="895"/>
    <s v="Product 90"/>
    <x v="15"/>
    <s v="Gary Rodriguez"/>
    <x v="36"/>
    <n v="1"/>
    <x v="0"/>
    <x v="5"/>
    <x v="5"/>
    <x v="1"/>
    <x v="2"/>
  </r>
  <r>
    <s v="AX20532"/>
    <s v="ENX2007"/>
    <s v="A107"/>
    <s v="EMP1006"/>
    <s v="C1268"/>
    <x v="59"/>
    <n v="1"/>
    <n v="1405"/>
    <n v="1054"/>
    <n v="1054"/>
    <n v="1405"/>
    <n v="351"/>
    <s v="Product 8"/>
    <x v="21"/>
    <s v="Sean Miller"/>
    <x v="526"/>
    <n v="1"/>
    <x v="0"/>
    <x v="5"/>
    <x v="5"/>
    <x v="1"/>
    <x v="2"/>
  </r>
  <r>
    <s v="AX20680"/>
    <s v="ENX2044"/>
    <s v="A143"/>
    <s v="EMP1039"/>
    <s v="C1558"/>
    <x v="60"/>
    <n v="2"/>
    <n v="886"/>
    <n v="478"/>
    <n v="956"/>
    <n v="1772"/>
    <n v="816"/>
    <s v="Product 45"/>
    <x v="39"/>
    <s v="Eugene Holmes"/>
    <x v="170"/>
    <n v="1"/>
    <x v="0"/>
    <x v="5"/>
    <x v="5"/>
    <x v="1"/>
    <x v="2"/>
  </r>
  <r>
    <s v="AX20940"/>
    <s v="ENX2063"/>
    <s v="A145"/>
    <s v="EMP1017"/>
    <s v="C1380"/>
    <x v="58"/>
    <n v="3"/>
    <n v="1708"/>
    <n v="871"/>
    <n v="2613"/>
    <n v="5124"/>
    <n v="2511"/>
    <s v="Product 64"/>
    <x v="35"/>
    <s v="Brian Hansen"/>
    <x v="540"/>
    <n v="1"/>
    <x v="0"/>
    <x v="5"/>
    <x v="5"/>
    <x v="1"/>
    <x v="2"/>
  </r>
  <r>
    <s v="AX21349"/>
    <s v="ENX2059"/>
    <s v="A101"/>
    <s v="EMP1033"/>
    <s v="C1302"/>
    <x v="59"/>
    <n v="1"/>
    <n v="1494"/>
    <n v="971"/>
    <n v="971"/>
    <n v="1494"/>
    <n v="523"/>
    <s v="Product 60"/>
    <x v="60"/>
    <s v="Jerry Perry"/>
    <x v="451"/>
    <n v="1"/>
    <x v="0"/>
    <x v="5"/>
    <x v="5"/>
    <x v="1"/>
    <x v="2"/>
  </r>
  <r>
    <s v="AX21373"/>
    <s v="ENX2010"/>
    <s v="A101"/>
    <s v="EMP1037"/>
    <s v="C1765"/>
    <x v="59"/>
    <n v="1"/>
    <n v="1812"/>
    <n v="1305"/>
    <n v="1305"/>
    <n v="1812"/>
    <n v="507"/>
    <s v="Product 11"/>
    <x v="60"/>
    <s v="Carl Hall"/>
    <x v="470"/>
    <n v="1"/>
    <x v="0"/>
    <x v="5"/>
    <x v="5"/>
    <x v="1"/>
    <x v="2"/>
  </r>
  <r>
    <s v="AX21427"/>
    <s v="ENX2019"/>
    <s v="A144"/>
    <s v="EMP1001"/>
    <s v="C1117"/>
    <x v="60"/>
    <n v="1"/>
    <n v="800"/>
    <n v="536"/>
    <n v="536"/>
    <n v="800"/>
    <n v="264"/>
    <s v="Product 20"/>
    <x v="65"/>
    <s v="Kevin Butler"/>
    <x v="519"/>
    <n v="1"/>
    <x v="0"/>
    <x v="5"/>
    <x v="5"/>
    <x v="1"/>
    <x v="2"/>
  </r>
  <r>
    <s v="AX22291"/>
    <s v="ENX2068"/>
    <s v="A141"/>
    <s v="EMP1006"/>
    <s v="C1158"/>
    <x v="58"/>
    <n v="1"/>
    <n v="1500"/>
    <n v="900"/>
    <n v="900"/>
    <n v="1500"/>
    <n v="600"/>
    <s v="Product 69"/>
    <x v="23"/>
    <s v="Sean Miller"/>
    <x v="541"/>
    <n v="1"/>
    <x v="0"/>
    <x v="5"/>
    <x v="5"/>
    <x v="1"/>
    <x v="2"/>
  </r>
  <r>
    <s v="AX22568"/>
    <s v="ENX2011"/>
    <s v="A145"/>
    <s v="EMP1043"/>
    <s v="C1626"/>
    <x v="59"/>
    <n v="1"/>
    <n v="530"/>
    <n v="435"/>
    <n v="435"/>
    <n v="530"/>
    <n v="95"/>
    <s v="Product 12"/>
    <x v="35"/>
    <s v="Joshua Taylor"/>
    <x v="153"/>
    <n v="1"/>
    <x v="0"/>
    <x v="5"/>
    <x v="5"/>
    <x v="1"/>
    <x v="2"/>
  </r>
  <r>
    <s v="AX22717"/>
    <s v="ENX2095"/>
    <s v="A140"/>
    <s v="EMP1019"/>
    <s v="C1774"/>
    <x v="59"/>
    <n v="1"/>
    <n v="1743"/>
    <n v="872"/>
    <n v="872"/>
    <n v="1743"/>
    <n v="871"/>
    <s v="Product 96"/>
    <x v="18"/>
    <s v="Roger Robertson"/>
    <x v="232"/>
    <n v="1"/>
    <x v="0"/>
    <x v="5"/>
    <x v="5"/>
    <x v="1"/>
    <x v="2"/>
  </r>
  <r>
    <s v="AX22808"/>
    <s v="ENX2031"/>
    <s v="A170"/>
    <s v="EMP1037"/>
    <s v="C1338"/>
    <x v="61"/>
    <n v="1"/>
    <n v="1638"/>
    <n v="1261"/>
    <n v="1261"/>
    <n v="1638"/>
    <n v="377"/>
    <s v="Product 32"/>
    <x v="47"/>
    <s v="Carl Hall"/>
    <x v="542"/>
    <n v="1"/>
    <x v="0"/>
    <x v="5"/>
    <x v="5"/>
    <x v="1"/>
    <x v="2"/>
  </r>
  <r>
    <s v="AX23520"/>
    <s v="ENX2075"/>
    <s v="A154"/>
    <s v="EMP1030"/>
    <s v="C1523"/>
    <x v="58"/>
    <n v="1"/>
    <n v="400"/>
    <n v="208"/>
    <n v="208"/>
    <n v="400"/>
    <n v="192"/>
    <s v="Product 76"/>
    <x v="24"/>
    <s v="Bobby Russell"/>
    <x v="543"/>
    <n v="1"/>
    <x v="0"/>
    <x v="5"/>
    <x v="5"/>
    <x v="1"/>
    <x v="2"/>
  </r>
  <r>
    <s v="AX23892"/>
    <s v="ENX2003"/>
    <s v="A133"/>
    <s v="EMP1040"/>
    <s v="C1042"/>
    <x v="58"/>
    <n v="1"/>
    <n v="1783"/>
    <n v="1516"/>
    <n v="1516"/>
    <n v="1783"/>
    <n v="267"/>
    <s v="Product 4"/>
    <x v="46"/>
    <s v="Patrick Ruiz"/>
    <x v="459"/>
    <n v="1"/>
    <x v="0"/>
    <x v="5"/>
    <x v="5"/>
    <x v="1"/>
    <x v="2"/>
  </r>
  <r>
    <s v="AX24308"/>
    <s v="ENX2046"/>
    <s v="A153"/>
    <s v="EMP1004"/>
    <s v="C1405"/>
    <x v="59"/>
    <n v="1"/>
    <n v="2410"/>
    <n v="1518"/>
    <n v="1518"/>
    <n v="2410"/>
    <n v="892"/>
    <s v="Product 47"/>
    <x v="8"/>
    <s v="Kenneth Bradley"/>
    <x v="544"/>
    <n v="1"/>
    <x v="0"/>
    <x v="5"/>
    <x v="5"/>
    <x v="1"/>
    <x v="2"/>
  </r>
  <r>
    <s v="AX24405"/>
    <s v="ENX2064"/>
    <s v="A168"/>
    <s v="EMP1024"/>
    <s v="C1525"/>
    <x v="59"/>
    <n v="1"/>
    <n v="1414"/>
    <n v="962"/>
    <n v="962"/>
    <n v="1414"/>
    <n v="452"/>
    <s v="Product 65"/>
    <x v="40"/>
    <s v="Ernest Wheeler"/>
    <x v="360"/>
    <n v="1"/>
    <x v="0"/>
    <x v="5"/>
    <x v="5"/>
    <x v="1"/>
    <x v="2"/>
  </r>
  <r>
    <s v="AX24970"/>
    <s v="ENX2060"/>
    <s v="A140"/>
    <s v="EMP1012"/>
    <s v="C1038"/>
    <x v="58"/>
    <n v="4"/>
    <n v="1467"/>
    <n v="807"/>
    <n v="3228"/>
    <n v="5868"/>
    <n v="2640"/>
    <s v="Product 61"/>
    <x v="18"/>
    <s v="John Reyes"/>
    <x v="545"/>
    <n v="1"/>
    <x v="0"/>
    <x v="5"/>
    <x v="5"/>
    <x v="1"/>
    <x v="2"/>
  </r>
  <r>
    <s v="AX10124"/>
    <s v="ENX2012"/>
    <s v="A150"/>
    <s v="EMP1019"/>
    <s v="C1508"/>
    <x v="62"/>
    <n v="1"/>
    <n v="1353"/>
    <n v="947"/>
    <n v="947"/>
    <n v="1353"/>
    <n v="406"/>
    <s v="Product 13"/>
    <x v="30"/>
    <s v="Roger Robertson"/>
    <x v="37"/>
    <n v="1"/>
    <x v="0"/>
    <x v="6"/>
    <x v="6"/>
    <x v="2"/>
    <x v="0"/>
  </r>
  <r>
    <s v="AX10127"/>
    <s v="ENX2066"/>
    <s v="A134"/>
    <s v="EMP1027"/>
    <s v="C1612"/>
    <x v="63"/>
    <n v="2"/>
    <n v="2091"/>
    <n v="1485"/>
    <n v="2970"/>
    <n v="4182"/>
    <n v="1212"/>
    <s v="Product 67"/>
    <x v="41"/>
    <s v="Gary Rodriguez"/>
    <x v="46"/>
    <n v="1"/>
    <x v="0"/>
    <x v="6"/>
    <x v="6"/>
    <x v="2"/>
    <x v="0"/>
  </r>
  <r>
    <s v="AX10277"/>
    <s v="ENX2096"/>
    <s v="A140"/>
    <s v="EMP1035"/>
    <s v="C1061"/>
    <x v="64"/>
    <n v="1"/>
    <n v="1587"/>
    <n v="1301"/>
    <n v="1301"/>
    <n v="1587"/>
    <n v="286"/>
    <s v="Product 97"/>
    <x v="18"/>
    <s v="Roger Ramos"/>
    <x v="228"/>
    <n v="1"/>
    <x v="0"/>
    <x v="6"/>
    <x v="6"/>
    <x v="2"/>
    <x v="0"/>
  </r>
  <r>
    <s v="AX10293"/>
    <s v="ENX2069"/>
    <s v="A122"/>
    <s v="EMP1038"/>
    <s v="C1254"/>
    <x v="65"/>
    <n v="1"/>
    <n v="378"/>
    <n v="291"/>
    <n v="291"/>
    <n v="378"/>
    <n v="87"/>
    <s v="Product 70"/>
    <x v="71"/>
    <s v="Scott Mason"/>
    <x v="104"/>
    <n v="1"/>
    <x v="0"/>
    <x v="6"/>
    <x v="6"/>
    <x v="2"/>
    <x v="0"/>
  </r>
  <r>
    <s v="AX11105"/>
    <s v="ENX2035"/>
    <s v="A143"/>
    <s v="EMP1038"/>
    <s v="C1420"/>
    <x v="64"/>
    <n v="2"/>
    <n v="458"/>
    <n v="376"/>
    <n v="752"/>
    <n v="916"/>
    <n v="164"/>
    <s v="Product 36"/>
    <x v="39"/>
    <s v="Scott Mason"/>
    <x v="33"/>
    <n v="1"/>
    <x v="0"/>
    <x v="6"/>
    <x v="6"/>
    <x v="2"/>
    <x v="0"/>
  </r>
  <r>
    <s v="AX11154"/>
    <s v="ENX2030"/>
    <s v="A108"/>
    <s v="EMP1009"/>
    <s v="C1502"/>
    <x v="64"/>
    <n v="3"/>
    <n v="1899"/>
    <n v="1044"/>
    <n v="3132"/>
    <n v="5697"/>
    <n v="2565"/>
    <s v="Product 31"/>
    <x v="49"/>
    <s v="Kenneth Fields"/>
    <x v="364"/>
    <n v="1"/>
    <x v="0"/>
    <x v="6"/>
    <x v="6"/>
    <x v="2"/>
    <x v="0"/>
  </r>
  <r>
    <s v="AX11793"/>
    <s v="ENX2045"/>
    <s v="A143"/>
    <s v="EMP1042"/>
    <s v="C1041"/>
    <x v="65"/>
    <n v="1"/>
    <n v="556"/>
    <n v="395"/>
    <n v="395"/>
    <n v="556"/>
    <n v="161"/>
    <s v="Product 46"/>
    <x v="39"/>
    <s v="Scott Clark"/>
    <x v="29"/>
    <n v="1"/>
    <x v="0"/>
    <x v="6"/>
    <x v="6"/>
    <x v="2"/>
    <x v="0"/>
  </r>
  <r>
    <s v="AX12064"/>
    <s v="ENX2023"/>
    <s v="A126"/>
    <s v="EMP1024"/>
    <s v="C1193"/>
    <x v="65"/>
    <n v="2"/>
    <n v="818"/>
    <n v="450"/>
    <n v="900"/>
    <n v="1636"/>
    <n v="736"/>
    <s v="Product 24"/>
    <x v="5"/>
    <s v="Ernest Wheeler"/>
    <x v="219"/>
    <n v="1"/>
    <x v="0"/>
    <x v="6"/>
    <x v="6"/>
    <x v="2"/>
    <x v="0"/>
  </r>
  <r>
    <s v="AX12245"/>
    <s v="ENX2067"/>
    <s v="A134"/>
    <s v="EMP1008"/>
    <s v="C1043"/>
    <x v="62"/>
    <n v="4"/>
    <n v="1119"/>
    <n v="683"/>
    <n v="2732"/>
    <n v="4476"/>
    <n v="1744"/>
    <s v="Product 68"/>
    <x v="41"/>
    <s v="Carl Elliott"/>
    <x v="546"/>
    <n v="1"/>
    <x v="0"/>
    <x v="6"/>
    <x v="6"/>
    <x v="2"/>
    <x v="0"/>
  </r>
  <r>
    <s v="AX12275"/>
    <s v="ENX2094"/>
    <s v="A137"/>
    <s v="EMP1011"/>
    <s v="C1672"/>
    <x v="64"/>
    <n v="1"/>
    <n v="771"/>
    <n v="648"/>
    <n v="648"/>
    <n v="771"/>
    <n v="123"/>
    <s v="Product 95"/>
    <x v="68"/>
    <s v="Larry Marshall"/>
    <x v="547"/>
    <n v="1"/>
    <x v="0"/>
    <x v="6"/>
    <x v="6"/>
    <x v="2"/>
    <x v="0"/>
  </r>
  <r>
    <s v="AX13435"/>
    <s v="ENX2002"/>
    <s v="A170"/>
    <s v="EMP1025"/>
    <s v="C1067"/>
    <x v="65"/>
    <n v="1"/>
    <n v="847"/>
    <n v="534"/>
    <n v="534"/>
    <n v="847"/>
    <n v="313"/>
    <s v="Product 3"/>
    <x v="47"/>
    <s v="Ernest Wagner"/>
    <x v="108"/>
    <n v="1"/>
    <x v="0"/>
    <x v="6"/>
    <x v="6"/>
    <x v="2"/>
    <x v="0"/>
  </r>
  <r>
    <s v="AX13473"/>
    <s v="ENX2030"/>
    <s v="A132"/>
    <s v="EMP1000"/>
    <s v="C1622"/>
    <x v="62"/>
    <n v="2"/>
    <n v="1899"/>
    <n v="1044"/>
    <n v="2088"/>
    <n v="3798"/>
    <n v="1710"/>
    <s v="Product 31"/>
    <x v="48"/>
    <s v="Fred Robertson"/>
    <x v="548"/>
    <n v="1"/>
    <x v="0"/>
    <x v="6"/>
    <x v="6"/>
    <x v="2"/>
    <x v="0"/>
  </r>
  <r>
    <s v="AX13540"/>
    <s v="ENX2043"/>
    <s v="A129"/>
    <s v="EMP1040"/>
    <s v="C1733"/>
    <x v="62"/>
    <n v="2"/>
    <n v="545"/>
    <n v="425"/>
    <n v="850"/>
    <n v="1090"/>
    <n v="240"/>
    <s v="Product 44"/>
    <x v="22"/>
    <s v="Patrick Ruiz"/>
    <x v="32"/>
    <n v="1"/>
    <x v="0"/>
    <x v="6"/>
    <x v="6"/>
    <x v="2"/>
    <x v="0"/>
  </r>
  <r>
    <s v="AX13543"/>
    <s v="ENX2084"/>
    <s v="A147"/>
    <s v="EMP1012"/>
    <s v="C1074"/>
    <x v="65"/>
    <n v="1"/>
    <n v="1783"/>
    <n v="1230"/>
    <n v="1230"/>
    <n v="1783"/>
    <n v="553"/>
    <s v="Product 85"/>
    <x v="42"/>
    <s v="John Reyes"/>
    <x v="96"/>
    <n v="1"/>
    <x v="0"/>
    <x v="6"/>
    <x v="6"/>
    <x v="2"/>
    <x v="0"/>
  </r>
  <r>
    <s v="AX13870"/>
    <s v="ENX2025"/>
    <s v="A137"/>
    <s v="EMP1022"/>
    <s v="C1612"/>
    <x v="63"/>
    <n v="1"/>
    <n v="667"/>
    <n v="387"/>
    <n v="387"/>
    <n v="667"/>
    <n v="280"/>
    <s v="Product 26"/>
    <x v="68"/>
    <s v="Walter Cook"/>
    <x v="46"/>
    <n v="1"/>
    <x v="0"/>
    <x v="6"/>
    <x v="6"/>
    <x v="2"/>
    <x v="0"/>
  </r>
  <r>
    <s v="AX14159"/>
    <s v="ENX2087"/>
    <s v="A152"/>
    <s v="EMP1035"/>
    <s v="C1379"/>
    <x v="63"/>
    <n v="2"/>
    <n v="1022"/>
    <n v="818"/>
    <n v="1636"/>
    <n v="2044"/>
    <n v="408"/>
    <s v="Product 88"/>
    <x v="26"/>
    <s v="Roger Ramos"/>
    <x v="549"/>
    <n v="1"/>
    <x v="0"/>
    <x v="6"/>
    <x v="6"/>
    <x v="2"/>
    <x v="0"/>
  </r>
  <r>
    <s v="AX14375"/>
    <s v="ENX2068"/>
    <s v="A102"/>
    <s v="EMP1039"/>
    <s v="C1083"/>
    <x v="65"/>
    <n v="4"/>
    <n v="1500"/>
    <n v="900"/>
    <n v="3600"/>
    <n v="6000"/>
    <n v="2400"/>
    <s v="Product 69"/>
    <x v="44"/>
    <s v="Eugene Holmes"/>
    <x v="550"/>
    <n v="1"/>
    <x v="0"/>
    <x v="6"/>
    <x v="6"/>
    <x v="2"/>
    <x v="0"/>
  </r>
  <r>
    <s v="AX14538"/>
    <s v="ENX2031"/>
    <s v="A168"/>
    <s v="EMP1025"/>
    <s v="C1755"/>
    <x v="64"/>
    <n v="2"/>
    <n v="1638"/>
    <n v="1261"/>
    <n v="2522"/>
    <n v="3276"/>
    <n v="754"/>
    <s v="Product 32"/>
    <x v="40"/>
    <s v="Ernest Wagner"/>
    <x v="178"/>
    <n v="1"/>
    <x v="0"/>
    <x v="6"/>
    <x v="6"/>
    <x v="2"/>
    <x v="0"/>
  </r>
  <r>
    <s v="AX14633"/>
    <s v="ENX2009"/>
    <s v="A135"/>
    <s v="EMP1040"/>
    <s v="C1253"/>
    <x v="64"/>
    <n v="1"/>
    <n v="584"/>
    <n v="420"/>
    <n v="420"/>
    <n v="584"/>
    <n v="164"/>
    <s v="Product 10"/>
    <x v="10"/>
    <s v="Patrick Ruiz"/>
    <x v="209"/>
    <n v="1"/>
    <x v="0"/>
    <x v="6"/>
    <x v="6"/>
    <x v="2"/>
    <x v="0"/>
  </r>
  <r>
    <s v="AX15003"/>
    <s v="ENX2076"/>
    <s v="A166"/>
    <s v="EMP1035"/>
    <s v="C1291"/>
    <x v="64"/>
    <n v="1"/>
    <n v="1522"/>
    <n v="791"/>
    <n v="791"/>
    <n v="1522"/>
    <n v="731"/>
    <s v="Product 77"/>
    <x v="70"/>
    <s v="Roger Ramos"/>
    <x v="16"/>
    <n v="1"/>
    <x v="0"/>
    <x v="6"/>
    <x v="6"/>
    <x v="2"/>
    <x v="0"/>
  </r>
  <r>
    <s v="AX15337"/>
    <s v="ENX2023"/>
    <s v="A111"/>
    <s v="EMP1010"/>
    <s v="C1568"/>
    <x v="65"/>
    <n v="2"/>
    <n v="818"/>
    <n v="450"/>
    <n v="900"/>
    <n v="1636"/>
    <n v="736"/>
    <s v="Product 24"/>
    <x v="54"/>
    <s v="Joshua Cook"/>
    <x v="551"/>
    <n v="1"/>
    <x v="0"/>
    <x v="6"/>
    <x v="6"/>
    <x v="2"/>
    <x v="0"/>
  </r>
  <r>
    <s v="AX15562"/>
    <s v="ENX2093"/>
    <s v="A107"/>
    <s v="EMP1018"/>
    <s v="C1778"/>
    <x v="63"/>
    <n v="1"/>
    <n v="112"/>
    <n v="90"/>
    <n v="90"/>
    <n v="112"/>
    <n v="22"/>
    <s v="Product 94"/>
    <x v="21"/>
    <s v="Jimmy Young"/>
    <x v="420"/>
    <n v="1"/>
    <x v="0"/>
    <x v="6"/>
    <x v="6"/>
    <x v="2"/>
    <x v="0"/>
  </r>
  <r>
    <s v="AX15635"/>
    <s v="ENX2091"/>
    <s v="A133"/>
    <s v="EMP1039"/>
    <s v="C1404"/>
    <x v="63"/>
    <n v="3"/>
    <n v="368"/>
    <n v="294"/>
    <n v="882"/>
    <n v="1104"/>
    <n v="222"/>
    <s v="Product 92"/>
    <x v="46"/>
    <s v="Eugene Holmes"/>
    <x v="75"/>
    <n v="1"/>
    <x v="0"/>
    <x v="6"/>
    <x v="6"/>
    <x v="2"/>
    <x v="0"/>
  </r>
  <r>
    <s v="AX15713"/>
    <s v="ENX2000"/>
    <s v="A158"/>
    <s v="EMP1000"/>
    <s v="C1620"/>
    <x v="64"/>
    <n v="1"/>
    <n v="2241"/>
    <n v="1367"/>
    <n v="1367"/>
    <n v="2241"/>
    <n v="874"/>
    <s v="Product 1"/>
    <x v="58"/>
    <s v="Fred Robertson"/>
    <x v="445"/>
    <n v="1"/>
    <x v="0"/>
    <x v="6"/>
    <x v="6"/>
    <x v="2"/>
    <x v="0"/>
  </r>
  <r>
    <s v="AX15722"/>
    <s v="ENX2057"/>
    <s v="A104"/>
    <s v="EMP1024"/>
    <s v="C1247"/>
    <x v="64"/>
    <n v="4"/>
    <n v="181"/>
    <n v="130"/>
    <n v="520"/>
    <n v="724"/>
    <n v="204"/>
    <s v="Product 58"/>
    <x v="50"/>
    <s v="Ernest Wheeler"/>
    <x v="552"/>
    <n v="1"/>
    <x v="0"/>
    <x v="6"/>
    <x v="6"/>
    <x v="2"/>
    <x v="0"/>
  </r>
  <r>
    <s v="AX17444"/>
    <s v="ENX2058"/>
    <s v="A156"/>
    <s v="EMP1019"/>
    <s v="C1128"/>
    <x v="65"/>
    <n v="3"/>
    <n v="2257"/>
    <n v="1535"/>
    <n v="4605"/>
    <n v="6771"/>
    <n v="2166"/>
    <s v="Product 59"/>
    <x v="14"/>
    <s v="Roger Robertson"/>
    <x v="553"/>
    <n v="1"/>
    <x v="0"/>
    <x v="6"/>
    <x v="6"/>
    <x v="2"/>
    <x v="0"/>
  </r>
  <r>
    <s v="AX17490"/>
    <s v="ENX2043"/>
    <s v="A116"/>
    <s v="EMP1004"/>
    <s v="C1416"/>
    <x v="63"/>
    <n v="2"/>
    <n v="545"/>
    <n v="425"/>
    <n v="850"/>
    <n v="1090"/>
    <n v="240"/>
    <s v="Product 44"/>
    <x v="15"/>
    <s v="Kenneth Bradley"/>
    <x v="554"/>
    <n v="1"/>
    <x v="0"/>
    <x v="6"/>
    <x v="6"/>
    <x v="2"/>
    <x v="0"/>
  </r>
  <r>
    <s v="AX18353"/>
    <s v="ENX2078"/>
    <s v="A164"/>
    <s v="EMP1038"/>
    <s v="C1569"/>
    <x v="62"/>
    <n v="2"/>
    <n v="1798"/>
    <n v="971"/>
    <n v="1942"/>
    <n v="3596"/>
    <n v="1654"/>
    <s v="Product 79"/>
    <x v="3"/>
    <s v="Scott Mason"/>
    <x v="485"/>
    <n v="1"/>
    <x v="0"/>
    <x v="6"/>
    <x v="6"/>
    <x v="2"/>
    <x v="0"/>
  </r>
  <r>
    <s v="AX18589"/>
    <s v="ENX2063"/>
    <s v="A129"/>
    <s v="EMP1024"/>
    <s v="C1303"/>
    <x v="62"/>
    <n v="4"/>
    <n v="1708"/>
    <n v="871"/>
    <n v="3484"/>
    <n v="6832"/>
    <n v="3348"/>
    <s v="Product 64"/>
    <x v="22"/>
    <s v="Ernest Wheeler"/>
    <x v="531"/>
    <n v="1"/>
    <x v="0"/>
    <x v="6"/>
    <x v="6"/>
    <x v="2"/>
    <x v="0"/>
  </r>
  <r>
    <s v="AX18598"/>
    <s v="ENX2040"/>
    <s v="A118"/>
    <s v="EMP1002"/>
    <s v="C1354"/>
    <x v="64"/>
    <n v="2"/>
    <n v="1889"/>
    <n v="945"/>
    <n v="1890"/>
    <n v="3778"/>
    <n v="1888"/>
    <s v="Product 41"/>
    <x v="19"/>
    <s v="Andrew Bowman"/>
    <x v="133"/>
    <n v="1"/>
    <x v="0"/>
    <x v="6"/>
    <x v="6"/>
    <x v="2"/>
    <x v="0"/>
  </r>
  <r>
    <s v="AX18668"/>
    <s v="ENX2082"/>
    <s v="A117"/>
    <s v="EMP1016"/>
    <s v="C1738"/>
    <x v="64"/>
    <n v="3"/>
    <n v="1103"/>
    <n v="838"/>
    <n v="2514"/>
    <n v="3309"/>
    <n v="795"/>
    <s v="Product 83"/>
    <x v="29"/>
    <s v="Henry Nelson"/>
    <x v="35"/>
    <n v="1"/>
    <x v="0"/>
    <x v="6"/>
    <x v="6"/>
    <x v="2"/>
    <x v="0"/>
  </r>
  <r>
    <s v="AX19129"/>
    <s v="ENX2083"/>
    <s v="A111"/>
    <s v="EMP1034"/>
    <s v="C1566"/>
    <x v="63"/>
    <n v="1"/>
    <n v="2141"/>
    <n v="1777"/>
    <n v="1777"/>
    <n v="2141"/>
    <n v="364"/>
    <s v="Product 84"/>
    <x v="54"/>
    <s v="Arthur Mccoy"/>
    <x v="45"/>
    <n v="1"/>
    <x v="0"/>
    <x v="6"/>
    <x v="6"/>
    <x v="2"/>
    <x v="0"/>
  </r>
  <r>
    <s v="AX19438"/>
    <s v="ENX2073"/>
    <s v="A113"/>
    <s v="EMP1024"/>
    <s v="C1702"/>
    <x v="64"/>
    <n v="1"/>
    <n v="95"/>
    <n v="61"/>
    <n v="61"/>
    <n v="95"/>
    <n v="34"/>
    <s v="Product 74"/>
    <x v="73"/>
    <s v="Ernest Wheeler"/>
    <x v="70"/>
    <n v="1"/>
    <x v="0"/>
    <x v="6"/>
    <x v="6"/>
    <x v="2"/>
    <x v="0"/>
  </r>
  <r>
    <s v="AX20039"/>
    <s v="ENX2063"/>
    <s v="A166"/>
    <s v="EMP1008"/>
    <s v="C1053"/>
    <x v="62"/>
    <n v="4"/>
    <n v="1708"/>
    <n v="871"/>
    <n v="3484"/>
    <n v="6832"/>
    <n v="3348"/>
    <s v="Product 64"/>
    <x v="70"/>
    <s v="Carl Elliott"/>
    <x v="435"/>
    <n v="1"/>
    <x v="0"/>
    <x v="6"/>
    <x v="6"/>
    <x v="2"/>
    <x v="0"/>
  </r>
  <r>
    <s v="AX20196"/>
    <s v="ENX2092"/>
    <s v="A104"/>
    <s v="EMP1012"/>
    <s v="C1564"/>
    <x v="62"/>
    <n v="3"/>
    <n v="1639"/>
    <n v="1295"/>
    <n v="3885"/>
    <n v="4917"/>
    <n v="1032"/>
    <s v="Product 93"/>
    <x v="50"/>
    <s v="John Reyes"/>
    <x v="302"/>
    <n v="1"/>
    <x v="0"/>
    <x v="6"/>
    <x v="6"/>
    <x v="2"/>
    <x v="0"/>
  </r>
  <r>
    <s v="AX20247"/>
    <s v="ENX2099"/>
    <s v="A147"/>
    <s v="EMP1033"/>
    <s v="C1510"/>
    <x v="65"/>
    <n v="1"/>
    <n v="1367"/>
    <n v="984"/>
    <n v="984"/>
    <n v="1367"/>
    <n v="383"/>
    <s v="Product 100"/>
    <x v="42"/>
    <s v="Jerry Perry"/>
    <x v="113"/>
    <n v="1"/>
    <x v="0"/>
    <x v="6"/>
    <x v="6"/>
    <x v="2"/>
    <x v="0"/>
  </r>
  <r>
    <s v="AX20744"/>
    <s v="ENX2056"/>
    <s v="A107"/>
    <s v="EMP1016"/>
    <s v="C1351"/>
    <x v="65"/>
    <n v="1"/>
    <n v="1635"/>
    <n v="1046"/>
    <n v="1046"/>
    <n v="1635"/>
    <n v="589"/>
    <s v="Product 57"/>
    <x v="21"/>
    <s v="Henry Nelson"/>
    <x v="122"/>
    <n v="1"/>
    <x v="0"/>
    <x v="6"/>
    <x v="6"/>
    <x v="2"/>
    <x v="0"/>
  </r>
  <r>
    <s v="AX20853"/>
    <s v="ENX2014"/>
    <s v="A123"/>
    <s v="EMP1033"/>
    <s v="C1626"/>
    <x v="62"/>
    <n v="3"/>
    <n v="1809"/>
    <n v="1067"/>
    <n v="3201"/>
    <n v="5427"/>
    <n v="2226"/>
    <s v="Product 15"/>
    <x v="34"/>
    <s v="Jerry Perry"/>
    <x v="153"/>
    <n v="1"/>
    <x v="0"/>
    <x v="6"/>
    <x v="6"/>
    <x v="2"/>
    <x v="0"/>
  </r>
  <r>
    <s v="AX21300"/>
    <s v="ENX2006"/>
    <s v="A108"/>
    <s v="EMP1010"/>
    <s v="C1692"/>
    <x v="64"/>
    <n v="4"/>
    <n v="1826"/>
    <n v="1443"/>
    <n v="5772"/>
    <n v="7304"/>
    <n v="1532"/>
    <s v="Product 7"/>
    <x v="49"/>
    <s v="Joshua Cook"/>
    <x v="555"/>
    <n v="1"/>
    <x v="0"/>
    <x v="6"/>
    <x v="6"/>
    <x v="2"/>
    <x v="0"/>
  </r>
  <r>
    <s v="AX21329"/>
    <s v="ENX2048"/>
    <s v="A151"/>
    <s v="EMP1018"/>
    <s v="C1096"/>
    <x v="64"/>
    <n v="2"/>
    <n v="502"/>
    <n v="296"/>
    <n v="592"/>
    <n v="1004"/>
    <n v="412"/>
    <s v="Product 49"/>
    <x v="1"/>
    <s v="Jimmy Young"/>
    <x v="91"/>
    <n v="1"/>
    <x v="0"/>
    <x v="6"/>
    <x v="6"/>
    <x v="2"/>
    <x v="0"/>
  </r>
  <r>
    <s v="AX21455"/>
    <s v="ENX2070"/>
    <s v="A151"/>
    <s v="EMP1022"/>
    <s v="C1266"/>
    <x v="64"/>
    <n v="1"/>
    <n v="1671"/>
    <n v="1220"/>
    <n v="1220"/>
    <n v="1671"/>
    <n v="451"/>
    <s v="Product 71"/>
    <x v="1"/>
    <s v="Walter Cook"/>
    <x v="254"/>
    <n v="1"/>
    <x v="0"/>
    <x v="6"/>
    <x v="6"/>
    <x v="2"/>
    <x v="0"/>
  </r>
  <r>
    <s v="AX21796"/>
    <s v="ENX2064"/>
    <s v="A159"/>
    <s v="EMP1010"/>
    <s v="C1543"/>
    <x v="63"/>
    <n v="4"/>
    <n v="1414"/>
    <n v="962"/>
    <n v="3848"/>
    <n v="5656"/>
    <n v="1808"/>
    <s v="Product 65"/>
    <x v="13"/>
    <s v="Joshua Cook"/>
    <x v="337"/>
    <n v="1"/>
    <x v="0"/>
    <x v="6"/>
    <x v="6"/>
    <x v="2"/>
    <x v="0"/>
  </r>
  <r>
    <s v="AX22490"/>
    <s v="ENX2012"/>
    <s v="A135"/>
    <s v="EMP1000"/>
    <s v="C1022"/>
    <x v="65"/>
    <n v="2"/>
    <n v="1353"/>
    <n v="947"/>
    <n v="1894"/>
    <n v="2706"/>
    <n v="812"/>
    <s v="Product 13"/>
    <x v="10"/>
    <s v="Fred Robertson"/>
    <x v="249"/>
    <n v="1"/>
    <x v="0"/>
    <x v="6"/>
    <x v="6"/>
    <x v="2"/>
    <x v="0"/>
  </r>
  <r>
    <s v="AX22520"/>
    <s v="ENX2075"/>
    <s v="A102"/>
    <s v="EMP1030"/>
    <s v="C1564"/>
    <x v="64"/>
    <n v="1"/>
    <n v="400"/>
    <n v="208"/>
    <n v="208"/>
    <n v="400"/>
    <n v="192"/>
    <s v="Product 76"/>
    <x v="44"/>
    <s v="Bobby Russell"/>
    <x v="302"/>
    <n v="1"/>
    <x v="0"/>
    <x v="6"/>
    <x v="6"/>
    <x v="2"/>
    <x v="0"/>
  </r>
  <r>
    <s v="AX22815"/>
    <s v="ENX2026"/>
    <s v="A100"/>
    <s v="EMP1040"/>
    <s v="C1751"/>
    <x v="65"/>
    <n v="4"/>
    <n v="947"/>
    <n v="786"/>
    <n v="3144"/>
    <n v="3788"/>
    <n v="644"/>
    <s v="Product 27"/>
    <x v="52"/>
    <s v="Patrick Ruiz"/>
    <x v="332"/>
    <n v="1"/>
    <x v="0"/>
    <x v="6"/>
    <x v="6"/>
    <x v="2"/>
    <x v="0"/>
  </r>
  <r>
    <s v="AX22945"/>
    <s v="ENX2001"/>
    <s v="A103"/>
    <s v="EMP1041"/>
    <s v="C1599"/>
    <x v="62"/>
    <n v="1"/>
    <n v="951"/>
    <n v="504"/>
    <n v="504"/>
    <n v="951"/>
    <n v="447"/>
    <s v="Product 2"/>
    <x v="61"/>
    <s v="Joe Sims"/>
    <x v="556"/>
    <n v="1"/>
    <x v="0"/>
    <x v="6"/>
    <x v="6"/>
    <x v="2"/>
    <x v="0"/>
  </r>
  <r>
    <s v="AX24190"/>
    <s v="ENX2066"/>
    <s v="A154"/>
    <s v="EMP1023"/>
    <s v="C1143"/>
    <x v="65"/>
    <n v="4"/>
    <n v="2091"/>
    <n v="1485"/>
    <n v="5940"/>
    <n v="8364"/>
    <n v="2424"/>
    <s v="Product 67"/>
    <x v="24"/>
    <s v="Brian Davis"/>
    <x v="557"/>
    <n v="1"/>
    <x v="0"/>
    <x v="6"/>
    <x v="6"/>
    <x v="2"/>
    <x v="0"/>
  </r>
  <r>
    <s v="AX24351"/>
    <s v="ENX2019"/>
    <s v="A162"/>
    <s v="EMP1029"/>
    <s v="C1736"/>
    <x v="65"/>
    <n v="1"/>
    <n v="800"/>
    <n v="536"/>
    <n v="536"/>
    <n v="800"/>
    <n v="264"/>
    <s v="Product 20"/>
    <x v="2"/>
    <s v="Howard Gardner"/>
    <x v="472"/>
    <n v="1"/>
    <x v="0"/>
    <x v="6"/>
    <x v="6"/>
    <x v="2"/>
    <x v="0"/>
  </r>
  <r>
    <s v="AX24589"/>
    <s v="ENX2100"/>
    <s v="A120"/>
    <s v="EMP1007"/>
    <s v="C1507"/>
    <x v="62"/>
    <n v="1"/>
    <n v="799"/>
    <n v="455"/>
    <n v="455"/>
    <n v="799"/>
    <n v="344"/>
    <s v="Product 101"/>
    <x v="20"/>
    <s v="Jeremy Mendoza"/>
    <x v="227"/>
    <n v="1"/>
    <x v="0"/>
    <x v="6"/>
    <x v="6"/>
    <x v="2"/>
    <x v="0"/>
  </r>
  <r>
    <s v="AX24943"/>
    <s v="ENX2013"/>
    <s v="A114"/>
    <s v="EMP1021"/>
    <s v="C1134"/>
    <x v="65"/>
    <n v="1"/>
    <n v="368"/>
    <n v="269"/>
    <n v="269"/>
    <n v="368"/>
    <n v="99"/>
    <s v="Product 14"/>
    <x v="28"/>
    <s v="Clarence Fox"/>
    <x v="495"/>
    <n v="1"/>
    <x v="0"/>
    <x v="6"/>
    <x v="6"/>
    <x v="2"/>
    <x v="0"/>
  </r>
  <r>
    <s v="AX10146"/>
    <s v="ENX2009"/>
    <s v="A135"/>
    <s v="EMP1018"/>
    <s v="C1633"/>
    <x v="66"/>
    <n v="1"/>
    <n v="584"/>
    <n v="420"/>
    <n v="420"/>
    <n v="584"/>
    <n v="164"/>
    <s v="Product 10"/>
    <x v="10"/>
    <s v="Jimmy Young"/>
    <x v="558"/>
    <n v="1"/>
    <x v="0"/>
    <x v="6"/>
    <x v="6"/>
    <x v="2"/>
    <x v="2"/>
  </r>
  <r>
    <s v="AX10429"/>
    <s v="ENX2014"/>
    <s v="A162"/>
    <s v="EMP1010"/>
    <s v="C1368"/>
    <x v="66"/>
    <n v="4"/>
    <n v="1809"/>
    <n v="1067"/>
    <n v="4268"/>
    <n v="7236"/>
    <n v="2968"/>
    <s v="Product 15"/>
    <x v="2"/>
    <s v="Joshua Cook"/>
    <x v="200"/>
    <n v="1"/>
    <x v="0"/>
    <x v="6"/>
    <x v="6"/>
    <x v="2"/>
    <x v="2"/>
  </r>
  <r>
    <s v="AX10666"/>
    <s v="ENX2032"/>
    <s v="A158"/>
    <s v="EMP1029"/>
    <s v="C1528"/>
    <x v="67"/>
    <n v="3"/>
    <n v="1967"/>
    <n v="1397"/>
    <n v="4191"/>
    <n v="5901"/>
    <n v="1710"/>
    <s v="Product 33"/>
    <x v="58"/>
    <s v="Howard Gardner"/>
    <x v="158"/>
    <n v="1"/>
    <x v="0"/>
    <x v="6"/>
    <x v="6"/>
    <x v="2"/>
    <x v="2"/>
  </r>
  <r>
    <s v="AX10718"/>
    <s v="ENX2008"/>
    <s v="A118"/>
    <s v="EMP1038"/>
    <s v="C1352"/>
    <x v="67"/>
    <n v="4"/>
    <n v="315"/>
    <n v="208"/>
    <n v="832"/>
    <n v="1260"/>
    <n v="428"/>
    <s v="Product 9"/>
    <x v="19"/>
    <s v="Scott Mason"/>
    <x v="20"/>
    <n v="1"/>
    <x v="0"/>
    <x v="6"/>
    <x v="6"/>
    <x v="2"/>
    <x v="2"/>
  </r>
  <r>
    <s v="AX10870"/>
    <s v="ENX2069"/>
    <s v="A146"/>
    <s v="EMP1026"/>
    <s v="C1338"/>
    <x v="68"/>
    <n v="1"/>
    <n v="378"/>
    <n v="291"/>
    <n v="291"/>
    <n v="378"/>
    <n v="87"/>
    <s v="Product 70"/>
    <x v="27"/>
    <s v="Martin Perry"/>
    <x v="542"/>
    <n v="1"/>
    <x v="0"/>
    <x v="6"/>
    <x v="6"/>
    <x v="2"/>
    <x v="2"/>
  </r>
  <r>
    <s v="AX11145"/>
    <s v="ENX2082"/>
    <s v="A104"/>
    <s v="EMP1010"/>
    <s v="C1504"/>
    <x v="69"/>
    <n v="1"/>
    <n v="1103"/>
    <n v="838"/>
    <n v="838"/>
    <n v="1103"/>
    <n v="265"/>
    <s v="Product 83"/>
    <x v="50"/>
    <s v="Joshua Cook"/>
    <x v="559"/>
    <n v="1"/>
    <x v="0"/>
    <x v="6"/>
    <x v="6"/>
    <x v="2"/>
    <x v="2"/>
  </r>
  <r>
    <s v="AX11272"/>
    <s v="ENX2023"/>
    <s v="A140"/>
    <s v="EMP1022"/>
    <s v="C1314"/>
    <x v="69"/>
    <n v="1"/>
    <n v="818"/>
    <n v="450"/>
    <n v="450"/>
    <n v="818"/>
    <n v="368"/>
    <s v="Product 24"/>
    <x v="18"/>
    <s v="Walter Cook"/>
    <x v="421"/>
    <n v="1"/>
    <x v="0"/>
    <x v="6"/>
    <x v="6"/>
    <x v="2"/>
    <x v="2"/>
  </r>
  <r>
    <s v="AX11490"/>
    <s v="ENX2045"/>
    <s v="A167"/>
    <s v="EMP1044"/>
    <s v="C1736"/>
    <x v="68"/>
    <n v="4"/>
    <n v="556"/>
    <n v="395"/>
    <n v="1580"/>
    <n v="2224"/>
    <n v="644"/>
    <s v="Product 46"/>
    <x v="64"/>
    <s v="Martin Carr"/>
    <x v="472"/>
    <n v="1"/>
    <x v="0"/>
    <x v="6"/>
    <x v="6"/>
    <x v="2"/>
    <x v="2"/>
  </r>
  <r>
    <s v="AX11604"/>
    <s v="ENX2016"/>
    <s v="A122"/>
    <s v="EMP1014"/>
    <s v="C1397"/>
    <x v="66"/>
    <n v="1"/>
    <n v="1351"/>
    <n v="1108"/>
    <n v="1108"/>
    <n v="1351"/>
    <n v="243"/>
    <s v="Product 17"/>
    <x v="71"/>
    <s v="Ronald Reed"/>
    <x v="560"/>
    <n v="1"/>
    <x v="0"/>
    <x v="6"/>
    <x v="6"/>
    <x v="2"/>
    <x v="2"/>
  </r>
  <r>
    <s v="AX11738"/>
    <s v="ENX2003"/>
    <s v="A164"/>
    <s v="EMP1035"/>
    <s v="C1608"/>
    <x v="70"/>
    <n v="2"/>
    <n v="1783"/>
    <n v="1516"/>
    <n v="3032"/>
    <n v="3566"/>
    <n v="534"/>
    <s v="Product 4"/>
    <x v="3"/>
    <s v="Roger Ramos"/>
    <x v="463"/>
    <n v="1"/>
    <x v="0"/>
    <x v="6"/>
    <x v="6"/>
    <x v="2"/>
    <x v="2"/>
  </r>
  <r>
    <s v="AX11789"/>
    <s v="ENX2050"/>
    <s v="A162"/>
    <s v="EMP1030"/>
    <s v="C1639"/>
    <x v="70"/>
    <n v="1"/>
    <n v="2391"/>
    <n v="1291"/>
    <n v="1291"/>
    <n v="2391"/>
    <n v="1100"/>
    <s v="Product 51"/>
    <x v="2"/>
    <s v="Bobby Russell"/>
    <x v="30"/>
    <n v="1"/>
    <x v="0"/>
    <x v="6"/>
    <x v="6"/>
    <x v="2"/>
    <x v="2"/>
  </r>
  <r>
    <s v="AX11914"/>
    <s v="ENX2066"/>
    <s v="A120"/>
    <s v="EMP1037"/>
    <s v="C1139"/>
    <x v="67"/>
    <n v="1"/>
    <n v="2091"/>
    <n v="1485"/>
    <n v="1485"/>
    <n v="2091"/>
    <n v="606"/>
    <s v="Product 67"/>
    <x v="20"/>
    <s v="Carl Hall"/>
    <x v="561"/>
    <n v="1"/>
    <x v="0"/>
    <x v="6"/>
    <x v="6"/>
    <x v="2"/>
    <x v="2"/>
  </r>
  <r>
    <s v="AX12022"/>
    <s v="ENX2001"/>
    <s v="A145"/>
    <s v="EMP1015"/>
    <s v="C1257"/>
    <x v="66"/>
    <n v="4"/>
    <n v="951"/>
    <n v="504"/>
    <n v="2016"/>
    <n v="3804"/>
    <n v="1788"/>
    <s v="Product 2"/>
    <x v="35"/>
    <s v="Justin Lynch"/>
    <x v="287"/>
    <n v="1"/>
    <x v="0"/>
    <x v="6"/>
    <x v="6"/>
    <x v="2"/>
    <x v="2"/>
  </r>
  <r>
    <s v="AX12029"/>
    <s v="ENX2067"/>
    <s v="A155"/>
    <s v="EMP1013"/>
    <s v="C1177"/>
    <x v="68"/>
    <n v="1"/>
    <n v="1119"/>
    <n v="683"/>
    <n v="683"/>
    <n v="1119"/>
    <n v="436"/>
    <s v="Product 68"/>
    <x v="53"/>
    <s v="Charles Harper"/>
    <x v="365"/>
    <n v="1"/>
    <x v="0"/>
    <x v="6"/>
    <x v="6"/>
    <x v="2"/>
    <x v="2"/>
  </r>
  <r>
    <s v="AX12280"/>
    <s v="ENX2080"/>
    <s v="A136"/>
    <s v="EMP1034"/>
    <s v="C1704"/>
    <x v="69"/>
    <n v="2"/>
    <n v="2353"/>
    <n v="1788"/>
    <n v="3576"/>
    <n v="4706"/>
    <n v="1130"/>
    <s v="Product 81"/>
    <x v="43"/>
    <s v="Arthur Mccoy"/>
    <x v="28"/>
    <n v="1"/>
    <x v="0"/>
    <x v="6"/>
    <x v="6"/>
    <x v="2"/>
    <x v="2"/>
  </r>
  <r>
    <s v="AX12339"/>
    <s v="ENX2069"/>
    <s v="A109"/>
    <s v="EMP1001"/>
    <s v="C1229"/>
    <x v="70"/>
    <n v="1"/>
    <n v="378"/>
    <n v="291"/>
    <n v="291"/>
    <n v="378"/>
    <n v="87"/>
    <s v="Product 70"/>
    <x v="57"/>
    <s v="Kevin Butler"/>
    <x v="562"/>
    <n v="1"/>
    <x v="0"/>
    <x v="6"/>
    <x v="6"/>
    <x v="2"/>
    <x v="2"/>
  </r>
  <r>
    <s v="AX12378"/>
    <s v="ENX2064"/>
    <s v="A154"/>
    <s v="EMP1016"/>
    <s v="C1111"/>
    <x v="66"/>
    <n v="1"/>
    <n v="1414"/>
    <n v="962"/>
    <n v="962"/>
    <n v="1414"/>
    <n v="452"/>
    <s v="Product 65"/>
    <x v="24"/>
    <s v="Henry Nelson"/>
    <x v="563"/>
    <n v="1"/>
    <x v="0"/>
    <x v="6"/>
    <x v="6"/>
    <x v="2"/>
    <x v="2"/>
  </r>
  <r>
    <s v="AX12673"/>
    <s v="ENX2039"/>
    <s v="A155"/>
    <s v="EMP1040"/>
    <s v="C1792"/>
    <x v="69"/>
    <n v="2"/>
    <n v="817"/>
    <n v="409"/>
    <n v="818"/>
    <n v="1634"/>
    <n v="816"/>
    <s v="Product 40"/>
    <x v="53"/>
    <s v="Patrick Ruiz"/>
    <x v="536"/>
    <n v="1"/>
    <x v="0"/>
    <x v="6"/>
    <x v="6"/>
    <x v="2"/>
    <x v="2"/>
  </r>
  <r>
    <s v="AX12731"/>
    <s v="ENX2060"/>
    <s v="A157"/>
    <s v="EMP1036"/>
    <s v="C1593"/>
    <x v="66"/>
    <n v="1"/>
    <n v="1467"/>
    <n v="807"/>
    <n v="807"/>
    <n v="1467"/>
    <n v="660"/>
    <s v="Product 61"/>
    <x v="7"/>
    <s v="Robert Reed"/>
    <x v="25"/>
    <n v="1"/>
    <x v="0"/>
    <x v="6"/>
    <x v="6"/>
    <x v="2"/>
    <x v="2"/>
  </r>
  <r>
    <s v="AX12799"/>
    <s v="ENX2100"/>
    <s v="A155"/>
    <s v="EMP1037"/>
    <s v="C1421"/>
    <x v="67"/>
    <n v="1"/>
    <n v="799"/>
    <n v="455"/>
    <n v="455"/>
    <n v="799"/>
    <n v="344"/>
    <s v="Product 101"/>
    <x v="53"/>
    <s v="Carl Hall"/>
    <x v="564"/>
    <n v="1"/>
    <x v="0"/>
    <x v="6"/>
    <x v="6"/>
    <x v="2"/>
    <x v="2"/>
  </r>
  <r>
    <s v="AX12993"/>
    <s v="ENX2089"/>
    <s v="A107"/>
    <s v="EMP1041"/>
    <s v="C1063"/>
    <x v="69"/>
    <n v="1"/>
    <n v="2294"/>
    <n v="1399"/>
    <n v="1399"/>
    <n v="2294"/>
    <n v="895"/>
    <s v="Product 90"/>
    <x v="21"/>
    <s v="Joe Sims"/>
    <x v="296"/>
    <n v="1"/>
    <x v="0"/>
    <x v="6"/>
    <x v="6"/>
    <x v="2"/>
    <x v="2"/>
  </r>
  <r>
    <s v="AX13162"/>
    <s v="ENX2099"/>
    <s v="A164"/>
    <s v="EMP1030"/>
    <s v="C1049"/>
    <x v="68"/>
    <n v="2"/>
    <n v="1367"/>
    <n v="984"/>
    <n v="1968"/>
    <n v="2734"/>
    <n v="766"/>
    <s v="Product 100"/>
    <x v="3"/>
    <s v="Bobby Russell"/>
    <x v="305"/>
    <n v="1"/>
    <x v="0"/>
    <x v="6"/>
    <x v="6"/>
    <x v="2"/>
    <x v="2"/>
  </r>
  <r>
    <s v="AX13179"/>
    <s v="ENX2057"/>
    <s v="A171"/>
    <s v="EMP1042"/>
    <s v="C1776"/>
    <x v="66"/>
    <n v="3"/>
    <n v="181"/>
    <n v="130"/>
    <n v="390"/>
    <n v="543"/>
    <n v="153"/>
    <s v="Product 58"/>
    <x v="0"/>
    <s v="Scott Clark"/>
    <x v="160"/>
    <n v="1"/>
    <x v="0"/>
    <x v="6"/>
    <x v="6"/>
    <x v="2"/>
    <x v="2"/>
  </r>
  <r>
    <s v="AX13194"/>
    <s v="ENX2014"/>
    <s v="A164"/>
    <s v="EMP1037"/>
    <s v="C1045"/>
    <x v="70"/>
    <n v="2"/>
    <n v="1809"/>
    <n v="1067"/>
    <n v="2134"/>
    <n v="3618"/>
    <n v="1484"/>
    <s v="Product 15"/>
    <x v="3"/>
    <s v="Carl Hall"/>
    <x v="444"/>
    <n v="1"/>
    <x v="0"/>
    <x v="6"/>
    <x v="6"/>
    <x v="2"/>
    <x v="2"/>
  </r>
  <r>
    <s v="AX13296"/>
    <s v="ENX2093"/>
    <s v="A128"/>
    <s v="EMP1031"/>
    <s v="C1349"/>
    <x v="66"/>
    <n v="2"/>
    <n v="112"/>
    <n v="90"/>
    <n v="180"/>
    <n v="224"/>
    <n v="44"/>
    <s v="Product 94"/>
    <x v="12"/>
    <s v="Brian Thomas"/>
    <x v="501"/>
    <n v="1"/>
    <x v="0"/>
    <x v="6"/>
    <x v="6"/>
    <x v="2"/>
    <x v="2"/>
  </r>
  <r>
    <s v="AX13385"/>
    <s v="ENX2098"/>
    <s v="A170"/>
    <s v="EMP1031"/>
    <s v="C1332"/>
    <x v="66"/>
    <n v="3"/>
    <n v="1178"/>
    <n v="683"/>
    <n v="2049"/>
    <n v="3534"/>
    <n v="1485"/>
    <s v="Product 99"/>
    <x v="47"/>
    <s v="Brian Thomas"/>
    <x v="7"/>
    <n v="1"/>
    <x v="0"/>
    <x v="6"/>
    <x v="6"/>
    <x v="2"/>
    <x v="2"/>
  </r>
  <r>
    <s v="AX14335"/>
    <s v="ENX2067"/>
    <s v="A149"/>
    <s v="EMP1002"/>
    <s v="C1296"/>
    <x v="66"/>
    <n v="3"/>
    <n v="1119"/>
    <n v="683"/>
    <n v="2049"/>
    <n v="3357"/>
    <n v="1308"/>
    <s v="Product 68"/>
    <x v="59"/>
    <s v="Andrew Bowman"/>
    <x v="105"/>
    <n v="1"/>
    <x v="0"/>
    <x v="6"/>
    <x v="6"/>
    <x v="2"/>
    <x v="2"/>
  </r>
  <r>
    <s v="AX15032"/>
    <s v="ENX2025"/>
    <s v="A140"/>
    <s v="EMP1012"/>
    <s v="C1718"/>
    <x v="69"/>
    <n v="1"/>
    <n v="667"/>
    <n v="387"/>
    <n v="387"/>
    <n v="667"/>
    <n v="280"/>
    <s v="Product 26"/>
    <x v="18"/>
    <s v="John Reyes"/>
    <x v="14"/>
    <n v="1"/>
    <x v="0"/>
    <x v="6"/>
    <x v="6"/>
    <x v="2"/>
    <x v="2"/>
  </r>
  <r>
    <s v="AX15288"/>
    <s v="ENX2044"/>
    <s v="A100"/>
    <s v="EMP1037"/>
    <s v="C1387"/>
    <x v="69"/>
    <n v="3"/>
    <n v="886"/>
    <n v="478"/>
    <n v="1434"/>
    <n v="2658"/>
    <n v="1224"/>
    <s v="Product 45"/>
    <x v="52"/>
    <s v="Carl Hall"/>
    <x v="346"/>
    <n v="1"/>
    <x v="0"/>
    <x v="6"/>
    <x v="6"/>
    <x v="2"/>
    <x v="2"/>
  </r>
  <r>
    <s v="AX15588"/>
    <s v="ENX2026"/>
    <s v="A109"/>
    <s v="EMP1038"/>
    <s v="C1489"/>
    <x v="67"/>
    <n v="2"/>
    <n v="947"/>
    <n v="786"/>
    <n v="1572"/>
    <n v="1894"/>
    <n v="322"/>
    <s v="Product 27"/>
    <x v="57"/>
    <s v="Scott Mason"/>
    <x v="19"/>
    <n v="1"/>
    <x v="0"/>
    <x v="6"/>
    <x v="6"/>
    <x v="2"/>
    <x v="2"/>
  </r>
  <r>
    <s v="AX15744"/>
    <s v="ENX2070"/>
    <s v="A119"/>
    <s v="EMP1038"/>
    <s v="C1078"/>
    <x v="67"/>
    <n v="2"/>
    <n v="1671"/>
    <n v="1220"/>
    <n v="2440"/>
    <n v="3342"/>
    <n v="902"/>
    <s v="Product 71"/>
    <x v="16"/>
    <s v="Scott Mason"/>
    <x v="565"/>
    <n v="1"/>
    <x v="0"/>
    <x v="6"/>
    <x v="6"/>
    <x v="2"/>
    <x v="2"/>
  </r>
  <r>
    <s v="AX16162"/>
    <s v="ENX2022"/>
    <s v="A107"/>
    <s v="EMP1001"/>
    <s v="C1067"/>
    <x v="68"/>
    <n v="4"/>
    <n v="561"/>
    <n v="421"/>
    <n v="1684"/>
    <n v="2244"/>
    <n v="560"/>
    <s v="Product 23"/>
    <x v="21"/>
    <s v="Kevin Butler"/>
    <x v="108"/>
    <n v="1"/>
    <x v="0"/>
    <x v="6"/>
    <x v="6"/>
    <x v="2"/>
    <x v="2"/>
  </r>
  <r>
    <s v="AX16375"/>
    <s v="ENX2080"/>
    <s v="A143"/>
    <s v="EMP1042"/>
    <s v="C1033"/>
    <x v="69"/>
    <n v="1"/>
    <n v="2353"/>
    <n v="1788"/>
    <n v="1788"/>
    <n v="2353"/>
    <n v="565"/>
    <s v="Product 81"/>
    <x v="39"/>
    <s v="Scott Clark"/>
    <x v="515"/>
    <n v="1"/>
    <x v="0"/>
    <x v="6"/>
    <x v="6"/>
    <x v="2"/>
    <x v="2"/>
  </r>
  <r>
    <s v="AX16808"/>
    <s v="ENX2057"/>
    <s v="A117"/>
    <s v="EMP1004"/>
    <s v="C1160"/>
    <x v="70"/>
    <n v="4"/>
    <n v="181"/>
    <n v="130"/>
    <n v="520"/>
    <n v="724"/>
    <n v="204"/>
    <s v="Product 58"/>
    <x v="29"/>
    <s v="Kenneth Bradley"/>
    <x v="566"/>
    <n v="1"/>
    <x v="0"/>
    <x v="6"/>
    <x v="6"/>
    <x v="2"/>
    <x v="2"/>
  </r>
  <r>
    <s v="AX17396"/>
    <s v="ENX2016"/>
    <s v="A102"/>
    <s v="EMP1004"/>
    <s v="C1568"/>
    <x v="70"/>
    <n v="1"/>
    <n v="1351"/>
    <n v="1108"/>
    <n v="1108"/>
    <n v="1351"/>
    <n v="243"/>
    <s v="Product 17"/>
    <x v="44"/>
    <s v="Kenneth Bradley"/>
    <x v="551"/>
    <n v="1"/>
    <x v="0"/>
    <x v="6"/>
    <x v="6"/>
    <x v="2"/>
    <x v="2"/>
  </r>
  <r>
    <s v="AX17665"/>
    <s v="ENX2046"/>
    <s v="A150"/>
    <s v="EMP1016"/>
    <s v="C1688"/>
    <x v="67"/>
    <n v="1"/>
    <n v="2410"/>
    <n v="1518"/>
    <n v="1518"/>
    <n v="2410"/>
    <n v="892"/>
    <s v="Product 47"/>
    <x v="30"/>
    <s v="Henry Nelson"/>
    <x v="213"/>
    <n v="1"/>
    <x v="0"/>
    <x v="6"/>
    <x v="6"/>
    <x v="2"/>
    <x v="2"/>
  </r>
  <r>
    <s v="AX17731"/>
    <s v="ENX2053"/>
    <s v="A131"/>
    <s v="EMP1018"/>
    <s v="C1095"/>
    <x v="66"/>
    <n v="1"/>
    <n v="596"/>
    <n v="358"/>
    <n v="358"/>
    <n v="596"/>
    <n v="238"/>
    <s v="Product 54"/>
    <x v="32"/>
    <s v="Jimmy Young"/>
    <x v="240"/>
    <n v="1"/>
    <x v="0"/>
    <x v="6"/>
    <x v="6"/>
    <x v="2"/>
    <x v="2"/>
  </r>
  <r>
    <s v="AX18125"/>
    <s v="ENX2078"/>
    <s v="A143"/>
    <s v="EMP1021"/>
    <s v="C1345"/>
    <x v="67"/>
    <n v="4"/>
    <n v="1798"/>
    <n v="971"/>
    <n v="3884"/>
    <n v="7192"/>
    <n v="3308"/>
    <s v="Product 79"/>
    <x v="39"/>
    <s v="Clarence Fox"/>
    <x v="567"/>
    <n v="1"/>
    <x v="0"/>
    <x v="6"/>
    <x v="6"/>
    <x v="2"/>
    <x v="2"/>
  </r>
  <r>
    <s v="AX18147"/>
    <s v="ENX2017"/>
    <s v="A134"/>
    <s v="EMP1007"/>
    <s v="C1007"/>
    <x v="67"/>
    <n v="4"/>
    <n v="35"/>
    <n v="22"/>
    <n v="88"/>
    <n v="140"/>
    <n v="52"/>
    <s v="Product 18"/>
    <x v="41"/>
    <s v="Jeremy Mendoza"/>
    <x v="413"/>
    <n v="1"/>
    <x v="0"/>
    <x v="6"/>
    <x v="6"/>
    <x v="2"/>
    <x v="2"/>
  </r>
  <r>
    <s v="AX18782"/>
    <s v="ENX2019"/>
    <s v="A166"/>
    <s v="EMP1035"/>
    <s v="C1262"/>
    <x v="70"/>
    <n v="3"/>
    <n v="800"/>
    <n v="536"/>
    <n v="1608"/>
    <n v="2400"/>
    <n v="792"/>
    <s v="Product 20"/>
    <x v="70"/>
    <s v="Roger Ramos"/>
    <x v="363"/>
    <n v="1"/>
    <x v="0"/>
    <x v="6"/>
    <x v="6"/>
    <x v="2"/>
    <x v="2"/>
  </r>
  <r>
    <s v="AX18815"/>
    <s v="ENX2070"/>
    <s v="A140"/>
    <s v="EMP1023"/>
    <s v="C1516"/>
    <x v="69"/>
    <n v="1"/>
    <n v="1671"/>
    <n v="1220"/>
    <n v="1220"/>
    <n v="1671"/>
    <n v="451"/>
    <s v="Product 71"/>
    <x v="18"/>
    <s v="Brian Davis"/>
    <x v="568"/>
    <n v="1"/>
    <x v="0"/>
    <x v="6"/>
    <x v="6"/>
    <x v="2"/>
    <x v="2"/>
  </r>
  <r>
    <s v="AX18933"/>
    <s v="ENX2046"/>
    <s v="A101"/>
    <s v="EMP1038"/>
    <s v="C1330"/>
    <x v="69"/>
    <n v="1"/>
    <n v="2410"/>
    <n v="1518"/>
    <n v="1518"/>
    <n v="2410"/>
    <n v="892"/>
    <s v="Product 47"/>
    <x v="60"/>
    <s v="Scott Mason"/>
    <x v="511"/>
    <n v="1"/>
    <x v="0"/>
    <x v="6"/>
    <x v="6"/>
    <x v="2"/>
    <x v="2"/>
  </r>
  <r>
    <s v="AX19031"/>
    <s v="ENX2081"/>
    <s v="A173"/>
    <s v="EMP1016"/>
    <s v="C1320"/>
    <x v="70"/>
    <n v="1"/>
    <n v="1566"/>
    <n v="1190"/>
    <n v="1190"/>
    <n v="1566"/>
    <n v="376"/>
    <s v="Product 82"/>
    <x v="25"/>
    <s v="Henry Nelson"/>
    <x v="480"/>
    <n v="1"/>
    <x v="0"/>
    <x v="6"/>
    <x v="6"/>
    <x v="2"/>
    <x v="2"/>
  </r>
  <r>
    <s v="AX19083"/>
    <s v="ENX2000"/>
    <s v="A140"/>
    <s v="EMP1014"/>
    <s v="C1503"/>
    <x v="70"/>
    <n v="1"/>
    <n v="2241"/>
    <n v="1367"/>
    <n v="1367"/>
    <n v="2241"/>
    <n v="874"/>
    <s v="Product 1"/>
    <x v="18"/>
    <s v="Ronald Reed"/>
    <x v="569"/>
    <n v="1"/>
    <x v="0"/>
    <x v="6"/>
    <x v="6"/>
    <x v="2"/>
    <x v="2"/>
  </r>
  <r>
    <s v="AX19142"/>
    <s v="ENX2064"/>
    <s v="A104"/>
    <s v="EMP1015"/>
    <s v="C1515"/>
    <x v="67"/>
    <n v="3"/>
    <n v="1414"/>
    <n v="962"/>
    <n v="2886"/>
    <n v="4242"/>
    <n v="1356"/>
    <s v="Product 65"/>
    <x v="50"/>
    <s v="Justin Lynch"/>
    <x v="570"/>
    <n v="1"/>
    <x v="0"/>
    <x v="6"/>
    <x v="6"/>
    <x v="2"/>
    <x v="2"/>
  </r>
  <r>
    <s v="AX19198"/>
    <s v="ENX2052"/>
    <s v="A137"/>
    <s v="EMP1031"/>
    <s v="C1194"/>
    <x v="69"/>
    <n v="1"/>
    <n v="1526"/>
    <n v="1251"/>
    <n v="1251"/>
    <n v="1526"/>
    <n v="275"/>
    <s v="Product 53"/>
    <x v="68"/>
    <s v="Brian Thomas"/>
    <x v="323"/>
    <n v="1"/>
    <x v="0"/>
    <x v="6"/>
    <x v="6"/>
    <x v="2"/>
    <x v="2"/>
  </r>
  <r>
    <s v="AX19448"/>
    <s v="ENX2013"/>
    <s v="A113"/>
    <s v="EMP1026"/>
    <s v="C1666"/>
    <x v="67"/>
    <n v="2"/>
    <n v="368"/>
    <n v="269"/>
    <n v="538"/>
    <n v="736"/>
    <n v="198"/>
    <s v="Product 14"/>
    <x v="73"/>
    <s v="Martin Perry"/>
    <x v="473"/>
    <n v="1"/>
    <x v="0"/>
    <x v="6"/>
    <x v="6"/>
    <x v="2"/>
    <x v="2"/>
  </r>
  <r>
    <s v="AX19908"/>
    <s v="ENX2006"/>
    <s v="A125"/>
    <s v="EMP1040"/>
    <s v="C1492"/>
    <x v="67"/>
    <n v="1"/>
    <n v="1826"/>
    <n v="1443"/>
    <n v="1443"/>
    <n v="1826"/>
    <n v="383"/>
    <s v="Product 7"/>
    <x v="31"/>
    <s v="Patrick Ruiz"/>
    <x v="533"/>
    <n v="1"/>
    <x v="0"/>
    <x v="6"/>
    <x v="6"/>
    <x v="2"/>
    <x v="2"/>
  </r>
  <r>
    <s v="AX20066"/>
    <s v="ENX2073"/>
    <s v="A140"/>
    <s v="EMP1033"/>
    <s v="C1053"/>
    <x v="70"/>
    <n v="4"/>
    <n v="95"/>
    <n v="61"/>
    <n v="244"/>
    <n v="380"/>
    <n v="136"/>
    <s v="Product 74"/>
    <x v="18"/>
    <s v="Jerry Perry"/>
    <x v="435"/>
    <n v="1"/>
    <x v="0"/>
    <x v="6"/>
    <x v="6"/>
    <x v="2"/>
    <x v="2"/>
  </r>
  <r>
    <s v="AX20092"/>
    <s v="ENX2035"/>
    <s v="A167"/>
    <s v="EMP1006"/>
    <s v="C1146"/>
    <x v="67"/>
    <n v="4"/>
    <n v="458"/>
    <n v="376"/>
    <n v="1504"/>
    <n v="1832"/>
    <n v="328"/>
    <s v="Product 36"/>
    <x v="64"/>
    <s v="Sean Miller"/>
    <x v="274"/>
    <n v="1"/>
    <x v="0"/>
    <x v="6"/>
    <x v="6"/>
    <x v="2"/>
    <x v="2"/>
  </r>
  <r>
    <s v="AX20493"/>
    <s v="ENX2006"/>
    <s v="A129"/>
    <s v="EMP1019"/>
    <s v="C1509"/>
    <x v="67"/>
    <n v="3"/>
    <n v="1826"/>
    <n v="1443"/>
    <n v="4329"/>
    <n v="5478"/>
    <n v="1149"/>
    <s v="Product 7"/>
    <x v="22"/>
    <s v="Roger Robertson"/>
    <x v="442"/>
    <n v="1"/>
    <x v="0"/>
    <x v="6"/>
    <x v="6"/>
    <x v="2"/>
    <x v="2"/>
  </r>
  <r>
    <s v="AX20953"/>
    <s v="ENX2046"/>
    <s v="A152"/>
    <s v="EMP1006"/>
    <s v="C1722"/>
    <x v="68"/>
    <n v="2"/>
    <n v="2410"/>
    <n v="1518"/>
    <n v="3036"/>
    <n v="4820"/>
    <n v="1784"/>
    <s v="Product 47"/>
    <x v="26"/>
    <s v="Sean Miller"/>
    <x v="257"/>
    <n v="1"/>
    <x v="0"/>
    <x v="6"/>
    <x v="6"/>
    <x v="2"/>
    <x v="2"/>
  </r>
  <r>
    <s v="AX21069"/>
    <s v="ENX2015"/>
    <s v="A135"/>
    <s v="EMP1036"/>
    <s v="C1365"/>
    <x v="68"/>
    <n v="3"/>
    <n v="637"/>
    <n v="389"/>
    <n v="1167"/>
    <n v="1911"/>
    <n v="744"/>
    <s v="Product 16"/>
    <x v="10"/>
    <s v="Robert Reed"/>
    <x v="450"/>
    <n v="1"/>
    <x v="0"/>
    <x v="6"/>
    <x v="6"/>
    <x v="2"/>
    <x v="2"/>
  </r>
  <r>
    <s v="AX21144"/>
    <s v="ENX2068"/>
    <s v="A114"/>
    <s v="EMP1026"/>
    <s v="C1344"/>
    <x v="68"/>
    <n v="3"/>
    <n v="1500"/>
    <n v="900"/>
    <n v="2700"/>
    <n v="4500"/>
    <n v="1800"/>
    <s v="Product 69"/>
    <x v="28"/>
    <s v="Martin Perry"/>
    <x v="22"/>
    <n v="1"/>
    <x v="0"/>
    <x v="6"/>
    <x v="6"/>
    <x v="2"/>
    <x v="2"/>
  </r>
  <r>
    <s v="AX21171"/>
    <s v="ENX2046"/>
    <s v="A107"/>
    <s v="EMP1015"/>
    <s v="C1263"/>
    <x v="69"/>
    <n v="1"/>
    <n v="2410"/>
    <n v="1518"/>
    <n v="1518"/>
    <n v="2410"/>
    <n v="892"/>
    <s v="Product 47"/>
    <x v="21"/>
    <s v="Justin Lynch"/>
    <x v="368"/>
    <n v="1"/>
    <x v="0"/>
    <x v="6"/>
    <x v="6"/>
    <x v="2"/>
    <x v="2"/>
  </r>
  <r>
    <s v="AX21418"/>
    <s v="ENX2094"/>
    <s v="A147"/>
    <s v="EMP1035"/>
    <s v="C1413"/>
    <x v="68"/>
    <n v="1"/>
    <n v="771"/>
    <n v="648"/>
    <n v="648"/>
    <n v="771"/>
    <n v="123"/>
    <s v="Product 95"/>
    <x v="42"/>
    <s v="Roger Ramos"/>
    <x v="571"/>
    <n v="1"/>
    <x v="0"/>
    <x v="6"/>
    <x v="6"/>
    <x v="2"/>
    <x v="2"/>
  </r>
  <r>
    <s v="AX21743"/>
    <s v="ENX2051"/>
    <s v="A148"/>
    <s v="EMP1020"/>
    <s v="C1092"/>
    <x v="67"/>
    <n v="1"/>
    <n v="1077"/>
    <n v="732"/>
    <n v="732"/>
    <n v="1077"/>
    <n v="345"/>
    <s v="Product 52"/>
    <x v="62"/>
    <s v="Ryan Butler"/>
    <x v="572"/>
    <n v="1"/>
    <x v="0"/>
    <x v="6"/>
    <x v="6"/>
    <x v="2"/>
    <x v="2"/>
  </r>
  <r>
    <s v="AX21977"/>
    <s v="ENX2065"/>
    <s v="A100"/>
    <s v="EMP1015"/>
    <s v="C1467"/>
    <x v="66"/>
    <n v="1"/>
    <n v="2396"/>
    <n v="1965"/>
    <n v="1965"/>
    <n v="2396"/>
    <n v="431"/>
    <s v="Product 66"/>
    <x v="52"/>
    <s v="Justin Lynch"/>
    <x v="5"/>
    <n v="1"/>
    <x v="0"/>
    <x v="6"/>
    <x v="6"/>
    <x v="2"/>
    <x v="2"/>
  </r>
  <r>
    <s v="AX22263"/>
    <s v="ENX2058"/>
    <s v="A158"/>
    <s v="EMP1020"/>
    <s v="C1526"/>
    <x v="66"/>
    <n v="4"/>
    <n v="2257"/>
    <n v="1535"/>
    <n v="6140"/>
    <n v="9028"/>
    <n v="2888"/>
    <s v="Product 59"/>
    <x v="58"/>
    <s v="Ryan Butler"/>
    <x v="6"/>
    <n v="1"/>
    <x v="0"/>
    <x v="6"/>
    <x v="6"/>
    <x v="2"/>
    <x v="2"/>
  </r>
  <r>
    <s v="AX22424"/>
    <s v="ENX2023"/>
    <s v="A130"/>
    <s v="EMP1006"/>
    <s v="C1128"/>
    <x v="66"/>
    <n v="3"/>
    <n v="818"/>
    <n v="450"/>
    <n v="1350"/>
    <n v="2454"/>
    <n v="1104"/>
    <s v="Product 24"/>
    <x v="4"/>
    <s v="Sean Miller"/>
    <x v="553"/>
    <n v="1"/>
    <x v="0"/>
    <x v="6"/>
    <x v="6"/>
    <x v="2"/>
    <x v="2"/>
  </r>
  <r>
    <s v="AX22531"/>
    <s v="ENX2023"/>
    <s v="A125"/>
    <s v="EMP1018"/>
    <s v="C1093"/>
    <x v="69"/>
    <n v="4"/>
    <n v="818"/>
    <n v="450"/>
    <n v="1800"/>
    <n v="3272"/>
    <n v="1472"/>
    <s v="Product 24"/>
    <x v="31"/>
    <s v="Jimmy Young"/>
    <x v="290"/>
    <n v="1"/>
    <x v="0"/>
    <x v="6"/>
    <x v="6"/>
    <x v="2"/>
    <x v="2"/>
  </r>
  <r>
    <s v="AX22640"/>
    <s v="ENX2041"/>
    <s v="A173"/>
    <s v="EMP1030"/>
    <s v="C1623"/>
    <x v="68"/>
    <n v="1"/>
    <n v="1380"/>
    <n v="1090"/>
    <n v="1090"/>
    <n v="1380"/>
    <n v="290"/>
    <s v="Product 42"/>
    <x v="25"/>
    <s v="Bobby Russell"/>
    <x v="282"/>
    <n v="1"/>
    <x v="0"/>
    <x v="6"/>
    <x v="6"/>
    <x v="2"/>
    <x v="2"/>
  </r>
  <r>
    <s v="AX23545"/>
    <s v="ENX2060"/>
    <s v="A113"/>
    <s v="EMP1000"/>
    <s v="C1360"/>
    <x v="66"/>
    <n v="1"/>
    <n v="1467"/>
    <n v="807"/>
    <n v="807"/>
    <n v="1467"/>
    <n v="660"/>
    <s v="Product 61"/>
    <x v="73"/>
    <s v="Fred Robertson"/>
    <x v="573"/>
    <n v="1"/>
    <x v="0"/>
    <x v="6"/>
    <x v="6"/>
    <x v="2"/>
    <x v="2"/>
  </r>
  <r>
    <s v="AX23581"/>
    <s v="ENX2076"/>
    <s v="A120"/>
    <s v="EMP1019"/>
    <s v="C1039"/>
    <x v="66"/>
    <n v="1"/>
    <n v="1522"/>
    <n v="791"/>
    <n v="791"/>
    <n v="1522"/>
    <n v="731"/>
    <s v="Product 77"/>
    <x v="20"/>
    <s v="Roger Robertson"/>
    <x v="574"/>
    <n v="1"/>
    <x v="0"/>
    <x v="6"/>
    <x v="6"/>
    <x v="2"/>
    <x v="2"/>
  </r>
  <r>
    <s v="AX23715"/>
    <s v="ENX2051"/>
    <s v="A128"/>
    <s v="EMP1035"/>
    <s v="C1768"/>
    <x v="68"/>
    <n v="1"/>
    <n v="1077"/>
    <n v="732"/>
    <n v="732"/>
    <n v="1077"/>
    <n v="345"/>
    <s v="Product 52"/>
    <x v="12"/>
    <s v="Roger Ramos"/>
    <x v="496"/>
    <n v="1"/>
    <x v="0"/>
    <x v="6"/>
    <x v="6"/>
    <x v="2"/>
    <x v="2"/>
  </r>
  <r>
    <s v="AX24254"/>
    <s v="ENX2070"/>
    <s v="A100"/>
    <s v="EMP1000"/>
    <s v="C1185"/>
    <x v="68"/>
    <n v="2"/>
    <n v="1671"/>
    <n v="1220"/>
    <n v="2440"/>
    <n v="3342"/>
    <n v="902"/>
    <s v="Product 71"/>
    <x v="52"/>
    <s v="Fred Robertson"/>
    <x v="215"/>
    <n v="1"/>
    <x v="0"/>
    <x v="6"/>
    <x v="6"/>
    <x v="2"/>
    <x v="2"/>
  </r>
  <r>
    <s v="AX24305"/>
    <s v="ENX2014"/>
    <s v="A133"/>
    <s v="EMP1006"/>
    <s v="C1573"/>
    <x v="69"/>
    <n v="1"/>
    <n v="1809"/>
    <n v="1067"/>
    <n v="1067"/>
    <n v="1809"/>
    <n v="742"/>
    <s v="Product 15"/>
    <x v="46"/>
    <s v="Sean Miller"/>
    <x v="383"/>
    <n v="1"/>
    <x v="0"/>
    <x v="6"/>
    <x v="6"/>
    <x v="2"/>
    <x v="2"/>
  </r>
  <r>
    <s v="AX24533"/>
    <s v="ENX2066"/>
    <s v="A128"/>
    <s v="EMP1003"/>
    <s v="C1005"/>
    <x v="70"/>
    <n v="2"/>
    <n v="2091"/>
    <n v="1485"/>
    <n v="2970"/>
    <n v="4182"/>
    <n v="1212"/>
    <s v="Product 67"/>
    <x v="12"/>
    <s v="Christopher Tucker"/>
    <x v="304"/>
    <n v="1"/>
    <x v="0"/>
    <x v="6"/>
    <x v="6"/>
    <x v="2"/>
    <x v="2"/>
  </r>
  <r>
    <s v="AX10375"/>
    <s v="ENX2058"/>
    <s v="A116"/>
    <s v="EMP1023"/>
    <s v="C1503"/>
    <x v="71"/>
    <n v="1"/>
    <n v="2257"/>
    <n v="1535"/>
    <n v="1535"/>
    <n v="2257"/>
    <n v="722"/>
    <s v="Product 59"/>
    <x v="15"/>
    <s v="Brian Davis"/>
    <x v="569"/>
    <n v="1"/>
    <x v="0"/>
    <x v="7"/>
    <x v="7"/>
    <x v="2"/>
    <x v="0"/>
  </r>
  <r>
    <s v="AX10590"/>
    <s v="ENX2022"/>
    <s v="A139"/>
    <s v="EMP1027"/>
    <s v="C1625"/>
    <x v="71"/>
    <n v="4"/>
    <n v="561"/>
    <n v="421"/>
    <n v="1684"/>
    <n v="2244"/>
    <n v="560"/>
    <s v="Product 23"/>
    <x v="38"/>
    <s v="Gary Rodriguez"/>
    <x v="575"/>
    <n v="1"/>
    <x v="0"/>
    <x v="7"/>
    <x v="7"/>
    <x v="2"/>
    <x v="0"/>
  </r>
  <r>
    <s v="AX10730"/>
    <s v="ENX2021"/>
    <s v="A144"/>
    <s v="EMP1008"/>
    <s v="C1414"/>
    <x v="71"/>
    <n v="3"/>
    <n v="217"/>
    <n v="171"/>
    <n v="513"/>
    <n v="651"/>
    <n v="138"/>
    <s v="Product 22"/>
    <x v="65"/>
    <s v="Carl Elliott"/>
    <x v="140"/>
    <n v="1"/>
    <x v="0"/>
    <x v="7"/>
    <x v="7"/>
    <x v="2"/>
    <x v="0"/>
  </r>
  <r>
    <s v="AX11098"/>
    <s v="ENX2057"/>
    <s v="A109"/>
    <s v="EMP1004"/>
    <s v="C1520"/>
    <x v="72"/>
    <n v="4"/>
    <n v="181"/>
    <n v="130"/>
    <n v="520"/>
    <n v="724"/>
    <n v="204"/>
    <s v="Product 58"/>
    <x v="57"/>
    <s v="Kenneth Bradley"/>
    <x v="576"/>
    <n v="1"/>
    <x v="0"/>
    <x v="7"/>
    <x v="7"/>
    <x v="2"/>
    <x v="0"/>
  </r>
  <r>
    <s v="AX11660"/>
    <s v="ENX2084"/>
    <s v="A170"/>
    <s v="EMP1024"/>
    <s v="C1571"/>
    <x v="71"/>
    <n v="2"/>
    <n v="1783"/>
    <n v="1230"/>
    <n v="2460"/>
    <n v="3566"/>
    <n v="1106"/>
    <s v="Product 85"/>
    <x v="47"/>
    <s v="Ernest Wheeler"/>
    <x v="316"/>
    <n v="1"/>
    <x v="0"/>
    <x v="7"/>
    <x v="7"/>
    <x v="2"/>
    <x v="0"/>
  </r>
  <r>
    <s v="AX11816"/>
    <s v="ENX2090"/>
    <s v="A171"/>
    <s v="EMP1041"/>
    <s v="C1565"/>
    <x v="73"/>
    <n v="1"/>
    <n v="1338"/>
    <n v="682"/>
    <n v="682"/>
    <n v="1338"/>
    <n v="656"/>
    <s v="Product 91"/>
    <x v="0"/>
    <s v="Joe Sims"/>
    <x v="577"/>
    <n v="1"/>
    <x v="0"/>
    <x v="7"/>
    <x v="7"/>
    <x v="2"/>
    <x v="0"/>
  </r>
  <r>
    <s v="AX11946"/>
    <s v="ENX2054"/>
    <s v="A148"/>
    <s v="EMP1012"/>
    <s v="C1073"/>
    <x v="74"/>
    <n v="1"/>
    <n v="127"/>
    <n v="79"/>
    <n v="79"/>
    <n v="127"/>
    <n v="48"/>
    <s v="Product 55"/>
    <x v="62"/>
    <s v="John Reyes"/>
    <x v="237"/>
    <n v="1"/>
    <x v="0"/>
    <x v="7"/>
    <x v="7"/>
    <x v="2"/>
    <x v="0"/>
  </r>
  <r>
    <s v="AX12035"/>
    <s v="ENX2079"/>
    <s v="A137"/>
    <s v="EMP1024"/>
    <s v="C1539"/>
    <x v="74"/>
    <n v="1"/>
    <n v="1725"/>
    <n v="1363"/>
    <n v="1363"/>
    <n v="1725"/>
    <n v="362"/>
    <s v="Product 80"/>
    <x v="68"/>
    <s v="Ernest Wheeler"/>
    <x v="280"/>
    <n v="1"/>
    <x v="0"/>
    <x v="7"/>
    <x v="7"/>
    <x v="2"/>
    <x v="0"/>
  </r>
  <r>
    <s v="AX12286"/>
    <s v="ENX2039"/>
    <s v="A171"/>
    <s v="EMP1018"/>
    <s v="C1101"/>
    <x v="74"/>
    <n v="1"/>
    <n v="817"/>
    <n v="409"/>
    <n v="409"/>
    <n v="817"/>
    <n v="408"/>
    <s v="Product 40"/>
    <x v="0"/>
    <s v="Jimmy Young"/>
    <x v="347"/>
    <n v="1"/>
    <x v="0"/>
    <x v="7"/>
    <x v="7"/>
    <x v="2"/>
    <x v="0"/>
  </r>
  <r>
    <s v="AX13342"/>
    <s v="ENX2044"/>
    <s v="A130"/>
    <s v="EMP1037"/>
    <s v="C1230"/>
    <x v="75"/>
    <n v="1"/>
    <n v="886"/>
    <n v="478"/>
    <n v="478"/>
    <n v="886"/>
    <n v="408"/>
    <s v="Product 45"/>
    <x v="4"/>
    <s v="Carl Hall"/>
    <x v="578"/>
    <n v="1"/>
    <x v="0"/>
    <x v="7"/>
    <x v="7"/>
    <x v="2"/>
    <x v="0"/>
  </r>
  <r>
    <s v="AX13420"/>
    <s v="ENX2036"/>
    <s v="A119"/>
    <s v="EMP1042"/>
    <s v="C1151"/>
    <x v="73"/>
    <n v="1"/>
    <n v="1582"/>
    <n v="1234"/>
    <n v="1234"/>
    <n v="1582"/>
    <n v="348"/>
    <s v="Product 37"/>
    <x v="16"/>
    <s v="Scott Clark"/>
    <x v="56"/>
    <n v="1"/>
    <x v="0"/>
    <x v="7"/>
    <x v="7"/>
    <x v="2"/>
    <x v="0"/>
  </r>
  <r>
    <s v="AX13421"/>
    <s v="ENX2049"/>
    <s v="A122"/>
    <s v="EMP1006"/>
    <s v="C1711"/>
    <x v="74"/>
    <n v="1"/>
    <n v="826"/>
    <n v="562"/>
    <n v="562"/>
    <n v="826"/>
    <n v="264"/>
    <s v="Product 50"/>
    <x v="71"/>
    <s v="Sean Miller"/>
    <x v="66"/>
    <n v="1"/>
    <x v="0"/>
    <x v="7"/>
    <x v="7"/>
    <x v="2"/>
    <x v="0"/>
  </r>
  <r>
    <s v="AX13475"/>
    <s v="ENX2077"/>
    <s v="A162"/>
    <s v="EMP1010"/>
    <s v="C1251"/>
    <x v="74"/>
    <n v="1"/>
    <n v="530"/>
    <n v="424"/>
    <n v="424"/>
    <n v="530"/>
    <n v="106"/>
    <s v="Product 78"/>
    <x v="2"/>
    <s v="Joshua Cook"/>
    <x v="199"/>
    <n v="1"/>
    <x v="0"/>
    <x v="7"/>
    <x v="7"/>
    <x v="2"/>
    <x v="0"/>
  </r>
  <r>
    <s v="AX13683"/>
    <s v="ENX2042"/>
    <s v="A172"/>
    <s v="EMP1028"/>
    <s v="C1708"/>
    <x v="71"/>
    <n v="2"/>
    <n v="203"/>
    <n v="154"/>
    <n v="308"/>
    <n v="406"/>
    <n v="98"/>
    <s v="Product 43"/>
    <x v="36"/>
    <s v="Howard Sims"/>
    <x v="579"/>
    <n v="1"/>
    <x v="0"/>
    <x v="7"/>
    <x v="7"/>
    <x v="2"/>
    <x v="0"/>
  </r>
  <r>
    <s v="AX13690"/>
    <s v="ENX2076"/>
    <s v="A132"/>
    <s v="EMP1022"/>
    <s v="C1216"/>
    <x v="75"/>
    <n v="1"/>
    <n v="1522"/>
    <n v="791"/>
    <n v="791"/>
    <n v="1522"/>
    <n v="731"/>
    <s v="Product 77"/>
    <x v="48"/>
    <s v="Walter Cook"/>
    <x v="580"/>
    <n v="1"/>
    <x v="0"/>
    <x v="7"/>
    <x v="7"/>
    <x v="2"/>
    <x v="0"/>
  </r>
  <r>
    <s v="AX13750"/>
    <s v="ENX2093"/>
    <s v="A141"/>
    <s v="EMP1025"/>
    <s v="C1262"/>
    <x v="75"/>
    <n v="1"/>
    <n v="112"/>
    <n v="90"/>
    <n v="90"/>
    <n v="112"/>
    <n v="22"/>
    <s v="Product 94"/>
    <x v="23"/>
    <s v="Ernest Wagner"/>
    <x v="363"/>
    <n v="1"/>
    <x v="0"/>
    <x v="7"/>
    <x v="7"/>
    <x v="2"/>
    <x v="0"/>
  </r>
  <r>
    <s v="AX13943"/>
    <s v="ENX2025"/>
    <s v="A124"/>
    <s v="EMP1034"/>
    <s v="C1005"/>
    <x v="75"/>
    <n v="1"/>
    <n v="667"/>
    <n v="387"/>
    <n v="387"/>
    <n v="667"/>
    <n v="280"/>
    <s v="Product 26"/>
    <x v="67"/>
    <s v="Arthur Mccoy"/>
    <x v="304"/>
    <n v="1"/>
    <x v="0"/>
    <x v="7"/>
    <x v="7"/>
    <x v="2"/>
    <x v="0"/>
  </r>
  <r>
    <s v="AX13978"/>
    <s v="ENX2066"/>
    <s v="A136"/>
    <s v="EMP1027"/>
    <s v="C1214"/>
    <x v="71"/>
    <n v="4"/>
    <n v="2091"/>
    <n v="1485"/>
    <n v="5940"/>
    <n v="8364"/>
    <n v="2424"/>
    <s v="Product 67"/>
    <x v="43"/>
    <s v="Gary Rodriguez"/>
    <x v="262"/>
    <n v="1"/>
    <x v="0"/>
    <x v="7"/>
    <x v="7"/>
    <x v="2"/>
    <x v="0"/>
  </r>
  <r>
    <s v="AX15345"/>
    <s v="ENX2030"/>
    <s v="A150"/>
    <s v="EMP1043"/>
    <s v="C1727"/>
    <x v="72"/>
    <n v="4"/>
    <n v="1899"/>
    <n v="1044"/>
    <n v="4176"/>
    <n v="7596"/>
    <n v="3420"/>
    <s v="Product 31"/>
    <x v="30"/>
    <s v="Joshua Taylor"/>
    <x v="581"/>
    <n v="1"/>
    <x v="0"/>
    <x v="7"/>
    <x v="7"/>
    <x v="2"/>
    <x v="0"/>
  </r>
  <r>
    <s v="AX15436"/>
    <s v="ENX2060"/>
    <s v="A161"/>
    <s v="EMP1026"/>
    <s v="C1208"/>
    <x v="73"/>
    <n v="1"/>
    <n v="1467"/>
    <n v="807"/>
    <n v="807"/>
    <n v="1467"/>
    <n v="660"/>
    <s v="Product 61"/>
    <x v="6"/>
    <s v="Martin Perry"/>
    <x v="582"/>
    <n v="1"/>
    <x v="0"/>
    <x v="7"/>
    <x v="7"/>
    <x v="2"/>
    <x v="0"/>
  </r>
  <r>
    <s v="AX15540"/>
    <s v="ENX2058"/>
    <s v="A121"/>
    <s v="EMP1026"/>
    <s v="C1404"/>
    <x v="71"/>
    <n v="1"/>
    <n v="2257"/>
    <n v="1535"/>
    <n v="1535"/>
    <n v="2257"/>
    <n v="722"/>
    <s v="Product 59"/>
    <x v="72"/>
    <s v="Martin Perry"/>
    <x v="75"/>
    <n v="1"/>
    <x v="0"/>
    <x v="7"/>
    <x v="7"/>
    <x v="2"/>
    <x v="0"/>
  </r>
  <r>
    <s v="AX15686"/>
    <s v="ENX2067"/>
    <s v="A116"/>
    <s v="EMP1006"/>
    <s v="C1672"/>
    <x v="74"/>
    <n v="3"/>
    <n v="1119"/>
    <n v="683"/>
    <n v="2049"/>
    <n v="3357"/>
    <n v="1308"/>
    <s v="Product 68"/>
    <x v="15"/>
    <s v="Sean Miller"/>
    <x v="547"/>
    <n v="1"/>
    <x v="0"/>
    <x v="7"/>
    <x v="7"/>
    <x v="2"/>
    <x v="0"/>
  </r>
  <r>
    <s v="AX15808"/>
    <s v="ENX2006"/>
    <s v="A120"/>
    <s v="EMP1000"/>
    <s v="C1619"/>
    <x v="73"/>
    <n v="1"/>
    <n v="1826"/>
    <n v="1443"/>
    <n v="1443"/>
    <n v="1826"/>
    <n v="383"/>
    <s v="Product 7"/>
    <x v="20"/>
    <s v="Fred Robertson"/>
    <x v="77"/>
    <n v="1"/>
    <x v="0"/>
    <x v="7"/>
    <x v="7"/>
    <x v="2"/>
    <x v="0"/>
  </r>
  <r>
    <s v="AX15840"/>
    <s v="ENX2062"/>
    <s v="A132"/>
    <s v="EMP1011"/>
    <s v="C1015"/>
    <x v="72"/>
    <n v="2"/>
    <n v="2464"/>
    <n v="1774"/>
    <n v="3548"/>
    <n v="4928"/>
    <n v="1380"/>
    <s v="Product 63"/>
    <x v="48"/>
    <s v="Larry Marshall"/>
    <x v="583"/>
    <n v="1"/>
    <x v="0"/>
    <x v="7"/>
    <x v="7"/>
    <x v="2"/>
    <x v="0"/>
  </r>
  <r>
    <s v="AX15925"/>
    <s v="ENX2010"/>
    <s v="A147"/>
    <s v="EMP1041"/>
    <s v="C1232"/>
    <x v="74"/>
    <n v="3"/>
    <n v="1812"/>
    <n v="1305"/>
    <n v="3915"/>
    <n v="5436"/>
    <n v="1521"/>
    <s v="Product 11"/>
    <x v="42"/>
    <s v="Joe Sims"/>
    <x v="584"/>
    <n v="1"/>
    <x v="0"/>
    <x v="7"/>
    <x v="7"/>
    <x v="2"/>
    <x v="0"/>
  </r>
  <r>
    <s v="AX16263"/>
    <s v="ENX2017"/>
    <s v="A138"/>
    <s v="EMP1040"/>
    <s v="C1125"/>
    <x v="71"/>
    <n v="1"/>
    <n v="35"/>
    <n v="22"/>
    <n v="22"/>
    <n v="35"/>
    <n v="13"/>
    <s v="Product 18"/>
    <x v="37"/>
    <s v="Patrick Ruiz"/>
    <x v="539"/>
    <n v="1"/>
    <x v="0"/>
    <x v="7"/>
    <x v="7"/>
    <x v="2"/>
    <x v="0"/>
  </r>
  <r>
    <s v="AX16577"/>
    <s v="ENX2004"/>
    <s v="A109"/>
    <s v="EMP1019"/>
    <s v="C1131"/>
    <x v="74"/>
    <n v="1"/>
    <n v="1278"/>
    <n v="665"/>
    <n v="665"/>
    <n v="1278"/>
    <n v="613"/>
    <s v="Product 5"/>
    <x v="57"/>
    <s v="Roger Robertson"/>
    <x v="76"/>
    <n v="1"/>
    <x v="0"/>
    <x v="7"/>
    <x v="7"/>
    <x v="2"/>
    <x v="0"/>
  </r>
  <r>
    <s v="AX17024"/>
    <s v="ENX2033"/>
    <s v="A146"/>
    <s v="EMP1026"/>
    <s v="C1239"/>
    <x v="74"/>
    <n v="1"/>
    <n v="2182"/>
    <n v="1200"/>
    <n v="1200"/>
    <n v="2182"/>
    <n v="982"/>
    <s v="Product 34"/>
    <x v="27"/>
    <s v="Martin Perry"/>
    <x v="479"/>
    <n v="1"/>
    <x v="0"/>
    <x v="7"/>
    <x v="7"/>
    <x v="2"/>
    <x v="0"/>
  </r>
  <r>
    <s v="AX17070"/>
    <s v="ENX2071"/>
    <s v="A120"/>
    <s v="EMP1023"/>
    <s v="C1247"/>
    <x v="74"/>
    <n v="2"/>
    <n v="136"/>
    <n v="72"/>
    <n v="144"/>
    <n v="272"/>
    <n v="128"/>
    <s v="Product 72"/>
    <x v="20"/>
    <s v="Brian Davis"/>
    <x v="552"/>
    <n v="1"/>
    <x v="0"/>
    <x v="7"/>
    <x v="7"/>
    <x v="2"/>
    <x v="0"/>
  </r>
  <r>
    <s v="AX17104"/>
    <s v="ENX2027"/>
    <s v="A172"/>
    <s v="EMP1040"/>
    <s v="C1221"/>
    <x v="73"/>
    <n v="1"/>
    <n v="2497"/>
    <n v="1473"/>
    <n v="1473"/>
    <n v="2497"/>
    <n v="1024"/>
    <s v="Product 28"/>
    <x v="36"/>
    <s v="Patrick Ruiz"/>
    <x v="429"/>
    <n v="1"/>
    <x v="0"/>
    <x v="7"/>
    <x v="7"/>
    <x v="2"/>
    <x v="0"/>
  </r>
  <r>
    <s v="AX17115"/>
    <s v="ENX2024"/>
    <s v="A107"/>
    <s v="EMP1037"/>
    <s v="C1586"/>
    <x v="75"/>
    <n v="1"/>
    <n v="356"/>
    <n v="292"/>
    <n v="292"/>
    <n v="356"/>
    <n v="64"/>
    <s v="Product 25"/>
    <x v="21"/>
    <s v="Carl Hall"/>
    <x v="585"/>
    <n v="1"/>
    <x v="0"/>
    <x v="7"/>
    <x v="7"/>
    <x v="2"/>
    <x v="0"/>
  </r>
  <r>
    <s v="AX17171"/>
    <s v="ENX2026"/>
    <s v="A117"/>
    <s v="EMP1026"/>
    <s v="C1366"/>
    <x v="75"/>
    <n v="4"/>
    <n v="947"/>
    <n v="786"/>
    <n v="3144"/>
    <n v="3788"/>
    <n v="644"/>
    <s v="Product 27"/>
    <x v="29"/>
    <s v="Martin Perry"/>
    <x v="205"/>
    <n v="1"/>
    <x v="0"/>
    <x v="7"/>
    <x v="7"/>
    <x v="2"/>
    <x v="0"/>
  </r>
  <r>
    <s v="AX17402"/>
    <s v="ENX2088"/>
    <s v="A173"/>
    <s v="EMP1030"/>
    <s v="C1051"/>
    <x v="73"/>
    <n v="1"/>
    <n v="603"/>
    <n v="416"/>
    <n v="416"/>
    <n v="603"/>
    <n v="187"/>
    <s v="Product 89"/>
    <x v="25"/>
    <s v="Bobby Russell"/>
    <x v="432"/>
    <n v="1"/>
    <x v="0"/>
    <x v="7"/>
    <x v="7"/>
    <x v="2"/>
    <x v="0"/>
  </r>
  <r>
    <s v="AX17611"/>
    <s v="ENX2040"/>
    <s v="A162"/>
    <s v="EMP1035"/>
    <s v="C1644"/>
    <x v="73"/>
    <n v="1"/>
    <n v="1889"/>
    <n v="945"/>
    <n v="945"/>
    <n v="1889"/>
    <n v="944"/>
    <s v="Product 41"/>
    <x v="2"/>
    <s v="Roger Ramos"/>
    <x v="109"/>
    <n v="1"/>
    <x v="0"/>
    <x v="7"/>
    <x v="7"/>
    <x v="2"/>
    <x v="0"/>
  </r>
  <r>
    <s v="AX17771"/>
    <s v="ENX2031"/>
    <s v="A107"/>
    <s v="EMP1026"/>
    <s v="C1555"/>
    <x v="74"/>
    <n v="2"/>
    <n v="1638"/>
    <n v="1261"/>
    <n v="2522"/>
    <n v="3276"/>
    <n v="754"/>
    <s v="Product 32"/>
    <x v="21"/>
    <s v="Martin Perry"/>
    <x v="148"/>
    <n v="1"/>
    <x v="0"/>
    <x v="7"/>
    <x v="7"/>
    <x v="2"/>
    <x v="0"/>
  </r>
  <r>
    <s v="AX18249"/>
    <s v="ENX2006"/>
    <s v="A170"/>
    <s v="EMP1012"/>
    <s v="C1471"/>
    <x v="73"/>
    <n v="2"/>
    <n v="1826"/>
    <n v="1443"/>
    <n v="2886"/>
    <n v="3652"/>
    <n v="766"/>
    <s v="Product 7"/>
    <x v="47"/>
    <s v="John Reyes"/>
    <x v="586"/>
    <n v="1"/>
    <x v="0"/>
    <x v="7"/>
    <x v="7"/>
    <x v="2"/>
    <x v="0"/>
  </r>
  <r>
    <s v="AX18457"/>
    <s v="ENX2042"/>
    <s v="A121"/>
    <s v="EMP1038"/>
    <s v="C1561"/>
    <x v="74"/>
    <n v="1"/>
    <n v="203"/>
    <n v="154"/>
    <n v="154"/>
    <n v="203"/>
    <n v="49"/>
    <s v="Product 43"/>
    <x v="72"/>
    <s v="Scott Mason"/>
    <x v="114"/>
    <n v="1"/>
    <x v="0"/>
    <x v="7"/>
    <x v="7"/>
    <x v="2"/>
    <x v="0"/>
  </r>
  <r>
    <s v="AX18509"/>
    <s v="ENX2038"/>
    <s v="A115"/>
    <s v="EMP1023"/>
    <s v="C1611"/>
    <x v="73"/>
    <n v="2"/>
    <n v="392"/>
    <n v="255"/>
    <n v="510"/>
    <n v="784"/>
    <n v="274"/>
    <s v="Product 39"/>
    <x v="33"/>
    <s v="Brian Davis"/>
    <x v="306"/>
    <n v="1"/>
    <x v="0"/>
    <x v="7"/>
    <x v="7"/>
    <x v="2"/>
    <x v="0"/>
  </r>
  <r>
    <s v="AX18601"/>
    <s v="ENX2098"/>
    <s v="A163"/>
    <s v="EMP1021"/>
    <s v="C1104"/>
    <x v="74"/>
    <n v="1"/>
    <n v="1178"/>
    <n v="683"/>
    <n v="683"/>
    <n v="1178"/>
    <n v="495"/>
    <s v="Product 99"/>
    <x v="51"/>
    <s v="Clarence Fox"/>
    <x v="367"/>
    <n v="1"/>
    <x v="0"/>
    <x v="7"/>
    <x v="7"/>
    <x v="2"/>
    <x v="0"/>
  </r>
  <r>
    <s v="AX18760"/>
    <s v="ENX2075"/>
    <s v="A106"/>
    <s v="EMP1027"/>
    <s v="C1486"/>
    <x v="73"/>
    <n v="1"/>
    <n v="400"/>
    <n v="208"/>
    <n v="208"/>
    <n v="400"/>
    <n v="192"/>
    <s v="Product 76"/>
    <x v="11"/>
    <s v="Gary Rodriguez"/>
    <x v="357"/>
    <n v="1"/>
    <x v="0"/>
    <x v="7"/>
    <x v="7"/>
    <x v="2"/>
    <x v="0"/>
  </r>
  <r>
    <s v="AX19067"/>
    <s v="ENX2042"/>
    <s v="A136"/>
    <s v="EMP1013"/>
    <s v="C1344"/>
    <x v="75"/>
    <n v="3"/>
    <n v="203"/>
    <n v="154"/>
    <n v="462"/>
    <n v="609"/>
    <n v="147"/>
    <s v="Product 43"/>
    <x v="43"/>
    <s v="Charles Harper"/>
    <x v="22"/>
    <n v="1"/>
    <x v="0"/>
    <x v="7"/>
    <x v="7"/>
    <x v="2"/>
    <x v="0"/>
  </r>
  <r>
    <s v="AX19258"/>
    <s v="ENX2059"/>
    <s v="A155"/>
    <s v="EMP1009"/>
    <s v="C1431"/>
    <x v="72"/>
    <n v="1"/>
    <n v="1494"/>
    <n v="971"/>
    <n v="971"/>
    <n v="1494"/>
    <n v="523"/>
    <s v="Product 60"/>
    <x v="53"/>
    <s v="Kenneth Fields"/>
    <x v="587"/>
    <n v="1"/>
    <x v="0"/>
    <x v="7"/>
    <x v="7"/>
    <x v="2"/>
    <x v="0"/>
  </r>
  <r>
    <s v="AX19710"/>
    <s v="ENX2001"/>
    <s v="A128"/>
    <s v="EMP1001"/>
    <s v="C1225"/>
    <x v="75"/>
    <n v="1"/>
    <n v="951"/>
    <n v="504"/>
    <n v="504"/>
    <n v="951"/>
    <n v="447"/>
    <s v="Product 2"/>
    <x v="12"/>
    <s v="Kevin Butler"/>
    <x v="588"/>
    <n v="1"/>
    <x v="0"/>
    <x v="7"/>
    <x v="7"/>
    <x v="2"/>
    <x v="0"/>
  </r>
  <r>
    <s v="AX20386"/>
    <s v="ENX2076"/>
    <s v="A102"/>
    <s v="EMP1021"/>
    <s v="C1394"/>
    <x v="75"/>
    <n v="3"/>
    <n v="1522"/>
    <n v="791"/>
    <n v="2373"/>
    <n v="4566"/>
    <n v="2193"/>
    <s v="Product 77"/>
    <x v="44"/>
    <s v="Clarence Fox"/>
    <x v="116"/>
    <n v="1"/>
    <x v="0"/>
    <x v="7"/>
    <x v="7"/>
    <x v="2"/>
    <x v="0"/>
  </r>
  <r>
    <s v="AX20554"/>
    <s v="ENX2026"/>
    <s v="A101"/>
    <s v="EMP1018"/>
    <s v="C1621"/>
    <x v="74"/>
    <n v="2"/>
    <n v="947"/>
    <n v="786"/>
    <n v="1572"/>
    <n v="1894"/>
    <n v="322"/>
    <s v="Product 27"/>
    <x v="60"/>
    <s v="Jimmy Young"/>
    <x v="159"/>
    <n v="1"/>
    <x v="0"/>
    <x v="7"/>
    <x v="7"/>
    <x v="2"/>
    <x v="0"/>
  </r>
  <r>
    <s v="AX20784"/>
    <s v="ENX2050"/>
    <s v="A151"/>
    <s v="EMP1000"/>
    <s v="C1697"/>
    <x v="73"/>
    <n v="4"/>
    <n v="2391"/>
    <n v="1291"/>
    <n v="5164"/>
    <n v="9564"/>
    <n v="4400"/>
    <s v="Product 51"/>
    <x v="1"/>
    <s v="Fred Robertson"/>
    <x v="589"/>
    <n v="1"/>
    <x v="0"/>
    <x v="7"/>
    <x v="7"/>
    <x v="2"/>
    <x v="0"/>
  </r>
  <r>
    <s v="AX21082"/>
    <s v="ENX2003"/>
    <s v="A164"/>
    <s v="EMP1043"/>
    <s v="C1112"/>
    <x v="72"/>
    <n v="4"/>
    <n v="1783"/>
    <n v="1516"/>
    <n v="6064"/>
    <n v="7132"/>
    <n v="1068"/>
    <s v="Product 4"/>
    <x v="3"/>
    <s v="Joshua Taylor"/>
    <x v="590"/>
    <n v="1"/>
    <x v="0"/>
    <x v="7"/>
    <x v="7"/>
    <x v="2"/>
    <x v="0"/>
  </r>
  <r>
    <s v="AX21541"/>
    <s v="ENX2054"/>
    <s v="A101"/>
    <s v="EMP1019"/>
    <s v="C1732"/>
    <x v="71"/>
    <n v="1"/>
    <n v="127"/>
    <n v="79"/>
    <n v="79"/>
    <n v="127"/>
    <n v="48"/>
    <s v="Product 55"/>
    <x v="60"/>
    <s v="Roger Robertson"/>
    <x v="136"/>
    <n v="1"/>
    <x v="0"/>
    <x v="7"/>
    <x v="7"/>
    <x v="2"/>
    <x v="0"/>
  </r>
  <r>
    <s v="AX21675"/>
    <s v="ENX2032"/>
    <s v="A156"/>
    <s v="EMP1043"/>
    <s v="C1133"/>
    <x v="74"/>
    <n v="1"/>
    <n v="1967"/>
    <n v="1397"/>
    <n v="1397"/>
    <n v="1967"/>
    <n v="570"/>
    <s v="Product 33"/>
    <x v="14"/>
    <s v="Joshua Taylor"/>
    <x v="468"/>
    <n v="1"/>
    <x v="0"/>
    <x v="7"/>
    <x v="7"/>
    <x v="2"/>
    <x v="0"/>
  </r>
  <r>
    <s v="AX22026"/>
    <s v="ENX2025"/>
    <s v="A167"/>
    <s v="EMP1025"/>
    <s v="C1704"/>
    <x v="72"/>
    <n v="2"/>
    <n v="667"/>
    <n v="387"/>
    <n v="774"/>
    <n v="1334"/>
    <n v="560"/>
    <s v="Product 26"/>
    <x v="64"/>
    <s v="Ernest Wagner"/>
    <x v="28"/>
    <n v="1"/>
    <x v="0"/>
    <x v="7"/>
    <x v="7"/>
    <x v="2"/>
    <x v="0"/>
  </r>
  <r>
    <s v="AX22046"/>
    <s v="ENX2068"/>
    <s v="A144"/>
    <s v="EMP1038"/>
    <s v="C1614"/>
    <x v="75"/>
    <n v="4"/>
    <n v="1500"/>
    <n v="900"/>
    <n v="3600"/>
    <n v="6000"/>
    <n v="2400"/>
    <s v="Product 69"/>
    <x v="65"/>
    <s v="Scott Mason"/>
    <x v="11"/>
    <n v="1"/>
    <x v="0"/>
    <x v="7"/>
    <x v="7"/>
    <x v="2"/>
    <x v="0"/>
  </r>
  <r>
    <s v="AX22746"/>
    <s v="ENX2072"/>
    <s v="A147"/>
    <s v="EMP1015"/>
    <s v="C1608"/>
    <x v="74"/>
    <n v="1"/>
    <n v="1887"/>
    <n v="1378"/>
    <n v="1378"/>
    <n v="1887"/>
    <n v="509"/>
    <s v="Product 73"/>
    <x v="42"/>
    <s v="Justin Lynch"/>
    <x v="463"/>
    <n v="1"/>
    <x v="0"/>
    <x v="7"/>
    <x v="7"/>
    <x v="2"/>
    <x v="0"/>
  </r>
  <r>
    <s v="AX22781"/>
    <s v="ENX2100"/>
    <s v="A161"/>
    <s v="EMP1038"/>
    <s v="C1639"/>
    <x v="73"/>
    <n v="4"/>
    <n v="799"/>
    <n v="455"/>
    <n v="1820"/>
    <n v="3196"/>
    <n v="1376"/>
    <s v="Product 101"/>
    <x v="6"/>
    <s v="Scott Mason"/>
    <x v="30"/>
    <n v="1"/>
    <x v="0"/>
    <x v="7"/>
    <x v="7"/>
    <x v="2"/>
    <x v="0"/>
  </r>
  <r>
    <s v="AX22860"/>
    <s v="ENX2008"/>
    <s v="A172"/>
    <s v="EMP1026"/>
    <s v="C1114"/>
    <x v="74"/>
    <n v="1"/>
    <n v="315"/>
    <n v="208"/>
    <n v="208"/>
    <n v="315"/>
    <n v="107"/>
    <s v="Product 9"/>
    <x v="36"/>
    <s v="Martin Perry"/>
    <x v="405"/>
    <n v="1"/>
    <x v="0"/>
    <x v="7"/>
    <x v="7"/>
    <x v="2"/>
    <x v="0"/>
  </r>
  <r>
    <s v="AX23041"/>
    <s v="ENX2078"/>
    <s v="A160"/>
    <s v="EMP1020"/>
    <s v="C1750"/>
    <x v="75"/>
    <n v="1"/>
    <n v="1798"/>
    <n v="971"/>
    <n v="971"/>
    <n v="1798"/>
    <n v="827"/>
    <s v="Product 79"/>
    <x v="9"/>
    <s v="Ryan Butler"/>
    <x v="591"/>
    <n v="1"/>
    <x v="0"/>
    <x v="7"/>
    <x v="7"/>
    <x v="2"/>
    <x v="0"/>
  </r>
  <r>
    <s v="AX23450"/>
    <s v="ENX2070"/>
    <s v="A154"/>
    <s v="EMP1015"/>
    <s v="C1153"/>
    <x v="73"/>
    <n v="1"/>
    <n v="1671"/>
    <n v="1220"/>
    <n v="1220"/>
    <n v="1671"/>
    <n v="451"/>
    <s v="Product 71"/>
    <x v="24"/>
    <s v="Justin Lynch"/>
    <x v="382"/>
    <n v="1"/>
    <x v="0"/>
    <x v="7"/>
    <x v="7"/>
    <x v="2"/>
    <x v="0"/>
  </r>
  <r>
    <s v="AX24352"/>
    <s v="ENX2089"/>
    <s v="A111"/>
    <s v="EMP1029"/>
    <s v="C1555"/>
    <x v="74"/>
    <n v="4"/>
    <n v="2294"/>
    <n v="1399"/>
    <n v="5596"/>
    <n v="9176"/>
    <n v="3580"/>
    <s v="Product 90"/>
    <x v="54"/>
    <s v="Howard Gardner"/>
    <x v="148"/>
    <n v="1"/>
    <x v="0"/>
    <x v="7"/>
    <x v="7"/>
    <x v="2"/>
    <x v="0"/>
  </r>
  <r>
    <s v="AX24809"/>
    <s v="ENX2042"/>
    <s v="A152"/>
    <s v="EMP1020"/>
    <s v="C1537"/>
    <x v="74"/>
    <n v="3"/>
    <n v="203"/>
    <n v="154"/>
    <n v="462"/>
    <n v="609"/>
    <n v="147"/>
    <s v="Product 43"/>
    <x v="26"/>
    <s v="Ryan Butler"/>
    <x v="141"/>
    <n v="1"/>
    <x v="0"/>
    <x v="7"/>
    <x v="7"/>
    <x v="2"/>
    <x v="0"/>
  </r>
  <r>
    <s v="AX24867"/>
    <s v="ENX2008"/>
    <s v="A142"/>
    <s v="EMP1021"/>
    <s v="C1795"/>
    <x v="71"/>
    <n v="3"/>
    <n v="315"/>
    <n v="208"/>
    <n v="624"/>
    <n v="945"/>
    <n v="321"/>
    <s v="Product 9"/>
    <x v="56"/>
    <s v="Clarence Fox"/>
    <x v="592"/>
    <n v="1"/>
    <x v="0"/>
    <x v="7"/>
    <x v="7"/>
    <x v="2"/>
    <x v="0"/>
  </r>
  <r>
    <s v="AX10087"/>
    <s v="ENX2092"/>
    <s v="A152"/>
    <s v="EMP1009"/>
    <s v="C1357"/>
    <x v="76"/>
    <n v="3"/>
    <n v="1639"/>
    <n v="1295"/>
    <n v="3885"/>
    <n v="4917"/>
    <n v="1032"/>
    <s v="Product 93"/>
    <x v="26"/>
    <s v="Kenneth Fields"/>
    <x v="327"/>
    <n v="1"/>
    <x v="0"/>
    <x v="7"/>
    <x v="7"/>
    <x v="2"/>
    <x v="2"/>
  </r>
  <r>
    <s v="AX10223"/>
    <s v="ENX2036"/>
    <s v="A135"/>
    <s v="EMP1011"/>
    <s v="C1148"/>
    <x v="77"/>
    <n v="1"/>
    <n v="1582"/>
    <n v="1234"/>
    <n v="1234"/>
    <n v="1582"/>
    <n v="348"/>
    <s v="Product 37"/>
    <x v="10"/>
    <s v="Larry Marshall"/>
    <x v="55"/>
    <n v="1"/>
    <x v="0"/>
    <x v="7"/>
    <x v="7"/>
    <x v="2"/>
    <x v="2"/>
  </r>
  <r>
    <s v="AX10430"/>
    <s v="ENX2026"/>
    <s v="A136"/>
    <s v="EMP1034"/>
    <s v="C1055"/>
    <x v="77"/>
    <n v="1"/>
    <n v="947"/>
    <n v="786"/>
    <n v="786"/>
    <n v="947"/>
    <n v="161"/>
    <s v="Product 27"/>
    <x v="43"/>
    <s v="Arthur Mccoy"/>
    <x v="593"/>
    <n v="1"/>
    <x v="0"/>
    <x v="7"/>
    <x v="7"/>
    <x v="2"/>
    <x v="2"/>
  </r>
  <r>
    <s v="AX11437"/>
    <s v="ENX2015"/>
    <s v="A116"/>
    <s v="EMP1010"/>
    <s v="C1075"/>
    <x v="78"/>
    <n v="1"/>
    <n v="637"/>
    <n v="389"/>
    <n v="389"/>
    <n v="637"/>
    <n v="248"/>
    <s v="Product 16"/>
    <x v="15"/>
    <s v="Joshua Cook"/>
    <x v="594"/>
    <n v="1"/>
    <x v="0"/>
    <x v="7"/>
    <x v="7"/>
    <x v="2"/>
    <x v="2"/>
  </r>
  <r>
    <s v="AX11945"/>
    <s v="ENX2037"/>
    <s v="A147"/>
    <s v="EMP1019"/>
    <s v="C1044"/>
    <x v="79"/>
    <n v="3"/>
    <n v="880"/>
    <n v="634"/>
    <n v="1902"/>
    <n v="2640"/>
    <n v="738"/>
    <s v="Product 38"/>
    <x v="42"/>
    <s v="Roger Robertson"/>
    <x v="331"/>
    <n v="1"/>
    <x v="0"/>
    <x v="7"/>
    <x v="7"/>
    <x v="2"/>
    <x v="2"/>
  </r>
  <r>
    <s v="AX12005"/>
    <s v="ENX2006"/>
    <s v="A117"/>
    <s v="EMP1037"/>
    <s v="C1186"/>
    <x v="77"/>
    <n v="1"/>
    <n v="1826"/>
    <n v="1443"/>
    <n v="1443"/>
    <n v="1826"/>
    <n v="383"/>
    <s v="Product 7"/>
    <x v="29"/>
    <s v="Carl Hall"/>
    <x v="467"/>
    <n v="1"/>
    <x v="0"/>
    <x v="7"/>
    <x v="7"/>
    <x v="2"/>
    <x v="2"/>
  </r>
  <r>
    <s v="AX12173"/>
    <s v="ENX2040"/>
    <s v="A141"/>
    <s v="EMP1007"/>
    <s v="C1490"/>
    <x v="79"/>
    <n v="1"/>
    <n v="1889"/>
    <n v="945"/>
    <n v="945"/>
    <n v="1889"/>
    <n v="944"/>
    <s v="Product 41"/>
    <x v="23"/>
    <s v="Jeremy Mendoza"/>
    <x v="61"/>
    <n v="1"/>
    <x v="0"/>
    <x v="7"/>
    <x v="7"/>
    <x v="2"/>
    <x v="2"/>
  </r>
  <r>
    <s v="AX12307"/>
    <s v="ENX2004"/>
    <s v="A165"/>
    <s v="EMP1034"/>
    <s v="C1345"/>
    <x v="76"/>
    <n v="1"/>
    <n v="1278"/>
    <n v="665"/>
    <n v="665"/>
    <n v="1278"/>
    <n v="613"/>
    <s v="Product 5"/>
    <x v="55"/>
    <s v="Arthur Mccoy"/>
    <x v="567"/>
    <n v="1"/>
    <x v="0"/>
    <x v="7"/>
    <x v="7"/>
    <x v="2"/>
    <x v="2"/>
  </r>
  <r>
    <s v="AX12364"/>
    <s v="ENX2091"/>
    <s v="A111"/>
    <s v="EMP1004"/>
    <s v="C1270"/>
    <x v="78"/>
    <n v="2"/>
    <n v="368"/>
    <n v="294"/>
    <n v="588"/>
    <n v="736"/>
    <n v="148"/>
    <s v="Product 92"/>
    <x v="54"/>
    <s v="Kenneth Bradley"/>
    <x v="517"/>
    <n v="1"/>
    <x v="0"/>
    <x v="7"/>
    <x v="7"/>
    <x v="2"/>
    <x v="2"/>
  </r>
  <r>
    <s v="AX12406"/>
    <s v="ENX2033"/>
    <s v="A166"/>
    <s v="EMP1028"/>
    <s v="C1061"/>
    <x v="78"/>
    <n v="1"/>
    <n v="2182"/>
    <n v="1200"/>
    <n v="1200"/>
    <n v="2182"/>
    <n v="982"/>
    <s v="Product 34"/>
    <x v="70"/>
    <s v="Howard Sims"/>
    <x v="228"/>
    <n v="1"/>
    <x v="0"/>
    <x v="7"/>
    <x v="7"/>
    <x v="2"/>
    <x v="2"/>
  </r>
  <r>
    <s v="AX13025"/>
    <s v="ENX2054"/>
    <s v="A117"/>
    <s v="EMP1032"/>
    <s v="C1019"/>
    <x v="76"/>
    <n v="1"/>
    <n v="127"/>
    <n v="79"/>
    <n v="79"/>
    <n v="127"/>
    <n v="48"/>
    <s v="Product 55"/>
    <x v="29"/>
    <s v="Larry Castillo"/>
    <x v="503"/>
    <n v="1"/>
    <x v="0"/>
    <x v="7"/>
    <x v="7"/>
    <x v="2"/>
    <x v="2"/>
  </r>
  <r>
    <s v="AX13728"/>
    <s v="ENX2026"/>
    <s v="A164"/>
    <s v="EMP1013"/>
    <s v="C1137"/>
    <x v="78"/>
    <n v="1"/>
    <n v="947"/>
    <n v="786"/>
    <n v="786"/>
    <n v="947"/>
    <n v="161"/>
    <s v="Product 27"/>
    <x v="3"/>
    <s v="Charles Harper"/>
    <x v="131"/>
    <n v="1"/>
    <x v="0"/>
    <x v="7"/>
    <x v="7"/>
    <x v="2"/>
    <x v="2"/>
  </r>
  <r>
    <s v="AX14615"/>
    <s v="ENX2031"/>
    <s v="A116"/>
    <s v="EMP1017"/>
    <s v="C1597"/>
    <x v="79"/>
    <n v="3"/>
    <n v="1638"/>
    <n v="1261"/>
    <n v="3783"/>
    <n v="4914"/>
    <n v="1131"/>
    <s v="Product 32"/>
    <x v="15"/>
    <s v="Brian Hansen"/>
    <x v="183"/>
    <n v="1"/>
    <x v="0"/>
    <x v="7"/>
    <x v="7"/>
    <x v="2"/>
    <x v="2"/>
  </r>
  <r>
    <s v="AX14643"/>
    <s v="ENX2011"/>
    <s v="A168"/>
    <s v="EMP1015"/>
    <s v="C1130"/>
    <x v="78"/>
    <n v="1"/>
    <n v="530"/>
    <n v="435"/>
    <n v="435"/>
    <n v="530"/>
    <n v="95"/>
    <s v="Product 12"/>
    <x v="40"/>
    <s v="Justin Lynch"/>
    <x v="448"/>
    <n v="1"/>
    <x v="0"/>
    <x v="7"/>
    <x v="7"/>
    <x v="2"/>
    <x v="2"/>
  </r>
  <r>
    <s v="AX14747"/>
    <s v="ENX2098"/>
    <s v="A154"/>
    <s v="EMP1043"/>
    <s v="C1085"/>
    <x v="78"/>
    <n v="3"/>
    <n v="1178"/>
    <n v="683"/>
    <n v="2049"/>
    <n v="3534"/>
    <n v="1485"/>
    <s v="Product 99"/>
    <x v="24"/>
    <s v="Joshua Taylor"/>
    <x v="412"/>
    <n v="1"/>
    <x v="0"/>
    <x v="7"/>
    <x v="7"/>
    <x v="2"/>
    <x v="2"/>
  </r>
  <r>
    <s v="AX15258"/>
    <s v="ENX2052"/>
    <s v="A109"/>
    <s v="EMP1019"/>
    <s v="C1546"/>
    <x v="77"/>
    <n v="2"/>
    <n v="1526"/>
    <n v="1251"/>
    <n v="2502"/>
    <n v="3052"/>
    <n v="550"/>
    <s v="Product 53"/>
    <x v="57"/>
    <s v="Roger Robertson"/>
    <x v="119"/>
    <n v="1"/>
    <x v="0"/>
    <x v="7"/>
    <x v="7"/>
    <x v="2"/>
    <x v="2"/>
  </r>
  <r>
    <s v="AX15601"/>
    <s v="ENX2078"/>
    <s v="A126"/>
    <s v="EMP1038"/>
    <s v="C1596"/>
    <x v="79"/>
    <n v="4"/>
    <n v="1798"/>
    <n v="971"/>
    <n v="3884"/>
    <n v="7192"/>
    <n v="3308"/>
    <s v="Product 79"/>
    <x v="5"/>
    <s v="Scott Mason"/>
    <x v="217"/>
    <n v="1"/>
    <x v="0"/>
    <x v="7"/>
    <x v="7"/>
    <x v="2"/>
    <x v="2"/>
  </r>
  <r>
    <s v="AX16044"/>
    <s v="ENX2003"/>
    <s v="A137"/>
    <s v="EMP1000"/>
    <s v="C1092"/>
    <x v="79"/>
    <n v="4"/>
    <n v="1783"/>
    <n v="1516"/>
    <n v="6064"/>
    <n v="7132"/>
    <n v="1068"/>
    <s v="Product 4"/>
    <x v="68"/>
    <s v="Fred Robertson"/>
    <x v="572"/>
    <n v="1"/>
    <x v="0"/>
    <x v="7"/>
    <x v="7"/>
    <x v="2"/>
    <x v="2"/>
  </r>
  <r>
    <s v="AX16303"/>
    <s v="ENX2003"/>
    <s v="A120"/>
    <s v="EMP1025"/>
    <s v="C1045"/>
    <x v="78"/>
    <n v="3"/>
    <n v="1783"/>
    <n v="1516"/>
    <n v="4548"/>
    <n v="5349"/>
    <n v="801"/>
    <s v="Product 4"/>
    <x v="20"/>
    <s v="Ernest Wagner"/>
    <x v="444"/>
    <n v="1"/>
    <x v="0"/>
    <x v="7"/>
    <x v="7"/>
    <x v="2"/>
    <x v="2"/>
  </r>
  <r>
    <s v="AX17606"/>
    <s v="ENX2090"/>
    <s v="A167"/>
    <s v="EMP1025"/>
    <s v="C1762"/>
    <x v="79"/>
    <n v="2"/>
    <n v="1338"/>
    <n v="682"/>
    <n v="1364"/>
    <n v="2676"/>
    <n v="1312"/>
    <s v="Product 91"/>
    <x v="64"/>
    <s v="Ernest Wagner"/>
    <x v="164"/>
    <n v="1"/>
    <x v="0"/>
    <x v="7"/>
    <x v="7"/>
    <x v="2"/>
    <x v="2"/>
  </r>
  <r>
    <s v="AX17782"/>
    <s v="ENX2003"/>
    <s v="A150"/>
    <s v="EMP1035"/>
    <s v="C1062"/>
    <x v="77"/>
    <n v="2"/>
    <n v="1783"/>
    <n v="1516"/>
    <n v="3032"/>
    <n v="3566"/>
    <n v="534"/>
    <s v="Product 4"/>
    <x v="30"/>
    <s v="Roger Ramos"/>
    <x v="595"/>
    <n v="1"/>
    <x v="0"/>
    <x v="7"/>
    <x v="7"/>
    <x v="2"/>
    <x v="2"/>
  </r>
  <r>
    <s v="AX18193"/>
    <s v="ENX2038"/>
    <s v="A135"/>
    <s v="EMP1044"/>
    <s v="C1551"/>
    <x v="79"/>
    <n v="1"/>
    <n v="392"/>
    <n v="255"/>
    <n v="255"/>
    <n v="392"/>
    <n v="137"/>
    <s v="Product 39"/>
    <x v="10"/>
    <s v="Martin Carr"/>
    <x v="596"/>
    <n v="1"/>
    <x v="0"/>
    <x v="7"/>
    <x v="7"/>
    <x v="2"/>
    <x v="2"/>
  </r>
  <r>
    <s v="AX18793"/>
    <s v="ENX2067"/>
    <s v="A118"/>
    <s v="EMP1016"/>
    <s v="C1064"/>
    <x v="79"/>
    <n v="2"/>
    <n v="1119"/>
    <n v="683"/>
    <n v="1366"/>
    <n v="2238"/>
    <n v="872"/>
    <s v="Product 68"/>
    <x v="19"/>
    <s v="Henry Nelson"/>
    <x v="597"/>
    <n v="1"/>
    <x v="0"/>
    <x v="7"/>
    <x v="7"/>
    <x v="2"/>
    <x v="2"/>
  </r>
  <r>
    <s v="AX18915"/>
    <s v="ENX2018"/>
    <s v="A109"/>
    <s v="EMP1018"/>
    <s v="C1733"/>
    <x v="76"/>
    <n v="1"/>
    <n v="1972"/>
    <n v="1321"/>
    <n v="1321"/>
    <n v="1972"/>
    <n v="651"/>
    <s v="Product 19"/>
    <x v="57"/>
    <s v="Jimmy Young"/>
    <x v="32"/>
    <n v="1"/>
    <x v="0"/>
    <x v="7"/>
    <x v="7"/>
    <x v="2"/>
    <x v="2"/>
  </r>
  <r>
    <s v="AX20364"/>
    <s v="ENX2033"/>
    <s v="A148"/>
    <s v="EMP1043"/>
    <s v="C1226"/>
    <x v="76"/>
    <n v="2"/>
    <n v="2182"/>
    <n v="1200"/>
    <n v="2400"/>
    <n v="4364"/>
    <n v="1964"/>
    <s v="Product 34"/>
    <x v="62"/>
    <s v="Joshua Taylor"/>
    <x v="598"/>
    <n v="1"/>
    <x v="0"/>
    <x v="7"/>
    <x v="7"/>
    <x v="2"/>
    <x v="2"/>
  </r>
  <r>
    <s v="AX20541"/>
    <s v="ENX2097"/>
    <s v="A139"/>
    <s v="EMP1005"/>
    <s v="C1504"/>
    <x v="77"/>
    <n v="1"/>
    <n v="1052"/>
    <n v="589"/>
    <n v="589"/>
    <n v="1052"/>
    <n v="463"/>
    <s v="Product 98"/>
    <x v="38"/>
    <s v="Ryan Welch"/>
    <x v="559"/>
    <n v="1"/>
    <x v="0"/>
    <x v="7"/>
    <x v="7"/>
    <x v="2"/>
    <x v="2"/>
  </r>
  <r>
    <s v="AX20595"/>
    <s v="ENX2048"/>
    <s v="A101"/>
    <s v="EMP1027"/>
    <s v="C1147"/>
    <x v="79"/>
    <n v="1"/>
    <n v="502"/>
    <n v="296"/>
    <n v="296"/>
    <n v="502"/>
    <n v="206"/>
    <s v="Product 49"/>
    <x v="60"/>
    <s v="Gary Rodriguez"/>
    <x v="427"/>
    <n v="1"/>
    <x v="0"/>
    <x v="7"/>
    <x v="7"/>
    <x v="2"/>
    <x v="2"/>
  </r>
  <r>
    <s v="AX20712"/>
    <s v="ENX2094"/>
    <s v="A156"/>
    <s v="EMP1023"/>
    <s v="C1426"/>
    <x v="78"/>
    <n v="1"/>
    <n v="771"/>
    <n v="648"/>
    <n v="648"/>
    <n v="771"/>
    <n v="123"/>
    <s v="Product 95"/>
    <x v="14"/>
    <s v="Brian Davis"/>
    <x v="127"/>
    <n v="1"/>
    <x v="0"/>
    <x v="7"/>
    <x v="7"/>
    <x v="2"/>
    <x v="2"/>
  </r>
  <r>
    <s v="AX21274"/>
    <s v="ENX2087"/>
    <s v="A143"/>
    <s v="EMP1008"/>
    <s v="C1365"/>
    <x v="76"/>
    <n v="2"/>
    <n v="1022"/>
    <n v="818"/>
    <n v="1636"/>
    <n v="2044"/>
    <n v="408"/>
    <s v="Product 88"/>
    <x v="39"/>
    <s v="Carl Elliott"/>
    <x v="450"/>
    <n v="1"/>
    <x v="0"/>
    <x v="7"/>
    <x v="7"/>
    <x v="2"/>
    <x v="2"/>
  </r>
  <r>
    <s v="AX21435"/>
    <s v="ENX2081"/>
    <s v="A116"/>
    <s v="EMP1030"/>
    <s v="C1024"/>
    <x v="79"/>
    <n v="1"/>
    <n v="1566"/>
    <n v="1190"/>
    <n v="1190"/>
    <n v="1566"/>
    <n v="376"/>
    <s v="Product 82"/>
    <x v="15"/>
    <s v="Bobby Russell"/>
    <x v="599"/>
    <n v="1"/>
    <x v="0"/>
    <x v="7"/>
    <x v="7"/>
    <x v="2"/>
    <x v="2"/>
  </r>
  <r>
    <s v="AX21509"/>
    <s v="ENX2078"/>
    <s v="A154"/>
    <s v="EMP1027"/>
    <s v="C1232"/>
    <x v="76"/>
    <n v="1"/>
    <n v="1798"/>
    <n v="971"/>
    <n v="971"/>
    <n v="1798"/>
    <n v="827"/>
    <s v="Product 79"/>
    <x v="24"/>
    <s v="Gary Rodriguez"/>
    <x v="584"/>
    <n v="1"/>
    <x v="0"/>
    <x v="7"/>
    <x v="7"/>
    <x v="2"/>
    <x v="2"/>
  </r>
  <r>
    <s v="AX22487"/>
    <s v="ENX2042"/>
    <s v="A100"/>
    <s v="EMP1021"/>
    <s v="C1411"/>
    <x v="78"/>
    <n v="2"/>
    <n v="203"/>
    <n v="154"/>
    <n v="308"/>
    <n v="406"/>
    <n v="98"/>
    <s v="Product 43"/>
    <x v="52"/>
    <s v="Clarence Fox"/>
    <x v="600"/>
    <n v="1"/>
    <x v="0"/>
    <x v="7"/>
    <x v="7"/>
    <x v="2"/>
    <x v="2"/>
  </r>
  <r>
    <s v="AX22822"/>
    <s v="ENX2059"/>
    <s v="A129"/>
    <s v="EMP1024"/>
    <s v="C1029"/>
    <x v="79"/>
    <n v="1"/>
    <n v="1494"/>
    <n v="971"/>
    <n v="971"/>
    <n v="1494"/>
    <n v="523"/>
    <s v="Product 60"/>
    <x v="22"/>
    <s v="Ernest Wheeler"/>
    <x v="601"/>
    <n v="1"/>
    <x v="0"/>
    <x v="7"/>
    <x v="7"/>
    <x v="2"/>
    <x v="2"/>
  </r>
  <r>
    <s v="AX23008"/>
    <s v="ENX2021"/>
    <s v="A151"/>
    <s v="EMP1020"/>
    <s v="C1339"/>
    <x v="79"/>
    <n v="1"/>
    <n v="217"/>
    <n v="171"/>
    <n v="171"/>
    <n v="217"/>
    <n v="46"/>
    <s v="Product 22"/>
    <x v="1"/>
    <s v="Ryan Butler"/>
    <x v="401"/>
    <n v="1"/>
    <x v="0"/>
    <x v="7"/>
    <x v="7"/>
    <x v="2"/>
    <x v="2"/>
  </r>
  <r>
    <s v="AX23182"/>
    <s v="ENX2071"/>
    <s v="A101"/>
    <s v="EMP1020"/>
    <s v="C1283"/>
    <x v="79"/>
    <n v="1"/>
    <n v="136"/>
    <n v="72"/>
    <n v="72"/>
    <n v="136"/>
    <n v="64"/>
    <s v="Product 72"/>
    <x v="60"/>
    <s v="Ryan Butler"/>
    <x v="184"/>
    <n v="1"/>
    <x v="0"/>
    <x v="7"/>
    <x v="7"/>
    <x v="2"/>
    <x v="2"/>
  </r>
  <r>
    <s v="AX23686"/>
    <s v="ENX2094"/>
    <s v="A138"/>
    <s v="EMP1016"/>
    <s v="C1722"/>
    <x v="77"/>
    <n v="1"/>
    <n v="771"/>
    <n v="648"/>
    <n v="648"/>
    <n v="771"/>
    <n v="123"/>
    <s v="Product 95"/>
    <x v="37"/>
    <s v="Henry Nelson"/>
    <x v="257"/>
    <n v="1"/>
    <x v="0"/>
    <x v="7"/>
    <x v="7"/>
    <x v="2"/>
    <x v="2"/>
  </r>
  <r>
    <s v="AX23822"/>
    <s v="ENX2037"/>
    <s v="A135"/>
    <s v="EMP1011"/>
    <s v="C1764"/>
    <x v="77"/>
    <n v="1"/>
    <n v="880"/>
    <n v="634"/>
    <n v="634"/>
    <n v="880"/>
    <n v="246"/>
    <s v="Product 38"/>
    <x v="10"/>
    <s v="Larry Marshall"/>
    <x v="386"/>
    <n v="1"/>
    <x v="0"/>
    <x v="7"/>
    <x v="7"/>
    <x v="2"/>
    <x v="2"/>
  </r>
  <r>
    <s v="AX23826"/>
    <s v="ENX2068"/>
    <s v="A120"/>
    <s v="EMP1012"/>
    <s v="C1647"/>
    <x v="79"/>
    <n v="1"/>
    <n v="1500"/>
    <n v="900"/>
    <n v="900"/>
    <n v="1500"/>
    <n v="600"/>
    <s v="Product 69"/>
    <x v="20"/>
    <s v="John Reyes"/>
    <x v="318"/>
    <n v="1"/>
    <x v="0"/>
    <x v="7"/>
    <x v="7"/>
    <x v="2"/>
    <x v="2"/>
  </r>
  <r>
    <s v="AX24242"/>
    <s v="ENX2080"/>
    <s v="A170"/>
    <s v="EMP1003"/>
    <s v="C1032"/>
    <x v="76"/>
    <n v="2"/>
    <n v="2353"/>
    <n v="1788"/>
    <n v="3576"/>
    <n v="4706"/>
    <n v="1130"/>
    <s v="Product 81"/>
    <x v="47"/>
    <s v="Christopher Tucker"/>
    <x v="270"/>
    <n v="1"/>
    <x v="0"/>
    <x v="7"/>
    <x v="7"/>
    <x v="2"/>
    <x v="2"/>
  </r>
  <r>
    <s v="AX24484"/>
    <s v="ENX2052"/>
    <s v="A105"/>
    <s v="EMP1006"/>
    <s v="C1757"/>
    <x v="78"/>
    <n v="1"/>
    <n v="1526"/>
    <n v="1251"/>
    <n v="1251"/>
    <n v="1526"/>
    <n v="275"/>
    <s v="Product 53"/>
    <x v="45"/>
    <s v="Sean Miller"/>
    <x v="376"/>
    <n v="1"/>
    <x v="0"/>
    <x v="7"/>
    <x v="7"/>
    <x v="2"/>
    <x v="2"/>
  </r>
  <r>
    <s v="AX24536"/>
    <s v="ENX2072"/>
    <s v="A167"/>
    <s v="EMP1026"/>
    <s v="C1185"/>
    <x v="77"/>
    <n v="1"/>
    <n v="1887"/>
    <n v="1378"/>
    <n v="1378"/>
    <n v="1887"/>
    <n v="509"/>
    <s v="Product 73"/>
    <x v="64"/>
    <s v="Martin Perry"/>
    <x v="215"/>
    <n v="1"/>
    <x v="0"/>
    <x v="7"/>
    <x v="7"/>
    <x v="2"/>
    <x v="2"/>
  </r>
  <r>
    <s v="AX24681"/>
    <s v="ENX2047"/>
    <s v="A135"/>
    <s v="EMP1001"/>
    <s v="C1420"/>
    <x v="78"/>
    <n v="2"/>
    <n v="290"/>
    <n v="200"/>
    <n v="400"/>
    <n v="580"/>
    <n v="180"/>
    <s v="Product 48"/>
    <x v="10"/>
    <s v="Kevin Butler"/>
    <x v="33"/>
    <n v="1"/>
    <x v="0"/>
    <x v="7"/>
    <x v="7"/>
    <x v="2"/>
    <x v="2"/>
  </r>
  <r>
    <s v="AX24848"/>
    <s v="ENX2089"/>
    <s v="A157"/>
    <s v="EMP1019"/>
    <s v="C1285"/>
    <x v="79"/>
    <n v="3"/>
    <n v="2294"/>
    <n v="1399"/>
    <n v="4197"/>
    <n v="6882"/>
    <n v="2685"/>
    <s v="Product 90"/>
    <x v="7"/>
    <s v="Roger Robertson"/>
    <x v="440"/>
    <n v="1"/>
    <x v="0"/>
    <x v="7"/>
    <x v="7"/>
    <x v="2"/>
    <x v="2"/>
  </r>
  <r>
    <s v="AX24996"/>
    <s v="ENX2006"/>
    <s v="A113"/>
    <s v="EMP1032"/>
    <s v="C1765"/>
    <x v="77"/>
    <n v="1"/>
    <n v="1826"/>
    <n v="1443"/>
    <n v="1443"/>
    <n v="1826"/>
    <n v="383"/>
    <s v="Product 7"/>
    <x v="73"/>
    <s v="Larry Castillo"/>
    <x v="470"/>
    <n v="1"/>
    <x v="0"/>
    <x v="7"/>
    <x v="7"/>
    <x v="2"/>
    <x v="2"/>
  </r>
  <r>
    <s v="AX10505"/>
    <s v="ENX2041"/>
    <s v="A156"/>
    <s v="EMP1002"/>
    <s v="C1455"/>
    <x v="80"/>
    <n v="4"/>
    <n v="1380"/>
    <n v="1090"/>
    <n v="4360"/>
    <n v="5520"/>
    <n v="1160"/>
    <s v="Product 42"/>
    <x v="14"/>
    <s v="Andrew Bowman"/>
    <x v="47"/>
    <n v="1"/>
    <x v="0"/>
    <x v="8"/>
    <x v="8"/>
    <x v="2"/>
    <x v="0"/>
  </r>
  <r>
    <s v="AX10598"/>
    <s v="ENX2078"/>
    <s v="A140"/>
    <s v="EMP1023"/>
    <s v="C1663"/>
    <x v="80"/>
    <n v="2"/>
    <n v="1798"/>
    <n v="971"/>
    <n v="1942"/>
    <n v="3596"/>
    <n v="1654"/>
    <s v="Product 79"/>
    <x v="18"/>
    <s v="Brian Davis"/>
    <x v="602"/>
    <n v="1"/>
    <x v="0"/>
    <x v="8"/>
    <x v="8"/>
    <x v="2"/>
    <x v="0"/>
  </r>
  <r>
    <s v="AX10605"/>
    <s v="ENX2035"/>
    <s v="A130"/>
    <s v="EMP1037"/>
    <s v="C1767"/>
    <x v="81"/>
    <n v="1"/>
    <n v="458"/>
    <n v="376"/>
    <n v="376"/>
    <n v="458"/>
    <n v="82"/>
    <s v="Product 36"/>
    <x v="4"/>
    <s v="Carl Hall"/>
    <x v="4"/>
    <n v="1"/>
    <x v="0"/>
    <x v="8"/>
    <x v="8"/>
    <x v="2"/>
    <x v="0"/>
  </r>
  <r>
    <s v="AX10711"/>
    <s v="ENX2046"/>
    <s v="A167"/>
    <s v="EMP1015"/>
    <s v="C1611"/>
    <x v="80"/>
    <n v="1"/>
    <n v="2410"/>
    <n v="1518"/>
    <n v="1518"/>
    <n v="2410"/>
    <n v="892"/>
    <s v="Product 47"/>
    <x v="64"/>
    <s v="Justin Lynch"/>
    <x v="306"/>
    <n v="1"/>
    <x v="0"/>
    <x v="8"/>
    <x v="8"/>
    <x v="2"/>
    <x v="0"/>
  </r>
  <r>
    <s v="AX11621"/>
    <s v="ENX2013"/>
    <s v="A160"/>
    <s v="EMP1020"/>
    <s v="C1181"/>
    <x v="80"/>
    <n v="3"/>
    <n v="368"/>
    <n v="269"/>
    <n v="807"/>
    <n v="1104"/>
    <n v="297"/>
    <s v="Product 14"/>
    <x v="9"/>
    <s v="Ryan Butler"/>
    <x v="449"/>
    <n v="1"/>
    <x v="0"/>
    <x v="8"/>
    <x v="8"/>
    <x v="2"/>
    <x v="0"/>
  </r>
  <r>
    <s v="AX11786"/>
    <s v="ENX2022"/>
    <s v="A152"/>
    <s v="EMP1016"/>
    <s v="C1552"/>
    <x v="82"/>
    <n v="1"/>
    <n v="561"/>
    <n v="421"/>
    <n v="421"/>
    <n v="561"/>
    <n v="140"/>
    <s v="Product 23"/>
    <x v="26"/>
    <s v="Henry Nelson"/>
    <x v="92"/>
    <n v="1"/>
    <x v="0"/>
    <x v="8"/>
    <x v="8"/>
    <x v="2"/>
    <x v="0"/>
  </r>
  <r>
    <s v="AX12020"/>
    <s v="ENX2099"/>
    <s v="A140"/>
    <s v="EMP1041"/>
    <s v="C1283"/>
    <x v="83"/>
    <n v="2"/>
    <n v="1367"/>
    <n v="984"/>
    <n v="1968"/>
    <n v="2734"/>
    <n v="766"/>
    <s v="Product 100"/>
    <x v="18"/>
    <s v="Joe Sims"/>
    <x v="184"/>
    <n v="1"/>
    <x v="0"/>
    <x v="8"/>
    <x v="8"/>
    <x v="2"/>
    <x v="0"/>
  </r>
  <r>
    <s v="AX12473"/>
    <s v="ENX2073"/>
    <s v="A137"/>
    <s v="EMP1037"/>
    <s v="C1060"/>
    <x v="81"/>
    <n v="1"/>
    <n v="95"/>
    <n v="61"/>
    <n v="61"/>
    <n v="95"/>
    <n v="34"/>
    <s v="Product 74"/>
    <x v="68"/>
    <s v="Carl Hall"/>
    <x v="603"/>
    <n v="1"/>
    <x v="0"/>
    <x v="8"/>
    <x v="8"/>
    <x v="2"/>
    <x v="0"/>
  </r>
  <r>
    <s v="AX12788"/>
    <s v="ENX2037"/>
    <s v="A107"/>
    <s v="EMP1007"/>
    <s v="C1322"/>
    <x v="80"/>
    <n v="1"/>
    <n v="880"/>
    <n v="634"/>
    <n v="634"/>
    <n v="880"/>
    <n v="246"/>
    <s v="Product 38"/>
    <x v="21"/>
    <s v="Jeremy Mendoza"/>
    <x v="604"/>
    <n v="1"/>
    <x v="0"/>
    <x v="8"/>
    <x v="8"/>
    <x v="2"/>
    <x v="0"/>
  </r>
  <r>
    <s v="AX12919"/>
    <s v="ENX2054"/>
    <s v="A104"/>
    <s v="EMP1039"/>
    <s v="C1253"/>
    <x v="83"/>
    <n v="1"/>
    <n v="127"/>
    <n v="79"/>
    <n v="79"/>
    <n v="127"/>
    <n v="48"/>
    <s v="Product 55"/>
    <x v="50"/>
    <s v="Eugene Holmes"/>
    <x v="209"/>
    <n v="1"/>
    <x v="0"/>
    <x v="8"/>
    <x v="8"/>
    <x v="2"/>
    <x v="0"/>
  </r>
  <r>
    <s v="AX14061"/>
    <s v="ENX2038"/>
    <s v="A139"/>
    <s v="EMP1043"/>
    <s v="C1486"/>
    <x v="82"/>
    <n v="1"/>
    <n v="392"/>
    <n v="255"/>
    <n v="255"/>
    <n v="392"/>
    <n v="137"/>
    <s v="Product 39"/>
    <x v="38"/>
    <s v="Joshua Taylor"/>
    <x v="357"/>
    <n v="1"/>
    <x v="0"/>
    <x v="8"/>
    <x v="8"/>
    <x v="2"/>
    <x v="0"/>
  </r>
  <r>
    <s v="AX14099"/>
    <s v="ENX2062"/>
    <s v="A165"/>
    <s v="EMP1010"/>
    <s v="C1491"/>
    <x v="83"/>
    <n v="3"/>
    <n v="2464"/>
    <n v="1774"/>
    <n v="5322"/>
    <n v="7392"/>
    <n v="2070"/>
    <s v="Product 63"/>
    <x v="55"/>
    <s v="Joshua Cook"/>
    <x v="277"/>
    <n v="1"/>
    <x v="0"/>
    <x v="8"/>
    <x v="8"/>
    <x v="2"/>
    <x v="0"/>
  </r>
  <r>
    <s v="AX14156"/>
    <s v="ENX2082"/>
    <s v="A136"/>
    <s v="EMP1039"/>
    <s v="C1040"/>
    <x v="82"/>
    <n v="3"/>
    <n v="1103"/>
    <n v="838"/>
    <n v="2514"/>
    <n v="3309"/>
    <n v="795"/>
    <s v="Product 83"/>
    <x v="43"/>
    <s v="Eugene Holmes"/>
    <x v="221"/>
    <n v="1"/>
    <x v="0"/>
    <x v="8"/>
    <x v="8"/>
    <x v="2"/>
    <x v="0"/>
  </r>
  <r>
    <s v="AX14196"/>
    <s v="ENX2051"/>
    <s v="A136"/>
    <s v="EMP1007"/>
    <s v="C1096"/>
    <x v="82"/>
    <n v="1"/>
    <n v="1077"/>
    <n v="732"/>
    <n v="732"/>
    <n v="1077"/>
    <n v="345"/>
    <s v="Product 52"/>
    <x v="43"/>
    <s v="Jeremy Mendoza"/>
    <x v="91"/>
    <n v="1"/>
    <x v="0"/>
    <x v="8"/>
    <x v="8"/>
    <x v="2"/>
    <x v="0"/>
  </r>
  <r>
    <s v="AX14298"/>
    <s v="ENX2031"/>
    <s v="A137"/>
    <s v="EMP1021"/>
    <s v="C1717"/>
    <x v="83"/>
    <n v="1"/>
    <n v="1638"/>
    <n v="1261"/>
    <n v="1261"/>
    <n v="1638"/>
    <n v="377"/>
    <s v="Product 32"/>
    <x v="68"/>
    <s v="Clarence Fox"/>
    <x v="605"/>
    <n v="1"/>
    <x v="0"/>
    <x v="8"/>
    <x v="8"/>
    <x v="2"/>
    <x v="0"/>
  </r>
  <r>
    <s v="AX14471"/>
    <s v="ENX2060"/>
    <s v="A149"/>
    <s v="EMP1009"/>
    <s v="C1027"/>
    <x v="82"/>
    <n v="1"/>
    <n v="1467"/>
    <n v="807"/>
    <n v="807"/>
    <n v="1467"/>
    <n v="660"/>
    <s v="Product 61"/>
    <x v="59"/>
    <s v="Kenneth Fields"/>
    <x v="528"/>
    <n v="1"/>
    <x v="0"/>
    <x v="8"/>
    <x v="8"/>
    <x v="2"/>
    <x v="0"/>
  </r>
  <r>
    <s v="AX14984"/>
    <s v="ENX2023"/>
    <s v="A147"/>
    <s v="EMP1029"/>
    <s v="C1781"/>
    <x v="80"/>
    <n v="1"/>
    <n v="818"/>
    <n v="450"/>
    <n v="450"/>
    <n v="818"/>
    <n v="368"/>
    <s v="Product 24"/>
    <x v="42"/>
    <s v="Howard Gardner"/>
    <x v="606"/>
    <n v="1"/>
    <x v="0"/>
    <x v="8"/>
    <x v="8"/>
    <x v="2"/>
    <x v="0"/>
  </r>
  <r>
    <s v="AX15617"/>
    <s v="ENX2067"/>
    <s v="A149"/>
    <s v="EMP1035"/>
    <s v="C1782"/>
    <x v="82"/>
    <n v="3"/>
    <n v="1119"/>
    <n v="683"/>
    <n v="2049"/>
    <n v="3357"/>
    <n v="1308"/>
    <s v="Product 68"/>
    <x v="59"/>
    <s v="Roger Ramos"/>
    <x v="607"/>
    <n v="1"/>
    <x v="0"/>
    <x v="8"/>
    <x v="8"/>
    <x v="2"/>
    <x v="0"/>
  </r>
  <r>
    <s v="AX15681"/>
    <s v="ENX2000"/>
    <s v="A161"/>
    <s v="EMP1030"/>
    <s v="C1560"/>
    <x v="83"/>
    <n v="2"/>
    <n v="2241"/>
    <n v="1367"/>
    <n v="2734"/>
    <n v="4482"/>
    <n v="1748"/>
    <s v="Product 1"/>
    <x v="6"/>
    <s v="Bobby Russell"/>
    <x v="208"/>
    <n v="1"/>
    <x v="0"/>
    <x v="8"/>
    <x v="8"/>
    <x v="2"/>
    <x v="0"/>
  </r>
  <r>
    <s v="AX16089"/>
    <s v="ENX2057"/>
    <s v="A159"/>
    <s v="EMP1042"/>
    <s v="C1562"/>
    <x v="80"/>
    <n v="1"/>
    <n v="181"/>
    <n v="130"/>
    <n v="130"/>
    <n v="181"/>
    <n v="51"/>
    <s v="Product 58"/>
    <x v="13"/>
    <s v="Scott Clark"/>
    <x v="312"/>
    <n v="1"/>
    <x v="0"/>
    <x v="8"/>
    <x v="8"/>
    <x v="2"/>
    <x v="0"/>
  </r>
  <r>
    <s v="AX16194"/>
    <s v="ENX2082"/>
    <s v="A142"/>
    <s v="EMP1040"/>
    <s v="C1728"/>
    <x v="80"/>
    <n v="1"/>
    <n v="1103"/>
    <n v="838"/>
    <n v="838"/>
    <n v="1103"/>
    <n v="265"/>
    <s v="Product 83"/>
    <x v="56"/>
    <s v="Patrick Ruiz"/>
    <x v="446"/>
    <n v="1"/>
    <x v="0"/>
    <x v="8"/>
    <x v="8"/>
    <x v="2"/>
    <x v="0"/>
  </r>
  <r>
    <s v="AX16264"/>
    <s v="ENX2061"/>
    <s v="A137"/>
    <s v="EMP1003"/>
    <s v="C1496"/>
    <x v="83"/>
    <n v="1"/>
    <n v="913"/>
    <n v="584"/>
    <n v="584"/>
    <n v="913"/>
    <n v="329"/>
    <s v="Product 62"/>
    <x v="68"/>
    <s v="Christopher Tucker"/>
    <x v="54"/>
    <n v="1"/>
    <x v="0"/>
    <x v="8"/>
    <x v="8"/>
    <x v="2"/>
    <x v="0"/>
  </r>
  <r>
    <s v="AX16479"/>
    <s v="ENX2081"/>
    <s v="A118"/>
    <s v="EMP1025"/>
    <s v="C1185"/>
    <x v="81"/>
    <n v="3"/>
    <n v="1566"/>
    <n v="1190"/>
    <n v="3570"/>
    <n v="4698"/>
    <n v="1128"/>
    <s v="Product 82"/>
    <x v="19"/>
    <s v="Ernest Wagner"/>
    <x v="215"/>
    <n v="1"/>
    <x v="0"/>
    <x v="8"/>
    <x v="8"/>
    <x v="2"/>
    <x v="0"/>
  </r>
  <r>
    <s v="AX17034"/>
    <s v="ENX2007"/>
    <s v="A146"/>
    <s v="EMP1014"/>
    <s v="C1140"/>
    <x v="82"/>
    <n v="1"/>
    <n v="1405"/>
    <n v="1054"/>
    <n v="1054"/>
    <n v="1405"/>
    <n v="351"/>
    <s v="Product 8"/>
    <x v="27"/>
    <s v="Ronald Reed"/>
    <x v="40"/>
    <n v="1"/>
    <x v="0"/>
    <x v="8"/>
    <x v="8"/>
    <x v="2"/>
    <x v="0"/>
  </r>
  <r>
    <s v="AX17344"/>
    <s v="ENX2053"/>
    <s v="A102"/>
    <s v="EMP1012"/>
    <s v="C1774"/>
    <x v="83"/>
    <n v="1"/>
    <n v="596"/>
    <n v="358"/>
    <n v="358"/>
    <n v="596"/>
    <n v="238"/>
    <s v="Product 54"/>
    <x v="44"/>
    <s v="John Reyes"/>
    <x v="232"/>
    <n v="1"/>
    <x v="0"/>
    <x v="8"/>
    <x v="8"/>
    <x v="2"/>
    <x v="0"/>
  </r>
  <r>
    <s v="AX17900"/>
    <s v="ENX2066"/>
    <s v="A173"/>
    <s v="EMP1028"/>
    <s v="C1618"/>
    <x v="81"/>
    <n v="2"/>
    <n v="2091"/>
    <n v="1485"/>
    <n v="2970"/>
    <n v="4182"/>
    <n v="1212"/>
    <s v="Product 67"/>
    <x v="25"/>
    <s v="Howard Sims"/>
    <x v="292"/>
    <n v="1"/>
    <x v="0"/>
    <x v="8"/>
    <x v="8"/>
    <x v="2"/>
    <x v="0"/>
  </r>
  <r>
    <s v="AX18021"/>
    <s v="ENX2025"/>
    <s v="A140"/>
    <s v="EMP1032"/>
    <s v="C1798"/>
    <x v="82"/>
    <n v="1"/>
    <n v="667"/>
    <n v="387"/>
    <n v="387"/>
    <n v="667"/>
    <n v="280"/>
    <s v="Product 26"/>
    <x v="18"/>
    <s v="Larry Castillo"/>
    <x v="608"/>
    <n v="1"/>
    <x v="0"/>
    <x v="8"/>
    <x v="8"/>
    <x v="2"/>
    <x v="0"/>
  </r>
  <r>
    <s v="AX18377"/>
    <s v="ENX2051"/>
    <s v="A168"/>
    <s v="EMP1011"/>
    <s v="C1268"/>
    <x v="81"/>
    <n v="2"/>
    <n v="1077"/>
    <n v="732"/>
    <n v="1464"/>
    <n v="2154"/>
    <n v="690"/>
    <s v="Product 52"/>
    <x v="40"/>
    <s v="Larry Marshall"/>
    <x v="526"/>
    <n v="1"/>
    <x v="0"/>
    <x v="8"/>
    <x v="8"/>
    <x v="2"/>
    <x v="0"/>
  </r>
  <r>
    <s v="AX18577"/>
    <s v="ENX2070"/>
    <s v="A148"/>
    <s v="EMP1015"/>
    <s v="C1555"/>
    <x v="80"/>
    <n v="3"/>
    <n v="1671"/>
    <n v="1220"/>
    <n v="3660"/>
    <n v="5013"/>
    <n v="1353"/>
    <s v="Product 71"/>
    <x v="62"/>
    <s v="Justin Lynch"/>
    <x v="148"/>
    <n v="1"/>
    <x v="0"/>
    <x v="8"/>
    <x v="8"/>
    <x v="2"/>
    <x v="0"/>
  </r>
  <r>
    <s v="AX18641"/>
    <s v="ENX2009"/>
    <s v="A166"/>
    <s v="EMP1012"/>
    <s v="C1673"/>
    <x v="82"/>
    <n v="1"/>
    <n v="584"/>
    <n v="420"/>
    <n v="420"/>
    <n v="584"/>
    <n v="164"/>
    <s v="Product 10"/>
    <x v="70"/>
    <s v="John Reyes"/>
    <x v="87"/>
    <n v="1"/>
    <x v="0"/>
    <x v="8"/>
    <x v="8"/>
    <x v="2"/>
    <x v="0"/>
  </r>
  <r>
    <s v="AX18683"/>
    <s v="ENX2043"/>
    <s v="A105"/>
    <s v="EMP1031"/>
    <s v="C1312"/>
    <x v="82"/>
    <n v="1"/>
    <n v="545"/>
    <n v="425"/>
    <n v="425"/>
    <n v="545"/>
    <n v="120"/>
    <s v="Product 44"/>
    <x v="45"/>
    <s v="Brian Thomas"/>
    <x v="609"/>
    <n v="1"/>
    <x v="0"/>
    <x v="8"/>
    <x v="8"/>
    <x v="2"/>
    <x v="0"/>
  </r>
  <r>
    <s v="AX18844"/>
    <s v="ENX2007"/>
    <s v="A114"/>
    <s v="EMP1019"/>
    <s v="C1360"/>
    <x v="82"/>
    <n v="1"/>
    <n v="1405"/>
    <n v="1054"/>
    <n v="1054"/>
    <n v="1405"/>
    <n v="351"/>
    <s v="Product 8"/>
    <x v="28"/>
    <s v="Roger Robertson"/>
    <x v="573"/>
    <n v="1"/>
    <x v="0"/>
    <x v="8"/>
    <x v="8"/>
    <x v="2"/>
    <x v="0"/>
  </r>
  <r>
    <s v="AX19328"/>
    <s v="ENX2030"/>
    <s v="A112"/>
    <s v="EMP1023"/>
    <s v="C1787"/>
    <x v="81"/>
    <n v="1"/>
    <n v="1899"/>
    <n v="1044"/>
    <n v="1044"/>
    <n v="1899"/>
    <n v="855"/>
    <s v="Product 31"/>
    <x v="66"/>
    <s v="Brian Davis"/>
    <x v="439"/>
    <n v="1"/>
    <x v="0"/>
    <x v="8"/>
    <x v="8"/>
    <x v="2"/>
    <x v="0"/>
  </r>
  <r>
    <s v="AX19333"/>
    <s v="ENX2054"/>
    <s v="A112"/>
    <s v="EMP1025"/>
    <s v="C1066"/>
    <x v="81"/>
    <n v="1"/>
    <n v="127"/>
    <n v="79"/>
    <n v="79"/>
    <n v="127"/>
    <n v="48"/>
    <s v="Product 55"/>
    <x v="66"/>
    <s v="Ernest Wagner"/>
    <x v="124"/>
    <n v="1"/>
    <x v="0"/>
    <x v="8"/>
    <x v="8"/>
    <x v="2"/>
    <x v="0"/>
  </r>
  <r>
    <s v="AX19584"/>
    <s v="ENX2098"/>
    <s v="A164"/>
    <s v="EMP1018"/>
    <s v="C1449"/>
    <x v="80"/>
    <n v="1"/>
    <n v="1178"/>
    <n v="683"/>
    <n v="683"/>
    <n v="1178"/>
    <n v="495"/>
    <s v="Product 99"/>
    <x v="3"/>
    <s v="Jimmy Young"/>
    <x v="230"/>
    <n v="1"/>
    <x v="0"/>
    <x v="8"/>
    <x v="8"/>
    <x v="2"/>
    <x v="0"/>
  </r>
  <r>
    <s v="AX19772"/>
    <s v="ENX2048"/>
    <s v="A170"/>
    <s v="EMP1025"/>
    <s v="C1083"/>
    <x v="81"/>
    <n v="4"/>
    <n v="502"/>
    <n v="296"/>
    <n v="1184"/>
    <n v="2008"/>
    <n v="824"/>
    <s v="Product 49"/>
    <x v="47"/>
    <s v="Ernest Wagner"/>
    <x v="550"/>
    <n v="1"/>
    <x v="0"/>
    <x v="8"/>
    <x v="8"/>
    <x v="2"/>
    <x v="0"/>
  </r>
  <r>
    <s v="AX20127"/>
    <s v="ENX2006"/>
    <s v="A166"/>
    <s v="EMP1029"/>
    <s v="C1573"/>
    <x v="82"/>
    <n v="4"/>
    <n v="1826"/>
    <n v="1443"/>
    <n v="5772"/>
    <n v="7304"/>
    <n v="1532"/>
    <s v="Product 7"/>
    <x v="70"/>
    <s v="Howard Gardner"/>
    <x v="383"/>
    <n v="1"/>
    <x v="0"/>
    <x v="8"/>
    <x v="8"/>
    <x v="2"/>
    <x v="0"/>
  </r>
  <r>
    <s v="AX20261"/>
    <s v="ENX2008"/>
    <s v="A148"/>
    <s v="EMP1031"/>
    <s v="C1364"/>
    <x v="83"/>
    <n v="1"/>
    <n v="315"/>
    <n v="208"/>
    <n v="208"/>
    <n v="315"/>
    <n v="107"/>
    <s v="Product 9"/>
    <x v="62"/>
    <s v="Brian Thomas"/>
    <x v="477"/>
    <n v="1"/>
    <x v="0"/>
    <x v="8"/>
    <x v="8"/>
    <x v="2"/>
    <x v="0"/>
  </r>
  <r>
    <s v="AX20317"/>
    <s v="ENX2027"/>
    <s v="A126"/>
    <s v="EMP1039"/>
    <s v="C1134"/>
    <x v="83"/>
    <n v="3"/>
    <n v="2497"/>
    <n v="1473"/>
    <n v="4419"/>
    <n v="7491"/>
    <n v="3072"/>
    <s v="Product 28"/>
    <x v="5"/>
    <s v="Eugene Holmes"/>
    <x v="495"/>
    <n v="1"/>
    <x v="0"/>
    <x v="8"/>
    <x v="8"/>
    <x v="2"/>
    <x v="0"/>
  </r>
  <r>
    <s v="AX20321"/>
    <s v="ENX2073"/>
    <s v="A165"/>
    <s v="EMP1009"/>
    <s v="C1069"/>
    <x v="80"/>
    <n v="1"/>
    <n v="95"/>
    <n v="61"/>
    <n v="61"/>
    <n v="95"/>
    <n v="34"/>
    <s v="Product 74"/>
    <x v="55"/>
    <s v="Kenneth Fields"/>
    <x v="284"/>
    <n v="1"/>
    <x v="0"/>
    <x v="8"/>
    <x v="8"/>
    <x v="2"/>
    <x v="0"/>
  </r>
  <r>
    <s v="AX21217"/>
    <s v="ENX2062"/>
    <s v="A106"/>
    <s v="EMP1039"/>
    <s v="C1397"/>
    <x v="82"/>
    <n v="4"/>
    <n v="2464"/>
    <n v="1774"/>
    <n v="7096"/>
    <n v="9856"/>
    <n v="2760"/>
    <s v="Product 63"/>
    <x v="11"/>
    <s v="Eugene Holmes"/>
    <x v="560"/>
    <n v="1"/>
    <x v="0"/>
    <x v="8"/>
    <x v="8"/>
    <x v="2"/>
    <x v="0"/>
  </r>
  <r>
    <s v="AX21596"/>
    <s v="ENX2007"/>
    <s v="A105"/>
    <s v="EMP1024"/>
    <s v="C1219"/>
    <x v="82"/>
    <n v="3"/>
    <n v="1405"/>
    <n v="1054"/>
    <n v="3162"/>
    <n v="4215"/>
    <n v="1053"/>
    <s v="Product 8"/>
    <x v="45"/>
    <s v="Ernest Wheeler"/>
    <x v="301"/>
    <n v="1"/>
    <x v="0"/>
    <x v="8"/>
    <x v="8"/>
    <x v="2"/>
    <x v="0"/>
  </r>
  <r>
    <s v="AX21688"/>
    <s v="ENX2058"/>
    <s v="A128"/>
    <s v="EMP1014"/>
    <s v="C1040"/>
    <x v="83"/>
    <n v="1"/>
    <n v="2257"/>
    <n v="1535"/>
    <n v="1535"/>
    <n v="2257"/>
    <n v="722"/>
    <s v="Product 59"/>
    <x v="12"/>
    <s v="Ronald Reed"/>
    <x v="221"/>
    <n v="1"/>
    <x v="0"/>
    <x v="8"/>
    <x v="8"/>
    <x v="2"/>
    <x v="0"/>
  </r>
  <r>
    <s v="AX22412"/>
    <s v="ENX2058"/>
    <s v="A160"/>
    <s v="EMP1003"/>
    <s v="C1010"/>
    <x v="83"/>
    <n v="1"/>
    <n v="2257"/>
    <n v="1535"/>
    <n v="1535"/>
    <n v="2257"/>
    <n v="722"/>
    <s v="Product 59"/>
    <x v="9"/>
    <s v="Christopher Tucker"/>
    <x v="399"/>
    <n v="1"/>
    <x v="0"/>
    <x v="8"/>
    <x v="8"/>
    <x v="2"/>
    <x v="0"/>
  </r>
  <r>
    <s v="AX24339"/>
    <s v="ENX2020"/>
    <s v="A157"/>
    <s v="EMP1005"/>
    <s v="C1676"/>
    <x v="83"/>
    <n v="2"/>
    <n v="2005"/>
    <n v="1223"/>
    <n v="2446"/>
    <n v="4010"/>
    <n v="1564"/>
    <s v="Product 21"/>
    <x v="7"/>
    <s v="Ryan Welch"/>
    <x v="497"/>
    <n v="1"/>
    <x v="0"/>
    <x v="8"/>
    <x v="8"/>
    <x v="2"/>
    <x v="0"/>
  </r>
  <r>
    <s v="AX24807"/>
    <s v="ENX2084"/>
    <s v="A133"/>
    <s v="EMP1040"/>
    <s v="C1723"/>
    <x v="80"/>
    <n v="1"/>
    <n v="1783"/>
    <n v="1230"/>
    <n v="1230"/>
    <n v="1783"/>
    <n v="553"/>
    <s v="Product 85"/>
    <x v="46"/>
    <s v="Patrick Ruiz"/>
    <x v="118"/>
    <n v="1"/>
    <x v="0"/>
    <x v="8"/>
    <x v="8"/>
    <x v="2"/>
    <x v="0"/>
  </r>
  <r>
    <s v="AX24851"/>
    <s v="ENX2099"/>
    <s v="A137"/>
    <s v="EMP1001"/>
    <s v="C1129"/>
    <x v="81"/>
    <n v="2"/>
    <n v="1367"/>
    <n v="984"/>
    <n v="1968"/>
    <n v="2734"/>
    <n v="766"/>
    <s v="Product 100"/>
    <x v="68"/>
    <s v="Kevin Butler"/>
    <x v="281"/>
    <n v="1"/>
    <x v="0"/>
    <x v="8"/>
    <x v="8"/>
    <x v="2"/>
    <x v="0"/>
  </r>
  <r>
    <s v="AX24864"/>
    <s v="ENX2099"/>
    <s v="A137"/>
    <s v="EMP1042"/>
    <s v="C1595"/>
    <x v="83"/>
    <n v="4"/>
    <n v="1367"/>
    <n v="984"/>
    <n v="3936"/>
    <n v="5468"/>
    <n v="1532"/>
    <s v="Product 100"/>
    <x v="68"/>
    <s v="Scott Clark"/>
    <x v="372"/>
    <n v="1"/>
    <x v="0"/>
    <x v="8"/>
    <x v="8"/>
    <x v="2"/>
    <x v="0"/>
  </r>
  <r>
    <s v="AX10001"/>
    <s v="ENX2071"/>
    <s v="A152"/>
    <s v="EMP1009"/>
    <s v="C1499"/>
    <x v="84"/>
    <n v="1"/>
    <n v="136"/>
    <n v="72"/>
    <n v="72"/>
    <n v="136"/>
    <n v="64"/>
    <s v="Product 72"/>
    <x v="26"/>
    <s v="Kenneth Fields"/>
    <x v="610"/>
    <n v="1"/>
    <x v="0"/>
    <x v="8"/>
    <x v="8"/>
    <x v="2"/>
    <x v="2"/>
  </r>
  <r>
    <s v="AX10054"/>
    <s v="ENX2095"/>
    <s v="A151"/>
    <s v="EMP1012"/>
    <s v="C1105"/>
    <x v="85"/>
    <n v="1"/>
    <n v="1743"/>
    <n v="872"/>
    <n v="872"/>
    <n v="1743"/>
    <n v="871"/>
    <s v="Product 96"/>
    <x v="1"/>
    <s v="John Reyes"/>
    <x v="15"/>
    <n v="1"/>
    <x v="0"/>
    <x v="8"/>
    <x v="8"/>
    <x v="2"/>
    <x v="2"/>
  </r>
  <r>
    <s v="AX10903"/>
    <s v="ENX2058"/>
    <s v="A143"/>
    <s v="EMP1016"/>
    <s v="C1224"/>
    <x v="85"/>
    <n v="1"/>
    <n v="2257"/>
    <n v="1535"/>
    <n v="1535"/>
    <n v="2257"/>
    <n v="722"/>
    <s v="Product 59"/>
    <x v="39"/>
    <s v="Henry Nelson"/>
    <x v="492"/>
    <n v="1"/>
    <x v="0"/>
    <x v="8"/>
    <x v="8"/>
    <x v="2"/>
    <x v="2"/>
  </r>
  <r>
    <s v="AX11220"/>
    <s v="ENX2022"/>
    <s v="A134"/>
    <s v="EMP1040"/>
    <s v="C1704"/>
    <x v="86"/>
    <n v="3"/>
    <n v="561"/>
    <n v="421"/>
    <n v="1263"/>
    <n v="1683"/>
    <n v="420"/>
    <s v="Product 23"/>
    <x v="41"/>
    <s v="Patrick Ruiz"/>
    <x v="28"/>
    <n v="1"/>
    <x v="0"/>
    <x v="8"/>
    <x v="8"/>
    <x v="2"/>
    <x v="2"/>
  </r>
  <r>
    <s v="AX11353"/>
    <s v="ENX2100"/>
    <s v="A163"/>
    <s v="EMP1003"/>
    <s v="C1058"/>
    <x v="87"/>
    <n v="1"/>
    <n v="799"/>
    <n v="455"/>
    <n v="455"/>
    <n v="799"/>
    <n v="344"/>
    <s v="Product 101"/>
    <x v="51"/>
    <s v="Christopher Tucker"/>
    <x v="611"/>
    <n v="1"/>
    <x v="0"/>
    <x v="8"/>
    <x v="8"/>
    <x v="2"/>
    <x v="2"/>
  </r>
  <r>
    <s v="AX11569"/>
    <s v="ENX2038"/>
    <s v="A134"/>
    <s v="EMP1027"/>
    <s v="C1307"/>
    <x v="85"/>
    <n v="4"/>
    <n v="392"/>
    <n v="255"/>
    <n v="1020"/>
    <n v="1568"/>
    <n v="548"/>
    <s v="Product 39"/>
    <x v="41"/>
    <s v="Gary Rodriguez"/>
    <x v="416"/>
    <n v="1"/>
    <x v="0"/>
    <x v="8"/>
    <x v="8"/>
    <x v="2"/>
    <x v="2"/>
  </r>
  <r>
    <s v="AX11670"/>
    <s v="ENX2068"/>
    <s v="A163"/>
    <s v="EMP1042"/>
    <s v="C1537"/>
    <x v="85"/>
    <n v="2"/>
    <n v="1500"/>
    <n v="900"/>
    <n v="1800"/>
    <n v="3000"/>
    <n v="1200"/>
    <s v="Product 69"/>
    <x v="51"/>
    <s v="Scott Clark"/>
    <x v="141"/>
    <n v="1"/>
    <x v="0"/>
    <x v="8"/>
    <x v="8"/>
    <x v="2"/>
    <x v="2"/>
  </r>
  <r>
    <s v="AX11700"/>
    <s v="ENX2067"/>
    <s v="A148"/>
    <s v="EMP1028"/>
    <s v="C1506"/>
    <x v="88"/>
    <n v="1"/>
    <n v="1119"/>
    <n v="683"/>
    <n v="683"/>
    <n v="1119"/>
    <n v="436"/>
    <s v="Product 68"/>
    <x v="62"/>
    <s v="Howard Sims"/>
    <x v="538"/>
    <n v="1"/>
    <x v="0"/>
    <x v="8"/>
    <x v="8"/>
    <x v="2"/>
    <x v="2"/>
  </r>
  <r>
    <s v="AX11776"/>
    <s v="ENX2064"/>
    <s v="A122"/>
    <s v="EMP1002"/>
    <s v="C1669"/>
    <x v="88"/>
    <n v="2"/>
    <n v="1414"/>
    <n v="962"/>
    <n v="1924"/>
    <n v="2828"/>
    <n v="904"/>
    <s v="Product 65"/>
    <x v="71"/>
    <s v="Andrew Bowman"/>
    <x v="447"/>
    <n v="1"/>
    <x v="0"/>
    <x v="8"/>
    <x v="8"/>
    <x v="2"/>
    <x v="2"/>
  </r>
  <r>
    <s v="AX11926"/>
    <s v="ENX2015"/>
    <s v="A105"/>
    <s v="EMP1038"/>
    <s v="C1768"/>
    <x v="86"/>
    <n v="1"/>
    <n v="637"/>
    <n v="389"/>
    <n v="389"/>
    <n v="637"/>
    <n v="248"/>
    <s v="Product 16"/>
    <x v="45"/>
    <s v="Scott Mason"/>
    <x v="496"/>
    <n v="1"/>
    <x v="0"/>
    <x v="8"/>
    <x v="8"/>
    <x v="2"/>
    <x v="2"/>
  </r>
  <r>
    <s v="AX12047"/>
    <s v="ENX2076"/>
    <s v="A132"/>
    <s v="EMP1036"/>
    <s v="C1658"/>
    <x v="85"/>
    <n v="3"/>
    <n v="1522"/>
    <n v="791"/>
    <n v="2373"/>
    <n v="4566"/>
    <n v="2193"/>
    <s v="Product 77"/>
    <x v="48"/>
    <s v="Robert Reed"/>
    <x v="612"/>
    <n v="1"/>
    <x v="0"/>
    <x v="8"/>
    <x v="8"/>
    <x v="2"/>
    <x v="2"/>
  </r>
  <r>
    <s v="AX12082"/>
    <s v="ENX2005"/>
    <s v="A140"/>
    <s v="EMP1040"/>
    <s v="C1723"/>
    <x v="87"/>
    <n v="1"/>
    <n v="684"/>
    <n v="561"/>
    <n v="561"/>
    <n v="684"/>
    <n v="123"/>
    <s v="Product 6"/>
    <x v="18"/>
    <s v="Patrick Ruiz"/>
    <x v="118"/>
    <n v="1"/>
    <x v="0"/>
    <x v="8"/>
    <x v="8"/>
    <x v="2"/>
    <x v="2"/>
  </r>
  <r>
    <s v="AX12099"/>
    <s v="ENX2065"/>
    <s v="A108"/>
    <s v="EMP1017"/>
    <s v="C1460"/>
    <x v="84"/>
    <n v="4"/>
    <n v="2396"/>
    <n v="1965"/>
    <n v="7860"/>
    <n v="9584"/>
    <n v="1724"/>
    <s v="Product 66"/>
    <x v="49"/>
    <s v="Brian Hansen"/>
    <x v="613"/>
    <n v="1"/>
    <x v="0"/>
    <x v="8"/>
    <x v="8"/>
    <x v="2"/>
    <x v="2"/>
  </r>
  <r>
    <s v="AX12150"/>
    <s v="ENX2076"/>
    <s v="A156"/>
    <s v="EMP1000"/>
    <s v="C1601"/>
    <x v="85"/>
    <n v="3"/>
    <n v="1522"/>
    <n v="791"/>
    <n v="2373"/>
    <n v="4566"/>
    <n v="2193"/>
    <s v="Product 77"/>
    <x v="14"/>
    <s v="Fred Robertson"/>
    <x v="324"/>
    <n v="1"/>
    <x v="0"/>
    <x v="8"/>
    <x v="8"/>
    <x v="2"/>
    <x v="2"/>
  </r>
  <r>
    <s v="AX12157"/>
    <s v="ENX2008"/>
    <s v="A149"/>
    <s v="EMP1034"/>
    <s v="C1122"/>
    <x v="84"/>
    <n v="2"/>
    <n v="315"/>
    <n v="208"/>
    <n v="416"/>
    <n v="630"/>
    <n v="214"/>
    <s v="Product 9"/>
    <x v="59"/>
    <s v="Arthur Mccoy"/>
    <x v="84"/>
    <n v="1"/>
    <x v="0"/>
    <x v="8"/>
    <x v="8"/>
    <x v="2"/>
    <x v="2"/>
  </r>
  <r>
    <s v="AX12214"/>
    <s v="ENX2052"/>
    <s v="A132"/>
    <s v="EMP1011"/>
    <s v="C1119"/>
    <x v="87"/>
    <n v="4"/>
    <n v="1526"/>
    <n v="1251"/>
    <n v="5004"/>
    <n v="6104"/>
    <n v="1100"/>
    <s v="Product 53"/>
    <x v="48"/>
    <s v="Larry Marshall"/>
    <x v="614"/>
    <n v="1"/>
    <x v="0"/>
    <x v="8"/>
    <x v="8"/>
    <x v="2"/>
    <x v="2"/>
  </r>
  <r>
    <s v="AX12522"/>
    <s v="ENX2058"/>
    <s v="A156"/>
    <s v="EMP1025"/>
    <s v="C1440"/>
    <x v="88"/>
    <n v="2"/>
    <n v="2257"/>
    <n v="1535"/>
    <n v="3070"/>
    <n v="4514"/>
    <n v="1444"/>
    <s v="Product 59"/>
    <x v="14"/>
    <s v="Ernest Wagner"/>
    <x v="52"/>
    <n v="1"/>
    <x v="0"/>
    <x v="8"/>
    <x v="8"/>
    <x v="2"/>
    <x v="2"/>
  </r>
  <r>
    <s v="AX12572"/>
    <s v="ENX2037"/>
    <s v="A126"/>
    <s v="EMP1012"/>
    <s v="C1141"/>
    <x v="88"/>
    <n v="1"/>
    <n v="880"/>
    <n v="634"/>
    <n v="634"/>
    <n v="880"/>
    <n v="246"/>
    <s v="Product 38"/>
    <x v="5"/>
    <s v="John Reyes"/>
    <x v="166"/>
    <n v="1"/>
    <x v="0"/>
    <x v="8"/>
    <x v="8"/>
    <x v="2"/>
    <x v="2"/>
  </r>
  <r>
    <s v="AX12715"/>
    <s v="ENX2054"/>
    <s v="A104"/>
    <s v="EMP1020"/>
    <s v="C1591"/>
    <x v="88"/>
    <n v="1"/>
    <n v="127"/>
    <n v="79"/>
    <n v="79"/>
    <n v="127"/>
    <n v="48"/>
    <s v="Product 55"/>
    <x v="50"/>
    <s v="Ryan Butler"/>
    <x v="289"/>
    <n v="1"/>
    <x v="0"/>
    <x v="8"/>
    <x v="8"/>
    <x v="2"/>
    <x v="2"/>
  </r>
  <r>
    <s v="AX13029"/>
    <s v="ENX2089"/>
    <s v="A134"/>
    <s v="EMP1020"/>
    <s v="C1603"/>
    <x v="87"/>
    <n v="1"/>
    <n v="2294"/>
    <n v="1399"/>
    <n v="1399"/>
    <n v="2294"/>
    <n v="895"/>
    <s v="Product 90"/>
    <x v="41"/>
    <s v="Ryan Butler"/>
    <x v="229"/>
    <n v="1"/>
    <x v="0"/>
    <x v="8"/>
    <x v="8"/>
    <x v="2"/>
    <x v="2"/>
  </r>
  <r>
    <s v="AX13271"/>
    <s v="ENX2023"/>
    <s v="A145"/>
    <s v="EMP1012"/>
    <s v="C1665"/>
    <x v="88"/>
    <n v="4"/>
    <n v="818"/>
    <n v="450"/>
    <n v="1800"/>
    <n v="3272"/>
    <n v="1472"/>
    <s v="Product 24"/>
    <x v="35"/>
    <s v="John Reyes"/>
    <x v="615"/>
    <n v="1"/>
    <x v="0"/>
    <x v="8"/>
    <x v="8"/>
    <x v="2"/>
    <x v="2"/>
  </r>
  <r>
    <s v="AX13931"/>
    <s v="ENX2021"/>
    <s v="A151"/>
    <s v="EMP1013"/>
    <s v="C1275"/>
    <x v="87"/>
    <n v="1"/>
    <n v="217"/>
    <n v="171"/>
    <n v="171"/>
    <n v="217"/>
    <n v="46"/>
    <s v="Product 22"/>
    <x v="1"/>
    <s v="Charles Harper"/>
    <x v="144"/>
    <n v="1"/>
    <x v="0"/>
    <x v="8"/>
    <x v="8"/>
    <x v="2"/>
    <x v="2"/>
  </r>
  <r>
    <s v="AX14058"/>
    <s v="ENX2075"/>
    <s v="A143"/>
    <s v="EMP1013"/>
    <s v="C1170"/>
    <x v="86"/>
    <n v="3"/>
    <n v="400"/>
    <n v="208"/>
    <n v="624"/>
    <n v="1200"/>
    <n v="576"/>
    <s v="Product 76"/>
    <x v="39"/>
    <s v="Charles Harper"/>
    <x v="616"/>
    <n v="1"/>
    <x v="0"/>
    <x v="8"/>
    <x v="8"/>
    <x v="2"/>
    <x v="2"/>
  </r>
  <r>
    <s v="AX15871"/>
    <s v="ENX2040"/>
    <s v="A108"/>
    <s v="EMP1015"/>
    <s v="C1221"/>
    <x v="88"/>
    <n v="1"/>
    <n v="1889"/>
    <n v="945"/>
    <n v="945"/>
    <n v="1889"/>
    <n v="944"/>
    <s v="Product 41"/>
    <x v="49"/>
    <s v="Justin Lynch"/>
    <x v="429"/>
    <n v="1"/>
    <x v="0"/>
    <x v="8"/>
    <x v="8"/>
    <x v="2"/>
    <x v="2"/>
  </r>
  <r>
    <s v="AX16433"/>
    <s v="ENX2048"/>
    <s v="A136"/>
    <s v="EMP1033"/>
    <s v="C1099"/>
    <x v="88"/>
    <n v="1"/>
    <n v="502"/>
    <n v="296"/>
    <n v="296"/>
    <n v="502"/>
    <n v="206"/>
    <s v="Product 49"/>
    <x v="43"/>
    <s v="Jerry Perry"/>
    <x v="394"/>
    <n v="1"/>
    <x v="0"/>
    <x v="8"/>
    <x v="8"/>
    <x v="2"/>
    <x v="2"/>
  </r>
  <r>
    <s v="AX16585"/>
    <s v="ENX2036"/>
    <s v="A100"/>
    <s v="EMP1040"/>
    <s v="C1738"/>
    <x v="88"/>
    <n v="1"/>
    <n v="1582"/>
    <n v="1234"/>
    <n v="1234"/>
    <n v="1582"/>
    <n v="348"/>
    <s v="Product 37"/>
    <x v="52"/>
    <s v="Patrick Ruiz"/>
    <x v="35"/>
    <n v="1"/>
    <x v="0"/>
    <x v="8"/>
    <x v="8"/>
    <x v="2"/>
    <x v="2"/>
  </r>
  <r>
    <s v="AX16595"/>
    <s v="ENX2092"/>
    <s v="A154"/>
    <s v="EMP1037"/>
    <s v="C1575"/>
    <x v="88"/>
    <n v="1"/>
    <n v="1639"/>
    <n v="1295"/>
    <n v="1295"/>
    <n v="1639"/>
    <n v="344"/>
    <s v="Product 93"/>
    <x v="24"/>
    <s v="Carl Hall"/>
    <x v="99"/>
    <n v="1"/>
    <x v="0"/>
    <x v="8"/>
    <x v="8"/>
    <x v="2"/>
    <x v="2"/>
  </r>
  <r>
    <s v="AX16697"/>
    <s v="ENX2009"/>
    <s v="A117"/>
    <s v="EMP1013"/>
    <s v="C1580"/>
    <x v="86"/>
    <n v="1"/>
    <n v="584"/>
    <n v="420"/>
    <n v="420"/>
    <n v="584"/>
    <n v="164"/>
    <s v="Product 10"/>
    <x v="29"/>
    <s v="Charles Harper"/>
    <x v="617"/>
    <n v="1"/>
    <x v="0"/>
    <x v="8"/>
    <x v="8"/>
    <x v="2"/>
    <x v="2"/>
  </r>
  <r>
    <s v="AX16702"/>
    <s v="ENX2057"/>
    <s v="A160"/>
    <s v="EMP1042"/>
    <s v="C1761"/>
    <x v="86"/>
    <n v="2"/>
    <n v="181"/>
    <n v="130"/>
    <n v="260"/>
    <n v="362"/>
    <n v="102"/>
    <s v="Product 58"/>
    <x v="9"/>
    <s v="Scott Clark"/>
    <x v="618"/>
    <n v="1"/>
    <x v="0"/>
    <x v="8"/>
    <x v="8"/>
    <x v="2"/>
    <x v="2"/>
  </r>
  <r>
    <s v="AX16778"/>
    <s v="ENX2083"/>
    <s v="A156"/>
    <s v="EMP1034"/>
    <s v="C1757"/>
    <x v="86"/>
    <n v="1"/>
    <n v="2141"/>
    <n v="1777"/>
    <n v="1777"/>
    <n v="2141"/>
    <n v="364"/>
    <s v="Product 84"/>
    <x v="14"/>
    <s v="Arthur Mccoy"/>
    <x v="376"/>
    <n v="1"/>
    <x v="0"/>
    <x v="8"/>
    <x v="8"/>
    <x v="2"/>
    <x v="2"/>
  </r>
  <r>
    <s v="AX17135"/>
    <s v="ENX2089"/>
    <s v="A157"/>
    <s v="EMP1044"/>
    <s v="C1217"/>
    <x v="88"/>
    <n v="2"/>
    <n v="2294"/>
    <n v="1399"/>
    <n v="2798"/>
    <n v="4588"/>
    <n v="1790"/>
    <s v="Product 90"/>
    <x v="7"/>
    <s v="Martin Carr"/>
    <x v="619"/>
    <n v="1"/>
    <x v="0"/>
    <x v="8"/>
    <x v="8"/>
    <x v="2"/>
    <x v="2"/>
  </r>
  <r>
    <s v="AX17195"/>
    <s v="ENX2093"/>
    <s v="A172"/>
    <s v="EMP1014"/>
    <s v="C1110"/>
    <x v="87"/>
    <n v="1"/>
    <n v="112"/>
    <n v="90"/>
    <n v="90"/>
    <n v="112"/>
    <n v="22"/>
    <s v="Product 94"/>
    <x v="36"/>
    <s v="Ronald Reed"/>
    <x v="620"/>
    <n v="1"/>
    <x v="0"/>
    <x v="8"/>
    <x v="8"/>
    <x v="2"/>
    <x v="2"/>
  </r>
  <r>
    <s v="AX17255"/>
    <s v="ENX2091"/>
    <s v="A115"/>
    <s v="EMP1005"/>
    <s v="C1682"/>
    <x v="86"/>
    <n v="1"/>
    <n v="368"/>
    <n v="294"/>
    <n v="294"/>
    <n v="368"/>
    <n v="74"/>
    <s v="Product 92"/>
    <x v="33"/>
    <s v="Ryan Welch"/>
    <x v="313"/>
    <n v="1"/>
    <x v="0"/>
    <x v="8"/>
    <x v="8"/>
    <x v="2"/>
    <x v="2"/>
  </r>
  <r>
    <s v="AX17682"/>
    <s v="ENX2083"/>
    <s v="A146"/>
    <s v="EMP1039"/>
    <s v="C1063"/>
    <x v="88"/>
    <n v="1"/>
    <n v="2141"/>
    <n v="1777"/>
    <n v="1777"/>
    <n v="2141"/>
    <n v="364"/>
    <s v="Product 84"/>
    <x v="27"/>
    <s v="Eugene Holmes"/>
    <x v="296"/>
    <n v="1"/>
    <x v="0"/>
    <x v="8"/>
    <x v="8"/>
    <x v="2"/>
    <x v="2"/>
  </r>
  <r>
    <s v="AX17853"/>
    <s v="ENX2024"/>
    <s v="A146"/>
    <s v="EMP1026"/>
    <s v="C1470"/>
    <x v="88"/>
    <n v="3"/>
    <n v="356"/>
    <n v="292"/>
    <n v="876"/>
    <n v="1068"/>
    <n v="192"/>
    <s v="Product 25"/>
    <x v="27"/>
    <s v="Martin Perry"/>
    <x v="621"/>
    <n v="1"/>
    <x v="0"/>
    <x v="8"/>
    <x v="8"/>
    <x v="2"/>
    <x v="2"/>
  </r>
  <r>
    <s v="AX17862"/>
    <s v="ENX2022"/>
    <s v="A143"/>
    <s v="EMP1017"/>
    <s v="C1147"/>
    <x v="86"/>
    <n v="1"/>
    <n v="561"/>
    <n v="421"/>
    <n v="421"/>
    <n v="561"/>
    <n v="140"/>
    <s v="Product 23"/>
    <x v="39"/>
    <s v="Brian Hansen"/>
    <x v="427"/>
    <n v="1"/>
    <x v="0"/>
    <x v="8"/>
    <x v="8"/>
    <x v="2"/>
    <x v="2"/>
  </r>
  <r>
    <s v="AX18355"/>
    <s v="ENX2011"/>
    <s v="A155"/>
    <s v="EMP1033"/>
    <s v="C1098"/>
    <x v="87"/>
    <n v="3"/>
    <n v="530"/>
    <n v="435"/>
    <n v="1305"/>
    <n v="1590"/>
    <n v="285"/>
    <s v="Product 12"/>
    <x v="53"/>
    <s v="Jerry Perry"/>
    <x v="622"/>
    <n v="1"/>
    <x v="0"/>
    <x v="8"/>
    <x v="8"/>
    <x v="2"/>
    <x v="2"/>
  </r>
  <r>
    <s v="AX18563"/>
    <s v="ENX2002"/>
    <s v="A131"/>
    <s v="EMP1031"/>
    <s v="C1314"/>
    <x v="86"/>
    <n v="1"/>
    <n v="847"/>
    <n v="534"/>
    <n v="534"/>
    <n v="847"/>
    <n v="313"/>
    <s v="Product 3"/>
    <x v="32"/>
    <s v="Brian Thomas"/>
    <x v="421"/>
    <n v="1"/>
    <x v="0"/>
    <x v="8"/>
    <x v="8"/>
    <x v="2"/>
    <x v="2"/>
  </r>
  <r>
    <s v="AX18954"/>
    <s v="ENX2012"/>
    <s v="A126"/>
    <s v="EMP1034"/>
    <s v="C1799"/>
    <x v="85"/>
    <n v="1"/>
    <n v="1353"/>
    <n v="947"/>
    <n v="947"/>
    <n v="1353"/>
    <n v="406"/>
    <s v="Product 13"/>
    <x v="5"/>
    <s v="Arthur Mccoy"/>
    <x v="390"/>
    <n v="1"/>
    <x v="0"/>
    <x v="8"/>
    <x v="8"/>
    <x v="2"/>
    <x v="2"/>
  </r>
  <r>
    <s v="AX18988"/>
    <s v="ENX2006"/>
    <s v="A120"/>
    <s v="EMP1040"/>
    <s v="C1298"/>
    <x v="84"/>
    <n v="1"/>
    <n v="1826"/>
    <n v="1443"/>
    <n v="1443"/>
    <n v="1826"/>
    <n v="383"/>
    <s v="Product 7"/>
    <x v="20"/>
    <s v="Patrick Ruiz"/>
    <x v="623"/>
    <n v="1"/>
    <x v="0"/>
    <x v="8"/>
    <x v="8"/>
    <x v="2"/>
    <x v="2"/>
  </r>
  <r>
    <s v="AX20054"/>
    <s v="ENX2048"/>
    <s v="A172"/>
    <s v="EMP1000"/>
    <s v="C1489"/>
    <x v="85"/>
    <n v="2"/>
    <n v="502"/>
    <n v="296"/>
    <n v="592"/>
    <n v="1004"/>
    <n v="412"/>
    <s v="Product 49"/>
    <x v="36"/>
    <s v="Fred Robertson"/>
    <x v="19"/>
    <n v="1"/>
    <x v="0"/>
    <x v="8"/>
    <x v="8"/>
    <x v="2"/>
    <x v="2"/>
  </r>
  <r>
    <s v="AX20199"/>
    <s v="ENX2052"/>
    <s v="A138"/>
    <s v="EMP1008"/>
    <s v="C1423"/>
    <x v="85"/>
    <n v="2"/>
    <n v="1526"/>
    <n v="1251"/>
    <n v="2502"/>
    <n v="3052"/>
    <n v="550"/>
    <s v="Product 53"/>
    <x v="37"/>
    <s v="Carl Elliott"/>
    <x v="182"/>
    <n v="1"/>
    <x v="0"/>
    <x v="8"/>
    <x v="8"/>
    <x v="2"/>
    <x v="2"/>
  </r>
  <r>
    <s v="AX20374"/>
    <s v="ENX2098"/>
    <s v="A153"/>
    <s v="EMP1015"/>
    <s v="C1136"/>
    <x v="88"/>
    <n v="3"/>
    <n v="1178"/>
    <n v="683"/>
    <n v="2049"/>
    <n v="3534"/>
    <n v="1485"/>
    <s v="Product 99"/>
    <x v="8"/>
    <s v="Justin Lynch"/>
    <x v="425"/>
    <n v="1"/>
    <x v="0"/>
    <x v="8"/>
    <x v="8"/>
    <x v="2"/>
    <x v="2"/>
  </r>
  <r>
    <s v="AX20498"/>
    <s v="ENX2091"/>
    <s v="A125"/>
    <s v="EMP1025"/>
    <s v="C1478"/>
    <x v="86"/>
    <n v="4"/>
    <n v="368"/>
    <n v="294"/>
    <n v="1176"/>
    <n v="1472"/>
    <n v="296"/>
    <s v="Product 92"/>
    <x v="31"/>
    <s v="Ernest Wagner"/>
    <x v="483"/>
    <n v="1"/>
    <x v="0"/>
    <x v="8"/>
    <x v="8"/>
    <x v="2"/>
    <x v="2"/>
  </r>
  <r>
    <s v="AX20564"/>
    <s v="ENX2004"/>
    <s v="A139"/>
    <s v="EMP1041"/>
    <s v="C1453"/>
    <x v="88"/>
    <n v="1"/>
    <n v="1278"/>
    <n v="665"/>
    <n v="665"/>
    <n v="1278"/>
    <n v="613"/>
    <s v="Product 5"/>
    <x v="38"/>
    <s v="Joe Sims"/>
    <x v="194"/>
    <n v="1"/>
    <x v="0"/>
    <x v="8"/>
    <x v="8"/>
    <x v="2"/>
    <x v="2"/>
  </r>
  <r>
    <s v="AX20739"/>
    <s v="ENX2038"/>
    <s v="A149"/>
    <s v="EMP1009"/>
    <s v="C1396"/>
    <x v="84"/>
    <n v="4"/>
    <n v="392"/>
    <n v="255"/>
    <n v="1020"/>
    <n v="1568"/>
    <n v="548"/>
    <s v="Product 39"/>
    <x v="59"/>
    <s v="Kenneth Fields"/>
    <x v="624"/>
    <n v="1"/>
    <x v="0"/>
    <x v="8"/>
    <x v="8"/>
    <x v="2"/>
    <x v="2"/>
  </r>
  <r>
    <s v="AX20857"/>
    <s v="ENX2091"/>
    <s v="A117"/>
    <s v="EMP1016"/>
    <s v="C1514"/>
    <x v="85"/>
    <n v="3"/>
    <n v="368"/>
    <n v="294"/>
    <n v="882"/>
    <n v="1104"/>
    <n v="222"/>
    <s v="Product 92"/>
    <x v="29"/>
    <s v="Henry Nelson"/>
    <x v="307"/>
    <n v="1"/>
    <x v="0"/>
    <x v="8"/>
    <x v="8"/>
    <x v="2"/>
    <x v="2"/>
  </r>
  <r>
    <s v="AX21003"/>
    <s v="ENX2043"/>
    <s v="A124"/>
    <s v="EMP1001"/>
    <s v="C1372"/>
    <x v="87"/>
    <n v="1"/>
    <n v="545"/>
    <n v="425"/>
    <n v="425"/>
    <n v="545"/>
    <n v="120"/>
    <s v="Product 44"/>
    <x v="67"/>
    <s v="Kevin Butler"/>
    <x v="60"/>
    <n v="1"/>
    <x v="0"/>
    <x v="8"/>
    <x v="8"/>
    <x v="2"/>
    <x v="2"/>
  </r>
  <r>
    <s v="AX21579"/>
    <s v="ENX2043"/>
    <s v="A100"/>
    <s v="EMP1043"/>
    <s v="C1350"/>
    <x v="84"/>
    <n v="1"/>
    <n v="545"/>
    <n v="425"/>
    <n v="425"/>
    <n v="545"/>
    <n v="120"/>
    <s v="Product 44"/>
    <x v="52"/>
    <s v="Joshua Taylor"/>
    <x v="625"/>
    <n v="1"/>
    <x v="0"/>
    <x v="8"/>
    <x v="8"/>
    <x v="2"/>
    <x v="2"/>
  </r>
  <r>
    <s v="AX21803"/>
    <s v="ENX2099"/>
    <s v="A131"/>
    <s v="EMP1033"/>
    <s v="C1764"/>
    <x v="86"/>
    <n v="1"/>
    <n v="1367"/>
    <n v="984"/>
    <n v="984"/>
    <n v="1367"/>
    <n v="383"/>
    <s v="Product 100"/>
    <x v="32"/>
    <s v="Jerry Perry"/>
    <x v="386"/>
    <n v="1"/>
    <x v="0"/>
    <x v="8"/>
    <x v="8"/>
    <x v="2"/>
    <x v="2"/>
  </r>
  <r>
    <s v="AX21989"/>
    <s v="ENX2094"/>
    <s v="A155"/>
    <s v="EMP1010"/>
    <s v="C1379"/>
    <x v="87"/>
    <n v="1"/>
    <n v="771"/>
    <n v="648"/>
    <n v="648"/>
    <n v="771"/>
    <n v="123"/>
    <s v="Product 95"/>
    <x v="53"/>
    <s v="Joshua Cook"/>
    <x v="549"/>
    <n v="1"/>
    <x v="0"/>
    <x v="8"/>
    <x v="8"/>
    <x v="2"/>
    <x v="2"/>
  </r>
  <r>
    <s v="AX22246"/>
    <s v="ENX2040"/>
    <s v="A145"/>
    <s v="EMP1006"/>
    <s v="C1569"/>
    <x v="86"/>
    <n v="1"/>
    <n v="1889"/>
    <n v="945"/>
    <n v="945"/>
    <n v="1889"/>
    <n v="944"/>
    <s v="Product 41"/>
    <x v="35"/>
    <s v="Sean Miller"/>
    <x v="485"/>
    <n v="1"/>
    <x v="0"/>
    <x v="8"/>
    <x v="8"/>
    <x v="2"/>
    <x v="2"/>
  </r>
  <r>
    <s v="AX22313"/>
    <s v="ENX2005"/>
    <s v="A109"/>
    <s v="EMP1003"/>
    <s v="C1687"/>
    <x v="86"/>
    <n v="2"/>
    <n v="684"/>
    <n v="561"/>
    <n v="1122"/>
    <n v="1368"/>
    <n v="246"/>
    <s v="Product 6"/>
    <x v="57"/>
    <s v="Christopher Tucker"/>
    <x v="389"/>
    <n v="1"/>
    <x v="0"/>
    <x v="8"/>
    <x v="8"/>
    <x v="2"/>
    <x v="2"/>
  </r>
  <r>
    <s v="AX22368"/>
    <s v="ENX2068"/>
    <s v="A130"/>
    <s v="EMP1031"/>
    <s v="C1061"/>
    <x v="87"/>
    <n v="1"/>
    <n v="1500"/>
    <n v="900"/>
    <n v="900"/>
    <n v="1500"/>
    <n v="600"/>
    <s v="Product 69"/>
    <x v="4"/>
    <s v="Brian Thomas"/>
    <x v="228"/>
    <n v="1"/>
    <x v="0"/>
    <x v="8"/>
    <x v="8"/>
    <x v="2"/>
    <x v="2"/>
  </r>
  <r>
    <s v="AX22455"/>
    <s v="ENX2063"/>
    <s v="A164"/>
    <s v="EMP1025"/>
    <s v="C1472"/>
    <x v="85"/>
    <n v="3"/>
    <n v="1708"/>
    <n v="871"/>
    <n v="2613"/>
    <n v="5124"/>
    <n v="2511"/>
    <s v="Product 64"/>
    <x v="3"/>
    <s v="Ernest Wagner"/>
    <x v="626"/>
    <n v="1"/>
    <x v="0"/>
    <x v="8"/>
    <x v="8"/>
    <x v="2"/>
    <x v="2"/>
  </r>
  <r>
    <s v="AX22473"/>
    <s v="ENX2003"/>
    <s v="A169"/>
    <s v="EMP1036"/>
    <s v="C1238"/>
    <x v="88"/>
    <n v="2"/>
    <n v="1783"/>
    <n v="1516"/>
    <n v="3032"/>
    <n v="3566"/>
    <n v="534"/>
    <s v="Product 4"/>
    <x v="17"/>
    <s v="Robert Reed"/>
    <x v="627"/>
    <n v="1"/>
    <x v="0"/>
    <x v="8"/>
    <x v="8"/>
    <x v="2"/>
    <x v="2"/>
  </r>
  <r>
    <s v="AX23145"/>
    <s v="ENX2057"/>
    <s v="A135"/>
    <s v="EMP1044"/>
    <s v="C1759"/>
    <x v="84"/>
    <n v="1"/>
    <n v="181"/>
    <n v="130"/>
    <n v="130"/>
    <n v="181"/>
    <n v="51"/>
    <s v="Product 58"/>
    <x v="10"/>
    <s v="Martin Carr"/>
    <x v="355"/>
    <n v="1"/>
    <x v="0"/>
    <x v="8"/>
    <x v="8"/>
    <x v="2"/>
    <x v="2"/>
  </r>
  <r>
    <s v="AX23403"/>
    <s v="ENX2026"/>
    <s v="A143"/>
    <s v="EMP1011"/>
    <s v="C1528"/>
    <x v="88"/>
    <n v="1"/>
    <n v="947"/>
    <n v="786"/>
    <n v="786"/>
    <n v="947"/>
    <n v="161"/>
    <s v="Product 27"/>
    <x v="39"/>
    <s v="Larry Marshall"/>
    <x v="158"/>
    <n v="1"/>
    <x v="0"/>
    <x v="8"/>
    <x v="8"/>
    <x v="2"/>
    <x v="2"/>
  </r>
  <r>
    <s v="AX23523"/>
    <s v="ENX2009"/>
    <s v="A112"/>
    <s v="EMP1032"/>
    <s v="C1541"/>
    <x v="85"/>
    <n v="1"/>
    <n v="584"/>
    <n v="420"/>
    <n v="420"/>
    <n v="584"/>
    <n v="164"/>
    <s v="Product 10"/>
    <x v="66"/>
    <s v="Larry Castillo"/>
    <x v="628"/>
    <n v="1"/>
    <x v="0"/>
    <x v="8"/>
    <x v="8"/>
    <x v="2"/>
    <x v="2"/>
  </r>
  <r>
    <s v="AX23553"/>
    <s v="ENX2054"/>
    <s v="A159"/>
    <s v="EMP1040"/>
    <s v="C1176"/>
    <x v="87"/>
    <n v="1"/>
    <n v="127"/>
    <n v="79"/>
    <n v="79"/>
    <n v="127"/>
    <n v="48"/>
    <s v="Product 55"/>
    <x v="13"/>
    <s v="Patrick Ruiz"/>
    <x v="117"/>
    <n v="1"/>
    <x v="0"/>
    <x v="8"/>
    <x v="8"/>
    <x v="2"/>
    <x v="2"/>
  </r>
  <r>
    <s v="AX23847"/>
    <s v="ENX2060"/>
    <s v="A131"/>
    <s v="EMP1029"/>
    <s v="C1279"/>
    <x v="86"/>
    <n v="1"/>
    <n v="1467"/>
    <n v="807"/>
    <n v="807"/>
    <n v="1467"/>
    <n v="660"/>
    <s v="Product 61"/>
    <x v="32"/>
    <s v="Howard Gardner"/>
    <x v="210"/>
    <n v="1"/>
    <x v="0"/>
    <x v="8"/>
    <x v="8"/>
    <x v="2"/>
    <x v="2"/>
  </r>
  <r>
    <s v="AX24162"/>
    <s v="ENX2073"/>
    <s v="A119"/>
    <s v="EMP1005"/>
    <s v="C1388"/>
    <x v="87"/>
    <n v="1"/>
    <n v="95"/>
    <n v="61"/>
    <n v="61"/>
    <n v="95"/>
    <n v="34"/>
    <s v="Product 74"/>
    <x v="16"/>
    <s v="Ryan Welch"/>
    <x v="120"/>
    <n v="1"/>
    <x v="0"/>
    <x v="8"/>
    <x v="8"/>
    <x v="2"/>
    <x v="2"/>
  </r>
  <r>
    <s v="AX24185"/>
    <s v="ENX2073"/>
    <s v="A153"/>
    <s v="EMP1037"/>
    <s v="C1682"/>
    <x v="86"/>
    <n v="2"/>
    <n v="95"/>
    <n v="61"/>
    <n v="122"/>
    <n v="190"/>
    <n v="68"/>
    <s v="Product 74"/>
    <x v="8"/>
    <s v="Carl Hall"/>
    <x v="313"/>
    <n v="1"/>
    <x v="0"/>
    <x v="8"/>
    <x v="8"/>
    <x v="2"/>
    <x v="2"/>
  </r>
  <r>
    <s v="AX24420"/>
    <s v="ENX2059"/>
    <s v="A102"/>
    <s v="EMP1030"/>
    <s v="C1079"/>
    <x v="87"/>
    <n v="1"/>
    <n v="1494"/>
    <n v="971"/>
    <n v="971"/>
    <n v="1494"/>
    <n v="523"/>
    <s v="Product 60"/>
    <x v="44"/>
    <s v="Bobby Russell"/>
    <x v="370"/>
    <n v="1"/>
    <x v="0"/>
    <x v="8"/>
    <x v="8"/>
    <x v="2"/>
    <x v="2"/>
  </r>
  <r>
    <s v="AX24557"/>
    <s v="ENX2036"/>
    <s v="A109"/>
    <s v="EMP1016"/>
    <s v="C1210"/>
    <x v="84"/>
    <n v="1"/>
    <n v="1582"/>
    <n v="1234"/>
    <n v="1234"/>
    <n v="1582"/>
    <n v="348"/>
    <s v="Product 37"/>
    <x v="57"/>
    <s v="Henry Nelson"/>
    <x v="629"/>
    <n v="1"/>
    <x v="0"/>
    <x v="8"/>
    <x v="8"/>
    <x v="2"/>
    <x v="2"/>
  </r>
  <r>
    <s v="AX24958"/>
    <s v="ENX2060"/>
    <s v="A133"/>
    <s v="EMP1009"/>
    <s v="C1339"/>
    <x v="84"/>
    <n v="1"/>
    <n v="1467"/>
    <n v="807"/>
    <n v="807"/>
    <n v="1467"/>
    <n v="660"/>
    <s v="Product 61"/>
    <x v="46"/>
    <s v="Kenneth Fields"/>
    <x v="401"/>
    <n v="1"/>
    <x v="0"/>
    <x v="8"/>
    <x v="8"/>
    <x v="2"/>
    <x v="2"/>
  </r>
  <r>
    <s v="AX25000"/>
    <s v="ENX2075"/>
    <s v="A162"/>
    <s v="EMP1011"/>
    <s v="C1064"/>
    <x v="87"/>
    <n v="3"/>
    <n v="400"/>
    <n v="208"/>
    <n v="624"/>
    <n v="1200"/>
    <n v="576"/>
    <s v="Product 76"/>
    <x v="2"/>
    <s v="Larry Marshall"/>
    <x v="597"/>
    <n v="1"/>
    <x v="0"/>
    <x v="8"/>
    <x v="8"/>
    <x v="2"/>
    <x v="2"/>
  </r>
  <r>
    <s v="AX10285"/>
    <s v="ENX2050"/>
    <s v="A145"/>
    <s v="EMP1030"/>
    <s v="C1743"/>
    <x v="89"/>
    <n v="1"/>
    <n v="2391"/>
    <n v="1291"/>
    <n v="1291"/>
    <n v="2391"/>
    <n v="1100"/>
    <s v="Product 51"/>
    <x v="35"/>
    <s v="Bobby Russell"/>
    <x v="276"/>
    <n v="1"/>
    <x v="0"/>
    <x v="9"/>
    <x v="9"/>
    <x v="3"/>
    <x v="0"/>
  </r>
  <r>
    <s v="AX10561"/>
    <s v="ENX2058"/>
    <s v="A113"/>
    <s v="EMP1014"/>
    <s v="C1431"/>
    <x v="90"/>
    <n v="2"/>
    <n v="2257"/>
    <n v="1535"/>
    <n v="3070"/>
    <n v="4514"/>
    <n v="1444"/>
    <s v="Product 59"/>
    <x v="73"/>
    <s v="Ronald Reed"/>
    <x v="587"/>
    <n v="1"/>
    <x v="0"/>
    <x v="9"/>
    <x v="9"/>
    <x v="3"/>
    <x v="0"/>
  </r>
  <r>
    <s v="AX10882"/>
    <s v="ENX2038"/>
    <s v="A144"/>
    <s v="EMP1025"/>
    <s v="C1576"/>
    <x v="91"/>
    <n v="3"/>
    <n v="392"/>
    <n v="255"/>
    <n v="765"/>
    <n v="1176"/>
    <n v="411"/>
    <s v="Product 39"/>
    <x v="65"/>
    <s v="Ernest Wagner"/>
    <x v="398"/>
    <n v="1"/>
    <x v="0"/>
    <x v="9"/>
    <x v="9"/>
    <x v="3"/>
    <x v="0"/>
  </r>
  <r>
    <s v="AX11138"/>
    <s v="ENX2032"/>
    <s v="A125"/>
    <s v="EMP1021"/>
    <s v="C1298"/>
    <x v="90"/>
    <n v="2"/>
    <n v="1967"/>
    <n v="1397"/>
    <n v="2794"/>
    <n v="3934"/>
    <n v="1140"/>
    <s v="Product 33"/>
    <x v="31"/>
    <s v="Clarence Fox"/>
    <x v="623"/>
    <n v="1"/>
    <x v="0"/>
    <x v="9"/>
    <x v="9"/>
    <x v="3"/>
    <x v="0"/>
  </r>
  <r>
    <s v="AX11279"/>
    <s v="ENX2072"/>
    <s v="A142"/>
    <s v="EMP1030"/>
    <s v="C1580"/>
    <x v="92"/>
    <n v="2"/>
    <n v="1887"/>
    <n v="1378"/>
    <n v="2756"/>
    <n v="3774"/>
    <n v="1018"/>
    <s v="Product 73"/>
    <x v="56"/>
    <s v="Bobby Russell"/>
    <x v="617"/>
    <n v="1"/>
    <x v="0"/>
    <x v="9"/>
    <x v="9"/>
    <x v="3"/>
    <x v="0"/>
  </r>
  <r>
    <s v="AX12255"/>
    <s v="ENX2078"/>
    <s v="A134"/>
    <s v="EMP1013"/>
    <s v="C1051"/>
    <x v="92"/>
    <n v="4"/>
    <n v="1798"/>
    <n v="971"/>
    <n v="3884"/>
    <n v="7192"/>
    <n v="3308"/>
    <s v="Product 79"/>
    <x v="41"/>
    <s v="Charles Harper"/>
    <x v="432"/>
    <n v="1"/>
    <x v="0"/>
    <x v="9"/>
    <x v="9"/>
    <x v="3"/>
    <x v="0"/>
  </r>
  <r>
    <s v="AX12355"/>
    <s v="ENX2045"/>
    <s v="A114"/>
    <s v="EMP1025"/>
    <s v="C1489"/>
    <x v="90"/>
    <n v="4"/>
    <n v="556"/>
    <n v="395"/>
    <n v="1580"/>
    <n v="2224"/>
    <n v="644"/>
    <s v="Product 46"/>
    <x v="28"/>
    <s v="Ernest Wagner"/>
    <x v="19"/>
    <n v="1"/>
    <x v="0"/>
    <x v="9"/>
    <x v="9"/>
    <x v="3"/>
    <x v="0"/>
  </r>
  <r>
    <s v="AX13002"/>
    <s v="ENX2049"/>
    <s v="A130"/>
    <s v="EMP1019"/>
    <s v="C1796"/>
    <x v="90"/>
    <n v="1"/>
    <n v="826"/>
    <n v="562"/>
    <n v="562"/>
    <n v="826"/>
    <n v="264"/>
    <s v="Product 50"/>
    <x v="4"/>
    <s v="Roger Robertson"/>
    <x v="630"/>
    <n v="1"/>
    <x v="0"/>
    <x v="9"/>
    <x v="9"/>
    <x v="3"/>
    <x v="0"/>
  </r>
  <r>
    <s v="AX13326"/>
    <s v="ENX2082"/>
    <s v="A131"/>
    <s v="EMP1026"/>
    <s v="C1704"/>
    <x v="92"/>
    <n v="1"/>
    <n v="1103"/>
    <n v="838"/>
    <n v="838"/>
    <n v="1103"/>
    <n v="265"/>
    <s v="Product 83"/>
    <x v="32"/>
    <s v="Martin Perry"/>
    <x v="28"/>
    <n v="1"/>
    <x v="0"/>
    <x v="9"/>
    <x v="9"/>
    <x v="3"/>
    <x v="0"/>
  </r>
  <r>
    <s v="AX13351"/>
    <s v="ENX2076"/>
    <s v="A107"/>
    <s v="EMP1024"/>
    <s v="C1271"/>
    <x v="92"/>
    <n v="1"/>
    <n v="1522"/>
    <n v="791"/>
    <n v="791"/>
    <n v="1522"/>
    <n v="731"/>
    <s v="Product 77"/>
    <x v="21"/>
    <s v="Ernest Wheeler"/>
    <x v="314"/>
    <n v="1"/>
    <x v="0"/>
    <x v="9"/>
    <x v="9"/>
    <x v="3"/>
    <x v="0"/>
  </r>
  <r>
    <s v="AX13376"/>
    <s v="ENX2035"/>
    <s v="A120"/>
    <s v="EMP1032"/>
    <s v="C1509"/>
    <x v="90"/>
    <n v="1"/>
    <n v="458"/>
    <n v="376"/>
    <n v="376"/>
    <n v="458"/>
    <n v="82"/>
    <s v="Product 36"/>
    <x v="20"/>
    <s v="Larry Castillo"/>
    <x v="442"/>
    <n v="1"/>
    <x v="0"/>
    <x v="9"/>
    <x v="9"/>
    <x v="3"/>
    <x v="0"/>
  </r>
  <r>
    <s v="AX13847"/>
    <s v="ENX2051"/>
    <s v="A149"/>
    <s v="EMP1004"/>
    <s v="C1428"/>
    <x v="91"/>
    <n v="3"/>
    <n v="1077"/>
    <n v="732"/>
    <n v="2196"/>
    <n v="3231"/>
    <n v="1035"/>
    <s v="Product 52"/>
    <x v="59"/>
    <s v="Kenneth Bradley"/>
    <x v="509"/>
    <n v="1"/>
    <x v="0"/>
    <x v="9"/>
    <x v="9"/>
    <x v="3"/>
    <x v="0"/>
  </r>
  <r>
    <s v="AX14080"/>
    <s v="ENX2045"/>
    <s v="A156"/>
    <s v="EMP1014"/>
    <s v="C1084"/>
    <x v="92"/>
    <n v="4"/>
    <n v="556"/>
    <n v="395"/>
    <n v="1580"/>
    <n v="2224"/>
    <n v="644"/>
    <s v="Product 46"/>
    <x v="14"/>
    <s v="Ronald Reed"/>
    <x v="631"/>
    <n v="1"/>
    <x v="0"/>
    <x v="9"/>
    <x v="9"/>
    <x v="3"/>
    <x v="0"/>
  </r>
  <r>
    <s v="AX14173"/>
    <s v="ENX2089"/>
    <s v="A122"/>
    <s v="EMP1035"/>
    <s v="C1344"/>
    <x v="90"/>
    <n v="3"/>
    <n v="2294"/>
    <n v="1399"/>
    <n v="4197"/>
    <n v="6882"/>
    <n v="2685"/>
    <s v="Product 90"/>
    <x v="71"/>
    <s v="Roger Ramos"/>
    <x v="22"/>
    <n v="1"/>
    <x v="0"/>
    <x v="9"/>
    <x v="9"/>
    <x v="3"/>
    <x v="0"/>
  </r>
  <r>
    <s v="AX14182"/>
    <s v="ENX2013"/>
    <s v="A162"/>
    <s v="EMP1010"/>
    <s v="C1626"/>
    <x v="90"/>
    <n v="3"/>
    <n v="368"/>
    <n v="269"/>
    <n v="807"/>
    <n v="1104"/>
    <n v="297"/>
    <s v="Product 14"/>
    <x v="2"/>
    <s v="Joshua Cook"/>
    <x v="153"/>
    <n v="1"/>
    <x v="0"/>
    <x v="9"/>
    <x v="9"/>
    <x v="3"/>
    <x v="0"/>
  </r>
  <r>
    <s v="AX14224"/>
    <s v="ENX2064"/>
    <s v="A114"/>
    <s v="EMP1010"/>
    <s v="C1505"/>
    <x v="90"/>
    <n v="1"/>
    <n v="1414"/>
    <n v="962"/>
    <n v="962"/>
    <n v="1414"/>
    <n v="452"/>
    <s v="Product 65"/>
    <x v="28"/>
    <s v="Joshua Cook"/>
    <x v="632"/>
    <n v="1"/>
    <x v="0"/>
    <x v="9"/>
    <x v="9"/>
    <x v="3"/>
    <x v="0"/>
  </r>
  <r>
    <s v="AX14555"/>
    <s v="ENX2097"/>
    <s v="A165"/>
    <s v="EMP1035"/>
    <s v="C1011"/>
    <x v="90"/>
    <n v="3"/>
    <n v="1052"/>
    <n v="589"/>
    <n v="1767"/>
    <n v="3156"/>
    <n v="1389"/>
    <s v="Product 98"/>
    <x v="55"/>
    <s v="Roger Ramos"/>
    <x v="275"/>
    <n v="1"/>
    <x v="0"/>
    <x v="9"/>
    <x v="9"/>
    <x v="3"/>
    <x v="0"/>
  </r>
  <r>
    <s v="AX14572"/>
    <s v="ENX2011"/>
    <s v="A138"/>
    <s v="EMP1041"/>
    <s v="C1195"/>
    <x v="89"/>
    <n v="2"/>
    <n v="530"/>
    <n v="435"/>
    <n v="870"/>
    <n v="1060"/>
    <n v="190"/>
    <s v="Product 12"/>
    <x v="37"/>
    <s v="Joe Sims"/>
    <x v="188"/>
    <n v="1"/>
    <x v="0"/>
    <x v="9"/>
    <x v="9"/>
    <x v="3"/>
    <x v="0"/>
  </r>
  <r>
    <s v="AX14631"/>
    <s v="ENX2000"/>
    <s v="A100"/>
    <s v="EMP1014"/>
    <s v="C1118"/>
    <x v="89"/>
    <n v="1"/>
    <n v="2241"/>
    <n v="1367"/>
    <n v="1367"/>
    <n v="2241"/>
    <n v="874"/>
    <s v="Product 1"/>
    <x v="52"/>
    <s v="Ronald Reed"/>
    <x v="633"/>
    <n v="1"/>
    <x v="0"/>
    <x v="9"/>
    <x v="9"/>
    <x v="3"/>
    <x v="0"/>
  </r>
  <r>
    <s v="AX14744"/>
    <s v="ENX2018"/>
    <s v="A170"/>
    <s v="EMP1005"/>
    <s v="C1461"/>
    <x v="91"/>
    <n v="3"/>
    <n v="1972"/>
    <n v="1321"/>
    <n v="3963"/>
    <n v="5916"/>
    <n v="1953"/>
    <s v="Product 19"/>
    <x v="47"/>
    <s v="Ryan Welch"/>
    <x v="634"/>
    <n v="1"/>
    <x v="0"/>
    <x v="9"/>
    <x v="9"/>
    <x v="3"/>
    <x v="0"/>
  </r>
  <r>
    <s v="AX14802"/>
    <s v="ENX2089"/>
    <s v="A169"/>
    <s v="EMP1033"/>
    <s v="C1123"/>
    <x v="89"/>
    <n v="2"/>
    <n v="2294"/>
    <n v="1399"/>
    <n v="2798"/>
    <n v="4588"/>
    <n v="1790"/>
    <s v="Product 90"/>
    <x v="17"/>
    <s v="Jerry Perry"/>
    <x v="222"/>
    <n v="1"/>
    <x v="0"/>
    <x v="9"/>
    <x v="9"/>
    <x v="3"/>
    <x v="0"/>
  </r>
  <r>
    <s v="AX14832"/>
    <s v="ENX2067"/>
    <s v="A110"/>
    <s v="EMP1028"/>
    <s v="C1774"/>
    <x v="91"/>
    <n v="4"/>
    <n v="1119"/>
    <n v="683"/>
    <n v="2732"/>
    <n v="4476"/>
    <n v="1744"/>
    <s v="Product 68"/>
    <x v="63"/>
    <s v="Howard Sims"/>
    <x v="232"/>
    <n v="1"/>
    <x v="0"/>
    <x v="9"/>
    <x v="9"/>
    <x v="3"/>
    <x v="0"/>
  </r>
  <r>
    <s v="AX15004"/>
    <s v="ENX2086"/>
    <s v="A125"/>
    <s v="EMP1017"/>
    <s v="C1676"/>
    <x v="89"/>
    <n v="1"/>
    <n v="123"/>
    <n v="84"/>
    <n v="84"/>
    <n v="123"/>
    <n v="39"/>
    <s v="Product 87"/>
    <x v="31"/>
    <s v="Brian Hansen"/>
    <x v="497"/>
    <n v="1"/>
    <x v="0"/>
    <x v="9"/>
    <x v="9"/>
    <x v="3"/>
    <x v="0"/>
  </r>
  <r>
    <s v="AX15248"/>
    <s v="ENX2003"/>
    <s v="A129"/>
    <s v="EMP1011"/>
    <s v="C1645"/>
    <x v="89"/>
    <n v="3"/>
    <n v="1783"/>
    <n v="1516"/>
    <n v="4548"/>
    <n v="5349"/>
    <n v="801"/>
    <s v="Product 4"/>
    <x v="22"/>
    <s v="Larry Marshall"/>
    <x v="128"/>
    <n v="1"/>
    <x v="0"/>
    <x v="9"/>
    <x v="9"/>
    <x v="3"/>
    <x v="0"/>
  </r>
  <r>
    <s v="AX15397"/>
    <s v="ENX2093"/>
    <s v="A165"/>
    <s v="EMP1039"/>
    <s v="C1057"/>
    <x v="90"/>
    <n v="2"/>
    <n v="112"/>
    <n v="90"/>
    <n v="180"/>
    <n v="224"/>
    <n v="44"/>
    <s v="Product 94"/>
    <x v="55"/>
    <s v="Eugene Holmes"/>
    <x v="635"/>
    <n v="1"/>
    <x v="0"/>
    <x v="9"/>
    <x v="9"/>
    <x v="3"/>
    <x v="0"/>
  </r>
  <r>
    <s v="AX15855"/>
    <s v="ENX2080"/>
    <s v="A119"/>
    <s v="EMP1035"/>
    <s v="C1788"/>
    <x v="92"/>
    <n v="3"/>
    <n v="2353"/>
    <n v="1788"/>
    <n v="5364"/>
    <n v="7059"/>
    <n v="1695"/>
    <s v="Product 81"/>
    <x v="16"/>
    <s v="Roger Ramos"/>
    <x v="218"/>
    <n v="1"/>
    <x v="0"/>
    <x v="9"/>
    <x v="9"/>
    <x v="3"/>
    <x v="0"/>
  </r>
  <r>
    <s v="AX16123"/>
    <s v="ENX2035"/>
    <s v="A160"/>
    <s v="EMP1004"/>
    <s v="C1596"/>
    <x v="91"/>
    <n v="1"/>
    <n v="458"/>
    <n v="376"/>
    <n v="376"/>
    <n v="458"/>
    <n v="82"/>
    <s v="Product 36"/>
    <x v="9"/>
    <s v="Kenneth Bradley"/>
    <x v="217"/>
    <n v="1"/>
    <x v="0"/>
    <x v="9"/>
    <x v="9"/>
    <x v="3"/>
    <x v="0"/>
  </r>
  <r>
    <s v="AX16241"/>
    <s v="ENX2039"/>
    <s v="A118"/>
    <s v="EMP1005"/>
    <s v="C1147"/>
    <x v="92"/>
    <n v="1"/>
    <n v="817"/>
    <n v="409"/>
    <n v="409"/>
    <n v="817"/>
    <n v="408"/>
    <s v="Product 40"/>
    <x v="19"/>
    <s v="Ryan Welch"/>
    <x v="427"/>
    <n v="1"/>
    <x v="0"/>
    <x v="9"/>
    <x v="9"/>
    <x v="3"/>
    <x v="0"/>
  </r>
  <r>
    <s v="AX16292"/>
    <s v="ENX2032"/>
    <s v="A148"/>
    <s v="EMP1021"/>
    <s v="C1234"/>
    <x v="92"/>
    <n v="3"/>
    <n v="1967"/>
    <n v="1397"/>
    <n v="4191"/>
    <n v="5901"/>
    <n v="1710"/>
    <s v="Product 33"/>
    <x v="62"/>
    <s v="Clarence Fox"/>
    <x v="636"/>
    <n v="1"/>
    <x v="0"/>
    <x v="9"/>
    <x v="9"/>
    <x v="3"/>
    <x v="0"/>
  </r>
  <r>
    <s v="AX16520"/>
    <s v="ENX2052"/>
    <s v="A138"/>
    <s v="EMP1036"/>
    <s v="C1065"/>
    <x v="90"/>
    <n v="1"/>
    <n v="1526"/>
    <n v="1251"/>
    <n v="1251"/>
    <n v="1526"/>
    <n v="275"/>
    <s v="Product 53"/>
    <x v="37"/>
    <s v="Robert Reed"/>
    <x v="637"/>
    <n v="1"/>
    <x v="0"/>
    <x v="9"/>
    <x v="9"/>
    <x v="3"/>
    <x v="0"/>
  </r>
  <r>
    <s v="AX16929"/>
    <s v="ENX2040"/>
    <s v="A150"/>
    <s v="EMP1032"/>
    <s v="C1052"/>
    <x v="89"/>
    <n v="1"/>
    <n v="1889"/>
    <n v="945"/>
    <n v="945"/>
    <n v="1889"/>
    <n v="944"/>
    <s v="Product 41"/>
    <x v="30"/>
    <s v="Larry Castillo"/>
    <x v="638"/>
    <n v="1"/>
    <x v="0"/>
    <x v="9"/>
    <x v="9"/>
    <x v="3"/>
    <x v="0"/>
  </r>
  <r>
    <s v="AX16953"/>
    <s v="ENX2039"/>
    <s v="A154"/>
    <s v="EMP1044"/>
    <s v="C1465"/>
    <x v="92"/>
    <n v="1"/>
    <n v="817"/>
    <n v="409"/>
    <n v="409"/>
    <n v="817"/>
    <n v="408"/>
    <s v="Product 40"/>
    <x v="24"/>
    <s v="Martin Carr"/>
    <x v="88"/>
    <n v="1"/>
    <x v="0"/>
    <x v="9"/>
    <x v="9"/>
    <x v="3"/>
    <x v="0"/>
  </r>
  <r>
    <s v="AX17020"/>
    <s v="ENX2068"/>
    <s v="A140"/>
    <s v="EMP1041"/>
    <s v="C1117"/>
    <x v="89"/>
    <n v="3"/>
    <n v="1500"/>
    <n v="900"/>
    <n v="2700"/>
    <n v="4500"/>
    <n v="1800"/>
    <s v="Product 69"/>
    <x v="18"/>
    <s v="Joe Sims"/>
    <x v="519"/>
    <n v="1"/>
    <x v="0"/>
    <x v="9"/>
    <x v="9"/>
    <x v="3"/>
    <x v="0"/>
  </r>
  <r>
    <s v="AX17366"/>
    <s v="ENX2030"/>
    <s v="A142"/>
    <s v="EMP1007"/>
    <s v="C1500"/>
    <x v="90"/>
    <n v="1"/>
    <n v="1899"/>
    <n v="1044"/>
    <n v="1044"/>
    <n v="1899"/>
    <n v="855"/>
    <s v="Product 31"/>
    <x v="56"/>
    <s v="Jeremy Mendoza"/>
    <x v="639"/>
    <n v="1"/>
    <x v="0"/>
    <x v="9"/>
    <x v="9"/>
    <x v="3"/>
    <x v="0"/>
  </r>
  <r>
    <s v="AX17775"/>
    <s v="ENX2062"/>
    <s v="A156"/>
    <s v="EMP1041"/>
    <s v="C1437"/>
    <x v="89"/>
    <n v="3"/>
    <n v="2464"/>
    <n v="1774"/>
    <n v="5322"/>
    <n v="7392"/>
    <n v="2070"/>
    <s v="Product 63"/>
    <x v="14"/>
    <s v="Joe Sims"/>
    <x v="640"/>
    <n v="1"/>
    <x v="0"/>
    <x v="9"/>
    <x v="9"/>
    <x v="3"/>
    <x v="0"/>
  </r>
  <r>
    <s v="AX18105"/>
    <s v="ENX2020"/>
    <s v="A109"/>
    <s v="EMP1028"/>
    <s v="C1677"/>
    <x v="89"/>
    <n v="1"/>
    <n v="2005"/>
    <n v="1223"/>
    <n v="1223"/>
    <n v="2005"/>
    <n v="782"/>
    <s v="Product 21"/>
    <x v="57"/>
    <s v="Howard Sims"/>
    <x v="641"/>
    <n v="1"/>
    <x v="0"/>
    <x v="9"/>
    <x v="9"/>
    <x v="3"/>
    <x v="0"/>
  </r>
  <r>
    <s v="AX18443"/>
    <s v="ENX2083"/>
    <s v="A159"/>
    <s v="EMP1024"/>
    <s v="C1186"/>
    <x v="89"/>
    <n v="4"/>
    <n v="2141"/>
    <n v="1777"/>
    <n v="7108"/>
    <n v="8564"/>
    <n v="1456"/>
    <s v="Product 84"/>
    <x v="13"/>
    <s v="Ernest Wheeler"/>
    <x v="467"/>
    <n v="1"/>
    <x v="0"/>
    <x v="9"/>
    <x v="9"/>
    <x v="3"/>
    <x v="0"/>
  </r>
  <r>
    <s v="AX18775"/>
    <s v="ENX2043"/>
    <s v="A138"/>
    <s v="EMP1003"/>
    <s v="C1477"/>
    <x v="89"/>
    <n v="1"/>
    <n v="545"/>
    <n v="425"/>
    <n v="425"/>
    <n v="545"/>
    <n v="120"/>
    <s v="Product 44"/>
    <x v="37"/>
    <s v="Christopher Tucker"/>
    <x v="408"/>
    <n v="1"/>
    <x v="0"/>
    <x v="9"/>
    <x v="9"/>
    <x v="3"/>
    <x v="0"/>
  </r>
  <r>
    <s v="AX18811"/>
    <s v="ENX2037"/>
    <s v="A105"/>
    <s v="EMP1003"/>
    <s v="C1578"/>
    <x v="90"/>
    <n v="2"/>
    <n v="880"/>
    <n v="634"/>
    <n v="1268"/>
    <n v="1760"/>
    <n v="492"/>
    <s v="Product 38"/>
    <x v="45"/>
    <s v="Christopher Tucker"/>
    <x v="17"/>
    <n v="1"/>
    <x v="0"/>
    <x v="9"/>
    <x v="9"/>
    <x v="3"/>
    <x v="0"/>
  </r>
  <r>
    <s v="AX19466"/>
    <s v="ENX2028"/>
    <s v="A149"/>
    <s v="EMP1024"/>
    <s v="C1091"/>
    <x v="90"/>
    <n v="1"/>
    <n v="2283"/>
    <n v="1484"/>
    <n v="1484"/>
    <n v="2283"/>
    <n v="799"/>
    <s v="Product 29"/>
    <x v="59"/>
    <s v="Ernest Wheeler"/>
    <x v="513"/>
    <n v="1"/>
    <x v="0"/>
    <x v="9"/>
    <x v="9"/>
    <x v="3"/>
    <x v="0"/>
  </r>
  <r>
    <s v="AX19627"/>
    <s v="ENX2001"/>
    <s v="A128"/>
    <s v="EMP1042"/>
    <s v="C1683"/>
    <x v="91"/>
    <n v="1"/>
    <n v="951"/>
    <n v="504"/>
    <n v="504"/>
    <n v="951"/>
    <n v="447"/>
    <s v="Product 2"/>
    <x v="12"/>
    <s v="Scott Clark"/>
    <x v="379"/>
    <n v="1"/>
    <x v="0"/>
    <x v="9"/>
    <x v="9"/>
    <x v="3"/>
    <x v="0"/>
  </r>
  <r>
    <s v="AX19863"/>
    <s v="ENX2060"/>
    <s v="A130"/>
    <s v="EMP1032"/>
    <s v="C1186"/>
    <x v="89"/>
    <n v="1"/>
    <n v="1467"/>
    <n v="807"/>
    <n v="807"/>
    <n v="1467"/>
    <n v="660"/>
    <s v="Product 61"/>
    <x v="4"/>
    <s v="Larry Castillo"/>
    <x v="467"/>
    <n v="1"/>
    <x v="0"/>
    <x v="9"/>
    <x v="9"/>
    <x v="3"/>
    <x v="0"/>
  </r>
  <r>
    <s v="AX19879"/>
    <s v="ENX2073"/>
    <s v="A157"/>
    <s v="EMP1036"/>
    <s v="C1314"/>
    <x v="92"/>
    <n v="1"/>
    <n v="95"/>
    <n v="61"/>
    <n v="61"/>
    <n v="95"/>
    <n v="34"/>
    <s v="Product 74"/>
    <x v="7"/>
    <s v="Robert Reed"/>
    <x v="421"/>
    <n v="1"/>
    <x v="0"/>
    <x v="9"/>
    <x v="9"/>
    <x v="3"/>
    <x v="0"/>
  </r>
  <r>
    <s v="AX20159"/>
    <s v="ENX2067"/>
    <s v="A169"/>
    <s v="EMP1009"/>
    <s v="C1127"/>
    <x v="91"/>
    <n v="1"/>
    <n v="1119"/>
    <n v="683"/>
    <n v="683"/>
    <n v="1119"/>
    <n v="436"/>
    <s v="Product 68"/>
    <x v="17"/>
    <s v="Kenneth Fields"/>
    <x v="438"/>
    <n v="1"/>
    <x v="0"/>
    <x v="9"/>
    <x v="9"/>
    <x v="3"/>
    <x v="0"/>
  </r>
  <r>
    <s v="AX20311"/>
    <s v="ENX2028"/>
    <s v="A162"/>
    <s v="EMP1018"/>
    <s v="C1422"/>
    <x v="91"/>
    <n v="3"/>
    <n v="2283"/>
    <n v="1484"/>
    <n v="4452"/>
    <n v="6849"/>
    <n v="2397"/>
    <s v="Product 29"/>
    <x v="2"/>
    <s v="Jimmy Young"/>
    <x v="176"/>
    <n v="1"/>
    <x v="0"/>
    <x v="9"/>
    <x v="9"/>
    <x v="3"/>
    <x v="0"/>
  </r>
  <r>
    <s v="AX20671"/>
    <s v="ENX2076"/>
    <s v="A112"/>
    <s v="EMP1014"/>
    <s v="C1305"/>
    <x v="89"/>
    <n v="3"/>
    <n v="1522"/>
    <n v="791"/>
    <n v="2373"/>
    <n v="4566"/>
    <n v="2193"/>
    <s v="Product 77"/>
    <x v="66"/>
    <s v="Ronald Reed"/>
    <x v="344"/>
    <n v="1"/>
    <x v="0"/>
    <x v="9"/>
    <x v="9"/>
    <x v="3"/>
    <x v="0"/>
  </r>
  <r>
    <s v="AX20812"/>
    <s v="ENX2025"/>
    <s v="A103"/>
    <s v="EMP1039"/>
    <s v="C1656"/>
    <x v="90"/>
    <n v="1"/>
    <n v="667"/>
    <n v="387"/>
    <n v="387"/>
    <n v="667"/>
    <n v="280"/>
    <s v="Product 26"/>
    <x v="61"/>
    <s v="Eugene Holmes"/>
    <x v="115"/>
    <n v="1"/>
    <x v="0"/>
    <x v="9"/>
    <x v="9"/>
    <x v="3"/>
    <x v="0"/>
  </r>
  <r>
    <s v="AX20921"/>
    <s v="ENX2090"/>
    <s v="A118"/>
    <s v="EMP1043"/>
    <s v="C1353"/>
    <x v="91"/>
    <n v="4"/>
    <n v="1338"/>
    <n v="682"/>
    <n v="2728"/>
    <n v="5352"/>
    <n v="2624"/>
    <s v="Product 91"/>
    <x v="19"/>
    <s v="Joshua Taylor"/>
    <x v="642"/>
    <n v="1"/>
    <x v="0"/>
    <x v="9"/>
    <x v="9"/>
    <x v="3"/>
    <x v="0"/>
  </r>
  <r>
    <s v="AX21025"/>
    <s v="ENX2075"/>
    <s v="A117"/>
    <s v="EMP1028"/>
    <s v="C1491"/>
    <x v="92"/>
    <n v="1"/>
    <n v="400"/>
    <n v="208"/>
    <n v="208"/>
    <n v="400"/>
    <n v="192"/>
    <s v="Product 76"/>
    <x v="29"/>
    <s v="Howard Sims"/>
    <x v="277"/>
    <n v="1"/>
    <x v="0"/>
    <x v="9"/>
    <x v="9"/>
    <x v="3"/>
    <x v="0"/>
  </r>
  <r>
    <s v="AX21087"/>
    <s v="ENX2013"/>
    <s v="A105"/>
    <s v="EMP1037"/>
    <s v="C1772"/>
    <x v="89"/>
    <n v="3"/>
    <n v="368"/>
    <n v="269"/>
    <n v="807"/>
    <n v="1104"/>
    <n v="297"/>
    <s v="Product 14"/>
    <x v="45"/>
    <s v="Carl Hall"/>
    <x v="643"/>
    <n v="1"/>
    <x v="0"/>
    <x v="9"/>
    <x v="9"/>
    <x v="3"/>
    <x v="0"/>
  </r>
  <r>
    <s v="AX21477"/>
    <s v="ENX2040"/>
    <s v="A103"/>
    <s v="EMP1012"/>
    <s v="C1071"/>
    <x v="89"/>
    <n v="1"/>
    <n v="1889"/>
    <n v="945"/>
    <n v="945"/>
    <n v="1889"/>
    <n v="944"/>
    <s v="Product 41"/>
    <x v="61"/>
    <s v="John Reyes"/>
    <x v="264"/>
    <n v="1"/>
    <x v="0"/>
    <x v="9"/>
    <x v="9"/>
    <x v="3"/>
    <x v="0"/>
  </r>
  <r>
    <s v="AX21526"/>
    <s v="ENX2062"/>
    <s v="A138"/>
    <s v="EMP1005"/>
    <s v="C1340"/>
    <x v="90"/>
    <n v="4"/>
    <n v="2464"/>
    <n v="1774"/>
    <n v="7096"/>
    <n v="9856"/>
    <n v="2760"/>
    <s v="Product 63"/>
    <x v="37"/>
    <s v="Ryan Welch"/>
    <x v="433"/>
    <n v="1"/>
    <x v="0"/>
    <x v="9"/>
    <x v="9"/>
    <x v="3"/>
    <x v="0"/>
  </r>
  <r>
    <s v="AX21783"/>
    <s v="ENX2044"/>
    <s v="A119"/>
    <s v="EMP1008"/>
    <s v="C1337"/>
    <x v="89"/>
    <n v="3"/>
    <n v="886"/>
    <n v="478"/>
    <n v="1434"/>
    <n v="2658"/>
    <n v="1224"/>
    <s v="Product 45"/>
    <x v="16"/>
    <s v="Carl Elliott"/>
    <x v="417"/>
    <n v="1"/>
    <x v="0"/>
    <x v="9"/>
    <x v="9"/>
    <x v="3"/>
    <x v="0"/>
  </r>
  <r>
    <s v="AX22102"/>
    <s v="ENX2067"/>
    <s v="A132"/>
    <s v="EMP1033"/>
    <s v="C1258"/>
    <x v="90"/>
    <n v="1"/>
    <n v="1119"/>
    <n v="683"/>
    <n v="683"/>
    <n v="1119"/>
    <n v="436"/>
    <s v="Product 68"/>
    <x v="48"/>
    <s v="Jerry Perry"/>
    <x v="644"/>
    <n v="1"/>
    <x v="0"/>
    <x v="9"/>
    <x v="9"/>
    <x v="3"/>
    <x v="0"/>
  </r>
  <r>
    <s v="AX23029"/>
    <s v="ENX2099"/>
    <s v="A121"/>
    <s v="EMP1031"/>
    <s v="C1209"/>
    <x v="92"/>
    <n v="2"/>
    <n v="1367"/>
    <n v="984"/>
    <n v="1968"/>
    <n v="2734"/>
    <n v="766"/>
    <s v="Product 100"/>
    <x v="72"/>
    <s v="Brian Thomas"/>
    <x v="225"/>
    <n v="1"/>
    <x v="0"/>
    <x v="9"/>
    <x v="9"/>
    <x v="3"/>
    <x v="0"/>
  </r>
  <r>
    <s v="AX23213"/>
    <s v="ENX2029"/>
    <s v="A146"/>
    <s v="EMP1018"/>
    <s v="C1153"/>
    <x v="92"/>
    <n v="4"/>
    <n v="1848"/>
    <n v="1294"/>
    <n v="5176"/>
    <n v="7392"/>
    <n v="2216"/>
    <s v="Product 30"/>
    <x v="27"/>
    <s v="Jimmy Young"/>
    <x v="382"/>
    <n v="1"/>
    <x v="0"/>
    <x v="9"/>
    <x v="9"/>
    <x v="3"/>
    <x v="0"/>
  </r>
  <r>
    <s v="AX23241"/>
    <s v="ENX2076"/>
    <s v="A116"/>
    <s v="EMP1022"/>
    <s v="C1739"/>
    <x v="89"/>
    <n v="4"/>
    <n v="1522"/>
    <n v="791"/>
    <n v="3164"/>
    <n v="6088"/>
    <n v="2924"/>
    <s v="Product 77"/>
    <x v="15"/>
    <s v="Walter Cook"/>
    <x v="286"/>
    <n v="1"/>
    <x v="0"/>
    <x v="9"/>
    <x v="9"/>
    <x v="3"/>
    <x v="0"/>
  </r>
  <r>
    <s v="AX23288"/>
    <s v="ENX2066"/>
    <s v="A121"/>
    <s v="EMP1043"/>
    <s v="C1145"/>
    <x v="92"/>
    <n v="1"/>
    <n v="2091"/>
    <n v="1485"/>
    <n v="1485"/>
    <n v="2091"/>
    <n v="606"/>
    <s v="Product 67"/>
    <x v="72"/>
    <s v="Joshua Taylor"/>
    <x v="489"/>
    <n v="1"/>
    <x v="0"/>
    <x v="9"/>
    <x v="9"/>
    <x v="3"/>
    <x v="0"/>
  </r>
  <r>
    <s v="AX23508"/>
    <s v="ENX2047"/>
    <s v="A124"/>
    <s v="EMP1038"/>
    <s v="C1650"/>
    <x v="90"/>
    <n v="1"/>
    <n v="290"/>
    <n v="200"/>
    <n v="200"/>
    <n v="290"/>
    <n v="90"/>
    <s v="Product 48"/>
    <x v="67"/>
    <s v="Scott Mason"/>
    <x v="645"/>
    <n v="1"/>
    <x v="0"/>
    <x v="9"/>
    <x v="9"/>
    <x v="3"/>
    <x v="0"/>
  </r>
  <r>
    <s v="AX23888"/>
    <s v="ENX2088"/>
    <s v="A150"/>
    <s v="EMP1011"/>
    <s v="C1211"/>
    <x v="91"/>
    <n v="3"/>
    <n v="603"/>
    <n v="416"/>
    <n v="1248"/>
    <n v="1809"/>
    <n v="561"/>
    <s v="Product 89"/>
    <x v="30"/>
    <s v="Larry Marshall"/>
    <x v="137"/>
    <n v="1"/>
    <x v="0"/>
    <x v="9"/>
    <x v="9"/>
    <x v="3"/>
    <x v="0"/>
  </r>
  <r>
    <s v="AX23977"/>
    <s v="ENX2061"/>
    <s v="A147"/>
    <s v="EMP1016"/>
    <s v="C1375"/>
    <x v="90"/>
    <n v="1"/>
    <n v="913"/>
    <n v="584"/>
    <n v="584"/>
    <n v="913"/>
    <n v="329"/>
    <s v="Product 62"/>
    <x v="42"/>
    <s v="Henry Nelson"/>
    <x v="9"/>
    <n v="1"/>
    <x v="0"/>
    <x v="9"/>
    <x v="9"/>
    <x v="3"/>
    <x v="0"/>
  </r>
  <r>
    <s v="AX24691"/>
    <s v="ENX2010"/>
    <s v="A155"/>
    <s v="EMP1007"/>
    <s v="C1056"/>
    <x v="90"/>
    <n v="1"/>
    <n v="1812"/>
    <n v="1305"/>
    <n v="1305"/>
    <n v="1812"/>
    <n v="507"/>
    <s v="Product 11"/>
    <x v="53"/>
    <s v="Jeremy Mendoza"/>
    <x v="260"/>
    <n v="1"/>
    <x v="0"/>
    <x v="9"/>
    <x v="9"/>
    <x v="3"/>
    <x v="0"/>
  </r>
  <r>
    <s v="AX24745"/>
    <s v="ENX2083"/>
    <s v="A172"/>
    <s v="EMP1040"/>
    <s v="C1522"/>
    <x v="90"/>
    <n v="3"/>
    <n v="2141"/>
    <n v="1777"/>
    <n v="5331"/>
    <n v="6423"/>
    <n v="1092"/>
    <s v="Product 84"/>
    <x v="36"/>
    <s v="Patrick Ruiz"/>
    <x v="121"/>
    <n v="1"/>
    <x v="0"/>
    <x v="9"/>
    <x v="9"/>
    <x v="3"/>
    <x v="0"/>
  </r>
  <r>
    <s v="AX10101"/>
    <s v="ENX2036"/>
    <s v="A128"/>
    <s v="EMP1042"/>
    <s v="C1030"/>
    <x v="93"/>
    <n v="1"/>
    <n v="1582"/>
    <n v="1234"/>
    <n v="1234"/>
    <n v="1582"/>
    <n v="348"/>
    <s v="Product 37"/>
    <x v="12"/>
    <s v="Scott Clark"/>
    <x v="106"/>
    <n v="1"/>
    <x v="0"/>
    <x v="9"/>
    <x v="9"/>
    <x v="3"/>
    <x v="2"/>
  </r>
  <r>
    <s v="AX10164"/>
    <s v="ENX2048"/>
    <s v="A134"/>
    <s v="EMP1010"/>
    <s v="C1285"/>
    <x v="94"/>
    <n v="1"/>
    <n v="502"/>
    <n v="296"/>
    <n v="296"/>
    <n v="502"/>
    <n v="206"/>
    <s v="Product 49"/>
    <x v="41"/>
    <s v="Joshua Cook"/>
    <x v="440"/>
    <n v="1"/>
    <x v="0"/>
    <x v="9"/>
    <x v="9"/>
    <x v="3"/>
    <x v="2"/>
  </r>
  <r>
    <s v="AX10222"/>
    <s v="ENX2059"/>
    <s v="A117"/>
    <s v="EMP1012"/>
    <s v="C1168"/>
    <x v="95"/>
    <n v="1"/>
    <n v="1494"/>
    <n v="971"/>
    <n v="971"/>
    <n v="1494"/>
    <n v="523"/>
    <s v="Product 60"/>
    <x v="29"/>
    <s v="John Reyes"/>
    <x v="532"/>
    <n v="1"/>
    <x v="0"/>
    <x v="9"/>
    <x v="9"/>
    <x v="3"/>
    <x v="2"/>
  </r>
  <r>
    <s v="AX10841"/>
    <s v="ENX2042"/>
    <s v="A153"/>
    <s v="EMP1044"/>
    <s v="C1198"/>
    <x v="96"/>
    <n v="3"/>
    <n v="203"/>
    <n v="154"/>
    <n v="462"/>
    <n v="609"/>
    <n v="147"/>
    <s v="Product 43"/>
    <x v="8"/>
    <s v="Martin Carr"/>
    <x v="42"/>
    <n v="1"/>
    <x v="0"/>
    <x v="9"/>
    <x v="9"/>
    <x v="3"/>
    <x v="2"/>
  </r>
  <r>
    <s v="AX11284"/>
    <s v="ENX2050"/>
    <s v="A130"/>
    <s v="EMP1012"/>
    <s v="C1052"/>
    <x v="94"/>
    <n v="1"/>
    <n v="2391"/>
    <n v="1291"/>
    <n v="1291"/>
    <n v="2391"/>
    <n v="1100"/>
    <s v="Product 51"/>
    <x v="4"/>
    <s v="John Reyes"/>
    <x v="638"/>
    <n v="1"/>
    <x v="0"/>
    <x v="9"/>
    <x v="9"/>
    <x v="3"/>
    <x v="2"/>
  </r>
  <r>
    <s v="AX11391"/>
    <s v="ENX2016"/>
    <s v="A172"/>
    <s v="EMP1019"/>
    <s v="C1743"/>
    <x v="94"/>
    <n v="1"/>
    <n v="1351"/>
    <n v="1108"/>
    <n v="1108"/>
    <n v="1351"/>
    <n v="243"/>
    <s v="Product 17"/>
    <x v="36"/>
    <s v="Roger Robertson"/>
    <x v="276"/>
    <n v="1"/>
    <x v="0"/>
    <x v="9"/>
    <x v="9"/>
    <x v="3"/>
    <x v="2"/>
  </r>
  <r>
    <s v="AX12063"/>
    <s v="ENX2049"/>
    <s v="A107"/>
    <s v="EMP1019"/>
    <s v="C1656"/>
    <x v="96"/>
    <n v="4"/>
    <n v="826"/>
    <n v="562"/>
    <n v="2248"/>
    <n v="3304"/>
    <n v="1056"/>
    <s v="Product 50"/>
    <x v="21"/>
    <s v="Roger Robertson"/>
    <x v="115"/>
    <n v="1"/>
    <x v="0"/>
    <x v="9"/>
    <x v="9"/>
    <x v="3"/>
    <x v="2"/>
  </r>
  <r>
    <s v="AX12456"/>
    <s v="ENX2087"/>
    <s v="A129"/>
    <s v="EMP1010"/>
    <s v="C1017"/>
    <x v="95"/>
    <n v="1"/>
    <n v="1022"/>
    <n v="818"/>
    <n v="818"/>
    <n v="1022"/>
    <n v="204"/>
    <s v="Product 88"/>
    <x v="22"/>
    <s v="Joshua Cook"/>
    <x v="402"/>
    <n v="1"/>
    <x v="0"/>
    <x v="9"/>
    <x v="9"/>
    <x v="3"/>
    <x v="2"/>
  </r>
  <r>
    <s v="AX12659"/>
    <s v="ENX2007"/>
    <s v="A133"/>
    <s v="EMP1025"/>
    <s v="C1581"/>
    <x v="95"/>
    <n v="4"/>
    <n v="1405"/>
    <n v="1054"/>
    <n v="4216"/>
    <n v="5620"/>
    <n v="1404"/>
    <s v="Product 8"/>
    <x v="46"/>
    <s v="Ernest Wagner"/>
    <x v="510"/>
    <n v="1"/>
    <x v="0"/>
    <x v="9"/>
    <x v="9"/>
    <x v="3"/>
    <x v="2"/>
  </r>
  <r>
    <s v="AX12703"/>
    <s v="ENX2025"/>
    <s v="A118"/>
    <s v="EMP1040"/>
    <s v="C1529"/>
    <x v="94"/>
    <n v="3"/>
    <n v="667"/>
    <n v="387"/>
    <n v="1161"/>
    <n v="2001"/>
    <n v="840"/>
    <s v="Product 26"/>
    <x v="19"/>
    <s v="Patrick Ruiz"/>
    <x v="247"/>
    <n v="1"/>
    <x v="0"/>
    <x v="9"/>
    <x v="9"/>
    <x v="3"/>
    <x v="2"/>
  </r>
  <r>
    <s v="AX12936"/>
    <s v="ENX2089"/>
    <s v="A120"/>
    <s v="EMP1036"/>
    <s v="C1167"/>
    <x v="95"/>
    <n v="1"/>
    <n v="2294"/>
    <n v="1399"/>
    <n v="1399"/>
    <n v="2294"/>
    <n v="895"/>
    <s v="Product 90"/>
    <x v="20"/>
    <s v="Robert Reed"/>
    <x v="481"/>
    <n v="1"/>
    <x v="0"/>
    <x v="9"/>
    <x v="9"/>
    <x v="3"/>
    <x v="2"/>
  </r>
  <r>
    <s v="AX13214"/>
    <s v="ENX2006"/>
    <s v="A152"/>
    <s v="EMP1030"/>
    <s v="C1445"/>
    <x v="95"/>
    <n v="1"/>
    <n v="1826"/>
    <n v="1443"/>
    <n v="1443"/>
    <n v="1826"/>
    <n v="383"/>
    <s v="Product 7"/>
    <x v="26"/>
    <s v="Bobby Russell"/>
    <x v="239"/>
    <n v="1"/>
    <x v="0"/>
    <x v="9"/>
    <x v="9"/>
    <x v="3"/>
    <x v="2"/>
  </r>
  <r>
    <s v="AX13592"/>
    <s v="ENX2006"/>
    <s v="A126"/>
    <s v="EMP1028"/>
    <s v="C1112"/>
    <x v="93"/>
    <n v="4"/>
    <n v="1826"/>
    <n v="1443"/>
    <n v="5772"/>
    <n v="7304"/>
    <n v="1532"/>
    <s v="Product 7"/>
    <x v="5"/>
    <s v="Howard Sims"/>
    <x v="590"/>
    <n v="1"/>
    <x v="0"/>
    <x v="9"/>
    <x v="9"/>
    <x v="3"/>
    <x v="2"/>
  </r>
  <r>
    <s v="AX13707"/>
    <s v="ENX2088"/>
    <s v="A144"/>
    <s v="EMP1014"/>
    <s v="C1545"/>
    <x v="95"/>
    <n v="1"/>
    <n v="603"/>
    <n v="416"/>
    <n v="416"/>
    <n v="603"/>
    <n v="187"/>
    <s v="Product 89"/>
    <x v="65"/>
    <s v="Ronald Reed"/>
    <x v="646"/>
    <n v="1"/>
    <x v="0"/>
    <x v="9"/>
    <x v="9"/>
    <x v="3"/>
    <x v="2"/>
  </r>
  <r>
    <s v="AX14235"/>
    <s v="ENX2007"/>
    <s v="A125"/>
    <s v="EMP1000"/>
    <s v="C1612"/>
    <x v="94"/>
    <n v="4"/>
    <n v="1405"/>
    <n v="1054"/>
    <n v="4216"/>
    <n v="5620"/>
    <n v="1404"/>
    <s v="Product 8"/>
    <x v="31"/>
    <s v="Fred Robertson"/>
    <x v="46"/>
    <n v="1"/>
    <x v="0"/>
    <x v="9"/>
    <x v="9"/>
    <x v="3"/>
    <x v="2"/>
  </r>
  <r>
    <s v="AX14619"/>
    <s v="ENX2092"/>
    <s v="A150"/>
    <s v="EMP1023"/>
    <s v="C1600"/>
    <x v="93"/>
    <n v="2"/>
    <n v="1639"/>
    <n v="1295"/>
    <n v="2590"/>
    <n v="3278"/>
    <n v="688"/>
    <s v="Product 93"/>
    <x v="30"/>
    <s v="Brian Davis"/>
    <x v="266"/>
    <n v="1"/>
    <x v="0"/>
    <x v="9"/>
    <x v="9"/>
    <x v="3"/>
    <x v="2"/>
  </r>
  <r>
    <s v="AX14917"/>
    <s v="ENX2058"/>
    <s v="A160"/>
    <s v="EMP1002"/>
    <s v="C1314"/>
    <x v="94"/>
    <n v="1"/>
    <n v="2257"/>
    <n v="1535"/>
    <n v="1535"/>
    <n v="2257"/>
    <n v="722"/>
    <s v="Product 59"/>
    <x v="9"/>
    <s v="Andrew Bowman"/>
    <x v="421"/>
    <n v="1"/>
    <x v="0"/>
    <x v="9"/>
    <x v="9"/>
    <x v="3"/>
    <x v="2"/>
  </r>
  <r>
    <s v="AX14960"/>
    <s v="ENX2084"/>
    <s v="A108"/>
    <s v="EMP1008"/>
    <s v="C1611"/>
    <x v="94"/>
    <n v="1"/>
    <n v="1783"/>
    <n v="1230"/>
    <n v="1230"/>
    <n v="1783"/>
    <n v="553"/>
    <s v="Product 85"/>
    <x v="49"/>
    <s v="Carl Elliott"/>
    <x v="306"/>
    <n v="1"/>
    <x v="0"/>
    <x v="9"/>
    <x v="9"/>
    <x v="3"/>
    <x v="2"/>
  </r>
  <r>
    <s v="AX15067"/>
    <s v="ENX2009"/>
    <s v="A151"/>
    <s v="EMP1021"/>
    <s v="C1666"/>
    <x v="95"/>
    <n v="1"/>
    <n v="584"/>
    <n v="420"/>
    <n v="420"/>
    <n v="584"/>
    <n v="164"/>
    <s v="Product 10"/>
    <x v="1"/>
    <s v="Clarence Fox"/>
    <x v="473"/>
    <n v="1"/>
    <x v="0"/>
    <x v="9"/>
    <x v="9"/>
    <x v="3"/>
    <x v="2"/>
  </r>
  <r>
    <s v="AX15290"/>
    <s v="ENX2061"/>
    <s v="A148"/>
    <s v="EMP1019"/>
    <s v="C1199"/>
    <x v="94"/>
    <n v="3"/>
    <n v="913"/>
    <n v="584"/>
    <n v="1752"/>
    <n v="2739"/>
    <n v="987"/>
    <s v="Product 62"/>
    <x v="62"/>
    <s v="Roger Robertson"/>
    <x v="245"/>
    <n v="1"/>
    <x v="0"/>
    <x v="9"/>
    <x v="9"/>
    <x v="3"/>
    <x v="2"/>
  </r>
  <r>
    <s v="AX15725"/>
    <s v="ENX2082"/>
    <s v="A145"/>
    <s v="EMP1035"/>
    <s v="C1408"/>
    <x v="94"/>
    <n v="3"/>
    <n v="1103"/>
    <n v="838"/>
    <n v="2514"/>
    <n v="3309"/>
    <n v="795"/>
    <s v="Product 83"/>
    <x v="35"/>
    <s v="Roger Ramos"/>
    <x v="647"/>
    <n v="1"/>
    <x v="0"/>
    <x v="9"/>
    <x v="9"/>
    <x v="3"/>
    <x v="2"/>
  </r>
  <r>
    <s v="AX15776"/>
    <s v="ENX2060"/>
    <s v="A130"/>
    <s v="EMP1017"/>
    <s v="C1248"/>
    <x v="94"/>
    <n v="3"/>
    <n v="1467"/>
    <n v="807"/>
    <n v="2421"/>
    <n v="4401"/>
    <n v="1980"/>
    <s v="Product 61"/>
    <x v="4"/>
    <s v="Brian Hansen"/>
    <x v="354"/>
    <n v="1"/>
    <x v="0"/>
    <x v="9"/>
    <x v="9"/>
    <x v="3"/>
    <x v="2"/>
  </r>
  <r>
    <s v="AX16228"/>
    <s v="ENX2001"/>
    <s v="A148"/>
    <s v="EMP1028"/>
    <s v="C1057"/>
    <x v="94"/>
    <n v="1"/>
    <n v="951"/>
    <n v="504"/>
    <n v="504"/>
    <n v="951"/>
    <n v="447"/>
    <s v="Product 2"/>
    <x v="62"/>
    <s v="Howard Sims"/>
    <x v="635"/>
    <n v="1"/>
    <x v="0"/>
    <x v="9"/>
    <x v="9"/>
    <x v="3"/>
    <x v="2"/>
  </r>
  <r>
    <s v="AX16403"/>
    <s v="ENX2033"/>
    <s v="A149"/>
    <s v="EMP1043"/>
    <s v="C1779"/>
    <x v="94"/>
    <n v="1"/>
    <n v="2182"/>
    <n v="1200"/>
    <n v="1200"/>
    <n v="2182"/>
    <n v="982"/>
    <s v="Product 34"/>
    <x v="59"/>
    <s v="Joshua Taylor"/>
    <x v="648"/>
    <n v="1"/>
    <x v="0"/>
    <x v="9"/>
    <x v="9"/>
    <x v="3"/>
    <x v="2"/>
  </r>
  <r>
    <s v="AX16551"/>
    <s v="ENX2066"/>
    <s v="A156"/>
    <s v="EMP1039"/>
    <s v="C1662"/>
    <x v="94"/>
    <n v="3"/>
    <n v="2091"/>
    <n v="1485"/>
    <n v="4455"/>
    <n v="6273"/>
    <n v="1818"/>
    <s v="Product 67"/>
    <x v="14"/>
    <s v="Eugene Holmes"/>
    <x v="649"/>
    <n v="1"/>
    <x v="0"/>
    <x v="9"/>
    <x v="9"/>
    <x v="3"/>
    <x v="2"/>
  </r>
  <r>
    <s v="AX17458"/>
    <s v="ENX2022"/>
    <s v="A127"/>
    <s v="EMP1002"/>
    <s v="C1215"/>
    <x v="94"/>
    <n v="3"/>
    <n v="561"/>
    <n v="421"/>
    <n v="1263"/>
    <n v="1683"/>
    <n v="420"/>
    <s v="Product 23"/>
    <x v="69"/>
    <s v="Andrew Bowman"/>
    <x v="650"/>
    <n v="1"/>
    <x v="0"/>
    <x v="9"/>
    <x v="9"/>
    <x v="3"/>
    <x v="2"/>
  </r>
  <r>
    <s v="AX18142"/>
    <s v="ENX2042"/>
    <s v="A173"/>
    <s v="EMP1013"/>
    <s v="C1386"/>
    <x v="94"/>
    <n v="1"/>
    <n v="203"/>
    <n v="154"/>
    <n v="154"/>
    <n v="203"/>
    <n v="49"/>
    <s v="Product 43"/>
    <x v="25"/>
    <s v="Charles Harper"/>
    <x v="123"/>
    <n v="1"/>
    <x v="0"/>
    <x v="9"/>
    <x v="9"/>
    <x v="3"/>
    <x v="2"/>
  </r>
  <r>
    <s v="AX18171"/>
    <s v="ENX2089"/>
    <s v="A158"/>
    <s v="EMP1038"/>
    <s v="C1429"/>
    <x v="95"/>
    <n v="1"/>
    <n v="2294"/>
    <n v="1399"/>
    <n v="1399"/>
    <n v="2294"/>
    <n v="895"/>
    <s v="Product 90"/>
    <x v="58"/>
    <s v="Scott Mason"/>
    <x v="651"/>
    <n v="1"/>
    <x v="0"/>
    <x v="9"/>
    <x v="9"/>
    <x v="3"/>
    <x v="2"/>
  </r>
  <r>
    <s v="AX18360"/>
    <s v="ENX2082"/>
    <s v="A154"/>
    <s v="EMP1031"/>
    <s v="C1498"/>
    <x v="94"/>
    <n v="4"/>
    <n v="1103"/>
    <n v="838"/>
    <n v="3352"/>
    <n v="4412"/>
    <n v="1060"/>
    <s v="Product 83"/>
    <x v="24"/>
    <s v="Brian Thomas"/>
    <x v="10"/>
    <n v="1"/>
    <x v="0"/>
    <x v="9"/>
    <x v="9"/>
    <x v="3"/>
    <x v="2"/>
  </r>
  <r>
    <s v="AX18575"/>
    <s v="ENX2033"/>
    <s v="A137"/>
    <s v="EMP1037"/>
    <s v="C1247"/>
    <x v="95"/>
    <n v="1"/>
    <n v="2182"/>
    <n v="1200"/>
    <n v="1200"/>
    <n v="2182"/>
    <n v="982"/>
    <s v="Product 34"/>
    <x v="68"/>
    <s v="Carl Hall"/>
    <x v="552"/>
    <n v="1"/>
    <x v="0"/>
    <x v="9"/>
    <x v="9"/>
    <x v="3"/>
    <x v="2"/>
  </r>
  <r>
    <s v="AX18925"/>
    <s v="ENX2003"/>
    <s v="A164"/>
    <s v="EMP1031"/>
    <s v="C1272"/>
    <x v="95"/>
    <n v="1"/>
    <n v="1783"/>
    <n v="1516"/>
    <n v="1516"/>
    <n v="1783"/>
    <n v="267"/>
    <s v="Product 4"/>
    <x v="3"/>
    <s v="Brian Thomas"/>
    <x v="491"/>
    <n v="1"/>
    <x v="0"/>
    <x v="9"/>
    <x v="9"/>
    <x v="3"/>
    <x v="2"/>
  </r>
  <r>
    <s v="AX19644"/>
    <s v="ENX2034"/>
    <s v="A112"/>
    <s v="EMP1029"/>
    <s v="C1359"/>
    <x v="93"/>
    <n v="1"/>
    <n v="871"/>
    <n v="540"/>
    <n v="540"/>
    <n v="871"/>
    <n v="331"/>
    <s v="Product 35"/>
    <x v="66"/>
    <s v="Howard Gardner"/>
    <x v="652"/>
    <n v="1"/>
    <x v="0"/>
    <x v="9"/>
    <x v="9"/>
    <x v="3"/>
    <x v="2"/>
  </r>
  <r>
    <s v="AX20204"/>
    <s v="ENX2099"/>
    <s v="A162"/>
    <s v="EMP1030"/>
    <s v="C1466"/>
    <x v="95"/>
    <n v="1"/>
    <n v="1367"/>
    <n v="984"/>
    <n v="984"/>
    <n v="1367"/>
    <n v="383"/>
    <s v="Product 100"/>
    <x v="2"/>
    <s v="Bobby Russell"/>
    <x v="132"/>
    <n v="1"/>
    <x v="0"/>
    <x v="9"/>
    <x v="9"/>
    <x v="3"/>
    <x v="2"/>
  </r>
  <r>
    <s v="AX20643"/>
    <s v="ENX2066"/>
    <s v="A160"/>
    <s v="EMP1000"/>
    <s v="C1032"/>
    <x v="94"/>
    <n v="2"/>
    <n v="2091"/>
    <n v="1485"/>
    <n v="2970"/>
    <n v="4182"/>
    <n v="1212"/>
    <s v="Product 67"/>
    <x v="9"/>
    <s v="Fred Robertson"/>
    <x v="270"/>
    <n v="1"/>
    <x v="0"/>
    <x v="9"/>
    <x v="9"/>
    <x v="3"/>
    <x v="2"/>
  </r>
  <r>
    <s v="AX20864"/>
    <s v="ENX2097"/>
    <s v="A104"/>
    <s v="EMP1022"/>
    <s v="C1498"/>
    <x v="96"/>
    <n v="4"/>
    <n v="1052"/>
    <n v="589"/>
    <n v="2356"/>
    <n v="4208"/>
    <n v="1852"/>
    <s v="Product 98"/>
    <x v="50"/>
    <s v="Walter Cook"/>
    <x v="10"/>
    <n v="1"/>
    <x v="0"/>
    <x v="9"/>
    <x v="9"/>
    <x v="3"/>
    <x v="2"/>
  </r>
  <r>
    <s v="AX21345"/>
    <s v="ENX2001"/>
    <s v="A173"/>
    <s v="EMP1017"/>
    <s v="C1141"/>
    <x v="96"/>
    <n v="4"/>
    <n v="951"/>
    <n v="504"/>
    <n v="2016"/>
    <n v="3804"/>
    <n v="1788"/>
    <s v="Product 2"/>
    <x v="25"/>
    <s v="Brian Hansen"/>
    <x v="166"/>
    <n v="1"/>
    <x v="0"/>
    <x v="9"/>
    <x v="9"/>
    <x v="3"/>
    <x v="2"/>
  </r>
  <r>
    <s v="AX21693"/>
    <s v="ENX2016"/>
    <s v="A159"/>
    <s v="EMP1008"/>
    <s v="C1040"/>
    <x v="94"/>
    <n v="1"/>
    <n v="1351"/>
    <n v="1108"/>
    <n v="1108"/>
    <n v="1351"/>
    <n v="243"/>
    <s v="Product 17"/>
    <x v="13"/>
    <s v="Carl Elliott"/>
    <x v="221"/>
    <n v="1"/>
    <x v="0"/>
    <x v="9"/>
    <x v="9"/>
    <x v="3"/>
    <x v="2"/>
  </r>
  <r>
    <s v="AX21710"/>
    <s v="ENX2054"/>
    <s v="A116"/>
    <s v="EMP1014"/>
    <s v="C1440"/>
    <x v="95"/>
    <n v="2"/>
    <n v="127"/>
    <n v="79"/>
    <n v="158"/>
    <n v="254"/>
    <n v="96"/>
    <s v="Product 55"/>
    <x v="15"/>
    <s v="Ronald Reed"/>
    <x v="52"/>
    <n v="1"/>
    <x v="0"/>
    <x v="9"/>
    <x v="9"/>
    <x v="3"/>
    <x v="2"/>
  </r>
  <r>
    <s v="AX22294"/>
    <s v="ENX2023"/>
    <s v="A103"/>
    <s v="EMP1025"/>
    <s v="C1588"/>
    <x v="94"/>
    <n v="2"/>
    <n v="818"/>
    <n v="450"/>
    <n v="900"/>
    <n v="1636"/>
    <n v="736"/>
    <s v="Product 24"/>
    <x v="61"/>
    <s v="Ernest Wagner"/>
    <x v="653"/>
    <n v="1"/>
    <x v="0"/>
    <x v="9"/>
    <x v="9"/>
    <x v="3"/>
    <x v="2"/>
  </r>
  <r>
    <s v="AX22570"/>
    <s v="ENX2013"/>
    <s v="A147"/>
    <s v="EMP1029"/>
    <s v="C1274"/>
    <x v="96"/>
    <n v="4"/>
    <n v="368"/>
    <n v="269"/>
    <n v="1076"/>
    <n v="1472"/>
    <n v="396"/>
    <s v="Product 14"/>
    <x v="42"/>
    <s v="Howard Gardner"/>
    <x v="173"/>
    <n v="1"/>
    <x v="0"/>
    <x v="9"/>
    <x v="9"/>
    <x v="3"/>
    <x v="2"/>
  </r>
  <r>
    <s v="AX22950"/>
    <s v="ENX2025"/>
    <s v="A146"/>
    <s v="EMP1006"/>
    <s v="C1546"/>
    <x v="96"/>
    <n v="2"/>
    <n v="667"/>
    <n v="387"/>
    <n v="774"/>
    <n v="1334"/>
    <n v="560"/>
    <s v="Product 26"/>
    <x v="27"/>
    <s v="Sean Miller"/>
    <x v="119"/>
    <n v="1"/>
    <x v="0"/>
    <x v="9"/>
    <x v="9"/>
    <x v="3"/>
    <x v="2"/>
  </r>
  <r>
    <s v="AX23457"/>
    <s v="ENX2057"/>
    <s v="A173"/>
    <s v="EMP1041"/>
    <s v="C1766"/>
    <x v="94"/>
    <n v="3"/>
    <n v="181"/>
    <n v="130"/>
    <n v="390"/>
    <n v="543"/>
    <n v="153"/>
    <s v="Product 58"/>
    <x v="25"/>
    <s v="Joe Sims"/>
    <x v="452"/>
    <n v="1"/>
    <x v="0"/>
    <x v="9"/>
    <x v="9"/>
    <x v="3"/>
    <x v="2"/>
  </r>
  <r>
    <s v="AX23728"/>
    <s v="ENX2076"/>
    <s v="A126"/>
    <s v="EMP1005"/>
    <s v="C1311"/>
    <x v="95"/>
    <n v="2"/>
    <n v="1522"/>
    <n v="791"/>
    <n v="1582"/>
    <n v="3044"/>
    <n v="1462"/>
    <s v="Product 77"/>
    <x v="5"/>
    <s v="Ryan Welch"/>
    <x v="309"/>
    <n v="1"/>
    <x v="0"/>
    <x v="9"/>
    <x v="9"/>
    <x v="3"/>
    <x v="2"/>
  </r>
  <r>
    <s v="AX23849"/>
    <s v="ENX2053"/>
    <s v="A101"/>
    <s v="EMP1008"/>
    <s v="C1204"/>
    <x v="93"/>
    <n v="3"/>
    <n v="596"/>
    <n v="358"/>
    <n v="1074"/>
    <n v="1788"/>
    <n v="714"/>
    <s v="Product 54"/>
    <x v="60"/>
    <s v="Carl Elliott"/>
    <x v="654"/>
    <n v="1"/>
    <x v="0"/>
    <x v="9"/>
    <x v="9"/>
    <x v="3"/>
    <x v="2"/>
  </r>
  <r>
    <s v="AX24608"/>
    <s v="ENX2065"/>
    <s v="A109"/>
    <s v="EMP1022"/>
    <s v="C1544"/>
    <x v="95"/>
    <n v="1"/>
    <n v="2396"/>
    <n v="1965"/>
    <n v="1965"/>
    <n v="2396"/>
    <n v="431"/>
    <s v="Product 66"/>
    <x v="57"/>
    <s v="Walter Cook"/>
    <x v="196"/>
    <n v="1"/>
    <x v="0"/>
    <x v="9"/>
    <x v="9"/>
    <x v="3"/>
    <x v="2"/>
  </r>
  <r>
    <s v="AX24680"/>
    <s v="ENX2042"/>
    <s v="A173"/>
    <s v="EMP1029"/>
    <s v="C1147"/>
    <x v="94"/>
    <n v="3"/>
    <n v="203"/>
    <n v="154"/>
    <n v="462"/>
    <n v="609"/>
    <n v="147"/>
    <s v="Product 43"/>
    <x v="25"/>
    <s v="Howard Gardner"/>
    <x v="427"/>
    <n v="1"/>
    <x v="0"/>
    <x v="9"/>
    <x v="9"/>
    <x v="3"/>
    <x v="2"/>
  </r>
  <r>
    <s v="AX10451"/>
    <s v="ENX2097"/>
    <s v="A143"/>
    <s v="EMP1021"/>
    <s v="C1299"/>
    <x v="97"/>
    <n v="1"/>
    <n v="1052"/>
    <n v="589"/>
    <n v="589"/>
    <n v="1052"/>
    <n v="463"/>
    <s v="Product 98"/>
    <x v="39"/>
    <s v="Clarence Fox"/>
    <x v="655"/>
    <n v="1"/>
    <x v="0"/>
    <x v="10"/>
    <x v="10"/>
    <x v="3"/>
    <x v="0"/>
  </r>
  <r>
    <s v="AX10570"/>
    <s v="ENX2045"/>
    <s v="A157"/>
    <s v="EMP1000"/>
    <s v="C1124"/>
    <x v="97"/>
    <n v="1"/>
    <n v="556"/>
    <n v="395"/>
    <n v="395"/>
    <n v="556"/>
    <n v="161"/>
    <s v="Product 46"/>
    <x v="7"/>
    <s v="Fred Robertson"/>
    <x v="102"/>
    <n v="1"/>
    <x v="0"/>
    <x v="10"/>
    <x v="10"/>
    <x v="3"/>
    <x v="0"/>
  </r>
  <r>
    <s v="AX10960"/>
    <s v="ENX2003"/>
    <s v="A124"/>
    <s v="EMP1042"/>
    <s v="C1309"/>
    <x v="98"/>
    <n v="3"/>
    <n v="1783"/>
    <n v="1516"/>
    <n v="4548"/>
    <n v="5349"/>
    <n v="801"/>
    <s v="Product 4"/>
    <x v="67"/>
    <s v="Scott Clark"/>
    <x v="139"/>
    <n v="1"/>
    <x v="0"/>
    <x v="10"/>
    <x v="10"/>
    <x v="3"/>
    <x v="0"/>
  </r>
  <r>
    <s v="AX11095"/>
    <s v="ENX2011"/>
    <s v="A136"/>
    <s v="EMP1011"/>
    <s v="C1702"/>
    <x v="99"/>
    <n v="1"/>
    <n v="530"/>
    <n v="435"/>
    <n v="435"/>
    <n v="530"/>
    <n v="95"/>
    <s v="Product 12"/>
    <x v="43"/>
    <s v="Larry Marshall"/>
    <x v="70"/>
    <n v="1"/>
    <x v="0"/>
    <x v="10"/>
    <x v="10"/>
    <x v="3"/>
    <x v="0"/>
  </r>
  <r>
    <s v="AX11116"/>
    <s v="ENX2029"/>
    <s v="A130"/>
    <s v="EMP1029"/>
    <s v="C1709"/>
    <x v="97"/>
    <n v="1"/>
    <n v="1848"/>
    <n v="1294"/>
    <n v="1294"/>
    <n v="1848"/>
    <n v="554"/>
    <s v="Product 30"/>
    <x v="4"/>
    <s v="Howard Gardner"/>
    <x v="203"/>
    <n v="1"/>
    <x v="0"/>
    <x v="10"/>
    <x v="10"/>
    <x v="3"/>
    <x v="0"/>
  </r>
  <r>
    <s v="AX11442"/>
    <s v="ENX2096"/>
    <s v="A107"/>
    <s v="EMP1005"/>
    <s v="C1273"/>
    <x v="98"/>
    <n v="1"/>
    <n v="1587"/>
    <n v="1301"/>
    <n v="1301"/>
    <n v="1587"/>
    <n v="286"/>
    <s v="Product 97"/>
    <x v="21"/>
    <s v="Ryan Welch"/>
    <x v="469"/>
    <n v="1"/>
    <x v="0"/>
    <x v="10"/>
    <x v="10"/>
    <x v="3"/>
    <x v="0"/>
  </r>
  <r>
    <s v="AX11579"/>
    <s v="ENX2032"/>
    <s v="A105"/>
    <s v="EMP1027"/>
    <s v="C1108"/>
    <x v="99"/>
    <n v="2"/>
    <n v="1967"/>
    <n v="1397"/>
    <n v="2794"/>
    <n v="3934"/>
    <n v="1140"/>
    <s v="Product 33"/>
    <x v="45"/>
    <s v="Gary Rodriguez"/>
    <x v="656"/>
    <n v="1"/>
    <x v="0"/>
    <x v="10"/>
    <x v="10"/>
    <x v="3"/>
    <x v="0"/>
  </r>
  <r>
    <s v="AX12297"/>
    <s v="ENX2054"/>
    <s v="A129"/>
    <s v="EMP1028"/>
    <s v="C1257"/>
    <x v="98"/>
    <n v="1"/>
    <n v="127"/>
    <n v="79"/>
    <n v="79"/>
    <n v="127"/>
    <n v="48"/>
    <s v="Product 55"/>
    <x v="22"/>
    <s v="Howard Sims"/>
    <x v="287"/>
    <n v="1"/>
    <x v="0"/>
    <x v="10"/>
    <x v="10"/>
    <x v="3"/>
    <x v="0"/>
  </r>
  <r>
    <s v="AX12833"/>
    <s v="ENX2004"/>
    <s v="A148"/>
    <s v="EMP1037"/>
    <s v="C1414"/>
    <x v="100"/>
    <n v="3"/>
    <n v="1278"/>
    <n v="665"/>
    <n v="1995"/>
    <n v="3834"/>
    <n v="1839"/>
    <s v="Product 5"/>
    <x v="62"/>
    <s v="Carl Hall"/>
    <x v="140"/>
    <n v="1"/>
    <x v="0"/>
    <x v="10"/>
    <x v="10"/>
    <x v="3"/>
    <x v="0"/>
  </r>
  <r>
    <s v="AX13394"/>
    <s v="ENX2063"/>
    <s v="A125"/>
    <s v="EMP1041"/>
    <s v="C1644"/>
    <x v="99"/>
    <n v="1"/>
    <n v="1708"/>
    <n v="871"/>
    <n v="871"/>
    <n v="1708"/>
    <n v="837"/>
    <s v="Product 64"/>
    <x v="31"/>
    <s v="Joe Sims"/>
    <x v="109"/>
    <n v="1"/>
    <x v="0"/>
    <x v="10"/>
    <x v="10"/>
    <x v="3"/>
    <x v="0"/>
  </r>
  <r>
    <s v="AX13422"/>
    <s v="ENX2052"/>
    <s v="A141"/>
    <s v="EMP1018"/>
    <s v="C1133"/>
    <x v="97"/>
    <n v="1"/>
    <n v="1526"/>
    <n v="1251"/>
    <n v="1251"/>
    <n v="1526"/>
    <n v="275"/>
    <s v="Product 53"/>
    <x v="23"/>
    <s v="Jimmy Young"/>
    <x v="468"/>
    <n v="1"/>
    <x v="0"/>
    <x v="10"/>
    <x v="10"/>
    <x v="3"/>
    <x v="0"/>
  </r>
  <r>
    <s v="AX13993"/>
    <s v="ENX2074"/>
    <s v="A167"/>
    <s v="EMP1014"/>
    <s v="C1517"/>
    <x v="99"/>
    <n v="1"/>
    <n v="504"/>
    <n v="408"/>
    <n v="408"/>
    <n v="504"/>
    <n v="96"/>
    <s v="Product 75"/>
    <x v="64"/>
    <s v="Ronald Reed"/>
    <x v="359"/>
    <n v="1"/>
    <x v="0"/>
    <x v="10"/>
    <x v="10"/>
    <x v="3"/>
    <x v="0"/>
  </r>
  <r>
    <s v="AX14354"/>
    <s v="ENX2042"/>
    <s v="A104"/>
    <s v="EMP1024"/>
    <s v="C1195"/>
    <x v="98"/>
    <n v="2"/>
    <n v="203"/>
    <n v="154"/>
    <n v="308"/>
    <n v="406"/>
    <n v="98"/>
    <s v="Product 43"/>
    <x v="50"/>
    <s v="Ernest Wheeler"/>
    <x v="188"/>
    <n v="1"/>
    <x v="0"/>
    <x v="10"/>
    <x v="10"/>
    <x v="3"/>
    <x v="0"/>
  </r>
  <r>
    <s v="AX14610"/>
    <s v="ENX2077"/>
    <s v="A142"/>
    <s v="EMP1002"/>
    <s v="C1071"/>
    <x v="100"/>
    <n v="4"/>
    <n v="530"/>
    <n v="424"/>
    <n v="1696"/>
    <n v="2120"/>
    <n v="424"/>
    <s v="Product 78"/>
    <x v="56"/>
    <s v="Andrew Bowman"/>
    <x v="264"/>
    <n v="1"/>
    <x v="0"/>
    <x v="10"/>
    <x v="10"/>
    <x v="3"/>
    <x v="0"/>
  </r>
  <r>
    <s v="AX14671"/>
    <s v="ENX2042"/>
    <s v="A122"/>
    <s v="EMP1010"/>
    <s v="C1383"/>
    <x v="98"/>
    <n v="4"/>
    <n v="203"/>
    <n v="154"/>
    <n v="616"/>
    <n v="812"/>
    <n v="196"/>
    <s v="Product 43"/>
    <x v="71"/>
    <s v="Joshua Cook"/>
    <x v="508"/>
    <n v="1"/>
    <x v="0"/>
    <x v="10"/>
    <x v="10"/>
    <x v="3"/>
    <x v="0"/>
  </r>
  <r>
    <s v="AX14752"/>
    <s v="ENX2081"/>
    <s v="A128"/>
    <s v="EMP1009"/>
    <s v="C1493"/>
    <x v="100"/>
    <n v="1"/>
    <n v="1566"/>
    <n v="1190"/>
    <n v="1190"/>
    <n v="1566"/>
    <n v="376"/>
    <s v="Product 82"/>
    <x v="12"/>
    <s v="Kenneth Fields"/>
    <x v="380"/>
    <n v="1"/>
    <x v="0"/>
    <x v="10"/>
    <x v="10"/>
    <x v="3"/>
    <x v="0"/>
  </r>
  <r>
    <s v="AX15715"/>
    <s v="ENX2062"/>
    <s v="A132"/>
    <s v="EMP1006"/>
    <s v="C1452"/>
    <x v="100"/>
    <n v="1"/>
    <n v="2464"/>
    <n v="1774"/>
    <n v="1774"/>
    <n v="2464"/>
    <n v="690"/>
    <s v="Product 63"/>
    <x v="48"/>
    <s v="Sean Miller"/>
    <x v="234"/>
    <n v="1"/>
    <x v="0"/>
    <x v="10"/>
    <x v="10"/>
    <x v="3"/>
    <x v="0"/>
  </r>
  <r>
    <s v="AX15913"/>
    <s v="ENX2040"/>
    <s v="A149"/>
    <s v="EMP1041"/>
    <s v="C1111"/>
    <x v="100"/>
    <n v="2"/>
    <n v="1889"/>
    <n v="945"/>
    <n v="1890"/>
    <n v="3778"/>
    <n v="1888"/>
    <s v="Product 41"/>
    <x v="59"/>
    <s v="Joe Sims"/>
    <x v="563"/>
    <n v="1"/>
    <x v="0"/>
    <x v="10"/>
    <x v="10"/>
    <x v="3"/>
    <x v="0"/>
  </r>
  <r>
    <s v="AX16234"/>
    <s v="ENX2073"/>
    <s v="A116"/>
    <s v="EMP1024"/>
    <s v="C1637"/>
    <x v="100"/>
    <n v="2"/>
    <n v="95"/>
    <n v="61"/>
    <n v="122"/>
    <n v="190"/>
    <n v="68"/>
    <s v="Product 74"/>
    <x v="15"/>
    <s v="Ernest Wheeler"/>
    <x v="326"/>
    <n v="1"/>
    <x v="0"/>
    <x v="10"/>
    <x v="10"/>
    <x v="3"/>
    <x v="0"/>
  </r>
  <r>
    <s v="AX16299"/>
    <s v="ENX2033"/>
    <s v="A161"/>
    <s v="EMP1032"/>
    <s v="C1230"/>
    <x v="101"/>
    <n v="1"/>
    <n v="2182"/>
    <n v="1200"/>
    <n v="1200"/>
    <n v="2182"/>
    <n v="982"/>
    <s v="Product 34"/>
    <x v="6"/>
    <s v="Larry Castillo"/>
    <x v="578"/>
    <n v="1"/>
    <x v="0"/>
    <x v="10"/>
    <x v="10"/>
    <x v="3"/>
    <x v="0"/>
  </r>
  <r>
    <s v="AX16425"/>
    <s v="ENX2089"/>
    <s v="A109"/>
    <s v="EMP1012"/>
    <s v="C1742"/>
    <x v="100"/>
    <n v="2"/>
    <n v="2294"/>
    <n v="1399"/>
    <n v="2798"/>
    <n v="4588"/>
    <n v="1790"/>
    <s v="Product 90"/>
    <x v="57"/>
    <s v="John Reyes"/>
    <x v="434"/>
    <n v="1"/>
    <x v="0"/>
    <x v="10"/>
    <x v="10"/>
    <x v="3"/>
    <x v="0"/>
  </r>
  <r>
    <s v="AX16453"/>
    <s v="ENX2033"/>
    <s v="A161"/>
    <s v="EMP1035"/>
    <s v="C1267"/>
    <x v="100"/>
    <n v="1"/>
    <n v="2182"/>
    <n v="1200"/>
    <n v="1200"/>
    <n v="2182"/>
    <n v="982"/>
    <s v="Product 34"/>
    <x v="6"/>
    <s v="Roger Ramos"/>
    <x v="657"/>
    <n v="1"/>
    <x v="0"/>
    <x v="10"/>
    <x v="10"/>
    <x v="3"/>
    <x v="0"/>
  </r>
  <r>
    <s v="AX16751"/>
    <s v="ENX2026"/>
    <s v="A160"/>
    <s v="EMP1012"/>
    <s v="C1022"/>
    <x v="97"/>
    <n v="2"/>
    <n v="947"/>
    <n v="786"/>
    <n v="1572"/>
    <n v="1894"/>
    <n v="322"/>
    <s v="Product 27"/>
    <x v="9"/>
    <s v="John Reyes"/>
    <x v="249"/>
    <n v="1"/>
    <x v="0"/>
    <x v="10"/>
    <x v="10"/>
    <x v="3"/>
    <x v="0"/>
  </r>
  <r>
    <s v="AX16794"/>
    <s v="ENX2096"/>
    <s v="A144"/>
    <s v="EMP1037"/>
    <s v="C1548"/>
    <x v="97"/>
    <n v="4"/>
    <n v="1587"/>
    <n v="1301"/>
    <n v="5204"/>
    <n v="6348"/>
    <n v="1144"/>
    <s v="Product 97"/>
    <x v="65"/>
    <s v="Carl Hall"/>
    <x v="241"/>
    <n v="1"/>
    <x v="0"/>
    <x v="10"/>
    <x v="10"/>
    <x v="3"/>
    <x v="0"/>
  </r>
  <r>
    <s v="AX16879"/>
    <s v="ENX2018"/>
    <s v="A120"/>
    <s v="EMP1021"/>
    <s v="C1426"/>
    <x v="97"/>
    <n v="3"/>
    <n v="1972"/>
    <n v="1321"/>
    <n v="3963"/>
    <n v="5916"/>
    <n v="1953"/>
    <s v="Product 19"/>
    <x v="20"/>
    <s v="Clarence Fox"/>
    <x v="127"/>
    <n v="1"/>
    <x v="0"/>
    <x v="10"/>
    <x v="10"/>
    <x v="3"/>
    <x v="0"/>
  </r>
  <r>
    <s v="AX17275"/>
    <s v="ENX2077"/>
    <s v="A139"/>
    <s v="EMP1025"/>
    <s v="C1541"/>
    <x v="99"/>
    <n v="1"/>
    <n v="530"/>
    <n v="424"/>
    <n v="424"/>
    <n v="530"/>
    <n v="106"/>
    <s v="Product 78"/>
    <x v="38"/>
    <s v="Ernest Wagner"/>
    <x v="628"/>
    <n v="1"/>
    <x v="0"/>
    <x v="10"/>
    <x v="10"/>
    <x v="3"/>
    <x v="0"/>
  </r>
  <r>
    <s v="AX17852"/>
    <s v="ENX2073"/>
    <s v="A120"/>
    <s v="EMP1043"/>
    <s v="C1597"/>
    <x v="97"/>
    <n v="1"/>
    <n v="95"/>
    <n v="61"/>
    <n v="61"/>
    <n v="95"/>
    <n v="34"/>
    <s v="Product 74"/>
    <x v="20"/>
    <s v="Joshua Taylor"/>
    <x v="183"/>
    <n v="1"/>
    <x v="0"/>
    <x v="10"/>
    <x v="10"/>
    <x v="3"/>
    <x v="0"/>
  </r>
  <r>
    <s v="AX17920"/>
    <s v="ENX2086"/>
    <s v="A104"/>
    <s v="EMP1022"/>
    <s v="C1762"/>
    <x v="97"/>
    <n v="1"/>
    <n v="123"/>
    <n v="84"/>
    <n v="84"/>
    <n v="123"/>
    <n v="39"/>
    <s v="Product 87"/>
    <x v="50"/>
    <s v="Walter Cook"/>
    <x v="164"/>
    <n v="1"/>
    <x v="0"/>
    <x v="10"/>
    <x v="10"/>
    <x v="3"/>
    <x v="0"/>
  </r>
  <r>
    <s v="AX18041"/>
    <s v="ENX2082"/>
    <s v="A110"/>
    <s v="EMP1038"/>
    <s v="C1421"/>
    <x v="100"/>
    <n v="1"/>
    <n v="1103"/>
    <n v="838"/>
    <n v="838"/>
    <n v="1103"/>
    <n v="265"/>
    <s v="Product 83"/>
    <x v="63"/>
    <s v="Scott Mason"/>
    <x v="564"/>
    <n v="1"/>
    <x v="0"/>
    <x v="10"/>
    <x v="10"/>
    <x v="3"/>
    <x v="0"/>
  </r>
  <r>
    <s v="AX18075"/>
    <s v="ENX2069"/>
    <s v="A130"/>
    <s v="EMP1000"/>
    <s v="C1734"/>
    <x v="98"/>
    <n v="2"/>
    <n v="378"/>
    <n v="291"/>
    <n v="582"/>
    <n v="756"/>
    <n v="174"/>
    <s v="Product 70"/>
    <x v="4"/>
    <s v="Fred Robertson"/>
    <x v="658"/>
    <n v="1"/>
    <x v="0"/>
    <x v="10"/>
    <x v="10"/>
    <x v="3"/>
    <x v="0"/>
  </r>
  <r>
    <s v="AX18180"/>
    <s v="ENX2039"/>
    <s v="A118"/>
    <s v="EMP1002"/>
    <s v="C1265"/>
    <x v="98"/>
    <n v="1"/>
    <n v="817"/>
    <n v="409"/>
    <n v="409"/>
    <n v="817"/>
    <n v="408"/>
    <s v="Product 40"/>
    <x v="19"/>
    <s v="Andrew Bowman"/>
    <x v="348"/>
    <n v="1"/>
    <x v="0"/>
    <x v="10"/>
    <x v="10"/>
    <x v="3"/>
    <x v="0"/>
  </r>
  <r>
    <s v="AX18567"/>
    <s v="ENX2062"/>
    <s v="A130"/>
    <s v="EMP1040"/>
    <s v="C1352"/>
    <x v="97"/>
    <n v="3"/>
    <n v="2464"/>
    <n v="1774"/>
    <n v="5322"/>
    <n v="7392"/>
    <n v="2070"/>
    <s v="Product 63"/>
    <x v="4"/>
    <s v="Patrick Ruiz"/>
    <x v="20"/>
    <n v="1"/>
    <x v="0"/>
    <x v="10"/>
    <x v="10"/>
    <x v="3"/>
    <x v="0"/>
  </r>
  <r>
    <s v="AX18588"/>
    <s v="ENX2056"/>
    <s v="A130"/>
    <s v="EMP1044"/>
    <s v="C1277"/>
    <x v="97"/>
    <n v="1"/>
    <n v="1635"/>
    <n v="1046"/>
    <n v="1046"/>
    <n v="1635"/>
    <n v="589"/>
    <s v="Product 57"/>
    <x v="4"/>
    <s v="Martin Carr"/>
    <x v="151"/>
    <n v="1"/>
    <x v="0"/>
    <x v="10"/>
    <x v="10"/>
    <x v="3"/>
    <x v="0"/>
  </r>
  <r>
    <s v="AX18686"/>
    <s v="ENX2083"/>
    <s v="A118"/>
    <s v="EMP1008"/>
    <s v="C1013"/>
    <x v="99"/>
    <n v="3"/>
    <n v="2141"/>
    <n v="1777"/>
    <n v="5331"/>
    <n v="6423"/>
    <n v="1092"/>
    <s v="Product 84"/>
    <x v="19"/>
    <s v="Carl Elliott"/>
    <x v="431"/>
    <n v="1"/>
    <x v="0"/>
    <x v="10"/>
    <x v="10"/>
    <x v="3"/>
    <x v="0"/>
  </r>
  <r>
    <s v="AX18743"/>
    <s v="ENX2004"/>
    <s v="A132"/>
    <s v="EMP1033"/>
    <s v="C1692"/>
    <x v="100"/>
    <n v="4"/>
    <n v="1278"/>
    <n v="665"/>
    <n v="2660"/>
    <n v="5112"/>
    <n v="2452"/>
    <s v="Product 5"/>
    <x v="48"/>
    <s v="Jerry Perry"/>
    <x v="555"/>
    <n v="1"/>
    <x v="0"/>
    <x v="10"/>
    <x v="10"/>
    <x v="3"/>
    <x v="0"/>
  </r>
  <r>
    <s v="AX19071"/>
    <s v="ENX2094"/>
    <s v="A136"/>
    <s v="EMP1001"/>
    <s v="C1057"/>
    <x v="98"/>
    <n v="2"/>
    <n v="771"/>
    <n v="648"/>
    <n v="1296"/>
    <n v="1542"/>
    <n v="246"/>
    <s v="Product 95"/>
    <x v="43"/>
    <s v="Kevin Butler"/>
    <x v="635"/>
    <n v="1"/>
    <x v="0"/>
    <x v="10"/>
    <x v="10"/>
    <x v="3"/>
    <x v="0"/>
  </r>
  <r>
    <s v="AX19127"/>
    <s v="ENX2086"/>
    <s v="A123"/>
    <s v="EMP1033"/>
    <s v="C1027"/>
    <x v="99"/>
    <n v="3"/>
    <n v="123"/>
    <n v="84"/>
    <n v="252"/>
    <n v="369"/>
    <n v="117"/>
    <s v="Product 87"/>
    <x v="34"/>
    <s v="Jerry Perry"/>
    <x v="528"/>
    <n v="1"/>
    <x v="0"/>
    <x v="10"/>
    <x v="10"/>
    <x v="3"/>
    <x v="0"/>
  </r>
  <r>
    <s v="AX19318"/>
    <s v="ENX2007"/>
    <s v="A115"/>
    <s v="EMP1011"/>
    <s v="C1110"/>
    <x v="98"/>
    <n v="1"/>
    <n v="1405"/>
    <n v="1054"/>
    <n v="1054"/>
    <n v="1405"/>
    <n v="351"/>
    <s v="Product 8"/>
    <x v="33"/>
    <s v="Larry Marshall"/>
    <x v="620"/>
    <n v="1"/>
    <x v="0"/>
    <x v="10"/>
    <x v="10"/>
    <x v="3"/>
    <x v="0"/>
  </r>
  <r>
    <s v="AX19613"/>
    <s v="ENX2014"/>
    <s v="A116"/>
    <s v="EMP1000"/>
    <s v="C1631"/>
    <x v="97"/>
    <n v="1"/>
    <n v="1809"/>
    <n v="1067"/>
    <n v="1067"/>
    <n v="1809"/>
    <n v="742"/>
    <s v="Product 15"/>
    <x v="15"/>
    <s v="Fred Robertson"/>
    <x v="659"/>
    <n v="1"/>
    <x v="0"/>
    <x v="10"/>
    <x v="10"/>
    <x v="3"/>
    <x v="0"/>
  </r>
  <r>
    <s v="AX19814"/>
    <s v="ENX2085"/>
    <s v="A105"/>
    <s v="EMP1015"/>
    <s v="C1689"/>
    <x v="98"/>
    <n v="1"/>
    <n v="1862"/>
    <n v="1173"/>
    <n v="1173"/>
    <n v="1862"/>
    <n v="689"/>
    <s v="Product 86"/>
    <x v="45"/>
    <s v="Justin Lynch"/>
    <x v="181"/>
    <n v="1"/>
    <x v="0"/>
    <x v="10"/>
    <x v="10"/>
    <x v="3"/>
    <x v="0"/>
  </r>
  <r>
    <s v="AX19828"/>
    <s v="ENX2057"/>
    <s v="A167"/>
    <s v="EMP1007"/>
    <s v="C1598"/>
    <x v="100"/>
    <n v="1"/>
    <n v="181"/>
    <n v="130"/>
    <n v="130"/>
    <n v="181"/>
    <n v="51"/>
    <s v="Product 58"/>
    <x v="64"/>
    <s v="Jeremy Mendoza"/>
    <x v="125"/>
    <n v="1"/>
    <x v="0"/>
    <x v="10"/>
    <x v="10"/>
    <x v="3"/>
    <x v="0"/>
  </r>
  <r>
    <s v="AX20081"/>
    <s v="ENX2043"/>
    <s v="A107"/>
    <s v="EMP1036"/>
    <s v="C1248"/>
    <x v="100"/>
    <n v="1"/>
    <n v="545"/>
    <n v="425"/>
    <n v="425"/>
    <n v="545"/>
    <n v="120"/>
    <s v="Product 44"/>
    <x v="21"/>
    <s v="Robert Reed"/>
    <x v="354"/>
    <n v="1"/>
    <x v="0"/>
    <x v="10"/>
    <x v="10"/>
    <x v="3"/>
    <x v="0"/>
  </r>
  <r>
    <s v="AX20381"/>
    <s v="ENX2019"/>
    <s v="A167"/>
    <s v="EMP1034"/>
    <s v="C1408"/>
    <x v="97"/>
    <n v="1"/>
    <n v="800"/>
    <n v="536"/>
    <n v="536"/>
    <n v="800"/>
    <n v="264"/>
    <s v="Product 20"/>
    <x v="64"/>
    <s v="Arthur Mccoy"/>
    <x v="647"/>
    <n v="1"/>
    <x v="0"/>
    <x v="10"/>
    <x v="10"/>
    <x v="3"/>
    <x v="0"/>
  </r>
  <r>
    <s v="AX20468"/>
    <s v="ENX2009"/>
    <s v="A140"/>
    <s v="EMP1020"/>
    <s v="C1248"/>
    <x v="101"/>
    <n v="2"/>
    <n v="584"/>
    <n v="420"/>
    <n v="840"/>
    <n v="1168"/>
    <n v="328"/>
    <s v="Product 10"/>
    <x v="18"/>
    <s v="Ryan Butler"/>
    <x v="354"/>
    <n v="1"/>
    <x v="0"/>
    <x v="10"/>
    <x v="10"/>
    <x v="3"/>
    <x v="0"/>
  </r>
  <r>
    <s v="AX20630"/>
    <s v="ENX2085"/>
    <s v="A138"/>
    <s v="EMP1029"/>
    <s v="C1692"/>
    <x v="101"/>
    <n v="2"/>
    <n v="1862"/>
    <n v="1173"/>
    <n v="2346"/>
    <n v="3724"/>
    <n v="1378"/>
    <s v="Product 86"/>
    <x v="37"/>
    <s v="Howard Gardner"/>
    <x v="555"/>
    <n v="1"/>
    <x v="0"/>
    <x v="10"/>
    <x v="10"/>
    <x v="3"/>
    <x v="0"/>
  </r>
  <r>
    <s v="AX20650"/>
    <s v="ENX2004"/>
    <s v="A145"/>
    <s v="EMP1038"/>
    <s v="C1401"/>
    <x v="98"/>
    <n v="1"/>
    <n v="1278"/>
    <n v="665"/>
    <n v="665"/>
    <n v="1278"/>
    <n v="613"/>
    <s v="Product 5"/>
    <x v="35"/>
    <s v="Scott Mason"/>
    <x v="36"/>
    <n v="1"/>
    <x v="0"/>
    <x v="10"/>
    <x v="10"/>
    <x v="3"/>
    <x v="0"/>
  </r>
  <r>
    <s v="AX20804"/>
    <s v="ENX2013"/>
    <s v="A153"/>
    <s v="EMP1020"/>
    <s v="C1422"/>
    <x v="101"/>
    <n v="1"/>
    <n v="368"/>
    <n v="269"/>
    <n v="269"/>
    <n v="368"/>
    <n v="99"/>
    <s v="Product 14"/>
    <x v="8"/>
    <s v="Ryan Butler"/>
    <x v="176"/>
    <n v="1"/>
    <x v="0"/>
    <x v="10"/>
    <x v="10"/>
    <x v="3"/>
    <x v="0"/>
  </r>
  <r>
    <s v="AX21364"/>
    <s v="ENX2033"/>
    <s v="A148"/>
    <s v="EMP1029"/>
    <s v="C1675"/>
    <x v="99"/>
    <n v="1"/>
    <n v="2182"/>
    <n v="1200"/>
    <n v="1200"/>
    <n v="2182"/>
    <n v="982"/>
    <s v="Product 34"/>
    <x v="62"/>
    <s v="Howard Gardner"/>
    <x v="453"/>
    <n v="1"/>
    <x v="0"/>
    <x v="10"/>
    <x v="10"/>
    <x v="3"/>
    <x v="0"/>
  </r>
  <r>
    <s v="AX21843"/>
    <s v="ENX2081"/>
    <s v="A141"/>
    <s v="EMP1017"/>
    <s v="C1048"/>
    <x v="101"/>
    <n v="1"/>
    <n v="1566"/>
    <n v="1190"/>
    <n v="1190"/>
    <n v="1566"/>
    <n v="376"/>
    <s v="Product 82"/>
    <x v="23"/>
    <s v="Brian Hansen"/>
    <x v="391"/>
    <n v="1"/>
    <x v="0"/>
    <x v="10"/>
    <x v="10"/>
    <x v="3"/>
    <x v="0"/>
  </r>
  <r>
    <s v="AX22381"/>
    <s v="ENX2067"/>
    <s v="A122"/>
    <s v="EMP1030"/>
    <s v="C1376"/>
    <x v="101"/>
    <n v="1"/>
    <n v="1119"/>
    <n v="683"/>
    <n v="683"/>
    <n v="1119"/>
    <n v="436"/>
    <s v="Product 68"/>
    <x v="71"/>
    <s v="Bobby Russell"/>
    <x v="356"/>
    <n v="1"/>
    <x v="0"/>
    <x v="10"/>
    <x v="10"/>
    <x v="3"/>
    <x v="0"/>
  </r>
  <r>
    <s v="AX22401"/>
    <s v="ENX2070"/>
    <s v="A121"/>
    <s v="EMP1017"/>
    <s v="C1612"/>
    <x v="99"/>
    <n v="1"/>
    <n v="1671"/>
    <n v="1220"/>
    <n v="1220"/>
    <n v="1671"/>
    <n v="451"/>
    <s v="Product 71"/>
    <x v="72"/>
    <s v="Brian Hansen"/>
    <x v="46"/>
    <n v="1"/>
    <x v="0"/>
    <x v="10"/>
    <x v="10"/>
    <x v="3"/>
    <x v="0"/>
  </r>
  <r>
    <s v="AX22493"/>
    <s v="ENX2056"/>
    <s v="A117"/>
    <s v="EMP1019"/>
    <s v="C1187"/>
    <x v="101"/>
    <n v="2"/>
    <n v="1635"/>
    <n v="1046"/>
    <n v="2092"/>
    <n v="3270"/>
    <n v="1178"/>
    <s v="Product 57"/>
    <x v="29"/>
    <s v="Roger Robertson"/>
    <x v="303"/>
    <n v="1"/>
    <x v="0"/>
    <x v="10"/>
    <x v="10"/>
    <x v="3"/>
    <x v="0"/>
  </r>
  <r>
    <s v="AX22788"/>
    <s v="ENX2046"/>
    <s v="A143"/>
    <s v="EMP1029"/>
    <s v="C1782"/>
    <x v="101"/>
    <n v="1"/>
    <n v="2410"/>
    <n v="1518"/>
    <n v="1518"/>
    <n v="2410"/>
    <n v="892"/>
    <s v="Product 47"/>
    <x v="39"/>
    <s v="Howard Gardner"/>
    <x v="607"/>
    <n v="1"/>
    <x v="0"/>
    <x v="10"/>
    <x v="10"/>
    <x v="3"/>
    <x v="0"/>
  </r>
  <r>
    <s v="AX23539"/>
    <s v="ENX2070"/>
    <s v="A134"/>
    <s v="EMP1002"/>
    <s v="C1446"/>
    <x v="101"/>
    <n v="1"/>
    <n v="1671"/>
    <n v="1220"/>
    <n v="1220"/>
    <n v="1671"/>
    <n v="451"/>
    <s v="Product 71"/>
    <x v="41"/>
    <s v="Andrew Bowman"/>
    <x v="345"/>
    <n v="1"/>
    <x v="0"/>
    <x v="10"/>
    <x v="10"/>
    <x v="3"/>
    <x v="0"/>
  </r>
  <r>
    <s v="AX23665"/>
    <s v="ENX2011"/>
    <s v="A132"/>
    <s v="EMP1009"/>
    <s v="C1787"/>
    <x v="100"/>
    <n v="1"/>
    <n v="530"/>
    <n v="435"/>
    <n v="435"/>
    <n v="530"/>
    <n v="95"/>
    <s v="Product 12"/>
    <x v="48"/>
    <s v="Kenneth Fields"/>
    <x v="439"/>
    <n v="1"/>
    <x v="0"/>
    <x v="10"/>
    <x v="10"/>
    <x v="3"/>
    <x v="0"/>
  </r>
  <r>
    <s v="AX23868"/>
    <s v="ENX2032"/>
    <s v="A116"/>
    <s v="EMP1006"/>
    <s v="C1339"/>
    <x v="100"/>
    <n v="2"/>
    <n v="1967"/>
    <n v="1397"/>
    <n v="2794"/>
    <n v="3934"/>
    <n v="1140"/>
    <s v="Product 33"/>
    <x v="15"/>
    <s v="Sean Miller"/>
    <x v="401"/>
    <n v="1"/>
    <x v="0"/>
    <x v="10"/>
    <x v="10"/>
    <x v="3"/>
    <x v="0"/>
  </r>
  <r>
    <s v="AX23875"/>
    <s v="ENX2084"/>
    <s v="A139"/>
    <s v="EMP1027"/>
    <s v="C1052"/>
    <x v="98"/>
    <n v="4"/>
    <n v="1783"/>
    <n v="1230"/>
    <n v="4920"/>
    <n v="7132"/>
    <n v="2212"/>
    <s v="Product 85"/>
    <x v="38"/>
    <s v="Gary Rodriguez"/>
    <x v="638"/>
    <n v="1"/>
    <x v="0"/>
    <x v="10"/>
    <x v="10"/>
    <x v="3"/>
    <x v="0"/>
  </r>
  <r>
    <s v="AX24219"/>
    <s v="ENX2028"/>
    <s v="A162"/>
    <s v="EMP1011"/>
    <s v="C1619"/>
    <x v="101"/>
    <n v="3"/>
    <n v="2283"/>
    <n v="1484"/>
    <n v="4452"/>
    <n v="6849"/>
    <n v="2397"/>
    <s v="Product 29"/>
    <x v="2"/>
    <s v="Larry Marshall"/>
    <x v="77"/>
    <n v="1"/>
    <x v="0"/>
    <x v="10"/>
    <x v="10"/>
    <x v="3"/>
    <x v="0"/>
  </r>
  <r>
    <s v="AX24306"/>
    <s v="ENX2073"/>
    <s v="A101"/>
    <s v="EMP1022"/>
    <s v="C1105"/>
    <x v="101"/>
    <n v="2"/>
    <n v="95"/>
    <n v="61"/>
    <n v="122"/>
    <n v="190"/>
    <n v="68"/>
    <s v="Product 74"/>
    <x v="60"/>
    <s v="Walter Cook"/>
    <x v="15"/>
    <n v="1"/>
    <x v="0"/>
    <x v="10"/>
    <x v="10"/>
    <x v="3"/>
    <x v="0"/>
  </r>
  <r>
    <s v="AX24558"/>
    <s v="ENX2055"/>
    <s v="A154"/>
    <s v="EMP1039"/>
    <s v="C1353"/>
    <x v="101"/>
    <n v="3"/>
    <n v="2495"/>
    <n v="1896"/>
    <n v="5688"/>
    <n v="7485"/>
    <n v="1797"/>
    <s v="Product 56"/>
    <x v="24"/>
    <s v="Eugene Holmes"/>
    <x v="642"/>
    <n v="1"/>
    <x v="0"/>
    <x v="10"/>
    <x v="10"/>
    <x v="3"/>
    <x v="0"/>
  </r>
  <r>
    <s v="AX10194"/>
    <s v="ENX2041"/>
    <s v="A106"/>
    <s v="EMP1005"/>
    <s v="C1417"/>
    <x v="102"/>
    <n v="1"/>
    <n v="1380"/>
    <n v="1090"/>
    <n v="1090"/>
    <n v="1380"/>
    <n v="290"/>
    <s v="Product 42"/>
    <x v="11"/>
    <s v="Ryan Welch"/>
    <x v="147"/>
    <n v="1"/>
    <x v="0"/>
    <x v="10"/>
    <x v="10"/>
    <x v="3"/>
    <x v="2"/>
  </r>
  <r>
    <s v="AX10235"/>
    <s v="ENX2006"/>
    <s v="A124"/>
    <s v="EMP1037"/>
    <s v="C1083"/>
    <x v="103"/>
    <n v="3"/>
    <n v="1826"/>
    <n v="1443"/>
    <n v="4329"/>
    <n v="5478"/>
    <n v="1149"/>
    <s v="Product 7"/>
    <x v="67"/>
    <s v="Carl Hall"/>
    <x v="550"/>
    <n v="1"/>
    <x v="0"/>
    <x v="10"/>
    <x v="10"/>
    <x v="3"/>
    <x v="2"/>
  </r>
  <r>
    <s v="AX10306"/>
    <s v="ENX2032"/>
    <s v="A150"/>
    <s v="EMP1025"/>
    <s v="C1307"/>
    <x v="104"/>
    <n v="1"/>
    <n v="1967"/>
    <n v="1397"/>
    <n v="1397"/>
    <n v="1967"/>
    <n v="570"/>
    <s v="Product 33"/>
    <x v="30"/>
    <s v="Ernest Wagner"/>
    <x v="416"/>
    <n v="1"/>
    <x v="0"/>
    <x v="10"/>
    <x v="10"/>
    <x v="3"/>
    <x v="2"/>
  </r>
  <r>
    <s v="AX10538"/>
    <s v="ENX2016"/>
    <s v="A130"/>
    <s v="EMP1013"/>
    <s v="C1537"/>
    <x v="103"/>
    <n v="3"/>
    <n v="1351"/>
    <n v="1108"/>
    <n v="3324"/>
    <n v="4053"/>
    <n v="729"/>
    <s v="Product 17"/>
    <x v="4"/>
    <s v="Charles Harper"/>
    <x v="141"/>
    <n v="1"/>
    <x v="0"/>
    <x v="10"/>
    <x v="10"/>
    <x v="3"/>
    <x v="2"/>
  </r>
  <r>
    <s v="AX11110"/>
    <s v="ENX2082"/>
    <s v="A157"/>
    <s v="EMP1014"/>
    <s v="C1651"/>
    <x v="104"/>
    <n v="2"/>
    <n v="1103"/>
    <n v="838"/>
    <n v="1676"/>
    <n v="2206"/>
    <n v="530"/>
    <s v="Product 83"/>
    <x v="7"/>
    <s v="Ronald Reed"/>
    <x v="660"/>
    <n v="1"/>
    <x v="0"/>
    <x v="10"/>
    <x v="10"/>
    <x v="3"/>
    <x v="2"/>
  </r>
  <r>
    <s v="AX11214"/>
    <s v="ENX2038"/>
    <s v="A158"/>
    <s v="EMP1035"/>
    <s v="C1796"/>
    <x v="102"/>
    <n v="1"/>
    <n v="392"/>
    <n v="255"/>
    <n v="255"/>
    <n v="392"/>
    <n v="137"/>
    <s v="Product 39"/>
    <x v="58"/>
    <s v="Roger Ramos"/>
    <x v="630"/>
    <n v="1"/>
    <x v="0"/>
    <x v="10"/>
    <x v="10"/>
    <x v="3"/>
    <x v="2"/>
  </r>
  <r>
    <s v="AX11276"/>
    <s v="ENX2005"/>
    <s v="A155"/>
    <s v="EMP1035"/>
    <s v="C1119"/>
    <x v="105"/>
    <n v="1"/>
    <n v="684"/>
    <n v="561"/>
    <n v="561"/>
    <n v="684"/>
    <n v="123"/>
    <s v="Product 6"/>
    <x v="53"/>
    <s v="Roger Ramos"/>
    <x v="614"/>
    <n v="1"/>
    <x v="0"/>
    <x v="10"/>
    <x v="10"/>
    <x v="3"/>
    <x v="2"/>
  </r>
  <r>
    <s v="AX11449"/>
    <s v="ENX2073"/>
    <s v="A136"/>
    <s v="EMP1014"/>
    <s v="C1671"/>
    <x v="104"/>
    <n v="1"/>
    <n v="95"/>
    <n v="61"/>
    <n v="61"/>
    <n v="95"/>
    <n v="34"/>
    <s v="Product 74"/>
    <x v="43"/>
    <s v="Ronald Reed"/>
    <x v="248"/>
    <n v="1"/>
    <x v="0"/>
    <x v="10"/>
    <x v="10"/>
    <x v="3"/>
    <x v="2"/>
  </r>
  <r>
    <s v="AX11450"/>
    <s v="ENX2094"/>
    <s v="A130"/>
    <s v="EMP1011"/>
    <s v="C1385"/>
    <x v="105"/>
    <n v="1"/>
    <n v="771"/>
    <n v="648"/>
    <n v="648"/>
    <n v="771"/>
    <n v="123"/>
    <s v="Product 95"/>
    <x v="4"/>
    <s v="Larry Marshall"/>
    <x v="523"/>
    <n v="1"/>
    <x v="0"/>
    <x v="10"/>
    <x v="10"/>
    <x v="3"/>
    <x v="2"/>
  </r>
  <r>
    <s v="AX11679"/>
    <s v="ENX2066"/>
    <s v="A169"/>
    <s v="EMP1034"/>
    <s v="C1030"/>
    <x v="105"/>
    <n v="1"/>
    <n v="2091"/>
    <n v="1485"/>
    <n v="1485"/>
    <n v="2091"/>
    <n v="606"/>
    <s v="Product 67"/>
    <x v="17"/>
    <s v="Arthur Mccoy"/>
    <x v="106"/>
    <n v="1"/>
    <x v="0"/>
    <x v="10"/>
    <x v="10"/>
    <x v="3"/>
    <x v="2"/>
  </r>
  <r>
    <s v="AX11704"/>
    <s v="ENX2089"/>
    <s v="A157"/>
    <s v="EMP1002"/>
    <s v="C1700"/>
    <x v="103"/>
    <n v="1"/>
    <n v="2294"/>
    <n v="1399"/>
    <n v="1399"/>
    <n v="2294"/>
    <n v="895"/>
    <s v="Product 90"/>
    <x v="7"/>
    <s v="Andrew Bowman"/>
    <x v="271"/>
    <n v="1"/>
    <x v="0"/>
    <x v="10"/>
    <x v="10"/>
    <x v="3"/>
    <x v="2"/>
  </r>
  <r>
    <s v="AX12386"/>
    <s v="ENX2012"/>
    <s v="A113"/>
    <s v="EMP1027"/>
    <s v="C1351"/>
    <x v="103"/>
    <n v="2"/>
    <n v="1353"/>
    <n v="947"/>
    <n v="1894"/>
    <n v="2706"/>
    <n v="812"/>
    <s v="Product 13"/>
    <x v="73"/>
    <s v="Gary Rodriguez"/>
    <x v="122"/>
    <n v="1"/>
    <x v="0"/>
    <x v="10"/>
    <x v="10"/>
    <x v="3"/>
    <x v="2"/>
  </r>
  <r>
    <s v="AX12433"/>
    <s v="ENX2038"/>
    <s v="A139"/>
    <s v="EMP1009"/>
    <s v="C1266"/>
    <x v="103"/>
    <n v="3"/>
    <n v="392"/>
    <n v="255"/>
    <n v="765"/>
    <n v="1176"/>
    <n v="411"/>
    <s v="Product 39"/>
    <x v="38"/>
    <s v="Kenneth Fields"/>
    <x v="254"/>
    <n v="1"/>
    <x v="0"/>
    <x v="10"/>
    <x v="10"/>
    <x v="3"/>
    <x v="2"/>
  </r>
  <r>
    <s v="AX12450"/>
    <s v="ENX2048"/>
    <s v="A159"/>
    <s v="EMP1037"/>
    <s v="C1530"/>
    <x v="103"/>
    <n v="1"/>
    <n v="502"/>
    <n v="296"/>
    <n v="296"/>
    <n v="502"/>
    <n v="206"/>
    <s v="Product 49"/>
    <x v="13"/>
    <s v="Carl Hall"/>
    <x v="224"/>
    <n v="1"/>
    <x v="0"/>
    <x v="10"/>
    <x v="10"/>
    <x v="3"/>
    <x v="2"/>
  </r>
  <r>
    <s v="AX12610"/>
    <s v="ENX2099"/>
    <s v="A132"/>
    <s v="EMP1005"/>
    <s v="C1269"/>
    <x v="103"/>
    <n v="1"/>
    <n v="1367"/>
    <n v="984"/>
    <n v="984"/>
    <n v="1367"/>
    <n v="383"/>
    <s v="Product 100"/>
    <x v="48"/>
    <s v="Ryan Welch"/>
    <x v="661"/>
    <n v="1"/>
    <x v="0"/>
    <x v="10"/>
    <x v="10"/>
    <x v="3"/>
    <x v="2"/>
  </r>
  <r>
    <s v="AX13204"/>
    <s v="ENX2013"/>
    <s v="A164"/>
    <s v="EMP1022"/>
    <s v="C1620"/>
    <x v="103"/>
    <n v="2"/>
    <n v="368"/>
    <n v="269"/>
    <n v="538"/>
    <n v="736"/>
    <n v="198"/>
    <s v="Product 14"/>
    <x v="3"/>
    <s v="Walter Cook"/>
    <x v="445"/>
    <n v="1"/>
    <x v="0"/>
    <x v="10"/>
    <x v="10"/>
    <x v="3"/>
    <x v="2"/>
  </r>
  <r>
    <s v="AX13238"/>
    <s v="ENX2098"/>
    <s v="A125"/>
    <s v="EMP1044"/>
    <s v="C1097"/>
    <x v="103"/>
    <n v="1"/>
    <n v="1178"/>
    <n v="683"/>
    <n v="683"/>
    <n v="1178"/>
    <n v="495"/>
    <s v="Product 99"/>
    <x v="31"/>
    <s v="Martin Carr"/>
    <x v="662"/>
    <n v="1"/>
    <x v="0"/>
    <x v="10"/>
    <x v="10"/>
    <x v="3"/>
    <x v="2"/>
  </r>
  <r>
    <s v="AX13304"/>
    <s v="ENX2067"/>
    <s v="A106"/>
    <s v="EMP1006"/>
    <s v="C1670"/>
    <x v="102"/>
    <n v="2"/>
    <n v="1119"/>
    <n v="683"/>
    <n v="1366"/>
    <n v="2238"/>
    <n v="872"/>
    <s v="Product 68"/>
    <x v="11"/>
    <s v="Sean Miller"/>
    <x v="663"/>
    <n v="1"/>
    <x v="0"/>
    <x v="10"/>
    <x v="10"/>
    <x v="3"/>
    <x v="2"/>
  </r>
  <r>
    <s v="AX13468"/>
    <s v="ENX2023"/>
    <s v="A156"/>
    <s v="EMP1011"/>
    <s v="C1139"/>
    <x v="102"/>
    <n v="1"/>
    <n v="818"/>
    <n v="450"/>
    <n v="450"/>
    <n v="818"/>
    <n v="368"/>
    <s v="Product 24"/>
    <x v="14"/>
    <s v="Larry Marshall"/>
    <x v="561"/>
    <n v="1"/>
    <x v="0"/>
    <x v="10"/>
    <x v="10"/>
    <x v="3"/>
    <x v="2"/>
  </r>
  <r>
    <s v="AX13550"/>
    <s v="ENX2090"/>
    <s v="A113"/>
    <s v="EMP1000"/>
    <s v="C1679"/>
    <x v="105"/>
    <n v="1"/>
    <n v="1338"/>
    <n v="682"/>
    <n v="682"/>
    <n v="1338"/>
    <n v="656"/>
    <s v="Product 91"/>
    <x v="73"/>
    <s v="Fred Robertson"/>
    <x v="664"/>
    <n v="1"/>
    <x v="0"/>
    <x v="10"/>
    <x v="10"/>
    <x v="3"/>
    <x v="2"/>
  </r>
  <r>
    <s v="AX13791"/>
    <s v="ENX2091"/>
    <s v="A105"/>
    <s v="EMP1032"/>
    <s v="C1393"/>
    <x v="103"/>
    <n v="2"/>
    <n v="368"/>
    <n v="294"/>
    <n v="588"/>
    <n v="736"/>
    <n v="148"/>
    <s v="Product 92"/>
    <x v="45"/>
    <s v="Larry Castillo"/>
    <x v="93"/>
    <n v="1"/>
    <x v="0"/>
    <x v="10"/>
    <x v="10"/>
    <x v="3"/>
    <x v="2"/>
  </r>
  <r>
    <s v="AX13877"/>
    <s v="ENX2081"/>
    <s v="A129"/>
    <s v="EMP1021"/>
    <s v="C1267"/>
    <x v="102"/>
    <n v="2"/>
    <n v="1566"/>
    <n v="1190"/>
    <n v="2380"/>
    <n v="3132"/>
    <n v="752"/>
    <s v="Product 82"/>
    <x v="22"/>
    <s v="Clarence Fox"/>
    <x v="657"/>
    <n v="1"/>
    <x v="0"/>
    <x v="10"/>
    <x v="10"/>
    <x v="3"/>
    <x v="2"/>
  </r>
  <r>
    <s v="AX13929"/>
    <s v="ENX2093"/>
    <s v="A136"/>
    <s v="EMP1022"/>
    <s v="C1246"/>
    <x v="102"/>
    <n v="4"/>
    <n v="112"/>
    <n v="90"/>
    <n v="360"/>
    <n v="448"/>
    <n v="88"/>
    <s v="Product 94"/>
    <x v="43"/>
    <s v="Walter Cook"/>
    <x v="665"/>
    <n v="1"/>
    <x v="0"/>
    <x v="10"/>
    <x v="10"/>
    <x v="3"/>
    <x v="2"/>
  </r>
  <r>
    <s v="AX14035"/>
    <s v="ENX2060"/>
    <s v="A168"/>
    <s v="EMP1018"/>
    <s v="C1785"/>
    <x v="103"/>
    <n v="4"/>
    <n v="1467"/>
    <n v="807"/>
    <n v="3228"/>
    <n v="5868"/>
    <n v="2640"/>
    <s v="Product 61"/>
    <x v="40"/>
    <s v="Jimmy Young"/>
    <x v="107"/>
    <n v="1"/>
    <x v="0"/>
    <x v="10"/>
    <x v="10"/>
    <x v="3"/>
    <x v="2"/>
  </r>
  <r>
    <s v="AX14085"/>
    <s v="ENX2058"/>
    <s v="A166"/>
    <s v="EMP1025"/>
    <s v="C1736"/>
    <x v="104"/>
    <n v="3"/>
    <n v="2257"/>
    <n v="1535"/>
    <n v="4605"/>
    <n v="6771"/>
    <n v="2166"/>
    <s v="Product 59"/>
    <x v="70"/>
    <s v="Ernest Wagner"/>
    <x v="472"/>
    <n v="1"/>
    <x v="0"/>
    <x v="10"/>
    <x v="10"/>
    <x v="3"/>
    <x v="2"/>
  </r>
  <r>
    <s v="AX14228"/>
    <s v="ENX2045"/>
    <s v="A124"/>
    <s v="EMP1005"/>
    <s v="C1719"/>
    <x v="102"/>
    <n v="1"/>
    <n v="556"/>
    <n v="395"/>
    <n v="395"/>
    <n v="556"/>
    <n v="161"/>
    <s v="Product 46"/>
    <x v="67"/>
    <s v="Ryan Welch"/>
    <x v="666"/>
    <n v="1"/>
    <x v="0"/>
    <x v="10"/>
    <x v="10"/>
    <x v="3"/>
    <x v="2"/>
  </r>
  <r>
    <s v="AX14840"/>
    <s v="ENX2031"/>
    <s v="A162"/>
    <s v="EMP1023"/>
    <s v="C1093"/>
    <x v="103"/>
    <n v="3"/>
    <n v="1638"/>
    <n v="1261"/>
    <n v="3783"/>
    <n v="4914"/>
    <n v="1131"/>
    <s v="Product 32"/>
    <x v="2"/>
    <s v="Brian Davis"/>
    <x v="290"/>
    <n v="1"/>
    <x v="0"/>
    <x v="10"/>
    <x v="10"/>
    <x v="3"/>
    <x v="2"/>
  </r>
  <r>
    <s v="AX14975"/>
    <s v="ENX2010"/>
    <s v="A137"/>
    <s v="EMP1001"/>
    <s v="C1089"/>
    <x v="102"/>
    <n v="1"/>
    <n v="1812"/>
    <n v="1305"/>
    <n v="1305"/>
    <n v="1812"/>
    <n v="507"/>
    <s v="Product 11"/>
    <x v="68"/>
    <s v="Kevin Butler"/>
    <x v="267"/>
    <n v="1"/>
    <x v="0"/>
    <x v="10"/>
    <x v="10"/>
    <x v="3"/>
    <x v="2"/>
  </r>
  <r>
    <s v="AX15892"/>
    <s v="ENX2048"/>
    <s v="A103"/>
    <s v="EMP1006"/>
    <s v="C1539"/>
    <x v="102"/>
    <n v="1"/>
    <n v="502"/>
    <n v="296"/>
    <n v="296"/>
    <n v="502"/>
    <n v="206"/>
    <s v="Product 49"/>
    <x v="61"/>
    <s v="Sean Miller"/>
    <x v="280"/>
    <n v="1"/>
    <x v="0"/>
    <x v="10"/>
    <x v="10"/>
    <x v="3"/>
    <x v="2"/>
  </r>
  <r>
    <s v="AX16472"/>
    <s v="ENX2086"/>
    <s v="A134"/>
    <s v="EMP1011"/>
    <s v="C1669"/>
    <x v="102"/>
    <n v="1"/>
    <n v="123"/>
    <n v="84"/>
    <n v="84"/>
    <n v="123"/>
    <n v="39"/>
    <s v="Product 87"/>
    <x v="41"/>
    <s v="Larry Marshall"/>
    <x v="447"/>
    <n v="1"/>
    <x v="0"/>
    <x v="10"/>
    <x v="10"/>
    <x v="3"/>
    <x v="2"/>
  </r>
  <r>
    <s v="AX16526"/>
    <s v="ENX2052"/>
    <s v="A133"/>
    <s v="EMP1030"/>
    <s v="C1710"/>
    <x v="103"/>
    <n v="4"/>
    <n v="1526"/>
    <n v="1251"/>
    <n v="5004"/>
    <n v="6104"/>
    <n v="1100"/>
    <s v="Product 53"/>
    <x v="46"/>
    <s v="Bobby Russell"/>
    <x v="197"/>
    <n v="1"/>
    <x v="0"/>
    <x v="10"/>
    <x v="10"/>
    <x v="3"/>
    <x v="2"/>
  </r>
  <r>
    <s v="AX16571"/>
    <s v="ENX2060"/>
    <s v="A124"/>
    <s v="EMP1015"/>
    <s v="C1375"/>
    <x v="105"/>
    <n v="3"/>
    <n v="1467"/>
    <n v="807"/>
    <n v="2421"/>
    <n v="4401"/>
    <n v="1980"/>
    <s v="Product 61"/>
    <x v="67"/>
    <s v="Justin Lynch"/>
    <x v="9"/>
    <n v="1"/>
    <x v="0"/>
    <x v="10"/>
    <x v="10"/>
    <x v="3"/>
    <x v="2"/>
  </r>
  <r>
    <s v="AX16715"/>
    <s v="ENX2011"/>
    <s v="A116"/>
    <s v="EMP1008"/>
    <s v="C1637"/>
    <x v="103"/>
    <n v="4"/>
    <n v="530"/>
    <n v="435"/>
    <n v="1740"/>
    <n v="2120"/>
    <n v="380"/>
    <s v="Product 12"/>
    <x v="15"/>
    <s v="Carl Elliott"/>
    <x v="326"/>
    <n v="1"/>
    <x v="0"/>
    <x v="10"/>
    <x v="10"/>
    <x v="3"/>
    <x v="2"/>
  </r>
  <r>
    <s v="AX17006"/>
    <s v="ENX2008"/>
    <s v="A159"/>
    <s v="EMP1006"/>
    <s v="C1442"/>
    <x v="102"/>
    <n v="1"/>
    <n v="315"/>
    <n v="208"/>
    <n v="208"/>
    <n v="315"/>
    <n v="107"/>
    <s v="Product 9"/>
    <x v="13"/>
    <s v="Sean Miller"/>
    <x v="299"/>
    <n v="1"/>
    <x v="0"/>
    <x v="10"/>
    <x v="10"/>
    <x v="3"/>
    <x v="2"/>
  </r>
  <r>
    <s v="AX17053"/>
    <s v="ENX2032"/>
    <s v="A124"/>
    <s v="EMP1036"/>
    <s v="C1187"/>
    <x v="105"/>
    <n v="1"/>
    <n v="1967"/>
    <n v="1397"/>
    <n v="1397"/>
    <n v="1967"/>
    <n v="570"/>
    <s v="Product 33"/>
    <x v="67"/>
    <s v="Robert Reed"/>
    <x v="303"/>
    <n v="1"/>
    <x v="0"/>
    <x v="10"/>
    <x v="10"/>
    <x v="3"/>
    <x v="2"/>
  </r>
  <r>
    <s v="AX17054"/>
    <s v="ENX2031"/>
    <s v="A108"/>
    <s v="EMP1011"/>
    <s v="C1616"/>
    <x v="102"/>
    <n v="1"/>
    <n v="1638"/>
    <n v="1261"/>
    <n v="1261"/>
    <n v="1638"/>
    <n v="377"/>
    <s v="Product 32"/>
    <x v="49"/>
    <s v="Larry Marshall"/>
    <x v="253"/>
    <n v="1"/>
    <x v="0"/>
    <x v="10"/>
    <x v="10"/>
    <x v="3"/>
    <x v="2"/>
  </r>
  <r>
    <s v="AX17087"/>
    <s v="ENX2000"/>
    <s v="A164"/>
    <s v="EMP1018"/>
    <s v="C1514"/>
    <x v="104"/>
    <n v="1"/>
    <n v="2241"/>
    <n v="1367"/>
    <n v="1367"/>
    <n v="2241"/>
    <n v="874"/>
    <s v="Product 1"/>
    <x v="3"/>
    <s v="Jimmy Young"/>
    <x v="307"/>
    <n v="1"/>
    <x v="0"/>
    <x v="10"/>
    <x v="10"/>
    <x v="3"/>
    <x v="2"/>
  </r>
  <r>
    <s v="AX17151"/>
    <s v="ENX2088"/>
    <s v="A163"/>
    <s v="EMP1028"/>
    <s v="C1787"/>
    <x v="105"/>
    <n v="4"/>
    <n v="603"/>
    <n v="416"/>
    <n v="1664"/>
    <n v="2412"/>
    <n v="748"/>
    <s v="Product 89"/>
    <x v="51"/>
    <s v="Howard Sims"/>
    <x v="439"/>
    <n v="1"/>
    <x v="0"/>
    <x v="10"/>
    <x v="10"/>
    <x v="3"/>
    <x v="2"/>
  </r>
  <r>
    <s v="AX17194"/>
    <s v="ENX2034"/>
    <s v="A155"/>
    <s v="EMP1005"/>
    <s v="C1744"/>
    <x v="102"/>
    <n v="3"/>
    <n v="871"/>
    <n v="540"/>
    <n v="1620"/>
    <n v="2613"/>
    <n v="993"/>
    <s v="Product 35"/>
    <x v="53"/>
    <s v="Ryan Welch"/>
    <x v="500"/>
    <n v="1"/>
    <x v="0"/>
    <x v="10"/>
    <x v="10"/>
    <x v="3"/>
    <x v="2"/>
  </r>
  <r>
    <s v="AX17342"/>
    <s v="ENX2056"/>
    <s v="A113"/>
    <s v="EMP1043"/>
    <s v="C1389"/>
    <x v="102"/>
    <n v="1"/>
    <n v="1635"/>
    <n v="1046"/>
    <n v="1046"/>
    <n v="1635"/>
    <n v="589"/>
    <s v="Product 57"/>
    <x v="73"/>
    <s v="Joshua Taylor"/>
    <x v="38"/>
    <n v="1"/>
    <x v="0"/>
    <x v="10"/>
    <x v="10"/>
    <x v="3"/>
    <x v="2"/>
  </r>
  <r>
    <s v="AX18133"/>
    <s v="ENX2036"/>
    <s v="A159"/>
    <s v="EMP1003"/>
    <s v="C1165"/>
    <x v="102"/>
    <n v="1"/>
    <n v="1582"/>
    <n v="1234"/>
    <n v="1234"/>
    <n v="1582"/>
    <n v="348"/>
    <s v="Product 37"/>
    <x v="13"/>
    <s v="Christopher Tucker"/>
    <x v="82"/>
    <n v="1"/>
    <x v="0"/>
    <x v="10"/>
    <x v="10"/>
    <x v="3"/>
    <x v="2"/>
  </r>
  <r>
    <s v="AX18334"/>
    <s v="ENX2005"/>
    <s v="A141"/>
    <s v="EMP1019"/>
    <s v="C1131"/>
    <x v="102"/>
    <n v="2"/>
    <n v="684"/>
    <n v="561"/>
    <n v="1122"/>
    <n v="1368"/>
    <n v="246"/>
    <s v="Product 6"/>
    <x v="23"/>
    <s v="Roger Robertson"/>
    <x v="76"/>
    <n v="1"/>
    <x v="0"/>
    <x v="10"/>
    <x v="10"/>
    <x v="3"/>
    <x v="2"/>
  </r>
  <r>
    <s v="AX18536"/>
    <s v="ENX2038"/>
    <s v="A101"/>
    <s v="EMP1006"/>
    <s v="C1295"/>
    <x v="105"/>
    <n v="4"/>
    <n v="392"/>
    <n v="255"/>
    <n v="1020"/>
    <n v="1568"/>
    <n v="548"/>
    <s v="Product 39"/>
    <x v="60"/>
    <s v="Sean Miller"/>
    <x v="373"/>
    <n v="1"/>
    <x v="0"/>
    <x v="10"/>
    <x v="10"/>
    <x v="3"/>
    <x v="2"/>
  </r>
  <r>
    <s v="AX18579"/>
    <s v="ENX2002"/>
    <s v="A162"/>
    <s v="EMP1001"/>
    <s v="C1799"/>
    <x v="104"/>
    <n v="1"/>
    <n v="847"/>
    <n v="534"/>
    <n v="534"/>
    <n v="847"/>
    <n v="313"/>
    <s v="Product 3"/>
    <x v="2"/>
    <s v="Kevin Butler"/>
    <x v="390"/>
    <n v="1"/>
    <x v="0"/>
    <x v="10"/>
    <x v="10"/>
    <x v="3"/>
    <x v="2"/>
  </r>
  <r>
    <s v="AX18676"/>
    <s v="ENX2056"/>
    <s v="A142"/>
    <s v="EMP1011"/>
    <s v="C1441"/>
    <x v="104"/>
    <n v="3"/>
    <n v="1635"/>
    <n v="1046"/>
    <n v="3138"/>
    <n v="4905"/>
    <n v="1767"/>
    <s v="Product 57"/>
    <x v="56"/>
    <s v="Larry Marshall"/>
    <x v="667"/>
    <n v="1"/>
    <x v="0"/>
    <x v="10"/>
    <x v="10"/>
    <x v="3"/>
    <x v="2"/>
  </r>
  <r>
    <s v="AX18801"/>
    <s v="ENX2044"/>
    <s v="A145"/>
    <s v="EMP1012"/>
    <s v="C1636"/>
    <x v="105"/>
    <n v="2"/>
    <n v="886"/>
    <n v="478"/>
    <n v="956"/>
    <n v="1772"/>
    <n v="816"/>
    <s v="Product 45"/>
    <x v="35"/>
    <s v="John Reyes"/>
    <x v="668"/>
    <n v="1"/>
    <x v="0"/>
    <x v="10"/>
    <x v="10"/>
    <x v="3"/>
    <x v="2"/>
  </r>
  <r>
    <s v="AX18895"/>
    <s v="ENX2030"/>
    <s v="A103"/>
    <s v="EMP1028"/>
    <s v="C1135"/>
    <x v="103"/>
    <n v="3"/>
    <n v="1899"/>
    <n v="1044"/>
    <n v="3132"/>
    <n v="5697"/>
    <n v="2565"/>
    <s v="Product 31"/>
    <x v="61"/>
    <s v="Howard Sims"/>
    <x v="669"/>
    <n v="1"/>
    <x v="0"/>
    <x v="10"/>
    <x v="10"/>
    <x v="3"/>
    <x v="2"/>
  </r>
  <r>
    <s v="AX19334"/>
    <s v="ENX2082"/>
    <s v="A108"/>
    <s v="EMP1016"/>
    <s v="C1765"/>
    <x v="105"/>
    <n v="1"/>
    <n v="1103"/>
    <n v="838"/>
    <n v="838"/>
    <n v="1103"/>
    <n v="265"/>
    <s v="Product 83"/>
    <x v="49"/>
    <s v="Henry Nelson"/>
    <x v="470"/>
    <n v="1"/>
    <x v="0"/>
    <x v="10"/>
    <x v="10"/>
    <x v="3"/>
    <x v="2"/>
  </r>
  <r>
    <s v="AX19379"/>
    <s v="ENX2022"/>
    <s v="A114"/>
    <s v="EMP1026"/>
    <s v="C1438"/>
    <x v="105"/>
    <n v="2"/>
    <n v="561"/>
    <n v="421"/>
    <n v="842"/>
    <n v="1122"/>
    <n v="280"/>
    <s v="Product 23"/>
    <x v="28"/>
    <s v="Martin Perry"/>
    <x v="670"/>
    <n v="1"/>
    <x v="0"/>
    <x v="10"/>
    <x v="10"/>
    <x v="3"/>
    <x v="2"/>
  </r>
  <r>
    <s v="AX19976"/>
    <s v="ENX2019"/>
    <s v="A130"/>
    <s v="EMP1002"/>
    <s v="C1133"/>
    <x v="103"/>
    <n v="2"/>
    <n v="800"/>
    <n v="536"/>
    <n v="1072"/>
    <n v="1600"/>
    <n v="528"/>
    <s v="Product 20"/>
    <x v="4"/>
    <s v="Andrew Bowman"/>
    <x v="468"/>
    <n v="1"/>
    <x v="0"/>
    <x v="10"/>
    <x v="10"/>
    <x v="3"/>
    <x v="2"/>
  </r>
  <r>
    <s v="AX20809"/>
    <s v="ENX2097"/>
    <s v="A148"/>
    <s v="EMP1014"/>
    <s v="C1114"/>
    <x v="102"/>
    <n v="1"/>
    <n v="1052"/>
    <n v="589"/>
    <n v="589"/>
    <n v="1052"/>
    <n v="463"/>
    <s v="Product 98"/>
    <x v="62"/>
    <s v="Ronald Reed"/>
    <x v="405"/>
    <n v="1"/>
    <x v="0"/>
    <x v="10"/>
    <x v="10"/>
    <x v="3"/>
    <x v="2"/>
  </r>
  <r>
    <s v="AX20931"/>
    <s v="ENX2093"/>
    <s v="A143"/>
    <s v="EMP1003"/>
    <s v="C1512"/>
    <x v="103"/>
    <n v="1"/>
    <n v="112"/>
    <n v="90"/>
    <n v="90"/>
    <n v="112"/>
    <n v="22"/>
    <s v="Product 94"/>
    <x v="39"/>
    <s v="Christopher Tucker"/>
    <x v="671"/>
    <n v="1"/>
    <x v="0"/>
    <x v="10"/>
    <x v="10"/>
    <x v="3"/>
    <x v="2"/>
  </r>
  <r>
    <s v="AX21030"/>
    <s v="ENX2026"/>
    <s v="A116"/>
    <s v="EMP1035"/>
    <s v="C1026"/>
    <x v="102"/>
    <n v="3"/>
    <n v="947"/>
    <n v="786"/>
    <n v="2358"/>
    <n v="2841"/>
    <n v="483"/>
    <s v="Product 27"/>
    <x v="15"/>
    <s v="Roger Ramos"/>
    <x v="410"/>
    <n v="1"/>
    <x v="0"/>
    <x v="10"/>
    <x v="10"/>
    <x v="3"/>
    <x v="2"/>
  </r>
  <r>
    <s v="AX21419"/>
    <s v="ENX2042"/>
    <s v="A132"/>
    <s v="EMP1004"/>
    <s v="C1709"/>
    <x v="103"/>
    <n v="2"/>
    <n v="203"/>
    <n v="154"/>
    <n v="308"/>
    <n v="406"/>
    <n v="98"/>
    <s v="Product 43"/>
    <x v="48"/>
    <s v="Kenneth Bradley"/>
    <x v="203"/>
    <n v="1"/>
    <x v="0"/>
    <x v="10"/>
    <x v="10"/>
    <x v="3"/>
    <x v="2"/>
  </r>
  <r>
    <s v="AX21626"/>
    <s v="ENX2040"/>
    <s v="A163"/>
    <s v="EMP1011"/>
    <s v="C1637"/>
    <x v="105"/>
    <n v="3"/>
    <n v="1889"/>
    <n v="945"/>
    <n v="2835"/>
    <n v="5667"/>
    <n v="2832"/>
    <s v="Product 41"/>
    <x v="51"/>
    <s v="Larry Marshall"/>
    <x v="326"/>
    <n v="1"/>
    <x v="0"/>
    <x v="10"/>
    <x v="10"/>
    <x v="3"/>
    <x v="2"/>
  </r>
  <r>
    <s v="AX21651"/>
    <s v="ENX2071"/>
    <s v="A118"/>
    <s v="EMP1018"/>
    <s v="C1699"/>
    <x v="102"/>
    <n v="2"/>
    <n v="136"/>
    <n v="72"/>
    <n v="144"/>
    <n v="272"/>
    <n v="128"/>
    <s v="Product 72"/>
    <x v="19"/>
    <s v="Jimmy Young"/>
    <x v="672"/>
    <n v="1"/>
    <x v="0"/>
    <x v="10"/>
    <x v="10"/>
    <x v="3"/>
    <x v="2"/>
  </r>
  <r>
    <s v="AX21948"/>
    <s v="ENX2019"/>
    <s v="A161"/>
    <s v="EMP1007"/>
    <s v="C1552"/>
    <x v="102"/>
    <n v="3"/>
    <n v="800"/>
    <n v="536"/>
    <n v="1608"/>
    <n v="2400"/>
    <n v="792"/>
    <s v="Product 20"/>
    <x v="6"/>
    <s v="Jeremy Mendoza"/>
    <x v="92"/>
    <n v="1"/>
    <x v="0"/>
    <x v="10"/>
    <x v="10"/>
    <x v="3"/>
    <x v="2"/>
  </r>
  <r>
    <s v="AX22286"/>
    <s v="ENX2038"/>
    <s v="A159"/>
    <s v="EMP1029"/>
    <s v="C1136"/>
    <x v="102"/>
    <n v="2"/>
    <n v="392"/>
    <n v="255"/>
    <n v="510"/>
    <n v="784"/>
    <n v="274"/>
    <s v="Product 39"/>
    <x v="13"/>
    <s v="Howard Gardner"/>
    <x v="425"/>
    <n v="1"/>
    <x v="0"/>
    <x v="10"/>
    <x v="10"/>
    <x v="3"/>
    <x v="2"/>
  </r>
  <r>
    <s v="AX22615"/>
    <s v="ENX2030"/>
    <s v="A147"/>
    <s v="EMP1031"/>
    <s v="C1333"/>
    <x v="105"/>
    <n v="1"/>
    <n v="1899"/>
    <n v="1044"/>
    <n v="1044"/>
    <n v="1899"/>
    <n v="855"/>
    <s v="Product 31"/>
    <x v="42"/>
    <s v="Brian Thomas"/>
    <x v="673"/>
    <n v="1"/>
    <x v="0"/>
    <x v="10"/>
    <x v="10"/>
    <x v="3"/>
    <x v="2"/>
  </r>
  <r>
    <s v="AX22723"/>
    <s v="ENX2058"/>
    <s v="A158"/>
    <s v="EMP1036"/>
    <s v="C1149"/>
    <x v="104"/>
    <n v="3"/>
    <n v="2257"/>
    <n v="1535"/>
    <n v="4605"/>
    <n v="6771"/>
    <n v="2166"/>
    <s v="Product 59"/>
    <x v="58"/>
    <s v="Robert Reed"/>
    <x v="514"/>
    <n v="1"/>
    <x v="0"/>
    <x v="10"/>
    <x v="10"/>
    <x v="3"/>
    <x v="2"/>
  </r>
  <r>
    <s v="AX22954"/>
    <s v="ENX2070"/>
    <s v="A148"/>
    <s v="EMP1028"/>
    <s v="C1025"/>
    <x v="105"/>
    <n v="1"/>
    <n v="1671"/>
    <n v="1220"/>
    <n v="1220"/>
    <n v="1671"/>
    <n v="451"/>
    <s v="Product 71"/>
    <x v="62"/>
    <s v="Howard Sims"/>
    <x v="350"/>
    <n v="1"/>
    <x v="0"/>
    <x v="10"/>
    <x v="10"/>
    <x v="3"/>
    <x v="2"/>
  </r>
  <r>
    <s v="AX23680"/>
    <s v="ENX2024"/>
    <s v="A143"/>
    <s v="EMP1007"/>
    <s v="C1344"/>
    <x v="103"/>
    <n v="1"/>
    <n v="356"/>
    <n v="292"/>
    <n v="292"/>
    <n v="356"/>
    <n v="64"/>
    <s v="Product 25"/>
    <x v="39"/>
    <s v="Jeremy Mendoza"/>
    <x v="22"/>
    <n v="1"/>
    <x v="0"/>
    <x v="10"/>
    <x v="10"/>
    <x v="3"/>
    <x v="2"/>
  </r>
  <r>
    <s v="AX23785"/>
    <s v="ENX2022"/>
    <s v="A172"/>
    <s v="EMP1022"/>
    <s v="C1288"/>
    <x v="103"/>
    <n v="4"/>
    <n v="561"/>
    <n v="421"/>
    <n v="1684"/>
    <n v="2244"/>
    <n v="560"/>
    <s v="Product 23"/>
    <x v="36"/>
    <s v="Walter Cook"/>
    <x v="674"/>
    <n v="1"/>
    <x v="0"/>
    <x v="10"/>
    <x v="10"/>
    <x v="3"/>
    <x v="2"/>
  </r>
  <r>
    <s v="AX24229"/>
    <s v="ENX2070"/>
    <s v="A146"/>
    <s v="EMP1023"/>
    <s v="C1742"/>
    <x v="102"/>
    <n v="3"/>
    <n v="1671"/>
    <n v="1220"/>
    <n v="3660"/>
    <n v="5013"/>
    <n v="1353"/>
    <s v="Product 71"/>
    <x v="27"/>
    <s v="Brian Davis"/>
    <x v="434"/>
    <n v="1"/>
    <x v="0"/>
    <x v="10"/>
    <x v="10"/>
    <x v="3"/>
    <x v="2"/>
  </r>
  <r>
    <s v="AX24440"/>
    <s v="ENX2021"/>
    <s v="A109"/>
    <s v="EMP1009"/>
    <s v="C1421"/>
    <x v="105"/>
    <n v="2"/>
    <n v="217"/>
    <n v="171"/>
    <n v="342"/>
    <n v="434"/>
    <n v="92"/>
    <s v="Product 22"/>
    <x v="57"/>
    <s v="Kenneth Fields"/>
    <x v="564"/>
    <n v="1"/>
    <x v="0"/>
    <x v="10"/>
    <x v="10"/>
    <x v="3"/>
    <x v="2"/>
  </r>
  <r>
    <s v="AX24740"/>
    <s v="ENX2088"/>
    <s v="A141"/>
    <s v="EMP1023"/>
    <s v="C1630"/>
    <x v="103"/>
    <n v="2"/>
    <n v="603"/>
    <n v="416"/>
    <n v="832"/>
    <n v="1206"/>
    <n v="374"/>
    <s v="Product 89"/>
    <x v="23"/>
    <s v="Brian Davis"/>
    <x v="154"/>
    <n v="1"/>
    <x v="0"/>
    <x v="10"/>
    <x v="10"/>
    <x v="3"/>
    <x v="2"/>
  </r>
  <r>
    <s v="AX10667"/>
    <s v="ENX2060"/>
    <s v="A163"/>
    <s v="EMP1035"/>
    <s v="C1640"/>
    <x v="106"/>
    <n v="1"/>
    <n v="1467"/>
    <n v="807"/>
    <n v="807"/>
    <n v="1467"/>
    <n v="660"/>
    <s v="Product 61"/>
    <x v="51"/>
    <s v="Roger Ramos"/>
    <x v="59"/>
    <n v="1"/>
    <x v="0"/>
    <x v="11"/>
    <x v="11"/>
    <x v="3"/>
    <x v="0"/>
  </r>
  <r>
    <s v="AX10780"/>
    <s v="ENX2046"/>
    <s v="A116"/>
    <s v="EMP1019"/>
    <s v="C1290"/>
    <x v="106"/>
    <n v="4"/>
    <n v="2410"/>
    <n v="1518"/>
    <n v="6072"/>
    <n v="9640"/>
    <n v="3568"/>
    <s v="Product 47"/>
    <x v="15"/>
    <s v="Roger Robertson"/>
    <x v="675"/>
    <n v="1"/>
    <x v="0"/>
    <x v="11"/>
    <x v="11"/>
    <x v="3"/>
    <x v="0"/>
  </r>
  <r>
    <s v="AX10930"/>
    <s v="ENX2048"/>
    <s v="A133"/>
    <s v="EMP1027"/>
    <s v="C1605"/>
    <x v="107"/>
    <n v="1"/>
    <n v="502"/>
    <n v="296"/>
    <n v="296"/>
    <n v="502"/>
    <n v="206"/>
    <s v="Product 49"/>
    <x v="46"/>
    <s v="Gary Rodriguez"/>
    <x v="676"/>
    <n v="1"/>
    <x v="0"/>
    <x v="11"/>
    <x v="11"/>
    <x v="3"/>
    <x v="0"/>
  </r>
  <r>
    <s v="AX11381"/>
    <s v="ENX2040"/>
    <s v="A143"/>
    <s v="EMP1009"/>
    <s v="C1793"/>
    <x v="108"/>
    <n v="1"/>
    <n v="1889"/>
    <n v="945"/>
    <n v="945"/>
    <n v="1889"/>
    <n v="944"/>
    <s v="Product 41"/>
    <x v="39"/>
    <s v="Kenneth Fields"/>
    <x v="677"/>
    <n v="1"/>
    <x v="0"/>
    <x v="11"/>
    <x v="11"/>
    <x v="3"/>
    <x v="0"/>
  </r>
  <r>
    <s v="AX11401"/>
    <s v="ENX2066"/>
    <s v="A126"/>
    <s v="EMP1029"/>
    <s v="C1255"/>
    <x v="109"/>
    <n v="1"/>
    <n v="2091"/>
    <n v="1485"/>
    <n v="1485"/>
    <n v="2091"/>
    <n v="606"/>
    <s v="Product 67"/>
    <x v="5"/>
    <s v="Howard Gardner"/>
    <x v="111"/>
    <n v="1"/>
    <x v="0"/>
    <x v="11"/>
    <x v="11"/>
    <x v="3"/>
    <x v="0"/>
  </r>
  <r>
    <s v="AX11612"/>
    <s v="ENX2095"/>
    <s v="A146"/>
    <s v="EMP1033"/>
    <s v="C1738"/>
    <x v="108"/>
    <n v="1"/>
    <n v="1743"/>
    <n v="872"/>
    <n v="872"/>
    <n v="1743"/>
    <n v="871"/>
    <s v="Product 96"/>
    <x v="27"/>
    <s v="Jerry Perry"/>
    <x v="35"/>
    <n v="1"/>
    <x v="0"/>
    <x v="11"/>
    <x v="11"/>
    <x v="3"/>
    <x v="0"/>
  </r>
  <r>
    <s v="AX12122"/>
    <s v="ENX2001"/>
    <s v="A154"/>
    <s v="EMP1023"/>
    <s v="C1508"/>
    <x v="108"/>
    <n v="3"/>
    <n v="951"/>
    <n v="504"/>
    <n v="1512"/>
    <n v="2853"/>
    <n v="1341"/>
    <s v="Product 2"/>
    <x v="24"/>
    <s v="Brian Davis"/>
    <x v="37"/>
    <n v="1"/>
    <x v="0"/>
    <x v="11"/>
    <x v="11"/>
    <x v="3"/>
    <x v="0"/>
  </r>
  <r>
    <s v="AX12414"/>
    <s v="ENX2041"/>
    <s v="A106"/>
    <s v="EMP1012"/>
    <s v="C1079"/>
    <x v="108"/>
    <n v="1"/>
    <n v="1380"/>
    <n v="1090"/>
    <n v="1090"/>
    <n v="1380"/>
    <n v="290"/>
    <s v="Product 42"/>
    <x v="11"/>
    <s v="John Reyes"/>
    <x v="370"/>
    <n v="1"/>
    <x v="0"/>
    <x v="11"/>
    <x v="11"/>
    <x v="3"/>
    <x v="0"/>
  </r>
  <r>
    <s v="AX12460"/>
    <s v="ENX2067"/>
    <s v="A158"/>
    <s v="EMP1005"/>
    <s v="C1011"/>
    <x v="107"/>
    <n v="1"/>
    <n v="1119"/>
    <n v="683"/>
    <n v="683"/>
    <n v="1119"/>
    <n v="436"/>
    <s v="Product 68"/>
    <x v="58"/>
    <s v="Ryan Welch"/>
    <x v="275"/>
    <n v="1"/>
    <x v="0"/>
    <x v="11"/>
    <x v="11"/>
    <x v="3"/>
    <x v="0"/>
  </r>
  <r>
    <s v="AX13068"/>
    <s v="ENX2071"/>
    <s v="A135"/>
    <s v="EMP1002"/>
    <s v="C1580"/>
    <x v="109"/>
    <n v="3"/>
    <n v="136"/>
    <n v="72"/>
    <n v="216"/>
    <n v="408"/>
    <n v="192"/>
    <s v="Product 72"/>
    <x v="10"/>
    <s v="Andrew Bowman"/>
    <x v="617"/>
    <n v="1"/>
    <x v="0"/>
    <x v="11"/>
    <x v="11"/>
    <x v="3"/>
    <x v="0"/>
  </r>
  <r>
    <s v="AX13153"/>
    <s v="ENX2069"/>
    <s v="A157"/>
    <s v="EMP1043"/>
    <s v="C1365"/>
    <x v="109"/>
    <n v="1"/>
    <n v="378"/>
    <n v="291"/>
    <n v="291"/>
    <n v="378"/>
    <n v="87"/>
    <s v="Product 70"/>
    <x v="7"/>
    <s v="Joshua Taylor"/>
    <x v="450"/>
    <n v="1"/>
    <x v="0"/>
    <x v="11"/>
    <x v="11"/>
    <x v="3"/>
    <x v="0"/>
  </r>
  <r>
    <s v="AX13288"/>
    <s v="ENX2080"/>
    <s v="A146"/>
    <s v="EMP1010"/>
    <s v="C1329"/>
    <x v="107"/>
    <n v="3"/>
    <n v="2353"/>
    <n v="1788"/>
    <n v="5364"/>
    <n v="7059"/>
    <n v="1695"/>
    <s v="Product 81"/>
    <x v="27"/>
    <s v="Joshua Cook"/>
    <x v="244"/>
    <n v="1"/>
    <x v="0"/>
    <x v="11"/>
    <x v="11"/>
    <x v="3"/>
    <x v="0"/>
  </r>
  <r>
    <s v="AX13563"/>
    <s v="ENX2033"/>
    <s v="A157"/>
    <s v="EMP1025"/>
    <s v="C1130"/>
    <x v="106"/>
    <n v="4"/>
    <n v="2182"/>
    <n v="1200"/>
    <n v="4800"/>
    <n v="8728"/>
    <n v="3928"/>
    <s v="Product 34"/>
    <x v="7"/>
    <s v="Ernest Wagner"/>
    <x v="448"/>
    <n v="1"/>
    <x v="0"/>
    <x v="11"/>
    <x v="11"/>
    <x v="3"/>
    <x v="0"/>
  </r>
  <r>
    <s v="AX13715"/>
    <s v="ENX2099"/>
    <s v="A126"/>
    <s v="EMP1040"/>
    <s v="C1721"/>
    <x v="108"/>
    <n v="1"/>
    <n v="1367"/>
    <n v="984"/>
    <n v="984"/>
    <n v="1367"/>
    <n v="383"/>
    <s v="Product 100"/>
    <x v="5"/>
    <s v="Patrick Ruiz"/>
    <x v="678"/>
    <n v="1"/>
    <x v="0"/>
    <x v="11"/>
    <x v="11"/>
    <x v="3"/>
    <x v="0"/>
  </r>
  <r>
    <s v="AX13789"/>
    <s v="ENX2016"/>
    <s v="A167"/>
    <s v="EMP1021"/>
    <s v="C1396"/>
    <x v="108"/>
    <n v="1"/>
    <n v="1351"/>
    <n v="1108"/>
    <n v="1108"/>
    <n v="1351"/>
    <n v="243"/>
    <s v="Product 17"/>
    <x v="64"/>
    <s v="Clarence Fox"/>
    <x v="624"/>
    <n v="1"/>
    <x v="0"/>
    <x v="11"/>
    <x v="11"/>
    <x v="3"/>
    <x v="0"/>
  </r>
  <r>
    <s v="AX13983"/>
    <s v="ENX2040"/>
    <s v="A111"/>
    <s v="EMP1033"/>
    <s v="C1683"/>
    <x v="108"/>
    <n v="2"/>
    <n v="1889"/>
    <n v="945"/>
    <n v="1890"/>
    <n v="3778"/>
    <n v="1888"/>
    <s v="Product 41"/>
    <x v="54"/>
    <s v="Jerry Perry"/>
    <x v="379"/>
    <n v="1"/>
    <x v="0"/>
    <x v="11"/>
    <x v="11"/>
    <x v="3"/>
    <x v="0"/>
  </r>
  <r>
    <s v="AX14037"/>
    <s v="ENX2062"/>
    <s v="A113"/>
    <s v="EMP1001"/>
    <s v="C1111"/>
    <x v="107"/>
    <n v="2"/>
    <n v="2464"/>
    <n v="1774"/>
    <n v="3548"/>
    <n v="4928"/>
    <n v="1380"/>
    <s v="Product 63"/>
    <x v="73"/>
    <s v="Kevin Butler"/>
    <x v="563"/>
    <n v="1"/>
    <x v="0"/>
    <x v="11"/>
    <x v="11"/>
    <x v="3"/>
    <x v="0"/>
  </r>
  <r>
    <s v="AX14214"/>
    <s v="ENX2032"/>
    <s v="A120"/>
    <s v="EMP1033"/>
    <s v="C1633"/>
    <x v="107"/>
    <n v="3"/>
    <n v="1967"/>
    <n v="1397"/>
    <n v="4191"/>
    <n v="5901"/>
    <n v="1710"/>
    <s v="Product 33"/>
    <x v="20"/>
    <s v="Jerry Perry"/>
    <x v="558"/>
    <n v="1"/>
    <x v="0"/>
    <x v="11"/>
    <x v="11"/>
    <x v="3"/>
    <x v="0"/>
  </r>
  <r>
    <s v="AX14264"/>
    <s v="ENX2015"/>
    <s v="A160"/>
    <s v="EMP1002"/>
    <s v="C1484"/>
    <x v="107"/>
    <n v="4"/>
    <n v="637"/>
    <n v="389"/>
    <n v="1556"/>
    <n v="2548"/>
    <n v="992"/>
    <s v="Product 16"/>
    <x v="9"/>
    <s v="Andrew Bowman"/>
    <x v="466"/>
    <n v="1"/>
    <x v="0"/>
    <x v="11"/>
    <x v="11"/>
    <x v="3"/>
    <x v="0"/>
  </r>
  <r>
    <s v="AX14842"/>
    <s v="ENX2033"/>
    <s v="A142"/>
    <s v="EMP1044"/>
    <s v="C1040"/>
    <x v="107"/>
    <n v="2"/>
    <n v="2182"/>
    <n v="1200"/>
    <n v="2400"/>
    <n v="4364"/>
    <n v="1964"/>
    <s v="Product 34"/>
    <x v="56"/>
    <s v="Martin Carr"/>
    <x v="221"/>
    <n v="1"/>
    <x v="0"/>
    <x v="11"/>
    <x v="11"/>
    <x v="3"/>
    <x v="0"/>
  </r>
  <r>
    <s v="AX15313"/>
    <s v="ENX2019"/>
    <s v="A116"/>
    <s v="EMP1019"/>
    <s v="C1299"/>
    <x v="106"/>
    <n v="2"/>
    <n v="800"/>
    <n v="536"/>
    <n v="1072"/>
    <n v="1600"/>
    <n v="528"/>
    <s v="Product 20"/>
    <x v="15"/>
    <s v="Roger Robertson"/>
    <x v="655"/>
    <n v="1"/>
    <x v="0"/>
    <x v="11"/>
    <x v="11"/>
    <x v="3"/>
    <x v="0"/>
  </r>
  <r>
    <s v="AX15355"/>
    <s v="ENX2060"/>
    <s v="A104"/>
    <s v="EMP1017"/>
    <s v="C1615"/>
    <x v="106"/>
    <n v="1"/>
    <n v="1467"/>
    <n v="807"/>
    <n v="807"/>
    <n v="1467"/>
    <n v="660"/>
    <s v="Product 61"/>
    <x v="50"/>
    <s v="Brian Hansen"/>
    <x v="457"/>
    <n v="1"/>
    <x v="0"/>
    <x v="11"/>
    <x v="11"/>
    <x v="3"/>
    <x v="0"/>
  </r>
  <r>
    <s v="AX15506"/>
    <s v="ENX2022"/>
    <s v="A165"/>
    <s v="EMP1006"/>
    <s v="C1569"/>
    <x v="108"/>
    <n v="1"/>
    <n v="561"/>
    <n v="421"/>
    <n v="421"/>
    <n v="561"/>
    <n v="140"/>
    <s v="Product 23"/>
    <x v="55"/>
    <s v="Sean Miller"/>
    <x v="485"/>
    <n v="1"/>
    <x v="0"/>
    <x v="11"/>
    <x v="11"/>
    <x v="3"/>
    <x v="0"/>
  </r>
  <r>
    <s v="AX15508"/>
    <s v="ENX2099"/>
    <s v="A158"/>
    <s v="EMP1035"/>
    <s v="C1350"/>
    <x v="109"/>
    <n v="1"/>
    <n v="1367"/>
    <n v="984"/>
    <n v="984"/>
    <n v="1367"/>
    <n v="383"/>
    <s v="Product 100"/>
    <x v="58"/>
    <s v="Roger Ramos"/>
    <x v="625"/>
    <n v="1"/>
    <x v="0"/>
    <x v="11"/>
    <x v="11"/>
    <x v="3"/>
    <x v="0"/>
  </r>
  <r>
    <s v="AX15556"/>
    <s v="ENX2008"/>
    <s v="A130"/>
    <s v="EMP1013"/>
    <s v="C1288"/>
    <x v="108"/>
    <n v="1"/>
    <n v="315"/>
    <n v="208"/>
    <n v="208"/>
    <n v="315"/>
    <n v="107"/>
    <s v="Product 9"/>
    <x v="4"/>
    <s v="Charles Harper"/>
    <x v="674"/>
    <n v="1"/>
    <x v="0"/>
    <x v="11"/>
    <x v="11"/>
    <x v="3"/>
    <x v="0"/>
  </r>
  <r>
    <s v="AX15942"/>
    <s v="ENX2059"/>
    <s v="A108"/>
    <s v="EMP1003"/>
    <s v="C1739"/>
    <x v="109"/>
    <n v="1"/>
    <n v="1494"/>
    <n v="971"/>
    <n v="971"/>
    <n v="1494"/>
    <n v="523"/>
    <s v="Product 60"/>
    <x v="49"/>
    <s v="Christopher Tucker"/>
    <x v="286"/>
    <n v="1"/>
    <x v="0"/>
    <x v="11"/>
    <x v="11"/>
    <x v="3"/>
    <x v="0"/>
  </r>
  <r>
    <s v="AX16394"/>
    <s v="ENX2052"/>
    <s v="A150"/>
    <s v="EMP1006"/>
    <s v="C1485"/>
    <x v="107"/>
    <n v="2"/>
    <n v="1526"/>
    <n v="1251"/>
    <n v="2502"/>
    <n v="3052"/>
    <n v="550"/>
    <s v="Product 53"/>
    <x v="30"/>
    <s v="Sean Miller"/>
    <x v="679"/>
    <n v="1"/>
    <x v="0"/>
    <x v="11"/>
    <x v="11"/>
    <x v="3"/>
    <x v="0"/>
  </r>
  <r>
    <s v="AX16410"/>
    <s v="ENX2085"/>
    <s v="A109"/>
    <s v="EMP1038"/>
    <s v="C1799"/>
    <x v="108"/>
    <n v="2"/>
    <n v="1862"/>
    <n v="1173"/>
    <n v="2346"/>
    <n v="3724"/>
    <n v="1378"/>
    <s v="Product 86"/>
    <x v="57"/>
    <s v="Scott Mason"/>
    <x v="390"/>
    <n v="1"/>
    <x v="0"/>
    <x v="11"/>
    <x v="11"/>
    <x v="3"/>
    <x v="0"/>
  </r>
  <r>
    <s v="AX16780"/>
    <s v="ENX2019"/>
    <s v="A158"/>
    <s v="EMP1025"/>
    <s v="C1230"/>
    <x v="107"/>
    <n v="2"/>
    <n v="800"/>
    <n v="536"/>
    <n v="1072"/>
    <n v="1600"/>
    <n v="528"/>
    <s v="Product 20"/>
    <x v="58"/>
    <s v="Ernest Wagner"/>
    <x v="578"/>
    <n v="1"/>
    <x v="0"/>
    <x v="11"/>
    <x v="11"/>
    <x v="3"/>
    <x v="0"/>
  </r>
  <r>
    <s v="AX16844"/>
    <s v="ENX2033"/>
    <s v="A163"/>
    <s v="EMP1015"/>
    <s v="C1162"/>
    <x v="109"/>
    <n v="1"/>
    <n v="2182"/>
    <n v="1200"/>
    <n v="1200"/>
    <n v="2182"/>
    <n v="982"/>
    <s v="Product 34"/>
    <x v="51"/>
    <s v="Justin Lynch"/>
    <x v="177"/>
    <n v="1"/>
    <x v="0"/>
    <x v="11"/>
    <x v="11"/>
    <x v="3"/>
    <x v="0"/>
  </r>
  <r>
    <s v="AX16990"/>
    <s v="ENX2029"/>
    <s v="A103"/>
    <s v="EMP1005"/>
    <s v="C1398"/>
    <x v="109"/>
    <n v="3"/>
    <n v="1848"/>
    <n v="1294"/>
    <n v="3882"/>
    <n v="5544"/>
    <n v="1662"/>
    <s v="Product 30"/>
    <x v="61"/>
    <s v="Ryan Welch"/>
    <x v="680"/>
    <n v="1"/>
    <x v="0"/>
    <x v="11"/>
    <x v="11"/>
    <x v="3"/>
    <x v="0"/>
  </r>
  <r>
    <s v="AX17579"/>
    <s v="ENX2070"/>
    <s v="A114"/>
    <s v="EMP1041"/>
    <s v="C1431"/>
    <x v="108"/>
    <n v="2"/>
    <n v="1671"/>
    <n v="1220"/>
    <n v="2440"/>
    <n v="3342"/>
    <n v="902"/>
    <s v="Product 71"/>
    <x v="28"/>
    <s v="Joe Sims"/>
    <x v="587"/>
    <n v="1"/>
    <x v="0"/>
    <x v="11"/>
    <x v="11"/>
    <x v="3"/>
    <x v="0"/>
  </r>
  <r>
    <s v="AX17669"/>
    <s v="ENX2043"/>
    <s v="A115"/>
    <s v="EMP1024"/>
    <s v="C1090"/>
    <x v="109"/>
    <n v="3"/>
    <n v="545"/>
    <n v="425"/>
    <n v="1275"/>
    <n v="1635"/>
    <n v="360"/>
    <s v="Product 44"/>
    <x v="33"/>
    <s v="Ernest Wheeler"/>
    <x v="0"/>
    <n v="1"/>
    <x v="0"/>
    <x v="11"/>
    <x v="11"/>
    <x v="3"/>
    <x v="0"/>
  </r>
  <r>
    <s v="AX18052"/>
    <s v="ENX2009"/>
    <s v="A117"/>
    <s v="EMP1036"/>
    <s v="C1710"/>
    <x v="106"/>
    <n v="1"/>
    <n v="584"/>
    <n v="420"/>
    <n v="420"/>
    <n v="584"/>
    <n v="164"/>
    <s v="Product 10"/>
    <x v="29"/>
    <s v="Robert Reed"/>
    <x v="197"/>
    <n v="1"/>
    <x v="0"/>
    <x v="11"/>
    <x v="11"/>
    <x v="3"/>
    <x v="0"/>
  </r>
  <r>
    <s v="AX18201"/>
    <s v="ENX2000"/>
    <s v="A158"/>
    <s v="EMP1042"/>
    <s v="C1027"/>
    <x v="109"/>
    <n v="2"/>
    <n v="2241"/>
    <n v="1367"/>
    <n v="2734"/>
    <n v="4482"/>
    <n v="1748"/>
    <s v="Product 1"/>
    <x v="58"/>
    <s v="Scott Clark"/>
    <x v="528"/>
    <n v="1"/>
    <x v="0"/>
    <x v="11"/>
    <x v="11"/>
    <x v="3"/>
    <x v="0"/>
  </r>
  <r>
    <s v="AX18764"/>
    <s v="ENX2041"/>
    <s v="A144"/>
    <s v="EMP1008"/>
    <s v="C1397"/>
    <x v="106"/>
    <n v="1"/>
    <n v="1380"/>
    <n v="1090"/>
    <n v="1090"/>
    <n v="1380"/>
    <n v="290"/>
    <s v="Product 42"/>
    <x v="65"/>
    <s v="Carl Elliott"/>
    <x v="560"/>
    <n v="1"/>
    <x v="0"/>
    <x v="11"/>
    <x v="11"/>
    <x v="3"/>
    <x v="0"/>
  </r>
  <r>
    <s v="AX19547"/>
    <s v="ENX2070"/>
    <s v="A150"/>
    <s v="EMP1012"/>
    <s v="C1618"/>
    <x v="107"/>
    <n v="3"/>
    <n v="1671"/>
    <n v="1220"/>
    <n v="3660"/>
    <n v="5013"/>
    <n v="1353"/>
    <s v="Product 71"/>
    <x v="30"/>
    <s v="John Reyes"/>
    <x v="292"/>
    <n v="1"/>
    <x v="0"/>
    <x v="11"/>
    <x v="11"/>
    <x v="3"/>
    <x v="0"/>
  </r>
  <r>
    <s v="AX19739"/>
    <s v="ENX2099"/>
    <s v="A166"/>
    <s v="EMP1005"/>
    <s v="C1162"/>
    <x v="109"/>
    <n v="1"/>
    <n v="1367"/>
    <n v="984"/>
    <n v="984"/>
    <n v="1367"/>
    <n v="383"/>
    <s v="Product 100"/>
    <x v="70"/>
    <s v="Ryan Welch"/>
    <x v="177"/>
    <n v="1"/>
    <x v="0"/>
    <x v="11"/>
    <x v="11"/>
    <x v="3"/>
    <x v="0"/>
  </r>
  <r>
    <s v="AX20743"/>
    <s v="ENX2046"/>
    <s v="A173"/>
    <s v="EMP1025"/>
    <s v="C1588"/>
    <x v="106"/>
    <n v="4"/>
    <n v="2410"/>
    <n v="1518"/>
    <n v="6072"/>
    <n v="9640"/>
    <n v="3568"/>
    <s v="Product 47"/>
    <x v="25"/>
    <s v="Ernest Wagner"/>
    <x v="653"/>
    <n v="1"/>
    <x v="0"/>
    <x v="11"/>
    <x v="11"/>
    <x v="3"/>
    <x v="0"/>
  </r>
  <r>
    <s v="AX21012"/>
    <s v="ENX2047"/>
    <s v="A120"/>
    <s v="EMP1031"/>
    <s v="C1562"/>
    <x v="109"/>
    <n v="1"/>
    <n v="290"/>
    <n v="200"/>
    <n v="200"/>
    <n v="290"/>
    <n v="90"/>
    <s v="Product 48"/>
    <x v="20"/>
    <s v="Brian Thomas"/>
    <x v="312"/>
    <n v="1"/>
    <x v="0"/>
    <x v="11"/>
    <x v="11"/>
    <x v="3"/>
    <x v="0"/>
  </r>
  <r>
    <s v="AX21160"/>
    <s v="ENX2086"/>
    <s v="A145"/>
    <s v="EMP1025"/>
    <s v="C1365"/>
    <x v="106"/>
    <n v="3"/>
    <n v="123"/>
    <n v="84"/>
    <n v="252"/>
    <n v="369"/>
    <n v="117"/>
    <s v="Product 87"/>
    <x v="35"/>
    <s v="Ernest Wagner"/>
    <x v="450"/>
    <n v="1"/>
    <x v="0"/>
    <x v="11"/>
    <x v="11"/>
    <x v="3"/>
    <x v="0"/>
  </r>
  <r>
    <s v="AX21195"/>
    <s v="ENX2016"/>
    <s v="A154"/>
    <s v="EMP1013"/>
    <s v="C1556"/>
    <x v="109"/>
    <n v="1"/>
    <n v="1351"/>
    <n v="1108"/>
    <n v="1108"/>
    <n v="1351"/>
    <n v="243"/>
    <s v="Product 17"/>
    <x v="24"/>
    <s v="Charles Harper"/>
    <x v="223"/>
    <n v="1"/>
    <x v="0"/>
    <x v="11"/>
    <x v="11"/>
    <x v="3"/>
    <x v="0"/>
  </r>
  <r>
    <s v="AX21283"/>
    <s v="ENX2011"/>
    <s v="A109"/>
    <s v="EMP1025"/>
    <s v="C1491"/>
    <x v="106"/>
    <n v="1"/>
    <n v="530"/>
    <n v="435"/>
    <n v="435"/>
    <n v="530"/>
    <n v="95"/>
    <s v="Product 12"/>
    <x v="57"/>
    <s v="Ernest Wagner"/>
    <x v="277"/>
    <n v="1"/>
    <x v="0"/>
    <x v="11"/>
    <x v="11"/>
    <x v="3"/>
    <x v="0"/>
  </r>
  <r>
    <s v="AX21508"/>
    <s v="ENX2002"/>
    <s v="A108"/>
    <s v="EMP1023"/>
    <s v="C1551"/>
    <x v="106"/>
    <n v="1"/>
    <n v="847"/>
    <n v="534"/>
    <n v="534"/>
    <n v="847"/>
    <n v="313"/>
    <s v="Product 3"/>
    <x v="49"/>
    <s v="Brian Davis"/>
    <x v="596"/>
    <n v="1"/>
    <x v="0"/>
    <x v="11"/>
    <x v="11"/>
    <x v="3"/>
    <x v="0"/>
  </r>
  <r>
    <s v="AX21520"/>
    <s v="ENX2057"/>
    <s v="A157"/>
    <s v="EMP1015"/>
    <s v="C1620"/>
    <x v="108"/>
    <n v="1"/>
    <n v="181"/>
    <n v="130"/>
    <n v="130"/>
    <n v="181"/>
    <n v="51"/>
    <s v="Product 58"/>
    <x v="7"/>
    <s v="Justin Lynch"/>
    <x v="445"/>
    <n v="1"/>
    <x v="0"/>
    <x v="11"/>
    <x v="11"/>
    <x v="3"/>
    <x v="0"/>
  </r>
  <r>
    <s v="AX21529"/>
    <s v="ENX2018"/>
    <s v="A133"/>
    <s v="EMP1029"/>
    <s v="C1335"/>
    <x v="108"/>
    <n v="1"/>
    <n v="1972"/>
    <n v="1321"/>
    <n v="1321"/>
    <n v="1972"/>
    <n v="651"/>
    <s v="Product 19"/>
    <x v="46"/>
    <s v="Howard Gardner"/>
    <x v="2"/>
    <n v="1"/>
    <x v="0"/>
    <x v="11"/>
    <x v="11"/>
    <x v="3"/>
    <x v="0"/>
  </r>
  <r>
    <s v="AX21614"/>
    <s v="ENX2090"/>
    <s v="A159"/>
    <s v="EMP1000"/>
    <s v="C1096"/>
    <x v="107"/>
    <n v="2"/>
    <n v="1338"/>
    <n v="682"/>
    <n v="1364"/>
    <n v="2676"/>
    <n v="1312"/>
    <s v="Product 91"/>
    <x v="13"/>
    <s v="Fred Robertson"/>
    <x v="91"/>
    <n v="1"/>
    <x v="0"/>
    <x v="11"/>
    <x v="11"/>
    <x v="3"/>
    <x v="0"/>
  </r>
  <r>
    <s v="AX21687"/>
    <s v="ENX2022"/>
    <s v="A139"/>
    <s v="EMP1024"/>
    <s v="C1466"/>
    <x v="108"/>
    <n v="3"/>
    <n v="561"/>
    <n v="421"/>
    <n v="1263"/>
    <n v="1683"/>
    <n v="420"/>
    <s v="Product 23"/>
    <x v="38"/>
    <s v="Ernest Wheeler"/>
    <x v="132"/>
    <n v="1"/>
    <x v="0"/>
    <x v="11"/>
    <x v="11"/>
    <x v="3"/>
    <x v="0"/>
  </r>
  <r>
    <s v="AX21716"/>
    <s v="ENX2048"/>
    <s v="A128"/>
    <s v="EMP1036"/>
    <s v="C1422"/>
    <x v="109"/>
    <n v="4"/>
    <n v="502"/>
    <n v="296"/>
    <n v="1184"/>
    <n v="2008"/>
    <n v="824"/>
    <s v="Product 49"/>
    <x v="12"/>
    <s v="Robert Reed"/>
    <x v="176"/>
    <n v="1"/>
    <x v="0"/>
    <x v="11"/>
    <x v="11"/>
    <x v="3"/>
    <x v="0"/>
  </r>
  <r>
    <s v="AX22268"/>
    <s v="ENX2017"/>
    <s v="A131"/>
    <s v="EMP1033"/>
    <s v="C1554"/>
    <x v="108"/>
    <n v="2"/>
    <n v="35"/>
    <n v="22"/>
    <n v="44"/>
    <n v="70"/>
    <n v="26"/>
    <s v="Product 18"/>
    <x v="32"/>
    <s v="Jerry Perry"/>
    <x v="516"/>
    <n v="1"/>
    <x v="0"/>
    <x v="11"/>
    <x v="11"/>
    <x v="3"/>
    <x v="0"/>
  </r>
  <r>
    <s v="AX22589"/>
    <s v="ENX2020"/>
    <s v="A133"/>
    <s v="EMP1011"/>
    <s v="C1121"/>
    <x v="108"/>
    <n v="1"/>
    <n v="2005"/>
    <n v="1223"/>
    <n v="1223"/>
    <n v="2005"/>
    <n v="782"/>
    <s v="Product 21"/>
    <x v="46"/>
    <s v="Larry Marshall"/>
    <x v="681"/>
    <n v="1"/>
    <x v="0"/>
    <x v="11"/>
    <x v="11"/>
    <x v="3"/>
    <x v="0"/>
  </r>
  <r>
    <s v="AX24167"/>
    <s v="ENX2030"/>
    <s v="A165"/>
    <s v="EMP1026"/>
    <s v="C1268"/>
    <x v="106"/>
    <n v="1"/>
    <n v="1899"/>
    <n v="1044"/>
    <n v="1044"/>
    <n v="1899"/>
    <n v="855"/>
    <s v="Product 31"/>
    <x v="55"/>
    <s v="Martin Perry"/>
    <x v="526"/>
    <n v="1"/>
    <x v="0"/>
    <x v="11"/>
    <x v="11"/>
    <x v="3"/>
    <x v="0"/>
  </r>
  <r>
    <s v="AX24404"/>
    <s v="ENX2069"/>
    <s v="A153"/>
    <s v="EMP1032"/>
    <s v="C1286"/>
    <x v="107"/>
    <n v="1"/>
    <n v="378"/>
    <n v="291"/>
    <n v="291"/>
    <n v="378"/>
    <n v="87"/>
    <s v="Product 70"/>
    <x v="8"/>
    <s v="Larry Castillo"/>
    <x v="308"/>
    <n v="1"/>
    <x v="0"/>
    <x v="11"/>
    <x v="11"/>
    <x v="3"/>
    <x v="0"/>
  </r>
  <r>
    <s v="AX24823"/>
    <s v="ENX2093"/>
    <s v="A157"/>
    <s v="EMP1032"/>
    <s v="C1345"/>
    <x v="106"/>
    <n v="1"/>
    <n v="112"/>
    <n v="90"/>
    <n v="90"/>
    <n v="112"/>
    <n v="22"/>
    <s v="Product 94"/>
    <x v="7"/>
    <s v="Larry Castillo"/>
    <x v="567"/>
    <n v="1"/>
    <x v="0"/>
    <x v="11"/>
    <x v="11"/>
    <x v="3"/>
    <x v="0"/>
  </r>
  <r>
    <s v="AX24854"/>
    <s v="ENX2040"/>
    <s v="A147"/>
    <s v="EMP1007"/>
    <s v="C1042"/>
    <x v="108"/>
    <n v="1"/>
    <n v="1889"/>
    <n v="945"/>
    <n v="945"/>
    <n v="1889"/>
    <n v="944"/>
    <s v="Product 41"/>
    <x v="42"/>
    <s v="Jeremy Mendoza"/>
    <x v="459"/>
    <n v="1"/>
    <x v="0"/>
    <x v="11"/>
    <x v="11"/>
    <x v="3"/>
    <x v="0"/>
  </r>
  <r>
    <s v="AX10108"/>
    <s v="ENX2015"/>
    <s v="A131"/>
    <s v="EMP1029"/>
    <s v="C1660"/>
    <x v="110"/>
    <n v="1"/>
    <n v="637"/>
    <n v="389"/>
    <n v="389"/>
    <n v="637"/>
    <n v="248"/>
    <s v="Product 16"/>
    <x v="32"/>
    <s v="Howard Gardner"/>
    <x v="146"/>
    <n v="1"/>
    <x v="0"/>
    <x v="11"/>
    <x v="11"/>
    <x v="3"/>
    <x v="2"/>
  </r>
  <r>
    <s v="AX10178"/>
    <s v="ENX2041"/>
    <s v="A100"/>
    <s v="EMP1030"/>
    <s v="C1690"/>
    <x v="111"/>
    <n v="1"/>
    <n v="1380"/>
    <n v="1090"/>
    <n v="1090"/>
    <n v="1380"/>
    <n v="290"/>
    <s v="Product 42"/>
    <x v="52"/>
    <s v="Bobby Russell"/>
    <x v="185"/>
    <n v="1"/>
    <x v="0"/>
    <x v="11"/>
    <x v="11"/>
    <x v="3"/>
    <x v="2"/>
  </r>
  <r>
    <s v="AX10377"/>
    <s v="ENX2086"/>
    <s v="A129"/>
    <s v="EMP1026"/>
    <s v="C1124"/>
    <x v="112"/>
    <n v="2"/>
    <n v="123"/>
    <n v="84"/>
    <n v="168"/>
    <n v="246"/>
    <n v="78"/>
    <s v="Product 87"/>
    <x v="22"/>
    <s v="Martin Perry"/>
    <x v="102"/>
    <n v="1"/>
    <x v="0"/>
    <x v="11"/>
    <x v="11"/>
    <x v="3"/>
    <x v="2"/>
  </r>
  <r>
    <s v="AX10628"/>
    <s v="ENX2034"/>
    <s v="A127"/>
    <s v="EMP1023"/>
    <s v="C1357"/>
    <x v="113"/>
    <n v="1"/>
    <n v="871"/>
    <n v="540"/>
    <n v="540"/>
    <n v="871"/>
    <n v="331"/>
    <s v="Product 35"/>
    <x v="69"/>
    <s v="Brian Davis"/>
    <x v="327"/>
    <n v="1"/>
    <x v="0"/>
    <x v="11"/>
    <x v="11"/>
    <x v="3"/>
    <x v="2"/>
  </r>
  <r>
    <s v="AX10944"/>
    <s v="ENX2005"/>
    <s v="A118"/>
    <s v="EMP1027"/>
    <s v="C1039"/>
    <x v="114"/>
    <n v="4"/>
    <n v="684"/>
    <n v="561"/>
    <n v="2244"/>
    <n v="2736"/>
    <n v="492"/>
    <s v="Product 6"/>
    <x v="19"/>
    <s v="Gary Rodriguez"/>
    <x v="574"/>
    <n v="1"/>
    <x v="0"/>
    <x v="11"/>
    <x v="11"/>
    <x v="3"/>
    <x v="2"/>
  </r>
  <r>
    <s v="AX11090"/>
    <s v="ENX2022"/>
    <s v="A159"/>
    <s v="EMP1019"/>
    <s v="C1253"/>
    <x v="110"/>
    <n v="1"/>
    <n v="561"/>
    <n v="421"/>
    <n v="421"/>
    <n v="561"/>
    <n v="140"/>
    <s v="Product 23"/>
    <x v="13"/>
    <s v="Roger Robertson"/>
    <x v="209"/>
    <n v="1"/>
    <x v="0"/>
    <x v="11"/>
    <x v="11"/>
    <x v="3"/>
    <x v="2"/>
  </r>
  <r>
    <s v="AX11226"/>
    <s v="ENX2001"/>
    <s v="A144"/>
    <s v="EMP1012"/>
    <s v="C1777"/>
    <x v="112"/>
    <n v="1"/>
    <n v="951"/>
    <n v="504"/>
    <n v="504"/>
    <n v="951"/>
    <n v="447"/>
    <s v="Product 2"/>
    <x v="65"/>
    <s v="John Reyes"/>
    <x v="682"/>
    <n v="1"/>
    <x v="0"/>
    <x v="11"/>
    <x v="11"/>
    <x v="3"/>
    <x v="2"/>
  </r>
  <r>
    <s v="AX12392"/>
    <s v="ENX2034"/>
    <s v="A161"/>
    <s v="EMP1028"/>
    <s v="C1443"/>
    <x v="111"/>
    <n v="1"/>
    <n v="871"/>
    <n v="540"/>
    <n v="540"/>
    <n v="871"/>
    <n v="331"/>
    <s v="Product 35"/>
    <x v="6"/>
    <s v="Howard Sims"/>
    <x v="683"/>
    <n v="1"/>
    <x v="0"/>
    <x v="11"/>
    <x v="11"/>
    <x v="3"/>
    <x v="2"/>
  </r>
  <r>
    <s v="AX13070"/>
    <s v="ENX2001"/>
    <s v="A169"/>
    <s v="EMP1030"/>
    <s v="C1021"/>
    <x v="110"/>
    <n v="1"/>
    <n v="951"/>
    <n v="504"/>
    <n v="504"/>
    <n v="951"/>
    <n v="447"/>
    <s v="Product 2"/>
    <x v="17"/>
    <s v="Bobby Russell"/>
    <x v="246"/>
    <n v="1"/>
    <x v="0"/>
    <x v="11"/>
    <x v="11"/>
    <x v="3"/>
    <x v="2"/>
  </r>
  <r>
    <s v="AX13077"/>
    <s v="ENX2053"/>
    <s v="A102"/>
    <s v="EMP1023"/>
    <s v="C1199"/>
    <x v="114"/>
    <n v="4"/>
    <n v="596"/>
    <n v="358"/>
    <n v="1432"/>
    <n v="2384"/>
    <n v="952"/>
    <s v="Product 54"/>
    <x v="44"/>
    <s v="Brian Davis"/>
    <x v="245"/>
    <n v="1"/>
    <x v="0"/>
    <x v="11"/>
    <x v="11"/>
    <x v="3"/>
    <x v="2"/>
  </r>
  <r>
    <s v="AX13261"/>
    <s v="ENX2005"/>
    <s v="A138"/>
    <s v="EMP1013"/>
    <s v="C1050"/>
    <x v="114"/>
    <n v="4"/>
    <n v="684"/>
    <n v="561"/>
    <n v="2244"/>
    <n v="2736"/>
    <n v="492"/>
    <s v="Product 6"/>
    <x v="37"/>
    <s v="Charles Harper"/>
    <x v="684"/>
    <n v="1"/>
    <x v="0"/>
    <x v="11"/>
    <x v="11"/>
    <x v="3"/>
    <x v="2"/>
  </r>
  <r>
    <s v="AX13375"/>
    <s v="ENX2047"/>
    <s v="A162"/>
    <s v="EMP1038"/>
    <s v="C1712"/>
    <x v="110"/>
    <n v="3"/>
    <n v="290"/>
    <n v="200"/>
    <n v="600"/>
    <n v="870"/>
    <n v="270"/>
    <s v="Product 48"/>
    <x v="2"/>
    <s v="Scott Mason"/>
    <x v="21"/>
    <n v="1"/>
    <x v="0"/>
    <x v="11"/>
    <x v="11"/>
    <x v="3"/>
    <x v="2"/>
  </r>
  <r>
    <s v="AX13526"/>
    <s v="ENX2060"/>
    <s v="A152"/>
    <s v="EMP1024"/>
    <s v="C1659"/>
    <x v="111"/>
    <n v="3"/>
    <n v="1467"/>
    <n v="807"/>
    <n v="2421"/>
    <n v="4401"/>
    <n v="1980"/>
    <s v="Product 61"/>
    <x v="26"/>
    <s v="Ernest Wheeler"/>
    <x v="51"/>
    <n v="1"/>
    <x v="0"/>
    <x v="11"/>
    <x v="11"/>
    <x v="3"/>
    <x v="2"/>
  </r>
  <r>
    <s v="AX13808"/>
    <s v="ENX2053"/>
    <s v="A125"/>
    <s v="EMP1016"/>
    <s v="C1240"/>
    <x v="111"/>
    <n v="4"/>
    <n v="596"/>
    <n v="358"/>
    <n v="1432"/>
    <n v="2384"/>
    <n v="952"/>
    <s v="Product 54"/>
    <x v="31"/>
    <s v="Henry Nelson"/>
    <x v="455"/>
    <n v="1"/>
    <x v="0"/>
    <x v="11"/>
    <x v="11"/>
    <x v="3"/>
    <x v="2"/>
  </r>
  <r>
    <s v="AX14022"/>
    <s v="ENX2095"/>
    <s v="A111"/>
    <s v="EMP1023"/>
    <s v="C1621"/>
    <x v="111"/>
    <n v="3"/>
    <n v="1743"/>
    <n v="872"/>
    <n v="2616"/>
    <n v="5229"/>
    <n v="2613"/>
    <s v="Product 96"/>
    <x v="54"/>
    <s v="Brian Davis"/>
    <x v="159"/>
    <n v="1"/>
    <x v="0"/>
    <x v="11"/>
    <x v="11"/>
    <x v="3"/>
    <x v="2"/>
  </r>
  <r>
    <s v="AX14065"/>
    <s v="ENX2089"/>
    <s v="A147"/>
    <s v="EMP1023"/>
    <s v="C1170"/>
    <x v="114"/>
    <n v="4"/>
    <n v="2294"/>
    <n v="1399"/>
    <n v="5596"/>
    <n v="9176"/>
    <n v="3580"/>
    <s v="Product 90"/>
    <x v="42"/>
    <s v="Brian Davis"/>
    <x v="616"/>
    <n v="1"/>
    <x v="0"/>
    <x v="11"/>
    <x v="11"/>
    <x v="3"/>
    <x v="2"/>
  </r>
  <r>
    <s v="AX14400"/>
    <s v="ENX2071"/>
    <s v="A115"/>
    <s v="EMP1043"/>
    <s v="C1120"/>
    <x v="113"/>
    <n v="1"/>
    <n v="136"/>
    <n v="72"/>
    <n v="72"/>
    <n v="136"/>
    <n v="64"/>
    <s v="Product 72"/>
    <x v="33"/>
    <s v="Joshua Taylor"/>
    <x v="685"/>
    <n v="1"/>
    <x v="0"/>
    <x v="11"/>
    <x v="11"/>
    <x v="3"/>
    <x v="2"/>
  </r>
  <r>
    <s v="AX14478"/>
    <s v="ENX2047"/>
    <s v="A135"/>
    <s v="EMP1036"/>
    <s v="C1357"/>
    <x v="111"/>
    <n v="3"/>
    <n v="290"/>
    <n v="200"/>
    <n v="600"/>
    <n v="870"/>
    <n v="270"/>
    <s v="Product 48"/>
    <x v="10"/>
    <s v="Robert Reed"/>
    <x v="327"/>
    <n v="1"/>
    <x v="0"/>
    <x v="11"/>
    <x v="11"/>
    <x v="3"/>
    <x v="2"/>
  </r>
  <r>
    <s v="AX14535"/>
    <s v="ENX2015"/>
    <s v="A155"/>
    <s v="EMP1012"/>
    <s v="C1010"/>
    <x v="113"/>
    <n v="2"/>
    <n v="637"/>
    <n v="389"/>
    <n v="778"/>
    <n v="1274"/>
    <n v="496"/>
    <s v="Product 16"/>
    <x v="53"/>
    <s v="John Reyes"/>
    <x v="399"/>
    <n v="1"/>
    <x v="0"/>
    <x v="11"/>
    <x v="11"/>
    <x v="3"/>
    <x v="2"/>
  </r>
  <r>
    <s v="AX14659"/>
    <s v="ENX2024"/>
    <s v="A155"/>
    <s v="EMP1031"/>
    <s v="C1016"/>
    <x v="113"/>
    <n v="1"/>
    <n v="356"/>
    <n v="292"/>
    <n v="292"/>
    <n v="356"/>
    <n v="64"/>
    <s v="Product 25"/>
    <x v="53"/>
    <s v="Brian Thomas"/>
    <x v="335"/>
    <n v="1"/>
    <x v="0"/>
    <x v="11"/>
    <x v="11"/>
    <x v="3"/>
    <x v="2"/>
  </r>
  <r>
    <s v="AX14804"/>
    <s v="ENX2045"/>
    <s v="A127"/>
    <s v="EMP1009"/>
    <s v="C1146"/>
    <x v="112"/>
    <n v="2"/>
    <n v="556"/>
    <n v="395"/>
    <n v="790"/>
    <n v="1112"/>
    <n v="322"/>
    <s v="Product 46"/>
    <x v="69"/>
    <s v="Kenneth Fields"/>
    <x v="274"/>
    <n v="1"/>
    <x v="0"/>
    <x v="11"/>
    <x v="11"/>
    <x v="3"/>
    <x v="2"/>
  </r>
  <r>
    <s v="AX14816"/>
    <s v="ENX2024"/>
    <s v="A169"/>
    <s v="EMP1023"/>
    <s v="C1198"/>
    <x v="113"/>
    <n v="4"/>
    <n v="356"/>
    <n v="292"/>
    <n v="1168"/>
    <n v="1424"/>
    <n v="256"/>
    <s v="Product 25"/>
    <x v="17"/>
    <s v="Brian Davis"/>
    <x v="42"/>
    <n v="1"/>
    <x v="0"/>
    <x v="11"/>
    <x v="11"/>
    <x v="3"/>
    <x v="2"/>
  </r>
  <r>
    <s v="AX14828"/>
    <s v="ENX2057"/>
    <s v="A127"/>
    <s v="EMP1010"/>
    <s v="C1561"/>
    <x v="112"/>
    <n v="1"/>
    <n v="181"/>
    <n v="130"/>
    <n v="130"/>
    <n v="181"/>
    <n v="51"/>
    <s v="Product 58"/>
    <x v="69"/>
    <s v="Joshua Cook"/>
    <x v="114"/>
    <n v="1"/>
    <x v="0"/>
    <x v="11"/>
    <x v="11"/>
    <x v="3"/>
    <x v="2"/>
  </r>
  <r>
    <s v="AX14932"/>
    <s v="ENX2035"/>
    <s v="A144"/>
    <s v="EMP1023"/>
    <s v="C1549"/>
    <x v="114"/>
    <n v="2"/>
    <n v="458"/>
    <n v="376"/>
    <n v="752"/>
    <n v="916"/>
    <n v="164"/>
    <s v="Product 36"/>
    <x v="65"/>
    <s v="Brian Davis"/>
    <x v="174"/>
    <n v="1"/>
    <x v="0"/>
    <x v="11"/>
    <x v="11"/>
    <x v="3"/>
    <x v="2"/>
  </r>
  <r>
    <s v="AX15521"/>
    <s v="ENX2029"/>
    <s v="A108"/>
    <s v="EMP1035"/>
    <s v="C1291"/>
    <x v="114"/>
    <n v="3"/>
    <n v="1848"/>
    <n v="1294"/>
    <n v="3882"/>
    <n v="5544"/>
    <n v="1662"/>
    <s v="Product 30"/>
    <x v="49"/>
    <s v="Roger Ramos"/>
    <x v="16"/>
    <n v="1"/>
    <x v="0"/>
    <x v="11"/>
    <x v="11"/>
    <x v="3"/>
    <x v="2"/>
  </r>
  <r>
    <s v="AX15897"/>
    <s v="ENX2068"/>
    <s v="A173"/>
    <s v="EMP1003"/>
    <s v="C1791"/>
    <x v="113"/>
    <n v="1"/>
    <n v="1500"/>
    <n v="900"/>
    <n v="900"/>
    <n v="1500"/>
    <n v="600"/>
    <s v="Product 69"/>
    <x v="25"/>
    <s v="Christopher Tucker"/>
    <x v="193"/>
    <n v="1"/>
    <x v="0"/>
    <x v="11"/>
    <x v="11"/>
    <x v="3"/>
    <x v="2"/>
  </r>
  <r>
    <s v="AX16444"/>
    <s v="ENX2021"/>
    <s v="A115"/>
    <s v="EMP1042"/>
    <s v="C1057"/>
    <x v="113"/>
    <n v="4"/>
    <n v="217"/>
    <n v="171"/>
    <n v="684"/>
    <n v="868"/>
    <n v="184"/>
    <s v="Product 22"/>
    <x v="33"/>
    <s v="Scott Clark"/>
    <x v="635"/>
    <n v="1"/>
    <x v="0"/>
    <x v="11"/>
    <x v="11"/>
    <x v="3"/>
    <x v="2"/>
  </r>
  <r>
    <s v="AX16537"/>
    <s v="ENX2018"/>
    <s v="A151"/>
    <s v="EMP1021"/>
    <s v="C1441"/>
    <x v="113"/>
    <n v="1"/>
    <n v="1972"/>
    <n v="1321"/>
    <n v="1321"/>
    <n v="1972"/>
    <n v="651"/>
    <s v="Product 19"/>
    <x v="1"/>
    <s v="Clarence Fox"/>
    <x v="667"/>
    <n v="1"/>
    <x v="0"/>
    <x v="11"/>
    <x v="11"/>
    <x v="3"/>
    <x v="2"/>
  </r>
  <r>
    <s v="AX16661"/>
    <s v="ENX2065"/>
    <s v="A110"/>
    <s v="EMP1040"/>
    <s v="C1715"/>
    <x v="111"/>
    <n v="2"/>
    <n v="2396"/>
    <n v="1965"/>
    <n v="3930"/>
    <n v="4792"/>
    <n v="862"/>
    <s v="Product 66"/>
    <x v="63"/>
    <s v="Patrick Ruiz"/>
    <x v="342"/>
    <n v="1"/>
    <x v="0"/>
    <x v="11"/>
    <x v="11"/>
    <x v="3"/>
    <x v="2"/>
  </r>
  <r>
    <s v="AX16684"/>
    <s v="ENX2077"/>
    <s v="A152"/>
    <s v="EMP1005"/>
    <s v="C1771"/>
    <x v="111"/>
    <n v="3"/>
    <n v="530"/>
    <n v="424"/>
    <n v="1272"/>
    <n v="1590"/>
    <n v="318"/>
    <s v="Product 78"/>
    <x v="26"/>
    <s v="Ryan Welch"/>
    <x v="34"/>
    <n v="1"/>
    <x v="0"/>
    <x v="11"/>
    <x v="11"/>
    <x v="3"/>
    <x v="2"/>
  </r>
  <r>
    <s v="AX17028"/>
    <s v="ENX2016"/>
    <s v="A115"/>
    <s v="EMP1014"/>
    <s v="C1225"/>
    <x v="110"/>
    <n v="1"/>
    <n v="1351"/>
    <n v="1108"/>
    <n v="1108"/>
    <n v="1351"/>
    <n v="243"/>
    <s v="Product 17"/>
    <x v="33"/>
    <s v="Ronald Reed"/>
    <x v="588"/>
    <n v="1"/>
    <x v="0"/>
    <x v="11"/>
    <x v="11"/>
    <x v="3"/>
    <x v="2"/>
  </r>
  <r>
    <s v="AX17127"/>
    <s v="ENX2062"/>
    <s v="A167"/>
    <s v="EMP1001"/>
    <s v="C1474"/>
    <x v="112"/>
    <n v="1"/>
    <n v="2464"/>
    <n v="1774"/>
    <n v="1774"/>
    <n v="2464"/>
    <n v="690"/>
    <s v="Product 63"/>
    <x v="64"/>
    <s v="Kevin Butler"/>
    <x v="265"/>
    <n v="1"/>
    <x v="0"/>
    <x v="11"/>
    <x v="11"/>
    <x v="3"/>
    <x v="2"/>
  </r>
  <r>
    <s v="AX17280"/>
    <s v="ENX2080"/>
    <s v="A166"/>
    <s v="EMP1012"/>
    <s v="C1138"/>
    <x v="111"/>
    <n v="3"/>
    <n v="2353"/>
    <n v="1788"/>
    <n v="5364"/>
    <n v="7059"/>
    <n v="1695"/>
    <s v="Product 81"/>
    <x v="70"/>
    <s v="John Reyes"/>
    <x v="325"/>
    <n v="1"/>
    <x v="0"/>
    <x v="11"/>
    <x v="11"/>
    <x v="3"/>
    <x v="2"/>
  </r>
  <r>
    <s v="AX17757"/>
    <s v="ENX2001"/>
    <s v="A120"/>
    <s v="EMP1033"/>
    <s v="C1347"/>
    <x v="114"/>
    <n v="3"/>
    <n v="951"/>
    <n v="504"/>
    <n v="1512"/>
    <n v="2853"/>
    <n v="1341"/>
    <s v="Product 2"/>
    <x v="20"/>
    <s v="Jerry Perry"/>
    <x v="686"/>
    <n v="1"/>
    <x v="0"/>
    <x v="11"/>
    <x v="11"/>
    <x v="3"/>
    <x v="2"/>
  </r>
  <r>
    <s v="AX17796"/>
    <s v="ENX2037"/>
    <s v="A120"/>
    <s v="EMP1020"/>
    <s v="C1195"/>
    <x v="112"/>
    <n v="4"/>
    <n v="880"/>
    <n v="634"/>
    <n v="2536"/>
    <n v="3520"/>
    <n v="984"/>
    <s v="Product 38"/>
    <x v="20"/>
    <s v="Ryan Butler"/>
    <x v="188"/>
    <n v="1"/>
    <x v="0"/>
    <x v="11"/>
    <x v="11"/>
    <x v="3"/>
    <x v="2"/>
  </r>
  <r>
    <s v="AX17824"/>
    <s v="ENX2094"/>
    <s v="A116"/>
    <s v="EMP1020"/>
    <s v="C1358"/>
    <x v="111"/>
    <n v="1"/>
    <n v="771"/>
    <n v="648"/>
    <n v="648"/>
    <n v="771"/>
    <n v="123"/>
    <s v="Product 95"/>
    <x v="15"/>
    <s v="Ryan Butler"/>
    <x v="242"/>
    <n v="1"/>
    <x v="0"/>
    <x v="11"/>
    <x v="11"/>
    <x v="3"/>
    <x v="2"/>
  </r>
  <r>
    <s v="AX18104"/>
    <s v="ENX2069"/>
    <s v="A107"/>
    <s v="EMP1009"/>
    <s v="C1078"/>
    <x v="111"/>
    <n v="1"/>
    <n v="378"/>
    <n v="291"/>
    <n v="291"/>
    <n v="378"/>
    <n v="87"/>
    <s v="Product 70"/>
    <x v="21"/>
    <s v="Kenneth Fields"/>
    <x v="565"/>
    <n v="1"/>
    <x v="0"/>
    <x v="11"/>
    <x v="11"/>
    <x v="3"/>
    <x v="2"/>
  </r>
  <r>
    <s v="AX18130"/>
    <s v="ENX2066"/>
    <s v="A130"/>
    <s v="EMP1030"/>
    <s v="C1588"/>
    <x v="113"/>
    <n v="3"/>
    <n v="2091"/>
    <n v="1485"/>
    <n v="4455"/>
    <n v="6273"/>
    <n v="1818"/>
    <s v="Product 67"/>
    <x v="4"/>
    <s v="Bobby Russell"/>
    <x v="653"/>
    <n v="1"/>
    <x v="0"/>
    <x v="11"/>
    <x v="11"/>
    <x v="3"/>
    <x v="2"/>
  </r>
  <r>
    <s v="AX18220"/>
    <s v="ENX2068"/>
    <s v="A109"/>
    <s v="EMP1031"/>
    <s v="C1093"/>
    <x v="113"/>
    <n v="2"/>
    <n v="1500"/>
    <n v="900"/>
    <n v="1800"/>
    <n v="3000"/>
    <n v="1200"/>
    <s v="Product 69"/>
    <x v="57"/>
    <s v="Brian Thomas"/>
    <x v="290"/>
    <n v="1"/>
    <x v="0"/>
    <x v="11"/>
    <x v="11"/>
    <x v="3"/>
    <x v="2"/>
  </r>
  <r>
    <s v="AX19059"/>
    <s v="ENX2052"/>
    <s v="A134"/>
    <s v="EMP1025"/>
    <s v="C1006"/>
    <x v="111"/>
    <n v="2"/>
    <n v="1526"/>
    <n v="1251"/>
    <n v="2502"/>
    <n v="3052"/>
    <n v="550"/>
    <s v="Product 53"/>
    <x v="41"/>
    <s v="Ernest Wagner"/>
    <x v="687"/>
    <n v="1"/>
    <x v="0"/>
    <x v="11"/>
    <x v="11"/>
    <x v="3"/>
    <x v="2"/>
  </r>
  <r>
    <s v="AX19177"/>
    <s v="ENX2041"/>
    <s v="A106"/>
    <s v="EMP1011"/>
    <s v="C1043"/>
    <x v="111"/>
    <n v="1"/>
    <n v="1380"/>
    <n v="1090"/>
    <n v="1090"/>
    <n v="1380"/>
    <n v="290"/>
    <s v="Product 42"/>
    <x v="11"/>
    <s v="Larry Marshall"/>
    <x v="546"/>
    <n v="1"/>
    <x v="0"/>
    <x v="11"/>
    <x v="11"/>
    <x v="3"/>
    <x v="2"/>
  </r>
  <r>
    <s v="AX19311"/>
    <s v="ENX2088"/>
    <s v="A144"/>
    <s v="EMP1005"/>
    <s v="C1032"/>
    <x v="110"/>
    <n v="2"/>
    <n v="603"/>
    <n v="416"/>
    <n v="832"/>
    <n v="1206"/>
    <n v="374"/>
    <s v="Product 89"/>
    <x v="65"/>
    <s v="Ryan Welch"/>
    <x v="270"/>
    <n v="1"/>
    <x v="0"/>
    <x v="11"/>
    <x v="11"/>
    <x v="3"/>
    <x v="2"/>
  </r>
  <r>
    <s v="AX19453"/>
    <s v="ENX2059"/>
    <s v="A144"/>
    <s v="EMP1010"/>
    <s v="C1244"/>
    <x v="112"/>
    <n v="3"/>
    <n v="1494"/>
    <n v="971"/>
    <n v="2913"/>
    <n v="4482"/>
    <n v="1569"/>
    <s v="Product 60"/>
    <x v="65"/>
    <s v="Joshua Cook"/>
    <x v="381"/>
    <n v="1"/>
    <x v="0"/>
    <x v="11"/>
    <x v="11"/>
    <x v="3"/>
    <x v="2"/>
  </r>
  <r>
    <s v="AX19589"/>
    <s v="ENX2010"/>
    <s v="A171"/>
    <s v="EMP1009"/>
    <s v="C1310"/>
    <x v="114"/>
    <n v="3"/>
    <n v="1812"/>
    <n v="1305"/>
    <n v="3915"/>
    <n v="5436"/>
    <n v="1521"/>
    <s v="Product 11"/>
    <x v="0"/>
    <s v="Kenneth Fields"/>
    <x v="169"/>
    <n v="1"/>
    <x v="0"/>
    <x v="11"/>
    <x v="11"/>
    <x v="3"/>
    <x v="2"/>
  </r>
  <r>
    <s v="AX19823"/>
    <s v="ENX2008"/>
    <s v="A118"/>
    <s v="EMP1043"/>
    <s v="C1264"/>
    <x v="111"/>
    <n v="3"/>
    <n v="315"/>
    <n v="208"/>
    <n v="624"/>
    <n v="945"/>
    <n v="321"/>
    <s v="Product 9"/>
    <x v="19"/>
    <s v="Joshua Taylor"/>
    <x v="206"/>
    <n v="1"/>
    <x v="0"/>
    <x v="11"/>
    <x v="11"/>
    <x v="3"/>
    <x v="2"/>
  </r>
  <r>
    <s v="AX20096"/>
    <s v="ENX2003"/>
    <s v="A121"/>
    <s v="EMP1040"/>
    <s v="C1761"/>
    <x v="113"/>
    <n v="1"/>
    <n v="1783"/>
    <n v="1516"/>
    <n v="1516"/>
    <n v="1783"/>
    <n v="267"/>
    <s v="Product 4"/>
    <x v="72"/>
    <s v="Patrick Ruiz"/>
    <x v="618"/>
    <n v="1"/>
    <x v="0"/>
    <x v="11"/>
    <x v="11"/>
    <x v="3"/>
    <x v="2"/>
  </r>
  <r>
    <s v="AX20307"/>
    <s v="ENX2068"/>
    <s v="A166"/>
    <s v="EMP1018"/>
    <s v="C1468"/>
    <x v="111"/>
    <n v="2"/>
    <n v="1500"/>
    <n v="900"/>
    <n v="1800"/>
    <n v="3000"/>
    <n v="1200"/>
    <s v="Product 69"/>
    <x v="70"/>
    <s v="Jimmy Young"/>
    <x v="688"/>
    <n v="1"/>
    <x v="0"/>
    <x v="11"/>
    <x v="11"/>
    <x v="3"/>
    <x v="2"/>
  </r>
  <r>
    <s v="AX20720"/>
    <s v="ENX2099"/>
    <s v="A133"/>
    <s v="EMP1006"/>
    <s v="C1446"/>
    <x v="110"/>
    <n v="2"/>
    <n v="1367"/>
    <n v="984"/>
    <n v="1968"/>
    <n v="2734"/>
    <n v="766"/>
    <s v="Product 100"/>
    <x v="46"/>
    <s v="Sean Miller"/>
    <x v="345"/>
    <n v="1"/>
    <x v="0"/>
    <x v="11"/>
    <x v="11"/>
    <x v="3"/>
    <x v="2"/>
  </r>
  <r>
    <s v="AX20856"/>
    <s v="ENX2005"/>
    <s v="A131"/>
    <s v="EMP1014"/>
    <s v="C1052"/>
    <x v="114"/>
    <n v="1"/>
    <n v="684"/>
    <n v="561"/>
    <n v="561"/>
    <n v="684"/>
    <n v="123"/>
    <s v="Product 6"/>
    <x v="32"/>
    <s v="Ronald Reed"/>
    <x v="638"/>
    <n v="1"/>
    <x v="0"/>
    <x v="11"/>
    <x v="11"/>
    <x v="3"/>
    <x v="2"/>
  </r>
  <r>
    <s v="AX20912"/>
    <s v="ENX2014"/>
    <s v="A108"/>
    <s v="EMP1041"/>
    <s v="C1360"/>
    <x v="112"/>
    <n v="3"/>
    <n v="1809"/>
    <n v="1067"/>
    <n v="3201"/>
    <n v="5427"/>
    <n v="2226"/>
    <s v="Product 15"/>
    <x v="49"/>
    <s v="Joe Sims"/>
    <x v="573"/>
    <n v="1"/>
    <x v="0"/>
    <x v="11"/>
    <x v="11"/>
    <x v="3"/>
    <x v="2"/>
  </r>
  <r>
    <s v="AX20927"/>
    <s v="ENX2000"/>
    <s v="A125"/>
    <s v="EMP1026"/>
    <s v="C1763"/>
    <x v="112"/>
    <n v="2"/>
    <n v="2241"/>
    <n v="1367"/>
    <n v="2734"/>
    <n v="4482"/>
    <n v="1748"/>
    <s v="Product 1"/>
    <x v="31"/>
    <s v="Martin Perry"/>
    <x v="409"/>
    <n v="1"/>
    <x v="0"/>
    <x v="11"/>
    <x v="11"/>
    <x v="3"/>
    <x v="2"/>
  </r>
  <r>
    <s v="AX20974"/>
    <s v="ENX2034"/>
    <s v="A158"/>
    <s v="EMP1023"/>
    <s v="C1733"/>
    <x v="114"/>
    <n v="1"/>
    <n v="871"/>
    <n v="540"/>
    <n v="540"/>
    <n v="871"/>
    <n v="331"/>
    <s v="Product 35"/>
    <x v="58"/>
    <s v="Brian Davis"/>
    <x v="32"/>
    <n v="1"/>
    <x v="0"/>
    <x v="11"/>
    <x v="11"/>
    <x v="3"/>
    <x v="2"/>
  </r>
  <r>
    <s v="AX21122"/>
    <s v="ENX2041"/>
    <s v="A144"/>
    <s v="EMP1044"/>
    <s v="C1225"/>
    <x v="110"/>
    <n v="1"/>
    <n v="1380"/>
    <n v="1090"/>
    <n v="1090"/>
    <n v="1380"/>
    <n v="290"/>
    <s v="Product 42"/>
    <x v="65"/>
    <s v="Martin Carr"/>
    <x v="588"/>
    <n v="1"/>
    <x v="0"/>
    <x v="11"/>
    <x v="11"/>
    <x v="3"/>
    <x v="2"/>
  </r>
  <r>
    <s v="AX21129"/>
    <s v="ENX2024"/>
    <s v="A152"/>
    <s v="EMP1032"/>
    <s v="C1264"/>
    <x v="112"/>
    <n v="3"/>
    <n v="356"/>
    <n v="292"/>
    <n v="876"/>
    <n v="1068"/>
    <n v="192"/>
    <s v="Product 25"/>
    <x v="26"/>
    <s v="Larry Castillo"/>
    <x v="206"/>
    <n v="1"/>
    <x v="0"/>
    <x v="11"/>
    <x v="11"/>
    <x v="3"/>
    <x v="2"/>
  </r>
  <r>
    <s v="AX21438"/>
    <s v="ENX2077"/>
    <s v="A118"/>
    <s v="EMP1035"/>
    <s v="C1783"/>
    <x v="113"/>
    <n v="1"/>
    <n v="530"/>
    <n v="424"/>
    <n v="424"/>
    <n v="530"/>
    <n v="106"/>
    <s v="Product 78"/>
    <x v="19"/>
    <s v="Roger Ramos"/>
    <x v="272"/>
    <n v="1"/>
    <x v="0"/>
    <x v="11"/>
    <x v="11"/>
    <x v="3"/>
    <x v="2"/>
  </r>
  <r>
    <s v="AX21483"/>
    <s v="ENX2009"/>
    <s v="A150"/>
    <s v="EMP1004"/>
    <s v="C1436"/>
    <x v="111"/>
    <n v="2"/>
    <n v="584"/>
    <n v="420"/>
    <n v="840"/>
    <n v="1168"/>
    <n v="328"/>
    <s v="Product 10"/>
    <x v="30"/>
    <s v="Kenneth Bradley"/>
    <x v="283"/>
    <n v="1"/>
    <x v="0"/>
    <x v="11"/>
    <x v="11"/>
    <x v="3"/>
    <x v="2"/>
  </r>
  <r>
    <s v="AX21666"/>
    <s v="ENX2057"/>
    <s v="A138"/>
    <s v="EMP1043"/>
    <s v="C1545"/>
    <x v="110"/>
    <n v="2"/>
    <n v="181"/>
    <n v="130"/>
    <n v="260"/>
    <n v="362"/>
    <n v="102"/>
    <s v="Product 58"/>
    <x v="37"/>
    <s v="Joshua Taylor"/>
    <x v="646"/>
    <n v="1"/>
    <x v="0"/>
    <x v="11"/>
    <x v="11"/>
    <x v="3"/>
    <x v="2"/>
  </r>
  <r>
    <s v="AX21889"/>
    <s v="ENX2033"/>
    <s v="A163"/>
    <s v="EMP1014"/>
    <s v="C1297"/>
    <x v="114"/>
    <n v="4"/>
    <n v="2182"/>
    <n v="1200"/>
    <n v="4800"/>
    <n v="8728"/>
    <n v="3928"/>
    <s v="Product 34"/>
    <x v="51"/>
    <s v="Ronald Reed"/>
    <x v="537"/>
    <n v="1"/>
    <x v="0"/>
    <x v="11"/>
    <x v="11"/>
    <x v="3"/>
    <x v="2"/>
  </r>
  <r>
    <s v="AX21890"/>
    <s v="ENX2021"/>
    <s v="A163"/>
    <s v="EMP1030"/>
    <s v="C1580"/>
    <x v="114"/>
    <n v="1"/>
    <n v="217"/>
    <n v="171"/>
    <n v="171"/>
    <n v="217"/>
    <n v="46"/>
    <s v="Product 22"/>
    <x v="51"/>
    <s v="Bobby Russell"/>
    <x v="617"/>
    <n v="1"/>
    <x v="0"/>
    <x v="11"/>
    <x v="11"/>
    <x v="3"/>
    <x v="2"/>
  </r>
  <r>
    <s v="AX21968"/>
    <s v="ENX2012"/>
    <s v="A130"/>
    <s v="EMP1031"/>
    <s v="C1550"/>
    <x v="114"/>
    <n v="1"/>
    <n v="1353"/>
    <n v="947"/>
    <n v="947"/>
    <n v="1353"/>
    <n v="406"/>
    <s v="Product 13"/>
    <x v="4"/>
    <s v="Brian Thomas"/>
    <x v="689"/>
    <n v="1"/>
    <x v="0"/>
    <x v="11"/>
    <x v="11"/>
    <x v="3"/>
    <x v="2"/>
  </r>
  <r>
    <s v="AX22211"/>
    <s v="ENX2072"/>
    <s v="A160"/>
    <s v="EMP1009"/>
    <s v="C1691"/>
    <x v="111"/>
    <n v="2"/>
    <n v="1887"/>
    <n v="1378"/>
    <n v="2756"/>
    <n v="3774"/>
    <n v="1018"/>
    <s v="Product 73"/>
    <x v="9"/>
    <s v="Kenneth Fields"/>
    <x v="157"/>
    <n v="1"/>
    <x v="0"/>
    <x v="11"/>
    <x v="11"/>
    <x v="3"/>
    <x v="2"/>
  </r>
  <r>
    <s v="AX22862"/>
    <s v="ENX2016"/>
    <s v="A112"/>
    <s v="EMP1029"/>
    <s v="C1617"/>
    <x v="111"/>
    <n v="3"/>
    <n v="1351"/>
    <n v="1108"/>
    <n v="3324"/>
    <n v="4053"/>
    <n v="729"/>
    <s v="Product 17"/>
    <x v="66"/>
    <s v="Howard Gardner"/>
    <x v="195"/>
    <n v="1"/>
    <x v="0"/>
    <x v="11"/>
    <x v="11"/>
    <x v="3"/>
    <x v="2"/>
  </r>
  <r>
    <s v="AX23113"/>
    <s v="ENX2054"/>
    <s v="A128"/>
    <s v="EMP1010"/>
    <s v="C1523"/>
    <x v="114"/>
    <n v="1"/>
    <n v="127"/>
    <n v="79"/>
    <n v="79"/>
    <n v="127"/>
    <n v="48"/>
    <s v="Product 55"/>
    <x v="12"/>
    <s v="Joshua Cook"/>
    <x v="543"/>
    <n v="1"/>
    <x v="0"/>
    <x v="11"/>
    <x v="11"/>
    <x v="3"/>
    <x v="2"/>
  </r>
  <r>
    <s v="AX23476"/>
    <s v="ENX2024"/>
    <s v="A105"/>
    <s v="EMP1023"/>
    <s v="C1687"/>
    <x v="113"/>
    <n v="3"/>
    <n v="356"/>
    <n v="292"/>
    <n v="876"/>
    <n v="1068"/>
    <n v="192"/>
    <s v="Product 25"/>
    <x v="45"/>
    <s v="Brian Davis"/>
    <x v="389"/>
    <n v="1"/>
    <x v="0"/>
    <x v="11"/>
    <x v="11"/>
    <x v="3"/>
    <x v="2"/>
  </r>
  <r>
    <s v="AX23540"/>
    <s v="ENX2028"/>
    <s v="A115"/>
    <s v="EMP1002"/>
    <s v="C1128"/>
    <x v="111"/>
    <n v="1"/>
    <n v="2283"/>
    <n v="1484"/>
    <n v="1484"/>
    <n v="2283"/>
    <n v="799"/>
    <s v="Product 29"/>
    <x v="33"/>
    <s v="Andrew Bowman"/>
    <x v="553"/>
    <n v="1"/>
    <x v="0"/>
    <x v="11"/>
    <x v="11"/>
    <x v="3"/>
    <x v="2"/>
  </r>
  <r>
    <s v="AX24029"/>
    <s v="ENX2087"/>
    <s v="A138"/>
    <s v="EMP1029"/>
    <s v="C1097"/>
    <x v="113"/>
    <n v="3"/>
    <n v="1022"/>
    <n v="818"/>
    <n v="2454"/>
    <n v="3066"/>
    <n v="612"/>
    <s v="Product 88"/>
    <x v="37"/>
    <s v="Howard Gardner"/>
    <x v="662"/>
    <n v="1"/>
    <x v="0"/>
    <x v="11"/>
    <x v="11"/>
    <x v="3"/>
    <x v="2"/>
  </r>
  <r>
    <s v="AX24172"/>
    <s v="ENX2009"/>
    <s v="A117"/>
    <s v="EMP1032"/>
    <s v="C1688"/>
    <x v="114"/>
    <n v="3"/>
    <n v="584"/>
    <n v="420"/>
    <n v="1260"/>
    <n v="1752"/>
    <n v="492"/>
    <s v="Product 10"/>
    <x v="29"/>
    <s v="Larry Castillo"/>
    <x v="213"/>
    <n v="1"/>
    <x v="0"/>
    <x v="11"/>
    <x v="11"/>
    <x v="3"/>
    <x v="2"/>
  </r>
  <r>
    <s v="AX24542"/>
    <s v="ENX2093"/>
    <s v="A122"/>
    <s v="EMP1034"/>
    <s v="C1303"/>
    <x v="113"/>
    <n v="2"/>
    <n v="112"/>
    <n v="90"/>
    <n v="180"/>
    <n v="224"/>
    <n v="44"/>
    <s v="Product 94"/>
    <x v="71"/>
    <s v="Arthur Mccoy"/>
    <x v="531"/>
    <n v="1"/>
    <x v="0"/>
    <x v="11"/>
    <x v="11"/>
    <x v="3"/>
    <x v="2"/>
  </r>
  <r>
    <s v="AX24859"/>
    <s v="ENX2030"/>
    <s v="A149"/>
    <s v="EMP1043"/>
    <s v="C1725"/>
    <x v="114"/>
    <n v="3"/>
    <n v="1899"/>
    <n v="1044"/>
    <n v="3132"/>
    <n v="5697"/>
    <n v="2565"/>
    <s v="Product 31"/>
    <x v="59"/>
    <s v="Joshua Taylor"/>
    <x v="81"/>
    <n v="1"/>
    <x v="0"/>
    <x v="11"/>
    <x v="11"/>
    <x v="3"/>
    <x v="2"/>
  </r>
  <r>
    <s v="AX24905"/>
    <s v="ENX2086"/>
    <s v="A151"/>
    <s v="EMP1012"/>
    <s v="C1384"/>
    <x v="113"/>
    <n v="1"/>
    <n v="123"/>
    <n v="84"/>
    <n v="84"/>
    <n v="123"/>
    <n v="39"/>
    <s v="Product 87"/>
    <x v="1"/>
    <s v="John Reyes"/>
    <x v="690"/>
    <n v="1"/>
    <x v="0"/>
    <x v="11"/>
    <x v="11"/>
    <x v="3"/>
    <x v="2"/>
  </r>
  <r>
    <s v="AX10013"/>
    <s v="ENX2087"/>
    <s v="A160"/>
    <s v="EMP1020"/>
    <s v="C1461"/>
    <x v="115"/>
    <n v="1"/>
    <n v="1022"/>
    <n v="818"/>
    <n v="818"/>
    <n v="1022"/>
    <n v="204"/>
    <s v="Product 88"/>
    <x v="9"/>
    <s v="Ryan Butler"/>
    <x v="634"/>
    <n v="2"/>
    <x v="1"/>
    <x v="0"/>
    <x v="0"/>
    <x v="0"/>
    <x v="0"/>
  </r>
  <r>
    <s v="AX10078"/>
    <s v="ENX2063"/>
    <s v="A170"/>
    <s v="EMP1042"/>
    <s v="C1222"/>
    <x v="116"/>
    <n v="3"/>
    <n v="1708"/>
    <n v="871"/>
    <n v="2613"/>
    <n v="5124"/>
    <n v="2511"/>
    <s v="Product 64"/>
    <x v="47"/>
    <s v="Scott Clark"/>
    <x v="691"/>
    <n v="2"/>
    <x v="1"/>
    <x v="0"/>
    <x v="0"/>
    <x v="0"/>
    <x v="0"/>
  </r>
  <r>
    <s v="AX10115"/>
    <s v="ENX2046"/>
    <s v="A161"/>
    <s v="EMP1008"/>
    <s v="C1364"/>
    <x v="117"/>
    <n v="1"/>
    <n v="2410"/>
    <n v="1518"/>
    <n v="1518"/>
    <n v="2410"/>
    <n v="892"/>
    <s v="Product 47"/>
    <x v="6"/>
    <s v="Carl Elliott"/>
    <x v="477"/>
    <n v="2"/>
    <x v="1"/>
    <x v="0"/>
    <x v="0"/>
    <x v="0"/>
    <x v="0"/>
  </r>
  <r>
    <s v="AX10489"/>
    <s v="ENX2067"/>
    <s v="A117"/>
    <s v="EMP1002"/>
    <s v="C1306"/>
    <x v="115"/>
    <n v="1"/>
    <n v="1119"/>
    <n v="683"/>
    <n v="683"/>
    <n v="1119"/>
    <n v="436"/>
    <s v="Product 68"/>
    <x v="29"/>
    <s v="Andrew Bowman"/>
    <x v="692"/>
    <n v="2"/>
    <x v="1"/>
    <x v="0"/>
    <x v="0"/>
    <x v="0"/>
    <x v="0"/>
  </r>
  <r>
    <s v="AX11182"/>
    <s v="ENX2015"/>
    <s v="A145"/>
    <s v="EMP1024"/>
    <s v="C1746"/>
    <x v="116"/>
    <n v="2"/>
    <n v="637"/>
    <n v="389"/>
    <n v="778"/>
    <n v="1274"/>
    <n v="496"/>
    <s v="Product 16"/>
    <x v="35"/>
    <s v="Ernest Wheeler"/>
    <x v="693"/>
    <n v="2"/>
    <x v="1"/>
    <x v="0"/>
    <x v="0"/>
    <x v="0"/>
    <x v="0"/>
  </r>
  <r>
    <s v="AX11543"/>
    <s v="ENX2072"/>
    <s v="A114"/>
    <s v="EMP1035"/>
    <s v="C1394"/>
    <x v="116"/>
    <n v="1"/>
    <n v="1887"/>
    <n v="1378"/>
    <n v="1378"/>
    <n v="1887"/>
    <n v="509"/>
    <s v="Product 73"/>
    <x v="28"/>
    <s v="Roger Ramos"/>
    <x v="116"/>
    <n v="2"/>
    <x v="1"/>
    <x v="0"/>
    <x v="0"/>
    <x v="0"/>
    <x v="0"/>
  </r>
  <r>
    <s v="AX11593"/>
    <s v="ENX2083"/>
    <s v="A125"/>
    <s v="EMP1037"/>
    <s v="C1207"/>
    <x v="117"/>
    <n v="1"/>
    <n v="2141"/>
    <n v="1777"/>
    <n v="1777"/>
    <n v="2141"/>
    <n v="364"/>
    <s v="Product 84"/>
    <x v="31"/>
    <s v="Carl Hall"/>
    <x v="694"/>
    <n v="2"/>
    <x v="1"/>
    <x v="0"/>
    <x v="0"/>
    <x v="0"/>
    <x v="0"/>
  </r>
  <r>
    <s v="AX11720"/>
    <s v="ENX2065"/>
    <s v="A101"/>
    <s v="EMP1019"/>
    <s v="C1533"/>
    <x v="117"/>
    <n v="2"/>
    <n v="2396"/>
    <n v="1965"/>
    <n v="3930"/>
    <n v="4792"/>
    <n v="862"/>
    <s v="Product 66"/>
    <x v="60"/>
    <s v="Roger Robertson"/>
    <x v="179"/>
    <n v="2"/>
    <x v="1"/>
    <x v="0"/>
    <x v="0"/>
    <x v="0"/>
    <x v="0"/>
  </r>
  <r>
    <s v="AX11840"/>
    <s v="ENX2065"/>
    <s v="A109"/>
    <s v="EMP1009"/>
    <s v="C1567"/>
    <x v="116"/>
    <n v="4"/>
    <n v="2396"/>
    <n v="1965"/>
    <n v="7860"/>
    <n v="9584"/>
    <n v="1724"/>
    <s v="Product 66"/>
    <x v="57"/>
    <s v="Kenneth Fields"/>
    <x v="251"/>
    <n v="2"/>
    <x v="1"/>
    <x v="0"/>
    <x v="0"/>
    <x v="0"/>
    <x v="0"/>
  </r>
  <r>
    <s v="AX12017"/>
    <s v="ENX2023"/>
    <s v="A173"/>
    <s v="EMP1026"/>
    <s v="C1570"/>
    <x v="117"/>
    <n v="4"/>
    <n v="818"/>
    <n v="450"/>
    <n v="1800"/>
    <n v="3272"/>
    <n v="1472"/>
    <s v="Product 24"/>
    <x v="25"/>
    <s v="Martin Perry"/>
    <x v="695"/>
    <n v="2"/>
    <x v="1"/>
    <x v="0"/>
    <x v="0"/>
    <x v="0"/>
    <x v="0"/>
  </r>
  <r>
    <s v="AX12095"/>
    <s v="ENX2036"/>
    <s v="A120"/>
    <s v="EMP1008"/>
    <s v="C1744"/>
    <x v="118"/>
    <n v="2"/>
    <n v="1582"/>
    <n v="1234"/>
    <n v="2468"/>
    <n v="3164"/>
    <n v="696"/>
    <s v="Product 37"/>
    <x v="20"/>
    <s v="Carl Elliott"/>
    <x v="500"/>
    <n v="2"/>
    <x v="1"/>
    <x v="0"/>
    <x v="0"/>
    <x v="0"/>
    <x v="0"/>
  </r>
  <r>
    <s v="AX12216"/>
    <s v="ENX2031"/>
    <s v="A127"/>
    <s v="EMP1010"/>
    <s v="C1476"/>
    <x v="117"/>
    <n v="4"/>
    <n v="1638"/>
    <n v="1261"/>
    <n v="5044"/>
    <n v="6552"/>
    <n v="1508"/>
    <s v="Product 32"/>
    <x v="69"/>
    <s v="Joshua Cook"/>
    <x v="207"/>
    <n v="2"/>
    <x v="1"/>
    <x v="0"/>
    <x v="0"/>
    <x v="0"/>
    <x v="0"/>
  </r>
  <r>
    <s v="AX12401"/>
    <s v="ENX2012"/>
    <s v="A126"/>
    <s v="EMP1009"/>
    <s v="C1259"/>
    <x v="118"/>
    <n v="1"/>
    <n v="1353"/>
    <n v="947"/>
    <n v="947"/>
    <n v="1353"/>
    <n v="406"/>
    <s v="Product 13"/>
    <x v="5"/>
    <s v="Kenneth Fields"/>
    <x v="475"/>
    <n v="2"/>
    <x v="1"/>
    <x v="0"/>
    <x v="0"/>
    <x v="0"/>
    <x v="0"/>
  </r>
  <r>
    <s v="AX12478"/>
    <s v="ENX2099"/>
    <s v="A168"/>
    <s v="EMP1035"/>
    <s v="C1753"/>
    <x v="118"/>
    <n v="4"/>
    <n v="1367"/>
    <n v="984"/>
    <n v="3936"/>
    <n v="5468"/>
    <n v="1532"/>
    <s v="Product 100"/>
    <x v="40"/>
    <s v="Roger Ramos"/>
    <x v="696"/>
    <n v="2"/>
    <x v="1"/>
    <x v="0"/>
    <x v="0"/>
    <x v="0"/>
    <x v="0"/>
  </r>
  <r>
    <s v="AX12656"/>
    <s v="ENX2093"/>
    <s v="A157"/>
    <s v="EMP1000"/>
    <s v="C1536"/>
    <x v="118"/>
    <n v="1"/>
    <n v="112"/>
    <n v="90"/>
    <n v="90"/>
    <n v="112"/>
    <n v="22"/>
    <s v="Product 94"/>
    <x v="7"/>
    <s v="Fred Robertson"/>
    <x v="74"/>
    <n v="2"/>
    <x v="1"/>
    <x v="0"/>
    <x v="0"/>
    <x v="0"/>
    <x v="0"/>
  </r>
  <r>
    <s v="AX12810"/>
    <s v="ENX2060"/>
    <s v="A108"/>
    <s v="EMP1043"/>
    <s v="C1788"/>
    <x v="118"/>
    <n v="4"/>
    <n v="1467"/>
    <n v="807"/>
    <n v="3228"/>
    <n v="5868"/>
    <n v="2640"/>
    <s v="Product 61"/>
    <x v="49"/>
    <s v="Joshua Taylor"/>
    <x v="218"/>
    <n v="2"/>
    <x v="1"/>
    <x v="0"/>
    <x v="0"/>
    <x v="0"/>
    <x v="0"/>
  </r>
  <r>
    <s v="AX12843"/>
    <s v="ENX2011"/>
    <s v="A113"/>
    <s v="EMP1028"/>
    <s v="C1552"/>
    <x v="117"/>
    <n v="3"/>
    <n v="530"/>
    <n v="435"/>
    <n v="1305"/>
    <n v="1590"/>
    <n v="285"/>
    <s v="Product 12"/>
    <x v="73"/>
    <s v="Howard Sims"/>
    <x v="92"/>
    <n v="2"/>
    <x v="1"/>
    <x v="0"/>
    <x v="0"/>
    <x v="0"/>
    <x v="0"/>
  </r>
  <r>
    <s v="AX12897"/>
    <s v="ENX2072"/>
    <s v="A170"/>
    <s v="EMP1023"/>
    <s v="C1428"/>
    <x v="117"/>
    <n v="4"/>
    <n v="1887"/>
    <n v="1378"/>
    <n v="5512"/>
    <n v="7548"/>
    <n v="2036"/>
    <s v="Product 73"/>
    <x v="47"/>
    <s v="Brian Davis"/>
    <x v="509"/>
    <n v="2"/>
    <x v="1"/>
    <x v="0"/>
    <x v="0"/>
    <x v="0"/>
    <x v="0"/>
  </r>
  <r>
    <s v="AX13189"/>
    <s v="ENX2066"/>
    <s v="A164"/>
    <s v="EMP1033"/>
    <s v="C1379"/>
    <x v="118"/>
    <n v="2"/>
    <n v="2091"/>
    <n v="1485"/>
    <n v="2970"/>
    <n v="4182"/>
    <n v="1212"/>
    <s v="Product 67"/>
    <x v="3"/>
    <s v="Jerry Perry"/>
    <x v="549"/>
    <n v="2"/>
    <x v="1"/>
    <x v="0"/>
    <x v="0"/>
    <x v="0"/>
    <x v="0"/>
  </r>
  <r>
    <s v="AX13738"/>
    <s v="ENX2079"/>
    <s v="A142"/>
    <s v="EMP1012"/>
    <s v="C1503"/>
    <x v="117"/>
    <n v="1"/>
    <n v="1725"/>
    <n v="1363"/>
    <n v="1363"/>
    <n v="1725"/>
    <n v="362"/>
    <s v="Product 80"/>
    <x v="56"/>
    <s v="John Reyes"/>
    <x v="569"/>
    <n v="2"/>
    <x v="1"/>
    <x v="0"/>
    <x v="0"/>
    <x v="0"/>
    <x v="0"/>
  </r>
  <r>
    <s v="AX13939"/>
    <s v="ENX2023"/>
    <s v="A115"/>
    <s v="EMP1028"/>
    <s v="C1521"/>
    <x v="117"/>
    <n v="4"/>
    <n v="818"/>
    <n v="450"/>
    <n v="1800"/>
    <n v="3272"/>
    <n v="1472"/>
    <s v="Product 24"/>
    <x v="33"/>
    <s v="Howard Sims"/>
    <x v="697"/>
    <n v="2"/>
    <x v="1"/>
    <x v="0"/>
    <x v="0"/>
    <x v="0"/>
    <x v="0"/>
  </r>
  <r>
    <s v="AX14542"/>
    <s v="ENX2033"/>
    <s v="A135"/>
    <s v="EMP1013"/>
    <s v="C1366"/>
    <x v="116"/>
    <n v="4"/>
    <n v="2182"/>
    <n v="1200"/>
    <n v="4800"/>
    <n v="8728"/>
    <n v="3928"/>
    <s v="Product 34"/>
    <x v="10"/>
    <s v="Charles Harper"/>
    <x v="205"/>
    <n v="2"/>
    <x v="1"/>
    <x v="0"/>
    <x v="0"/>
    <x v="0"/>
    <x v="0"/>
  </r>
  <r>
    <s v="AX14819"/>
    <s v="ENX2007"/>
    <s v="A147"/>
    <s v="EMP1016"/>
    <s v="C1035"/>
    <x v="117"/>
    <n v="1"/>
    <n v="1405"/>
    <n v="1054"/>
    <n v="1054"/>
    <n v="1405"/>
    <n v="351"/>
    <s v="Product 8"/>
    <x v="42"/>
    <s v="Henry Nelson"/>
    <x v="95"/>
    <n v="2"/>
    <x v="1"/>
    <x v="0"/>
    <x v="0"/>
    <x v="0"/>
    <x v="0"/>
  </r>
  <r>
    <s v="AX14834"/>
    <s v="ENX2012"/>
    <s v="A142"/>
    <s v="EMP1013"/>
    <s v="C1431"/>
    <x v="117"/>
    <n v="2"/>
    <n v="1353"/>
    <n v="947"/>
    <n v="1894"/>
    <n v="2706"/>
    <n v="812"/>
    <s v="Product 13"/>
    <x v="56"/>
    <s v="Charles Harper"/>
    <x v="587"/>
    <n v="2"/>
    <x v="1"/>
    <x v="0"/>
    <x v="0"/>
    <x v="0"/>
    <x v="0"/>
  </r>
  <r>
    <s v="AX14941"/>
    <s v="ENX2044"/>
    <s v="A112"/>
    <s v="EMP1036"/>
    <s v="C1224"/>
    <x v="116"/>
    <n v="1"/>
    <n v="886"/>
    <n v="478"/>
    <n v="478"/>
    <n v="886"/>
    <n v="408"/>
    <s v="Product 45"/>
    <x v="66"/>
    <s v="Robert Reed"/>
    <x v="492"/>
    <n v="2"/>
    <x v="1"/>
    <x v="0"/>
    <x v="0"/>
    <x v="0"/>
    <x v="0"/>
  </r>
  <r>
    <s v="AX14980"/>
    <s v="ENX2007"/>
    <s v="A166"/>
    <s v="EMP1005"/>
    <s v="C1658"/>
    <x v="115"/>
    <n v="3"/>
    <n v="1405"/>
    <n v="1054"/>
    <n v="3162"/>
    <n v="4215"/>
    <n v="1053"/>
    <s v="Product 8"/>
    <x v="70"/>
    <s v="Ryan Welch"/>
    <x v="612"/>
    <n v="2"/>
    <x v="1"/>
    <x v="0"/>
    <x v="0"/>
    <x v="0"/>
    <x v="0"/>
  </r>
  <r>
    <s v="AX15439"/>
    <s v="ENX2080"/>
    <s v="A122"/>
    <s v="EMP1042"/>
    <s v="C1232"/>
    <x v="115"/>
    <n v="1"/>
    <n v="2353"/>
    <n v="1788"/>
    <n v="1788"/>
    <n v="2353"/>
    <n v="565"/>
    <s v="Product 81"/>
    <x v="71"/>
    <s v="Scott Clark"/>
    <x v="584"/>
    <n v="2"/>
    <x v="1"/>
    <x v="0"/>
    <x v="0"/>
    <x v="0"/>
    <x v="0"/>
  </r>
  <r>
    <s v="AX15536"/>
    <s v="ENX2076"/>
    <s v="A157"/>
    <s v="EMP1006"/>
    <s v="C1145"/>
    <x v="116"/>
    <n v="1"/>
    <n v="1522"/>
    <n v="791"/>
    <n v="791"/>
    <n v="1522"/>
    <n v="731"/>
    <s v="Product 77"/>
    <x v="7"/>
    <s v="Sean Miller"/>
    <x v="489"/>
    <n v="2"/>
    <x v="1"/>
    <x v="0"/>
    <x v="0"/>
    <x v="0"/>
    <x v="0"/>
  </r>
  <r>
    <s v="AX15565"/>
    <s v="ENX2080"/>
    <s v="A144"/>
    <s v="EMP1044"/>
    <s v="C1027"/>
    <x v="117"/>
    <n v="1"/>
    <n v="2353"/>
    <n v="1788"/>
    <n v="1788"/>
    <n v="2353"/>
    <n v="565"/>
    <s v="Product 81"/>
    <x v="65"/>
    <s v="Martin Carr"/>
    <x v="528"/>
    <n v="2"/>
    <x v="1"/>
    <x v="0"/>
    <x v="0"/>
    <x v="0"/>
    <x v="0"/>
  </r>
  <r>
    <s v="AX15838"/>
    <s v="ENX2022"/>
    <s v="A168"/>
    <s v="EMP1034"/>
    <s v="C1550"/>
    <x v="115"/>
    <n v="3"/>
    <n v="561"/>
    <n v="421"/>
    <n v="1263"/>
    <n v="1683"/>
    <n v="420"/>
    <s v="Product 23"/>
    <x v="40"/>
    <s v="Arthur Mccoy"/>
    <x v="689"/>
    <n v="2"/>
    <x v="1"/>
    <x v="0"/>
    <x v="0"/>
    <x v="0"/>
    <x v="0"/>
  </r>
  <r>
    <s v="AX15847"/>
    <s v="ENX2014"/>
    <s v="A136"/>
    <s v="EMP1035"/>
    <s v="C1543"/>
    <x v="117"/>
    <n v="1"/>
    <n v="1809"/>
    <n v="1067"/>
    <n v="1067"/>
    <n v="1809"/>
    <n v="742"/>
    <s v="Product 15"/>
    <x v="43"/>
    <s v="Roger Ramos"/>
    <x v="337"/>
    <n v="2"/>
    <x v="1"/>
    <x v="0"/>
    <x v="0"/>
    <x v="0"/>
    <x v="0"/>
  </r>
  <r>
    <s v="AX15990"/>
    <s v="ENX2093"/>
    <s v="A159"/>
    <s v="EMP1009"/>
    <s v="C1566"/>
    <x v="117"/>
    <n v="2"/>
    <n v="112"/>
    <n v="90"/>
    <n v="180"/>
    <n v="224"/>
    <n v="44"/>
    <s v="Product 94"/>
    <x v="13"/>
    <s v="Kenneth Fields"/>
    <x v="45"/>
    <n v="2"/>
    <x v="1"/>
    <x v="0"/>
    <x v="0"/>
    <x v="0"/>
    <x v="0"/>
  </r>
  <r>
    <s v="AX16143"/>
    <s v="ENX2035"/>
    <s v="A130"/>
    <s v="EMP1026"/>
    <s v="C1038"/>
    <x v="116"/>
    <n v="1"/>
    <n v="458"/>
    <n v="376"/>
    <n v="376"/>
    <n v="458"/>
    <n v="82"/>
    <s v="Product 36"/>
    <x v="4"/>
    <s v="Martin Perry"/>
    <x v="545"/>
    <n v="2"/>
    <x v="1"/>
    <x v="0"/>
    <x v="0"/>
    <x v="0"/>
    <x v="0"/>
  </r>
  <r>
    <s v="AX16461"/>
    <s v="ENX2089"/>
    <s v="A113"/>
    <s v="EMP1028"/>
    <s v="C1587"/>
    <x v="115"/>
    <n v="3"/>
    <n v="2294"/>
    <n v="1399"/>
    <n v="4197"/>
    <n v="6882"/>
    <n v="2685"/>
    <s v="Product 90"/>
    <x v="73"/>
    <s v="Howard Sims"/>
    <x v="403"/>
    <n v="2"/>
    <x v="1"/>
    <x v="0"/>
    <x v="0"/>
    <x v="0"/>
    <x v="0"/>
  </r>
  <r>
    <s v="AX16662"/>
    <s v="ENX2077"/>
    <s v="A102"/>
    <s v="EMP1014"/>
    <s v="C1267"/>
    <x v="116"/>
    <n v="1"/>
    <n v="530"/>
    <n v="424"/>
    <n v="424"/>
    <n v="530"/>
    <n v="106"/>
    <s v="Product 78"/>
    <x v="44"/>
    <s v="Ronald Reed"/>
    <x v="657"/>
    <n v="2"/>
    <x v="1"/>
    <x v="0"/>
    <x v="0"/>
    <x v="0"/>
    <x v="0"/>
  </r>
  <r>
    <s v="AX17394"/>
    <s v="ENX2008"/>
    <s v="A167"/>
    <s v="EMP1044"/>
    <s v="C1254"/>
    <x v="116"/>
    <n v="1"/>
    <n v="315"/>
    <n v="208"/>
    <n v="208"/>
    <n v="315"/>
    <n v="107"/>
    <s v="Product 9"/>
    <x v="64"/>
    <s v="Martin Carr"/>
    <x v="104"/>
    <n v="2"/>
    <x v="1"/>
    <x v="0"/>
    <x v="0"/>
    <x v="0"/>
    <x v="0"/>
  </r>
  <r>
    <s v="AX17691"/>
    <s v="ENX2081"/>
    <s v="A160"/>
    <s v="EMP1032"/>
    <s v="C1217"/>
    <x v="118"/>
    <n v="3"/>
    <n v="1566"/>
    <n v="1190"/>
    <n v="3570"/>
    <n v="4698"/>
    <n v="1128"/>
    <s v="Product 82"/>
    <x v="9"/>
    <s v="Larry Castillo"/>
    <x v="619"/>
    <n v="2"/>
    <x v="1"/>
    <x v="0"/>
    <x v="0"/>
    <x v="0"/>
    <x v="0"/>
  </r>
  <r>
    <s v="AX17969"/>
    <s v="ENX2012"/>
    <s v="A146"/>
    <s v="EMP1015"/>
    <s v="C1118"/>
    <x v="118"/>
    <n v="3"/>
    <n v="1353"/>
    <n v="947"/>
    <n v="2841"/>
    <n v="4059"/>
    <n v="1218"/>
    <s v="Product 13"/>
    <x v="27"/>
    <s v="Justin Lynch"/>
    <x v="633"/>
    <n v="2"/>
    <x v="1"/>
    <x v="0"/>
    <x v="0"/>
    <x v="0"/>
    <x v="0"/>
  </r>
  <r>
    <s v="AX18635"/>
    <s v="ENX2038"/>
    <s v="A151"/>
    <s v="EMP1005"/>
    <s v="C1426"/>
    <x v="117"/>
    <n v="4"/>
    <n v="392"/>
    <n v="255"/>
    <n v="1020"/>
    <n v="1568"/>
    <n v="548"/>
    <s v="Product 39"/>
    <x v="1"/>
    <s v="Ryan Welch"/>
    <x v="127"/>
    <n v="2"/>
    <x v="1"/>
    <x v="0"/>
    <x v="0"/>
    <x v="0"/>
    <x v="0"/>
  </r>
  <r>
    <s v="AX18639"/>
    <s v="ENX2064"/>
    <s v="A114"/>
    <s v="EMP1000"/>
    <s v="C1621"/>
    <x v="116"/>
    <n v="1"/>
    <n v="1414"/>
    <n v="962"/>
    <n v="962"/>
    <n v="1414"/>
    <n v="452"/>
    <s v="Product 65"/>
    <x v="28"/>
    <s v="Fred Robertson"/>
    <x v="159"/>
    <n v="2"/>
    <x v="1"/>
    <x v="0"/>
    <x v="0"/>
    <x v="0"/>
    <x v="0"/>
  </r>
  <r>
    <s v="AX19545"/>
    <s v="ENX2082"/>
    <s v="A115"/>
    <s v="EMP1044"/>
    <s v="C1623"/>
    <x v="116"/>
    <n v="1"/>
    <n v="1103"/>
    <n v="838"/>
    <n v="838"/>
    <n v="1103"/>
    <n v="265"/>
    <s v="Product 83"/>
    <x v="33"/>
    <s v="Martin Carr"/>
    <x v="282"/>
    <n v="2"/>
    <x v="1"/>
    <x v="0"/>
    <x v="0"/>
    <x v="0"/>
    <x v="0"/>
  </r>
  <r>
    <s v="AX19582"/>
    <s v="ENX2016"/>
    <s v="A126"/>
    <s v="EMP1026"/>
    <s v="C1281"/>
    <x v="117"/>
    <n v="3"/>
    <n v="1351"/>
    <n v="1108"/>
    <n v="3324"/>
    <n v="4053"/>
    <n v="729"/>
    <s v="Product 17"/>
    <x v="5"/>
    <s v="Martin Perry"/>
    <x v="216"/>
    <n v="2"/>
    <x v="1"/>
    <x v="0"/>
    <x v="0"/>
    <x v="0"/>
    <x v="0"/>
  </r>
  <r>
    <s v="AX19593"/>
    <s v="ENX2007"/>
    <s v="A155"/>
    <s v="EMP1006"/>
    <s v="C1494"/>
    <x v="118"/>
    <n v="3"/>
    <n v="1405"/>
    <n v="1054"/>
    <n v="3162"/>
    <n v="4215"/>
    <n v="1053"/>
    <s v="Product 8"/>
    <x v="53"/>
    <s v="Sean Miller"/>
    <x v="698"/>
    <n v="2"/>
    <x v="1"/>
    <x v="0"/>
    <x v="0"/>
    <x v="0"/>
    <x v="0"/>
  </r>
  <r>
    <s v="AX19652"/>
    <s v="ENX2009"/>
    <s v="A124"/>
    <s v="EMP1023"/>
    <s v="C1074"/>
    <x v="118"/>
    <n v="2"/>
    <n v="584"/>
    <n v="420"/>
    <n v="840"/>
    <n v="1168"/>
    <n v="328"/>
    <s v="Product 10"/>
    <x v="67"/>
    <s v="Brian Davis"/>
    <x v="96"/>
    <n v="2"/>
    <x v="1"/>
    <x v="0"/>
    <x v="0"/>
    <x v="0"/>
    <x v="0"/>
  </r>
  <r>
    <s v="AX19687"/>
    <s v="ENX2063"/>
    <s v="A148"/>
    <s v="EMP1026"/>
    <s v="C1774"/>
    <x v="116"/>
    <n v="1"/>
    <n v="1708"/>
    <n v="871"/>
    <n v="871"/>
    <n v="1708"/>
    <n v="837"/>
    <s v="Product 64"/>
    <x v="62"/>
    <s v="Martin Perry"/>
    <x v="232"/>
    <n v="2"/>
    <x v="1"/>
    <x v="0"/>
    <x v="0"/>
    <x v="0"/>
    <x v="0"/>
  </r>
  <r>
    <s v="AX19938"/>
    <s v="ENX2000"/>
    <s v="A145"/>
    <s v="EMP1016"/>
    <s v="C1163"/>
    <x v="116"/>
    <n v="1"/>
    <n v="2241"/>
    <n v="1367"/>
    <n v="1367"/>
    <n v="2241"/>
    <n v="874"/>
    <s v="Product 1"/>
    <x v="35"/>
    <s v="Henry Nelson"/>
    <x v="23"/>
    <n v="2"/>
    <x v="1"/>
    <x v="0"/>
    <x v="0"/>
    <x v="0"/>
    <x v="0"/>
  </r>
  <r>
    <s v="AX20101"/>
    <s v="ENX2078"/>
    <s v="A102"/>
    <s v="EMP1002"/>
    <s v="C1033"/>
    <x v="118"/>
    <n v="1"/>
    <n v="1798"/>
    <n v="971"/>
    <n v="971"/>
    <n v="1798"/>
    <n v="827"/>
    <s v="Product 79"/>
    <x v="44"/>
    <s v="Andrew Bowman"/>
    <x v="515"/>
    <n v="2"/>
    <x v="1"/>
    <x v="0"/>
    <x v="0"/>
    <x v="0"/>
    <x v="0"/>
  </r>
  <r>
    <s v="AX20343"/>
    <s v="ENX2074"/>
    <s v="A107"/>
    <s v="EMP1001"/>
    <s v="C1043"/>
    <x v="118"/>
    <n v="1"/>
    <n v="504"/>
    <n v="408"/>
    <n v="408"/>
    <n v="504"/>
    <n v="96"/>
    <s v="Product 75"/>
    <x v="21"/>
    <s v="Kevin Butler"/>
    <x v="546"/>
    <n v="2"/>
    <x v="1"/>
    <x v="0"/>
    <x v="0"/>
    <x v="0"/>
    <x v="0"/>
  </r>
  <r>
    <s v="AX21098"/>
    <s v="ENX2096"/>
    <s v="A107"/>
    <s v="EMP1019"/>
    <s v="C1756"/>
    <x v="116"/>
    <n v="3"/>
    <n v="1587"/>
    <n v="1301"/>
    <n v="3903"/>
    <n v="4761"/>
    <n v="858"/>
    <s v="Product 97"/>
    <x v="21"/>
    <s v="Roger Robertson"/>
    <x v="371"/>
    <n v="2"/>
    <x v="1"/>
    <x v="0"/>
    <x v="0"/>
    <x v="0"/>
    <x v="0"/>
  </r>
  <r>
    <s v="AX21414"/>
    <s v="ENX2082"/>
    <s v="A131"/>
    <s v="EMP1041"/>
    <s v="C1539"/>
    <x v="116"/>
    <n v="2"/>
    <n v="1103"/>
    <n v="838"/>
    <n v="1676"/>
    <n v="2206"/>
    <n v="530"/>
    <s v="Product 83"/>
    <x v="32"/>
    <s v="Joe Sims"/>
    <x v="280"/>
    <n v="2"/>
    <x v="1"/>
    <x v="0"/>
    <x v="0"/>
    <x v="0"/>
    <x v="0"/>
  </r>
  <r>
    <s v="AX21613"/>
    <s v="ENX2053"/>
    <s v="A170"/>
    <s v="EMP1034"/>
    <s v="C1056"/>
    <x v="118"/>
    <n v="2"/>
    <n v="596"/>
    <n v="358"/>
    <n v="716"/>
    <n v="1192"/>
    <n v="476"/>
    <s v="Product 54"/>
    <x v="47"/>
    <s v="Arthur Mccoy"/>
    <x v="260"/>
    <n v="2"/>
    <x v="1"/>
    <x v="0"/>
    <x v="0"/>
    <x v="0"/>
    <x v="0"/>
  </r>
  <r>
    <s v="AX22113"/>
    <s v="ENX2002"/>
    <s v="A163"/>
    <s v="EMP1036"/>
    <s v="C1026"/>
    <x v="117"/>
    <n v="1"/>
    <n v="847"/>
    <n v="534"/>
    <n v="534"/>
    <n v="847"/>
    <n v="313"/>
    <s v="Product 3"/>
    <x v="51"/>
    <s v="Robert Reed"/>
    <x v="410"/>
    <n v="2"/>
    <x v="1"/>
    <x v="0"/>
    <x v="0"/>
    <x v="0"/>
    <x v="0"/>
  </r>
  <r>
    <s v="AX23402"/>
    <s v="ENX2019"/>
    <s v="A130"/>
    <s v="EMP1000"/>
    <s v="C1740"/>
    <x v="117"/>
    <n v="3"/>
    <n v="800"/>
    <n v="536"/>
    <n v="1608"/>
    <n v="2400"/>
    <n v="792"/>
    <s v="Product 20"/>
    <x v="4"/>
    <s v="Fred Robertson"/>
    <x v="699"/>
    <n v="2"/>
    <x v="1"/>
    <x v="0"/>
    <x v="0"/>
    <x v="0"/>
    <x v="0"/>
  </r>
  <r>
    <s v="AX23871"/>
    <s v="ENX2075"/>
    <s v="A164"/>
    <s v="EMP1003"/>
    <s v="C1058"/>
    <x v="116"/>
    <n v="1"/>
    <n v="400"/>
    <n v="208"/>
    <n v="208"/>
    <n v="400"/>
    <n v="192"/>
    <s v="Product 76"/>
    <x v="3"/>
    <s v="Christopher Tucker"/>
    <x v="611"/>
    <n v="2"/>
    <x v="1"/>
    <x v="0"/>
    <x v="0"/>
    <x v="0"/>
    <x v="0"/>
  </r>
  <r>
    <s v="AX10155"/>
    <s v="ENX2027"/>
    <s v="A111"/>
    <s v="EMP1024"/>
    <s v="C1176"/>
    <x v="119"/>
    <n v="1"/>
    <n v="2497"/>
    <n v="1473"/>
    <n v="1473"/>
    <n v="2497"/>
    <n v="1024"/>
    <s v="Product 28"/>
    <x v="54"/>
    <s v="Ernest Wheeler"/>
    <x v="117"/>
    <n v="2"/>
    <x v="1"/>
    <x v="0"/>
    <x v="0"/>
    <x v="0"/>
    <x v="1"/>
  </r>
  <r>
    <s v="AX10180"/>
    <s v="ENX2011"/>
    <s v="A148"/>
    <s v="EMP1006"/>
    <s v="C1350"/>
    <x v="120"/>
    <n v="4"/>
    <n v="530"/>
    <n v="435"/>
    <n v="1740"/>
    <n v="2120"/>
    <n v="380"/>
    <s v="Product 12"/>
    <x v="62"/>
    <s v="Sean Miller"/>
    <x v="625"/>
    <n v="2"/>
    <x v="1"/>
    <x v="0"/>
    <x v="0"/>
    <x v="0"/>
    <x v="1"/>
  </r>
  <r>
    <s v="AX11010"/>
    <s v="ENX2007"/>
    <s v="A162"/>
    <s v="EMP1016"/>
    <s v="C1567"/>
    <x v="120"/>
    <n v="2"/>
    <n v="1405"/>
    <n v="1054"/>
    <n v="2108"/>
    <n v="2810"/>
    <n v="702"/>
    <s v="Product 8"/>
    <x v="2"/>
    <s v="Henry Nelson"/>
    <x v="251"/>
    <n v="2"/>
    <x v="1"/>
    <x v="0"/>
    <x v="0"/>
    <x v="0"/>
    <x v="1"/>
  </r>
  <r>
    <s v="AX11175"/>
    <s v="ENX2033"/>
    <s v="A129"/>
    <s v="EMP1038"/>
    <s v="C1647"/>
    <x v="119"/>
    <n v="1"/>
    <n v="2182"/>
    <n v="1200"/>
    <n v="1200"/>
    <n v="2182"/>
    <n v="982"/>
    <s v="Product 34"/>
    <x v="22"/>
    <s v="Scott Mason"/>
    <x v="318"/>
    <n v="2"/>
    <x v="1"/>
    <x v="0"/>
    <x v="0"/>
    <x v="0"/>
    <x v="1"/>
  </r>
  <r>
    <s v="AX11210"/>
    <s v="ENX2001"/>
    <s v="A109"/>
    <s v="EMP1026"/>
    <s v="C1237"/>
    <x v="121"/>
    <n v="1"/>
    <n v="951"/>
    <n v="504"/>
    <n v="504"/>
    <n v="951"/>
    <n v="447"/>
    <s v="Product 2"/>
    <x v="57"/>
    <s v="Martin Perry"/>
    <x v="484"/>
    <n v="2"/>
    <x v="1"/>
    <x v="0"/>
    <x v="0"/>
    <x v="0"/>
    <x v="1"/>
  </r>
  <r>
    <s v="AX11399"/>
    <s v="ENX2020"/>
    <s v="A144"/>
    <s v="EMP1002"/>
    <s v="C1684"/>
    <x v="122"/>
    <n v="1"/>
    <n v="2005"/>
    <n v="1223"/>
    <n v="1223"/>
    <n v="2005"/>
    <n v="782"/>
    <s v="Product 21"/>
    <x v="65"/>
    <s v="Andrew Bowman"/>
    <x v="258"/>
    <n v="2"/>
    <x v="1"/>
    <x v="0"/>
    <x v="0"/>
    <x v="0"/>
    <x v="1"/>
  </r>
  <r>
    <s v="AX11445"/>
    <s v="ENX2019"/>
    <s v="A125"/>
    <s v="EMP1022"/>
    <s v="C1048"/>
    <x v="122"/>
    <n v="1"/>
    <n v="800"/>
    <n v="536"/>
    <n v="536"/>
    <n v="800"/>
    <n v="264"/>
    <s v="Product 20"/>
    <x v="31"/>
    <s v="Walter Cook"/>
    <x v="391"/>
    <n v="2"/>
    <x v="1"/>
    <x v="0"/>
    <x v="0"/>
    <x v="0"/>
    <x v="1"/>
  </r>
  <r>
    <s v="AX11516"/>
    <s v="ENX2088"/>
    <s v="A150"/>
    <s v="EMP1023"/>
    <s v="C1115"/>
    <x v="120"/>
    <n v="3"/>
    <n v="603"/>
    <n v="416"/>
    <n v="1248"/>
    <n v="1809"/>
    <n v="561"/>
    <s v="Product 89"/>
    <x v="30"/>
    <s v="Brian Davis"/>
    <x v="338"/>
    <n v="2"/>
    <x v="1"/>
    <x v="0"/>
    <x v="0"/>
    <x v="0"/>
    <x v="1"/>
  </r>
  <r>
    <s v="AX11987"/>
    <s v="ENX2086"/>
    <s v="A161"/>
    <s v="EMP1010"/>
    <s v="C1092"/>
    <x v="122"/>
    <n v="1"/>
    <n v="123"/>
    <n v="84"/>
    <n v="84"/>
    <n v="123"/>
    <n v="39"/>
    <s v="Product 87"/>
    <x v="6"/>
    <s v="Joshua Cook"/>
    <x v="572"/>
    <n v="2"/>
    <x v="1"/>
    <x v="0"/>
    <x v="0"/>
    <x v="0"/>
    <x v="1"/>
  </r>
  <r>
    <s v="AX12046"/>
    <s v="ENX2033"/>
    <s v="A115"/>
    <s v="EMP1026"/>
    <s v="C1120"/>
    <x v="119"/>
    <n v="1"/>
    <n v="2182"/>
    <n v="1200"/>
    <n v="1200"/>
    <n v="2182"/>
    <n v="982"/>
    <s v="Product 34"/>
    <x v="33"/>
    <s v="Martin Perry"/>
    <x v="685"/>
    <n v="2"/>
    <x v="1"/>
    <x v="0"/>
    <x v="0"/>
    <x v="0"/>
    <x v="1"/>
  </r>
  <r>
    <s v="AX12113"/>
    <s v="ENX2008"/>
    <s v="A103"/>
    <s v="EMP1034"/>
    <s v="C1125"/>
    <x v="119"/>
    <n v="1"/>
    <n v="315"/>
    <n v="208"/>
    <n v="208"/>
    <n v="315"/>
    <n v="107"/>
    <s v="Product 9"/>
    <x v="61"/>
    <s v="Arthur Mccoy"/>
    <x v="539"/>
    <n v="2"/>
    <x v="1"/>
    <x v="0"/>
    <x v="0"/>
    <x v="0"/>
    <x v="1"/>
  </r>
  <r>
    <s v="AX12168"/>
    <s v="ENX2068"/>
    <s v="A140"/>
    <s v="EMP1007"/>
    <s v="C1669"/>
    <x v="122"/>
    <n v="1"/>
    <n v="1500"/>
    <n v="900"/>
    <n v="900"/>
    <n v="1500"/>
    <n v="600"/>
    <s v="Product 69"/>
    <x v="18"/>
    <s v="Jeremy Mendoza"/>
    <x v="447"/>
    <n v="2"/>
    <x v="1"/>
    <x v="0"/>
    <x v="0"/>
    <x v="0"/>
    <x v="1"/>
  </r>
  <r>
    <s v="AX12380"/>
    <s v="ENX2039"/>
    <s v="A124"/>
    <s v="EMP1031"/>
    <s v="C1615"/>
    <x v="120"/>
    <n v="4"/>
    <n v="817"/>
    <n v="409"/>
    <n v="1636"/>
    <n v="3268"/>
    <n v="1632"/>
    <s v="Product 40"/>
    <x v="67"/>
    <s v="Brian Thomas"/>
    <x v="457"/>
    <n v="2"/>
    <x v="1"/>
    <x v="0"/>
    <x v="0"/>
    <x v="0"/>
    <x v="1"/>
  </r>
  <r>
    <s v="AX12756"/>
    <s v="ENX2016"/>
    <s v="A156"/>
    <s v="EMP1013"/>
    <s v="C1221"/>
    <x v="121"/>
    <n v="2"/>
    <n v="1351"/>
    <n v="1108"/>
    <n v="2216"/>
    <n v="2702"/>
    <n v="486"/>
    <s v="Product 17"/>
    <x v="14"/>
    <s v="Charles Harper"/>
    <x v="429"/>
    <n v="2"/>
    <x v="1"/>
    <x v="0"/>
    <x v="0"/>
    <x v="0"/>
    <x v="1"/>
  </r>
  <r>
    <s v="AX13026"/>
    <s v="ENX2028"/>
    <s v="A118"/>
    <s v="EMP1015"/>
    <s v="C1523"/>
    <x v="122"/>
    <n v="1"/>
    <n v="2283"/>
    <n v="1484"/>
    <n v="1484"/>
    <n v="2283"/>
    <n v="799"/>
    <s v="Product 29"/>
    <x v="19"/>
    <s v="Justin Lynch"/>
    <x v="543"/>
    <n v="2"/>
    <x v="1"/>
    <x v="0"/>
    <x v="0"/>
    <x v="0"/>
    <x v="1"/>
  </r>
  <r>
    <s v="AX13093"/>
    <s v="ENX2077"/>
    <s v="A123"/>
    <s v="EMP1027"/>
    <s v="C1560"/>
    <x v="121"/>
    <n v="3"/>
    <n v="530"/>
    <n v="424"/>
    <n v="1272"/>
    <n v="1590"/>
    <n v="318"/>
    <s v="Product 78"/>
    <x v="34"/>
    <s v="Gary Rodriguez"/>
    <x v="208"/>
    <n v="2"/>
    <x v="1"/>
    <x v="0"/>
    <x v="0"/>
    <x v="0"/>
    <x v="1"/>
  </r>
  <r>
    <s v="AX13133"/>
    <s v="ENX2034"/>
    <s v="A167"/>
    <s v="EMP1019"/>
    <s v="C1354"/>
    <x v="121"/>
    <n v="3"/>
    <n v="871"/>
    <n v="540"/>
    <n v="1620"/>
    <n v="2613"/>
    <n v="993"/>
    <s v="Product 35"/>
    <x v="64"/>
    <s v="Roger Robertson"/>
    <x v="133"/>
    <n v="2"/>
    <x v="1"/>
    <x v="0"/>
    <x v="0"/>
    <x v="0"/>
    <x v="1"/>
  </r>
  <r>
    <s v="AX13695"/>
    <s v="ENX2061"/>
    <s v="A155"/>
    <s v="EMP1009"/>
    <s v="C1506"/>
    <x v="120"/>
    <n v="3"/>
    <n v="913"/>
    <n v="584"/>
    <n v="1752"/>
    <n v="2739"/>
    <n v="987"/>
    <s v="Product 62"/>
    <x v="53"/>
    <s v="Kenneth Fields"/>
    <x v="538"/>
    <n v="2"/>
    <x v="1"/>
    <x v="0"/>
    <x v="0"/>
    <x v="0"/>
    <x v="1"/>
  </r>
  <r>
    <s v="AX14234"/>
    <s v="ENX2062"/>
    <s v="A166"/>
    <s v="EMP1025"/>
    <s v="C1596"/>
    <x v="119"/>
    <n v="2"/>
    <n v="2464"/>
    <n v="1774"/>
    <n v="3548"/>
    <n v="4928"/>
    <n v="1380"/>
    <s v="Product 63"/>
    <x v="70"/>
    <s v="Ernest Wagner"/>
    <x v="217"/>
    <n v="2"/>
    <x v="1"/>
    <x v="0"/>
    <x v="0"/>
    <x v="0"/>
    <x v="1"/>
  </r>
  <r>
    <s v="AX15344"/>
    <s v="ENX2020"/>
    <s v="A165"/>
    <s v="EMP1010"/>
    <s v="C1616"/>
    <x v="121"/>
    <n v="1"/>
    <n v="2005"/>
    <n v="1223"/>
    <n v="1223"/>
    <n v="2005"/>
    <n v="782"/>
    <s v="Product 21"/>
    <x v="55"/>
    <s v="Joshua Cook"/>
    <x v="253"/>
    <n v="2"/>
    <x v="1"/>
    <x v="0"/>
    <x v="0"/>
    <x v="0"/>
    <x v="1"/>
  </r>
  <r>
    <s v="AX15516"/>
    <s v="ENX2001"/>
    <s v="A110"/>
    <s v="EMP1017"/>
    <s v="C1555"/>
    <x v="119"/>
    <n v="1"/>
    <n v="951"/>
    <n v="504"/>
    <n v="504"/>
    <n v="951"/>
    <n v="447"/>
    <s v="Product 2"/>
    <x v="63"/>
    <s v="Brian Hansen"/>
    <x v="148"/>
    <n v="2"/>
    <x v="1"/>
    <x v="0"/>
    <x v="0"/>
    <x v="0"/>
    <x v="1"/>
  </r>
  <r>
    <s v="AX16338"/>
    <s v="ENX2067"/>
    <s v="A147"/>
    <s v="EMP1041"/>
    <s v="C1525"/>
    <x v="119"/>
    <n v="1"/>
    <n v="1119"/>
    <n v="683"/>
    <n v="683"/>
    <n v="1119"/>
    <n v="436"/>
    <s v="Product 68"/>
    <x v="42"/>
    <s v="Joe Sims"/>
    <x v="360"/>
    <n v="2"/>
    <x v="1"/>
    <x v="0"/>
    <x v="0"/>
    <x v="0"/>
    <x v="1"/>
  </r>
  <r>
    <s v="AX16546"/>
    <s v="ENX2080"/>
    <s v="A117"/>
    <s v="EMP1022"/>
    <s v="C1314"/>
    <x v="120"/>
    <n v="4"/>
    <n v="2353"/>
    <n v="1788"/>
    <n v="7152"/>
    <n v="9412"/>
    <n v="2260"/>
    <s v="Product 81"/>
    <x v="29"/>
    <s v="Walter Cook"/>
    <x v="421"/>
    <n v="2"/>
    <x v="1"/>
    <x v="0"/>
    <x v="0"/>
    <x v="0"/>
    <x v="1"/>
  </r>
  <r>
    <s v="AX16771"/>
    <s v="ENX2005"/>
    <s v="A100"/>
    <s v="EMP1040"/>
    <s v="C1724"/>
    <x v="122"/>
    <n v="1"/>
    <n v="684"/>
    <n v="561"/>
    <n v="561"/>
    <n v="684"/>
    <n v="123"/>
    <s v="Product 6"/>
    <x v="52"/>
    <s v="Patrick Ruiz"/>
    <x v="378"/>
    <n v="2"/>
    <x v="1"/>
    <x v="0"/>
    <x v="0"/>
    <x v="0"/>
    <x v="1"/>
  </r>
  <r>
    <s v="AX16887"/>
    <s v="ENX2067"/>
    <s v="A169"/>
    <s v="EMP1018"/>
    <s v="C1322"/>
    <x v="121"/>
    <n v="1"/>
    <n v="1119"/>
    <n v="683"/>
    <n v="683"/>
    <n v="1119"/>
    <n v="436"/>
    <s v="Product 68"/>
    <x v="17"/>
    <s v="Jimmy Young"/>
    <x v="604"/>
    <n v="2"/>
    <x v="1"/>
    <x v="0"/>
    <x v="0"/>
    <x v="0"/>
    <x v="1"/>
  </r>
  <r>
    <s v="AX17379"/>
    <s v="ENX2068"/>
    <s v="A117"/>
    <s v="EMP1019"/>
    <s v="C1096"/>
    <x v="119"/>
    <n v="3"/>
    <n v="1500"/>
    <n v="900"/>
    <n v="2700"/>
    <n v="4500"/>
    <n v="1800"/>
    <s v="Product 69"/>
    <x v="29"/>
    <s v="Roger Robertson"/>
    <x v="91"/>
    <n v="2"/>
    <x v="1"/>
    <x v="0"/>
    <x v="0"/>
    <x v="0"/>
    <x v="1"/>
  </r>
  <r>
    <s v="AX18047"/>
    <s v="ENX2085"/>
    <s v="A168"/>
    <s v="EMP1040"/>
    <s v="C1165"/>
    <x v="119"/>
    <n v="2"/>
    <n v="1862"/>
    <n v="1173"/>
    <n v="2346"/>
    <n v="3724"/>
    <n v="1378"/>
    <s v="Product 86"/>
    <x v="40"/>
    <s v="Patrick Ruiz"/>
    <x v="82"/>
    <n v="2"/>
    <x v="1"/>
    <x v="0"/>
    <x v="0"/>
    <x v="0"/>
    <x v="1"/>
  </r>
  <r>
    <s v="AX18194"/>
    <s v="ENX2001"/>
    <s v="A168"/>
    <s v="EMP1016"/>
    <s v="C1604"/>
    <x v="119"/>
    <n v="1"/>
    <n v="951"/>
    <n v="504"/>
    <n v="504"/>
    <n v="951"/>
    <n v="447"/>
    <s v="Product 2"/>
    <x v="40"/>
    <s v="Henry Nelson"/>
    <x v="700"/>
    <n v="2"/>
    <x v="1"/>
    <x v="0"/>
    <x v="0"/>
    <x v="0"/>
    <x v="1"/>
  </r>
  <r>
    <s v="AX18277"/>
    <s v="ENX2080"/>
    <s v="A123"/>
    <s v="EMP1021"/>
    <s v="C1377"/>
    <x v="121"/>
    <n v="1"/>
    <n v="2353"/>
    <n v="1788"/>
    <n v="1788"/>
    <n v="2353"/>
    <n v="565"/>
    <s v="Product 81"/>
    <x v="34"/>
    <s v="Clarence Fox"/>
    <x v="214"/>
    <n v="2"/>
    <x v="1"/>
    <x v="0"/>
    <x v="0"/>
    <x v="0"/>
    <x v="1"/>
  </r>
  <r>
    <s v="AX18710"/>
    <s v="ENX2093"/>
    <s v="A108"/>
    <s v="EMP1001"/>
    <s v="C1011"/>
    <x v="119"/>
    <n v="1"/>
    <n v="112"/>
    <n v="90"/>
    <n v="90"/>
    <n v="112"/>
    <n v="22"/>
    <s v="Product 94"/>
    <x v="49"/>
    <s v="Kevin Butler"/>
    <x v="275"/>
    <n v="2"/>
    <x v="1"/>
    <x v="0"/>
    <x v="0"/>
    <x v="0"/>
    <x v="1"/>
  </r>
  <r>
    <s v="AX19097"/>
    <s v="ENX2007"/>
    <s v="A127"/>
    <s v="EMP1017"/>
    <s v="C1724"/>
    <x v="119"/>
    <n v="1"/>
    <n v="1405"/>
    <n v="1054"/>
    <n v="1054"/>
    <n v="1405"/>
    <n v="351"/>
    <s v="Product 8"/>
    <x v="69"/>
    <s v="Brian Hansen"/>
    <x v="378"/>
    <n v="2"/>
    <x v="1"/>
    <x v="0"/>
    <x v="0"/>
    <x v="0"/>
    <x v="1"/>
  </r>
  <r>
    <s v="AX19413"/>
    <s v="ENX2004"/>
    <s v="A168"/>
    <s v="EMP1003"/>
    <s v="C1789"/>
    <x v="121"/>
    <n v="4"/>
    <n v="1278"/>
    <n v="665"/>
    <n v="2660"/>
    <n v="5112"/>
    <n v="2452"/>
    <s v="Product 5"/>
    <x v="40"/>
    <s v="Christopher Tucker"/>
    <x v="701"/>
    <n v="2"/>
    <x v="1"/>
    <x v="0"/>
    <x v="0"/>
    <x v="0"/>
    <x v="1"/>
  </r>
  <r>
    <s v="AX19560"/>
    <s v="ENX2077"/>
    <s v="A142"/>
    <s v="EMP1012"/>
    <s v="C1571"/>
    <x v="119"/>
    <n v="3"/>
    <n v="530"/>
    <n v="424"/>
    <n v="1272"/>
    <n v="1590"/>
    <n v="318"/>
    <s v="Product 78"/>
    <x v="56"/>
    <s v="John Reyes"/>
    <x v="316"/>
    <n v="2"/>
    <x v="1"/>
    <x v="0"/>
    <x v="0"/>
    <x v="0"/>
    <x v="1"/>
  </r>
  <r>
    <s v="AX20426"/>
    <s v="ENX2047"/>
    <s v="A137"/>
    <s v="EMP1043"/>
    <s v="C1392"/>
    <x v="121"/>
    <n v="1"/>
    <n v="290"/>
    <n v="200"/>
    <n v="200"/>
    <n v="290"/>
    <n v="90"/>
    <s v="Product 48"/>
    <x v="68"/>
    <s v="Joshua Taylor"/>
    <x v="78"/>
    <n v="2"/>
    <x v="1"/>
    <x v="0"/>
    <x v="0"/>
    <x v="0"/>
    <x v="1"/>
  </r>
  <r>
    <s v="AX20568"/>
    <s v="ENX2030"/>
    <s v="A114"/>
    <s v="EMP1031"/>
    <s v="C1508"/>
    <x v="120"/>
    <n v="1"/>
    <n v="1899"/>
    <n v="1044"/>
    <n v="1044"/>
    <n v="1899"/>
    <n v="855"/>
    <s v="Product 31"/>
    <x v="28"/>
    <s v="Brian Thomas"/>
    <x v="37"/>
    <n v="2"/>
    <x v="1"/>
    <x v="0"/>
    <x v="0"/>
    <x v="0"/>
    <x v="1"/>
  </r>
  <r>
    <s v="AX20750"/>
    <s v="ENX2071"/>
    <s v="A115"/>
    <s v="EMP1017"/>
    <s v="C1559"/>
    <x v="122"/>
    <n v="1"/>
    <n v="136"/>
    <n v="72"/>
    <n v="72"/>
    <n v="136"/>
    <n v="64"/>
    <s v="Product 72"/>
    <x v="33"/>
    <s v="Brian Hansen"/>
    <x v="43"/>
    <n v="2"/>
    <x v="1"/>
    <x v="0"/>
    <x v="0"/>
    <x v="0"/>
    <x v="1"/>
  </r>
  <r>
    <s v="AX21164"/>
    <s v="ENX2027"/>
    <s v="A169"/>
    <s v="EMP1018"/>
    <s v="C1658"/>
    <x v="120"/>
    <n v="1"/>
    <n v="2497"/>
    <n v="1473"/>
    <n v="1473"/>
    <n v="2497"/>
    <n v="1024"/>
    <s v="Product 28"/>
    <x v="17"/>
    <s v="Jimmy Young"/>
    <x v="612"/>
    <n v="2"/>
    <x v="1"/>
    <x v="0"/>
    <x v="0"/>
    <x v="0"/>
    <x v="1"/>
  </r>
  <r>
    <s v="AX21201"/>
    <s v="ENX2080"/>
    <s v="A113"/>
    <s v="EMP1014"/>
    <s v="C1383"/>
    <x v="121"/>
    <n v="4"/>
    <n v="2353"/>
    <n v="1788"/>
    <n v="7152"/>
    <n v="9412"/>
    <n v="2260"/>
    <s v="Product 81"/>
    <x v="73"/>
    <s v="Ronald Reed"/>
    <x v="508"/>
    <n v="2"/>
    <x v="1"/>
    <x v="0"/>
    <x v="0"/>
    <x v="0"/>
    <x v="1"/>
  </r>
  <r>
    <s v="AX21416"/>
    <s v="ENX2064"/>
    <s v="A107"/>
    <s v="EMP1023"/>
    <s v="C1681"/>
    <x v="121"/>
    <n v="3"/>
    <n v="1414"/>
    <n v="962"/>
    <n v="2886"/>
    <n v="4242"/>
    <n v="1356"/>
    <s v="Product 65"/>
    <x v="21"/>
    <s v="Brian Davis"/>
    <x v="235"/>
    <n v="2"/>
    <x v="1"/>
    <x v="0"/>
    <x v="0"/>
    <x v="0"/>
    <x v="1"/>
  </r>
  <r>
    <s v="AX22289"/>
    <s v="ENX2021"/>
    <s v="A110"/>
    <s v="EMP1016"/>
    <s v="C1177"/>
    <x v="122"/>
    <n v="1"/>
    <n v="217"/>
    <n v="171"/>
    <n v="171"/>
    <n v="217"/>
    <n v="46"/>
    <s v="Product 22"/>
    <x v="63"/>
    <s v="Henry Nelson"/>
    <x v="365"/>
    <n v="2"/>
    <x v="1"/>
    <x v="0"/>
    <x v="0"/>
    <x v="0"/>
    <x v="1"/>
  </r>
  <r>
    <s v="AX22431"/>
    <s v="ENX2057"/>
    <s v="A126"/>
    <s v="EMP1017"/>
    <s v="C1638"/>
    <x v="120"/>
    <n v="3"/>
    <n v="181"/>
    <n v="130"/>
    <n v="390"/>
    <n v="543"/>
    <n v="153"/>
    <s v="Product 58"/>
    <x v="5"/>
    <s v="Brian Hansen"/>
    <x v="395"/>
    <n v="2"/>
    <x v="1"/>
    <x v="0"/>
    <x v="0"/>
    <x v="0"/>
    <x v="1"/>
  </r>
  <r>
    <s v="AX22736"/>
    <s v="ENX2002"/>
    <s v="A143"/>
    <s v="EMP1003"/>
    <s v="C1432"/>
    <x v="119"/>
    <n v="3"/>
    <n v="847"/>
    <n v="534"/>
    <n v="1602"/>
    <n v="2541"/>
    <n v="939"/>
    <s v="Product 3"/>
    <x v="39"/>
    <s v="Christopher Tucker"/>
    <x v="186"/>
    <n v="2"/>
    <x v="1"/>
    <x v="0"/>
    <x v="0"/>
    <x v="0"/>
    <x v="1"/>
  </r>
  <r>
    <s v="AX23265"/>
    <s v="ENX2090"/>
    <s v="A158"/>
    <s v="EMP1041"/>
    <s v="C1291"/>
    <x v="119"/>
    <n v="1"/>
    <n v="1338"/>
    <n v="682"/>
    <n v="682"/>
    <n v="1338"/>
    <n v="656"/>
    <s v="Product 91"/>
    <x v="58"/>
    <s v="Joe Sims"/>
    <x v="16"/>
    <n v="2"/>
    <x v="1"/>
    <x v="0"/>
    <x v="0"/>
    <x v="0"/>
    <x v="1"/>
  </r>
  <r>
    <s v="AX23400"/>
    <s v="ENX2083"/>
    <s v="A160"/>
    <s v="EMP1039"/>
    <s v="C1510"/>
    <x v="120"/>
    <n v="2"/>
    <n v="2141"/>
    <n v="1777"/>
    <n v="3554"/>
    <n v="4282"/>
    <n v="728"/>
    <s v="Product 84"/>
    <x v="9"/>
    <s v="Eugene Holmes"/>
    <x v="113"/>
    <n v="2"/>
    <x v="1"/>
    <x v="0"/>
    <x v="0"/>
    <x v="0"/>
    <x v="1"/>
  </r>
  <r>
    <s v="AX23562"/>
    <s v="ENX2079"/>
    <s v="A135"/>
    <s v="EMP1041"/>
    <s v="C1232"/>
    <x v="121"/>
    <n v="1"/>
    <n v="1725"/>
    <n v="1363"/>
    <n v="1363"/>
    <n v="1725"/>
    <n v="362"/>
    <s v="Product 80"/>
    <x v="10"/>
    <s v="Joe Sims"/>
    <x v="584"/>
    <n v="2"/>
    <x v="1"/>
    <x v="0"/>
    <x v="0"/>
    <x v="0"/>
    <x v="1"/>
  </r>
  <r>
    <s v="AX23740"/>
    <s v="ENX2056"/>
    <s v="A146"/>
    <s v="EMP1027"/>
    <s v="C1113"/>
    <x v="121"/>
    <n v="1"/>
    <n v="1635"/>
    <n v="1046"/>
    <n v="1046"/>
    <n v="1635"/>
    <n v="589"/>
    <s v="Product 57"/>
    <x v="27"/>
    <s v="Gary Rodriguez"/>
    <x v="101"/>
    <n v="2"/>
    <x v="1"/>
    <x v="0"/>
    <x v="0"/>
    <x v="0"/>
    <x v="1"/>
  </r>
  <r>
    <s v="AX24051"/>
    <s v="ENX2079"/>
    <s v="A169"/>
    <s v="EMP1023"/>
    <s v="C1447"/>
    <x v="120"/>
    <n v="1"/>
    <n v="1725"/>
    <n v="1363"/>
    <n v="1363"/>
    <n v="1725"/>
    <n v="362"/>
    <s v="Product 80"/>
    <x v="17"/>
    <s v="Brian Davis"/>
    <x v="702"/>
    <n v="2"/>
    <x v="1"/>
    <x v="0"/>
    <x v="0"/>
    <x v="0"/>
    <x v="1"/>
  </r>
  <r>
    <s v="AX24109"/>
    <s v="ENX2065"/>
    <s v="A155"/>
    <s v="EMP1011"/>
    <s v="C1445"/>
    <x v="120"/>
    <n v="1"/>
    <n v="2396"/>
    <n v="1965"/>
    <n v="1965"/>
    <n v="2396"/>
    <n v="431"/>
    <s v="Product 66"/>
    <x v="53"/>
    <s v="Larry Marshall"/>
    <x v="239"/>
    <n v="2"/>
    <x v="1"/>
    <x v="0"/>
    <x v="0"/>
    <x v="0"/>
    <x v="1"/>
  </r>
  <r>
    <s v="AX24340"/>
    <s v="ENX2081"/>
    <s v="A134"/>
    <s v="EMP1012"/>
    <s v="C1724"/>
    <x v="120"/>
    <n v="1"/>
    <n v="1566"/>
    <n v="1190"/>
    <n v="1190"/>
    <n v="1566"/>
    <n v="376"/>
    <s v="Product 82"/>
    <x v="41"/>
    <s v="John Reyes"/>
    <x v="378"/>
    <n v="2"/>
    <x v="1"/>
    <x v="0"/>
    <x v="0"/>
    <x v="0"/>
    <x v="1"/>
  </r>
  <r>
    <s v="AX24641"/>
    <s v="ENX2065"/>
    <s v="A147"/>
    <s v="EMP1009"/>
    <s v="C1518"/>
    <x v="119"/>
    <n v="1"/>
    <n v="2396"/>
    <n v="1965"/>
    <n v="1965"/>
    <n v="2396"/>
    <n v="431"/>
    <s v="Product 66"/>
    <x v="42"/>
    <s v="Kenneth Fields"/>
    <x v="703"/>
    <n v="2"/>
    <x v="1"/>
    <x v="0"/>
    <x v="0"/>
    <x v="0"/>
    <x v="1"/>
  </r>
  <r>
    <s v="AX24750"/>
    <s v="ENX2043"/>
    <s v="A108"/>
    <s v="EMP1023"/>
    <s v="C1306"/>
    <x v="122"/>
    <n v="2"/>
    <n v="545"/>
    <n v="425"/>
    <n v="850"/>
    <n v="1090"/>
    <n v="240"/>
    <s v="Product 44"/>
    <x v="49"/>
    <s v="Brian Davis"/>
    <x v="692"/>
    <n v="2"/>
    <x v="1"/>
    <x v="0"/>
    <x v="0"/>
    <x v="0"/>
    <x v="1"/>
  </r>
  <r>
    <s v="AX24782"/>
    <s v="ENX2009"/>
    <s v="A122"/>
    <s v="EMP1003"/>
    <s v="C1157"/>
    <x v="121"/>
    <n v="2"/>
    <n v="584"/>
    <n v="420"/>
    <n v="840"/>
    <n v="1168"/>
    <n v="328"/>
    <s v="Product 10"/>
    <x v="71"/>
    <s v="Christopher Tucker"/>
    <x v="415"/>
    <n v="2"/>
    <x v="1"/>
    <x v="0"/>
    <x v="0"/>
    <x v="0"/>
    <x v="1"/>
  </r>
  <r>
    <s v="AX24833"/>
    <s v="ENX2058"/>
    <s v="A148"/>
    <s v="EMP1008"/>
    <s v="C1261"/>
    <x v="121"/>
    <n v="1"/>
    <n v="2257"/>
    <n v="1535"/>
    <n v="1535"/>
    <n v="2257"/>
    <n v="722"/>
    <s v="Product 59"/>
    <x v="62"/>
    <s v="Carl Elliott"/>
    <x v="295"/>
    <n v="2"/>
    <x v="1"/>
    <x v="0"/>
    <x v="0"/>
    <x v="0"/>
    <x v="1"/>
  </r>
  <r>
    <s v="AX10338"/>
    <s v="ENX2037"/>
    <s v="A129"/>
    <s v="EMP1007"/>
    <s v="C1383"/>
    <x v="123"/>
    <n v="1"/>
    <n v="880"/>
    <n v="634"/>
    <n v="634"/>
    <n v="880"/>
    <n v="246"/>
    <s v="Product 38"/>
    <x v="22"/>
    <s v="Jeremy Mendoza"/>
    <x v="508"/>
    <n v="2"/>
    <x v="1"/>
    <x v="0"/>
    <x v="0"/>
    <x v="0"/>
    <x v="2"/>
  </r>
  <r>
    <s v="AX10423"/>
    <s v="ENX2038"/>
    <s v="A130"/>
    <s v="EMP1037"/>
    <s v="C1446"/>
    <x v="123"/>
    <n v="4"/>
    <n v="392"/>
    <n v="255"/>
    <n v="1020"/>
    <n v="1568"/>
    <n v="548"/>
    <s v="Product 39"/>
    <x v="4"/>
    <s v="Carl Hall"/>
    <x v="345"/>
    <n v="2"/>
    <x v="1"/>
    <x v="0"/>
    <x v="0"/>
    <x v="0"/>
    <x v="2"/>
  </r>
  <r>
    <s v="AX10537"/>
    <s v="ENX2073"/>
    <s v="A124"/>
    <s v="EMP1022"/>
    <s v="C1408"/>
    <x v="124"/>
    <n v="1"/>
    <n v="95"/>
    <n v="61"/>
    <n v="61"/>
    <n v="95"/>
    <n v="34"/>
    <s v="Product 74"/>
    <x v="67"/>
    <s v="Walter Cook"/>
    <x v="647"/>
    <n v="2"/>
    <x v="1"/>
    <x v="0"/>
    <x v="0"/>
    <x v="0"/>
    <x v="2"/>
  </r>
  <r>
    <s v="AX10629"/>
    <s v="ENX2011"/>
    <s v="A129"/>
    <s v="EMP1017"/>
    <s v="C1034"/>
    <x v="123"/>
    <n v="1"/>
    <n v="530"/>
    <n v="435"/>
    <n v="435"/>
    <n v="530"/>
    <n v="95"/>
    <s v="Product 12"/>
    <x v="22"/>
    <s v="Brian Hansen"/>
    <x v="704"/>
    <n v="2"/>
    <x v="1"/>
    <x v="0"/>
    <x v="0"/>
    <x v="0"/>
    <x v="2"/>
  </r>
  <r>
    <s v="AX10647"/>
    <s v="ENX2080"/>
    <s v="A133"/>
    <s v="EMP1041"/>
    <s v="C1353"/>
    <x v="125"/>
    <n v="2"/>
    <n v="2353"/>
    <n v="1788"/>
    <n v="3576"/>
    <n v="4706"/>
    <n v="1130"/>
    <s v="Product 81"/>
    <x v="46"/>
    <s v="Joe Sims"/>
    <x v="642"/>
    <n v="2"/>
    <x v="1"/>
    <x v="0"/>
    <x v="0"/>
    <x v="0"/>
    <x v="2"/>
  </r>
  <r>
    <s v="AX10848"/>
    <s v="ENX2017"/>
    <s v="A106"/>
    <s v="EMP1011"/>
    <s v="C1250"/>
    <x v="126"/>
    <n v="1"/>
    <n v="35"/>
    <n v="22"/>
    <n v="22"/>
    <n v="35"/>
    <n v="13"/>
    <s v="Product 18"/>
    <x v="11"/>
    <s v="Larry Marshall"/>
    <x v="705"/>
    <n v="2"/>
    <x v="1"/>
    <x v="0"/>
    <x v="0"/>
    <x v="0"/>
    <x v="2"/>
  </r>
  <r>
    <s v="AX11834"/>
    <s v="ENX2086"/>
    <s v="A118"/>
    <s v="EMP1015"/>
    <s v="C1361"/>
    <x v="126"/>
    <n v="1"/>
    <n v="123"/>
    <n v="84"/>
    <n v="84"/>
    <n v="123"/>
    <n v="39"/>
    <s v="Product 87"/>
    <x v="19"/>
    <s v="Justin Lynch"/>
    <x v="706"/>
    <n v="2"/>
    <x v="1"/>
    <x v="0"/>
    <x v="0"/>
    <x v="0"/>
    <x v="2"/>
  </r>
  <r>
    <s v="AX11874"/>
    <s v="ENX2072"/>
    <s v="A105"/>
    <s v="EMP1001"/>
    <s v="C1184"/>
    <x v="123"/>
    <n v="2"/>
    <n v="1887"/>
    <n v="1378"/>
    <n v="2756"/>
    <n v="3774"/>
    <n v="1018"/>
    <s v="Product 73"/>
    <x v="45"/>
    <s v="Kevin Butler"/>
    <x v="707"/>
    <n v="2"/>
    <x v="1"/>
    <x v="0"/>
    <x v="0"/>
    <x v="0"/>
    <x v="2"/>
  </r>
  <r>
    <s v="AX12126"/>
    <s v="ENX2087"/>
    <s v="A142"/>
    <s v="EMP1021"/>
    <s v="C1131"/>
    <x v="123"/>
    <n v="1"/>
    <n v="1022"/>
    <n v="818"/>
    <n v="818"/>
    <n v="1022"/>
    <n v="204"/>
    <s v="Product 88"/>
    <x v="56"/>
    <s v="Clarence Fox"/>
    <x v="76"/>
    <n v="2"/>
    <x v="1"/>
    <x v="0"/>
    <x v="0"/>
    <x v="0"/>
    <x v="2"/>
  </r>
  <r>
    <s v="AX12184"/>
    <s v="ENX2046"/>
    <s v="A170"/>
    <s v="EMP1018"/>
    <s v="C1004"/>
    <x v="125"/>
    <n v="3"/>
    <n v="2410"/>
    <n v="1518"/>
    <n v="4554"/>
    <n v="7230"/>
    <n v="2676"/>
    <s v="Product 47"/>
    <x v="47"/>
    <s v="Jimmy Young"/>
    <x v="708"/>
    <n v="2"/>
    <x v="1"/>
    <x v="0"/>
    <x v="0"/>
    <x v="0"/>
    <x v="2"/>
  </r>
  <r>
    <s v="AX12332"/>
    <s v="ENX2016"/>
    <s v="A147"/>
    <s v="EMP1008"/>
    <s v="C1611"/>
    <x v="125"/>
    <n v="2"/>
    <n v="1351"/>
    <n v="1108"/>
    <n v="2216"/>
    <n v="2702"/>
    <n v="486"/>
    <s v="Product 17"/>
    <x v="42"/>
    <s v="Carl Elliott"/>
    <x v="306"/>
    <n v="2"/>
    <x v="1"/>
    <x v="0"/>
    <x v="0"/>
    <x v="0"/>
    <x v="2"/>
  </r>
  <r>
    <s v="AX12552"/>
    <s v="ENX2095"/>
    <s v="A151"/>
    <s v="EMP1034"/>
    <s v="C1097"/>
    <x v="123"/>
    <n v="1"/>
    <n v="1743"/>
    <n v="872"/>
    <n v="872"/>
    <n v="1743"/>
    <n v="871"/>
    <s v="Product 96"/>
    <x v="1"/>
    <s v="Arthur Mccoy"/>
    <x v="662"/>
    <n v="2"/>
    <x v="1"/>
    <x v="0"/>
    <x v="0"/>
    <x v="0"/>
    <x v="2"/>
  </r>
  <r>
    <s v="AX12868"/>
    <s v="ENX2057"/>
    <s v="A164"/>
    <s v="EMP1014"/>
    <s v="C1249"/>
    <x v="125"/>
    <n v="1"/>
    <n v="181"/>
    <n v="130"/>
    <n v="130"/>
    <n v="181"/>
    <n v="51"/>
    <s v="Product 58"/>
    <x v="3"/>
    <s v="Ronald Reed"/>
    <x v="709"/>
    <n v="2"/>
    <x v="1"/>
    <x v="0"/>
    <x v="0"/>
    <x v="0"/>
    <x v="2"/>
  </r>
  <r>
    <s v="AX13227"/>
    <s v="ENX2068"/>
    <s v="A169"/>
    <s v="EMP1023"/>
    <s v="C1103"/>
    <x v="127"/>
    <n v="1"/>
    <n v="1500"/>
    <n v="900"/>
    <n v="900"/>
    <n v="1500"/>
    <n v="600"/>
    <s v="Product 69"/>
    <x v="17"/>
    <s v="Brian Davis"/>
    <x v="336"/>
    <n v="2"/>
    <x v="1"/>
    <x v="0"/>
    <x v="0"/>
    <x v="0"/>
    <x v="2"/>
  </r>
  <r>
    <s v="AX13355"/>
    <s v="ENX2014"/>
    <s v="A118"/>
    <s v="EMP1026"/>
    <s v="C1377"/>
    <x v="126"/>
    <n v="3"/>
    <n v="1809"/>
    <n v="1067"/>
    <n v="3201"/>
    <n v="5427"/>
    <n v="2226"/>
    <s v="Product 15"/>
    <x v="19"/>
    <s v="Martin Perry"/>
    <x v="214"/>
    <n v="2"/>
    <x v="1"/>
    <x v="0"/>
    <x v="0"/>
    <x v="0"/>
    <x v="2"/>
  </r>
  <r>
    <s v="AX13670"/>
    <s v="ENX2021"/>
    <s v="A100"/>
    <s v="EMP1024"/>
    <s v="C1739"/>
    <x v="124"/>
    <n v="4"/>
    <n v="217"/>
    <n v="171"/>
    <n v="684"/>
    <n v="868"/>
    <n v="184"/>
    <s v="Product 22"/>
    <x v="52"/>
    <s v="Ernest Wheeler"/>
    <x v="286"/>
    <n v="2"/>
    <x v="1"/>
    <x v="0"/>
    <x v="0"/>
    <x v="0"/>
    <x v="2"/>
  </r>
  <r>
    <s v="AX14125"/>
    <s v="ENX2098"/>
    <s v="A124"/>
    <s v="EMP1034"/>
    <s v="C1270"/>
    <x v="123"/>
    <n v="2"/>
    <n v="1178"/>
    <n v="683"/>
    <n v="1366"/>
    <n v="2356"/>
    <n v="990"/>
    <s v="Product 99"/>
    <x v="67"/>
    <s v="Arthur Mccoy"/>
    <x v="517"/>
    <n v="2"/>
    <x v="1"/>
    <x v="0"/>
    <x v="0"/>
    <x v="0"/>
    <x v="2"/>
  </r>
  <r>
    <s v="AX14153"/>
    <s v="ENX2067"/>
    <s v="A100"/>
    <s v="EMP1037"/>
    <s v="C1601"/>
    <x v="125"/>
    <n v="3"/>
    <n v="1119"/>
    <n v="683"/>
    <n v="2049"/>
    <n v="3357"/>
    <n v="1308"/>
    <s v="Product 68"/>
    <x v="52"/>
    <s v="Carl Hall"/>
    <x v="324"/>
    <n v="2"/>
    <x v="1"/>
    <x v="0"/>
    <x v="0"/>
    <x v="0"/>
    <x v="2"/>
  </r>
  <r>
    <s v="AX14294"/>
    <s v="ENX2098"/>
    <s v="A107"/>
    <s v="EMP1023"/>
    <s v="C1021"/>
    <x v="126"/>
    <n v="3"/>
    <n v="1178"/>
    <n v="683"/>
    <n v="2049"/>
    <n v="3534"/>
    <n v="1485"/>
    <s v="Product 99"/>
    <x v="21"/>
    <s v="Brian Davis"/>
    <x v="246"/>
    <n v="2"/>
    <x v="1"/>
    <x v="0"/>
    <x v="0"/>
    <x v="0"/>
    <x v="2"/>
  </r>
  <r>
    <s v="AX14614"/>
    <s v="ENX2061"/>
    <s v="A151"/>
    <s v="EMP1026"/>
    <s v="C1524"/>
    <x v="127"/>
    <n v="1"/>
    <n v="913"/>
    <n v="584"/>
    <n v="584"/>
    <n v="913"/>
    <n v="329"/>
    <s v="Product 62"/>
    <x v="1"/>
    <s v="Martin Perry"/>
    <x v="263"/>
    <n v="2"/>
    <x v="1"/>
    <x v="0"/>
    <x v="0"/>
    <x v="0"/>
    <x v="2"/>
  </r>
  <r>
    <s v="AX14745"/>
    <s v="ENX2052"/>
    <s v="A173"/>
    <s v="EMP1035"/>
    <s v="C1727"/>
    <x v="126"/>
    <n v="3"/>
    <n v="1526"/>
    <n v="1251"/>
    <n v="3753"/>
    <n v="4578"/>
    <n v="825"/>
    <s v="Product 53"/>
    <x v="25"/>
    <s v="Roger Ramos"/>
    <x v="581"/>
    <n v="2"/>
    <x v="1"/>
    <x v="0"/>
    <x v="0"/>
    <x v="0"/>
    <x v="2"/>
  </r>
  <r>
    <s v="AX15267"/>
    <s v="ENX2028"/>
    <s v="A149"/>
    <s v="EMP1032"/>
    <s v="C1428"/>
    <x v="123"/>
    <n v="1"/>
    <n v="2283"/>
    <n v="1484"/>
    <n v="1484"/>
    <n v="2283"/>
    <n v="799"/>
    <s v="Product 29"/>
    <x v="59"/>
    <s v="Larry Castillo"/>
    <x v="509"/>
    <n v="2"/>
    <x v="1"/>
    <x v="0"/>
    <x v="0"/>
    <x v="0"/>
    <x v="2"/>
  </r>
  <r>
    <s v="AX15281"/>
    <s v="ENX2028"/>
    <s v="A168"/>
    <s v="EMP1020"/>
    <s v="C1355"/>
    <x v="126"/>
    <n v="1"/>
    <n v="2283"/>
    <n v="1484"/>
    <n v="1484"/>
    <n v="2283"/>
    <n v="799"/>
    <s v="Product 29"/>
    <x v="40"/>
    <s v="Ryan Butler"/>
    <x v="710"/>
    <n v="2"/>
    <x v="1"/>
    <x v="0"/>
    <x v="0"/>
    <x v="0"/>
    <x v="2"/>
  </r>
  <r>
    <s v="AX16050"/>
    <s v="ENX2076"/>
    <s v="A144"/>
    <s v="EMP1014"/>
    <s v="C1138"/>
    <x v="127"/>
    <n v="1"/>
    <n v="1522"/>
    <n v="791"/>
    <n v="791"/>
    <n v="1522"/>
    <n v="731"/>
    <s v="Product 77"/>
    <x v="65"/>
    <s v="Ronald Reed"/>
    <x v="325"/>
    <n v="2"/>
    <x v="1"/>
    <x v="0"/>
    <x v="0"/>
    <x v="0"/>
    <x v="2"/>
  </r>
  <r>
    <s v="AX16128"/>
    <s v="ENX2014"/>
    <s v="A145"/>
    <s v="EMP1034"/>
    <s v="C1082"/>
    <x v="127"/>
    <n v="1"/>
    <n v="1809"/>
    <n v="1067"/>
    <n v="1067"/>
    <n v="1809"/>
    <n v="742"/>
    <s v="Product 15"/>
    <x v="35"/>
    <s v="Arthur Mccoy"/>
    <x v="145"/>
    <n v="2"/>
    <x v="1"/>
    <x v="0"/>
    <x v="0"/>
    <x v="0"/>
    <x v="2"/>
  </r>
  <r>
    <s v="AX16233"/>
    <s v="ENX2056"/>
    <s v="A106"/>
    <s v="EMP1015"/>
    <s v="C1155"/>
    <x v="123"/>
    <n v="1"/>
    <n v="1635"/>
    <n v="1046"/>
    <n v="1046"/>
    <n v="1635"/>
    <n v="589"/>
    <s v="Product 57"/>
    <x v="11"/>
    <s v="Justin Lynch"/>
    <x v="711"/>
    <n v="2"/>
    <x v="1"/>
    <x v="0"/>
    <x v="0"/>
    <x v="0"/>
    <x v="2"/>
  </r>
  <r>
    <s v="AX16908"/>
    <s v="ENX2023"/>
    <s v="A160"/>
    <s v="EMP1004"/>
    <s v="C1136"/>
    <x v="124"/>
    <n v="1"/>
    <n v="818"/>
    <n v="450"/>
    <n v="450"/>
    <n v="818"/>
    <n v="368"/>
    <s v="Product 24"/>
    <x v="9"/>
    <s v="Kenneth Bradley"/>
    <x v="425"/>
    <n v="2"/>
    <x v="1"/>
    <x v="0"/>
    <x v="0"/>
    <x v="0"/>
    <x v="2"/>
  </r>
  <r>
    <s v="AX17196"/>
    <s v="ENX2042"/>
    <s v="A103"/>
    <s v="EMP1000"/>
    <s v="C1295"/>
    <x v="125"/>
    <n v="1"/>
    <n v="203"/>
    <n v="154"/>
    <n v="154"/>
    <n v="203"/>
    <n v="49"/>
    <s v="Product 43"/>
    <x v="61"/>
    <s v="Fred Robertson"/>
    <x v="373"/>
    <n v="2"/>
    <x v="1"/>
    <x v="0"/>
    <x v="0"/>
    <x v="0"/>
    <x v="2"/>
  </r>
  <r>
    <s v="AX17634"/>
    <s v="ENX2064"/>
    <s v="A129"/>
    <s v="EMP1010"/>
    <s v="C1587"/>
    <x v="123"/>
    <n v="3"/>
    <n v="1414"/>
    <n v="962"/>
    <n v="2886"/>
    <n v="4242"/>
    <n v="1356"/>
    <s v="Product 65"/>
    <x v="22"/>
    <s v="Joshua Cook"/>
    <x v="403"/>
    <n v="2"/>
    <x v="1"/>
    <x v="0"/>
    <x v="0"/>
    <x v="0"/>
    <x v="2"/>
  </r>
  <r>
    <s v="AX17810"/>
    <s v="ENX2042"/>
    <s v="A165"/>
    <s v="EMP1007"/>
    <s v="C1487"/>
    <x v="124"/>
    <n v="1"/>
    <n v="203"/>
    <n v="154"/>
    <n v="154"/>
    <n v="203"/>
    <n v="49"/>
    <s v="Product 43"/>
    <x v="55"/>
    <s v="Jeremy Mendoza"/>
    <x v="461"/>
    <n v="2"/>
    <x v="1"/>
    <x v="0"/>
    <x v="0"/>
    <x v="0"/>
    <x v="2"/>
  </r>
  <r>
    <s v="AX17813"/>
    <s v="ENX2099"/>
    <s v="A163"/>
    <s v="EMP1042"/>
    <s v="C1258"/>
    <x v="125"/>
    <n v="2"/>
    <n v="1367"/>
    <n v="984"/>
    <n v="1968"/>
    <n v="2734"/>
    <n v="766"/>
    <s v="Product 100"/>
    <x v="51"/>
    <s v="Scott Clark"/>
    <x v="644"/>
    <n v="2"/>
    <x v="1"/>
    <x v="0"/>
    <x v="0"/>
    <x v="0"/>
    <x v="2"/>
  </r>
  <r>
    <s v="AX18300"/>
    <s v="ENX2047"/>
    <s v="A139"/>
    <s v="EMP1019"/>
    <s v="C1069"/>
    <x v="127"/>
    <n v="1"/>
    <n v="290"/>
    <n v="200"/>
    <n v="200"/>
    <n v="290"/>
    <n v="90"/>
    <s v="Product 48"/>
    <x v="38"/>
    <s v="Roger Robertson"/>
    <x v="284"/>
    <n v="2"/>
    <x v="1"/>
    <x v="0"/>
    <x v="0"/>
    <x v="0"/>
    <x v="2"/>
  </r>
  <r>
    <s v="AX18463"/>
    <s v="ENX2061"/>
    <s v="A124"/>
    <s v="EMP1020"/>
    <s v="C1721"/>
    <x v="125"/>
    <n v="4"/>
    <n v="913"/>
    <n v="584"/>
    <n v="2336"/>
    <n v="3652"/>
    <n v="1316"/>
    <s v="Product 62"/>
    <x v="67"/>
    <s v="Ryan Butler"/>
    <x v="678"/>
    <n v="2"/>
    <x v="1"/>
    <x v="0"/>
    <x v="0"/>
    <x v="0"/>
    <x v="2"/>
  </r>
  <r>
    <s v="AX18490"/>
    <s v="ENX2040"/>
    <s v="A146"/>
    <s v="EMP1018"/>
    <s v="C1708"/>
    <x v="124"/>
    <n v="1"/>
    <n v="1889"/>
    <n v="945"/>
    <n v="945"/>
    <n v="1889"/>
    <n v="944"/>
    <s v="Product 41"/>
    <x v="27"/>
    <s v="Jimmy Young"/>
    <x v="579"/>
    <n v="2"/>
    <x v="1"/>
    <x v="0"/>
    <x v="0"/>
    <x v="0"/>
    <x v="2"/>
  </r>
  <r>
    <s v="AX18737"/>
    <s v="ENX2053"/>
    <s v="A141"/>
    <s v="EMP1010"/>
    <s v="C1797"/>
    <x v="123"/>
    <n v="1"/>
    <n v="596"/>
    <n v="358"/>
    <n v="358"/>
    <n v="596"/>
    <n v="238"/>
    <s v="Product 54"/>
    <x v="23"/>
    <s v="Joshua Cook"/>
    <x v="407"/>
    <n v="2"/>
    <x v="1"/>
    <x v="0"/>
    <x v="0"/>
    <x v="0"/>
    <x v="2"/>
  </r>
  <r>
    <s v="AX18955"/>
    <s v="ENX2083"/>
    <s v="A138"/>
    <s v="EMP1032"/>
    <s v="C1283"/>
    <x v="124"/>
    <n v="3"/>
    <n v="2141"/>
    <n v="1777"/>
    <n v="5331"/>
    <n v="6423"/>
    <n v="1092"/>
    <s v="Product 84"/>
    <x v="37"/>
    <s v="Larry Castillo"/>
    <x v="184"/>
    <n v="2"/>
    <x v="1"/>
    <x v="0"/>
    <x v="0"/>
    <x v="0"/>
    <x v="2"/>
  </r>
  <r>
    <s v="AX19002"/>
    <s v="ENX2082"/>
    <s v="A148"/>
    <s v="EMP1025"/>
    <s v="C1361"/>
    <x v="123"/>
    <n v="4"/>
    <n v="1103"/>
    <n v="838"/>
    <n v="3352"/>
    <n v="4412"/>
    <n v="1060"/>
    <s v="Product 83"/>
    <x v="62"/>
    <s v="Ernest Wagner"/>
    <x v="706"/>
    <n v="2"/>
    <x v="1"/>
    <x v="0"/>
    <x v="0"/>
    <x v="0"/>
    <x v="2"/>
  </r>
  <r>
    <s v="AX19042"/>
    <s v="ENX2035"/>
    <s v="A103"/>
    <s v="EMP1001"/>
    <s v="C1069"/>
    <x v="127"/>
    <n v="1"/>
    <n v="458"/>
    <n v="376"/>
    <n v="376"/>
    <n v="458"/>
    <n v="82"/>
    <s v="Product 36"/>
    <x v="61"/>
    <s v="Kevin Butler"/>
    <x v="284"/>
    <n v="2"/>
    <x v="1"/>
    <x v="0"/>
    <x v="0"/>
    <x v="0"/>
    <x v="2"/>
  </r>
  <r>
    <s v="AX19094"/>
    <s v="ENX2037"/>
    <s v="A145"/>
    <s v="EMP1023"/>
    <s v="C1797"/>
    <x v="127"/>
    <n v="4"/>
    <n v="880"/>
    <n v="634"/>
    <n v="2536"/>
    <n v="3520"/>
    <n v="984"/>
    <s v="Product 38"/>
    <x v="35"/>
    <s v="Brian Davis"/>
    <x v="407"/>
    <n v="2"/>
    <x v="1"/>
    <x v="0"/>
    <x v="0"/>
    <x v="0"/>
    <x v="2"/>
  </r>
  <r>
    <s v="AX19347"/>
    <s v="ENX2093"/>
    <s v="A137"/>
    <s v="EMP1004"/>
    <s v="C1154"/>
    <x v="124"/>
    <n v="2"/>
    <n v="112"/>
    <n v="90"/>
    <n v="180"/>
    <n v="224"/>
    <n v="44"/>
    <s v="Product 94"/>
    <x v="68"/>
    <s v="Kenneth Bradley"/>
    <x v="243"/>
    <n v="2"/>
    <x v="1"/>
    <x v="0"/>
    <x v="0"/>
    <x v="0"/>
    <x v="2"/>
  </r>
  <r>
    <s v="AX19465"/>
    <s v="ENX2017"/>
    <s v="A109"/>
    <s v="EMP1004"/>
    <s v="C1392"/>
    <x v="125"/>
    <n v="1"/>
    <n v="35"/>
    <n v="22"/>
    <n v="22"/>
    <n v="35"/>
    <n v="13"/>
    <s v="Product 18"/>
    <x v="57"/>
    <s v="Kenneth Bradley"/>
    <x v="78"/>
    <n v="2"/>
    <x v="1"/>
    <x v="0"/>
    <x v="0"/>
    <x v="0"/>
    <x v="2"/>
  </r>
  <r>
    <s v="AX19498"/>
    <s v="ENX2057"/>
    <s v="A123"/>
    <s v="EMP1043"/>
    <s v="C1224"/>
    <x v="126"/>
    <n v="2"/>
    <n v="181"/>
    <n v="130"/>
    <n v="260"/>
    <n v="362"/>
    <n v="102"/>
    <s v="Product 58"/>
    <x v="34"/>
    <s v="Joshua Taylor"/>
    <x v="492"/>
    <n v="2"/>
    <x v="1"/>
    <x v="0"/>
    <x v="0"/>
    <x v="0"/>
    <x v="2"/>
  </r>
  <r>
    <s v="AX19621"/>
    <s v="ENX2095"/>
    <s v="A119"/>
    <s v="EMP1024"/>
    <s v="C1598"/>
    <x v="126"/>
    <n v="3"/>
    <n v="1743"/>
    <n v="872"/>
    <n v="2616"/>
    <n v="5229"/>
    <n v="2613"/>
    <s v="Product 96"/>
    <x v="16"/>
    <s v="Ernest Wheeler"/>
    <x v="125"/>
    <n v="2"/>
    <x v="1"/>
    <x v="0"/>
    <x v="0"/>
    <x v="0"/>
    <x v="2"/>
  </r>
  <r>
    <s v="AX19715"/>
    <s v="ENX2034"/>
    <s v="A125"/>
    <s v="EMP1031"/>
    <s v="C1015"/>
    <x v="125"/>
    <n v="1"/>
    <n v="871"/>
    <n v="540"/>
    <n v="540"/>
    <n v="871"/>
    <n v="331"/>
    <s v="Product 35"/>
    <x v="31"/>
    <s v="Brian Thomas"/>
    <x v="583"/>
    <n v="2"/>
    <x v="1"/>
    <x v="0"/>
    <x v="0"/>
    <x v="0"/>
    <x v="2"/>
  </r>
  <r>
    <s v="AX20058"/>
    <s v="ENX2015"/>
    <s v="A122"/>
    <s v="EMP1005"/>
    <s v="C1574"/>
    <x v="126"/>
    <n v="2"/>
    <n v="637"/>
    <n v="389"/>
    <n v="778"/>
    <n v="1274"/>
    <n v="496"/>
    <s v="Product 16"/>
    <x v="71"/>
    <s v="Ryan Welch"/>
    <x v="521"/>
    <n v="2"/>
    <x v="1"/>
    <x v="0"/>
    <x v="0"/>
    <x v="0"/>
    <x v="2"/>
  </r>
  <r>
    <s v="AX20191"/>
    <s v="ENX2025"/>
    <s v="A171"/>
    <s v="EMP1010"/>
    <s v="C1542"/>
    <x v="125"/>
    <n v="1"/>
    <n v="667"/>
    <n v="387"/>
    <n v="387"/>
    <n v="667"/>
    <n v="280"/>
    <s v="Product 26"/>
    <x v="0"/>
    <s v="Joshua Cook"/>
    <x v="712"/>
    <n v="2"/>
    <x v="1"/>
    <x v="0"/>
    <x v="0"/>
    <x v="0"/>
    <x v="2"/>
  </r>
  <r>
    <s v="AX20505"/>
    <s v="ENX2035"/>
    <s v="A104"/>
    <s v="EMP1036"/>
    <s v="C1477"/>
    <x v="127"/>
    <n v="1"/>
    <n v="458"/>
    <n v="376"/>
    <n v="376"/>
    <n v="458"/>
    <n v="82"/>
    <s v="Product 36"/>
    <x v="50"/>
    <s v="Robert Reed"/>
    <x v="408"/>
    <n v="2"/>
    <x v="1"/>
    <x v="0"/>
    <x v="0"/>
    <x v="0"/>
    <x v="2"/>
  </r>
  <r>
    <s v="AX20511"/>
    <s v="ENX2086"/>
    <s v="A147"/>
    <s v="EMP1035"/>
    <s v="C1167"/>
    <x v="125"/>
    <n v="1"/>
    <n v="123"/>
    <n v="84"/>
    <n v="84"/>
    <n v="123"/>
    <n v="39"/>
    <s v="Product 87"/>
    <x v="42"/>
    <s v="Roger Ramos"/>
    <x v="481"/>
    <n v="2"/>
    <x v="1"/>
    <x v="0"/>
    <x v="0"/>
    <x v="0"/>
    <x v="2"/>
  </r>
  <r>
    <s v="AX20733"/>
    <s v="ENX2067"/>
    <s v="A171"/>
    <s v="EMP1028"/>
    <s v="C1146"/>
    <x v="127"/>
    <n v="1"/>
    <n v="1119"/>
    <n v="683"/>
    <n v="683"/>
    <n v="1119"/>
    <n v="436"/>
    <s v="Product 68"/>
    <x v="0"/>
    <s v="Howard Sims"/>
    <x v="274"/>
    <n v="2"/>
    <x v="1"/>
    <x v="0"/>
    <x v="0"/>
    <x v="0"/>
    <x v="2"/>
  </r>
  <r>
    <s v="AX21147"/>
    <s v="ENX2086"/>
    <s v="A137"/>
    <s v="EMP1022"/>
    <s v="C1576"/>
    <x v="123"/>
    <n v="1"/>
    <n v="123"/>
    <n v="84"/>
    <n v="84"/>
    <n v="123"/>
    <n v="39"/>
    <s v="Product 87"/>
    <x v="68"/>
    <s v="Walter Cook"/>
    <x v="398"/>
    <n v="2"/>
    <x v="1"/>
    <x v="0"/>
    <x v="0"/>
    <x v="0"/>
    <x v="2"/>
  </r>
  <r>
    <s v="AX22230"/>
    <s v="ENX2008"/>
    <s v="A122"/>
    <s v="EMP1028"/>
    <s v="C1614"/>
    <x v="125"/>
    <n v="1"/>
    <n v="315"/>
    <n v="208"/>
    <n v="208"/>
    <n v="315"/>
    <n v="107"/>
    <s v="Product 9"/>
    <x v="71"/>
    <s v="Howard Sims"/>
    <x v="11"/>
    <n v="2"/>
    <x v="1"/>
    <x v="0"/>
    <x v="0"/>
    <x v="0"/>
    <x v="2"/>
  </r>
  <r>
    <s v="AX22364"/>
    <s v="ENX2092"/>
    <s v="A111"/>
    <s v="EMP1040"/>
    <s v="C1009"/>
    <x v="125"/>
    <n v="1"/>
    <n v="1639"/>
    <n v="1295"/>
    <n v="1295"/>
    <n v="1639"/>
    <n v="344"/>
    <s v="Product 93"/>
    <x v="54"/>
    <s v="Patrick Ruiz"/>
    <x v="458"/>
    <n v="2"/>
    <x v="1"/>
    <x v="0"/>
    <x v="0"/>
    <x v="0"/>
    <x v="2"/>
  </r>
  <r>
    <s v="AX22720"/>
    <s v="ENX2057"/>
    <s v="A150"/>
    <s v="EMP1028"/>
    <s v="C1634"/>
    <x v="123"/>
    <n v="1"/>
    <n v="181"/>
    <n v="130"/>
    <n v="130"/>
    <n v="181"/>
    <n v="51"/>
    <s v="Product 58"/>
    <x v="30"/>
    <s v="Howard Sims"/>
    <x v="71"/>
    <n v="2"/>
    <x v="1"/>
    <x v="0"/>
    <x v="0"/>
    <x v="0"/>
    <x v="2"/>
  </r>
  <r>
    <s v="AX22724"/>
    <s v="ENX2047"/>
    <s v="A113"/>
    <s v="EMP1026"/>
    <s v="C1013"/>
    <x v="124"/>
    <n v="4"/>
    <n v="290"/>
    <n v="200"/>
    <n v="800"/>
    <n v="1160"/>
    <n v="360"/>
    <s v="Product 48"/>
    <x v="73"/>
    <s v="Martin Perry"/>
    <x v="431"/>
    <n v="2"/>
    <x v="1"/>
    <x v="0"/>
    <x v="0"/>
    <x v="0"/>
    <x v="2"/>
  </r>
  <r>
    <s v="AX22982"/>
    <s v="ENX2086"/>
    <s v="A163"/>
    <s v="EMP1007"/>
    <s v="C1792"/>
    <x v="127"/>
    <n v="1"/>
    <n v="123"/>
    <n v="84"/>
    <n v="84"/>
    <n v="123"/>
    <n v="39"/>
    <s v="Product 87"/>
    <x v="51"/>
    <s v="Jeremy Mendoza"/>
    <x v="536"/>
    <n v="2"/>
    <x v="1"/>
    <x v="0"/>
    <x v="0"/>
    <x v="0"/>
    <x v="2"/>
  </r>
  <r>
    <s v="AX23214"/>
    <s v="ENX2046"/>
    <s v="A161"/>
    <s v="EMP1031"/>
    <s v="C1595"/>
    <x v="127"/>
    <n v="3"/>
    <n v="2410"/>
    <n v="1518"/>
    <n v="4554"/>
    <n v="7230"/>
    <n v="2676"/>
    <s v="Product 47"/>
    <x v="6"/>
    <s v="Brian Thomas"/>
    <x v="372"/>
    <n v="2"/>
    <x v="1"/>
    <x v="0"/>
    <x v="0"/>
    <x v="0"/>
    <x v="2"/>
  </r>
  <r>
    <s v="AX23759"/>
    <s v="ENX2067"/>
    <s v="A155"/>
    <s v="EMP1000"/>
    <s v="C1284"/>
    <x v="126"/>
    <n v="3"/>
    <n v="1119"/>
    <n v="683"/>
    <n v="2049"/>
    <n v="3357"/>
    <n v="1308"/>
    <s v="Product 68"/>
    <x v="53"/>
    <s v="Fred Robertson"/>
    <x v="713"/>
    <n v="2"/>
    <x v="1"/>
    <x v="0"/>
    <x v="0"/>
    <x v="0"/>
    <x v="2"/>
  </r>
  <r>
    <s v="AX24137"/>
    <s v="ENX2070"/>
    <s v="A140"/>
    <s v="EMP1029"/>
    <s v="C1540"/>
    <x v="124"/>
    <n v="1"/>
    <n v="1671"/>
    <n v="1220"/>
    <n v="1220"/>
    <n v="1671"/>
    <n v="451"/>
    <s v="Product 71"/>
    <x v="18"/>
    <s v="Howard Gardner"/>
    <x v="493"/>
    <n v="2"/>
    <x v="1"/>
    <x v="0"/>
    <x v="0"/>
    <x v="0"/>
    <x v="2"/>
  </r>
  <r>
    <s v="AX24230"/>
    <s v="ENX2007"/>
    <s v="A114"/>
    <s v="EMP1027"/>
    <s v="C1186"/>
    <x v="124"/>
    <n v="3"/>
    <n v="1405"/>
    <n v="1054"/>
    <n v="3162"/>
    <n v="4215"/>
    <n v="1053"/>
    <s v="Product 8"/>
    <x v="28"/>
    <s v="Gary Rodriguez"/>
    <x v="467"/>
    <n v="2"/>
    <x v="1"/>
    <x v="0"/>
    <x v="0"/>
    <x v="0"/>
    <x v="2"/>
  </r>
  <r>
    <s v="AX24529"/>
    <s v="ENX2012"/>
    <s v="A150"/>
    <s v="EMP1026"/>
    <s v="C1695"/>
    <x v="126"/>
    <n v="1"/>
    <n v="1353"/>
    <n v="947"/>
    <n v="947"/>
    <n v="1353"/>
    <n v="406"/>
    <s v="Product 13"/>
    <x v="30"/>
    <s v="Martin Perry"/>
    <x v="18"/>
    <n v="2"/>
    <x v="1"/>
    <x v="0"/>
    <x v="0"/>
    <x v="0"/>
    <x v="2"/>
  </r>
  <r>
    <s v="AX24697"/>
    <s v="ENX2088"/>
    <s v="A171"/>
    <s v="EMP1011"/>
    <s v="C1696"/>
    <x v="127"/>
    <n v="2"/>
    <n v="603"/>
    <n v="416"/>
    <n v="832"/>
    <n v="1206"/>
    <n v="374"/>
    <s v="Product 89"/>
    <x v="0"/>
    <s v="Larry Marshall"/>
    <x v="436"/>
    <n v="2"/>
    <x v="1"/>
    <x v="0"/>
    <x v="0"/>
    <x v="0"/>
    <x v="2"/>
  </r>
  <r>
    <s v="AX24869"/>
    <s v="ENX2004"/>
    <s v="A160"/>
    <s v="EMP1039"/>
    <s v="C1270"/>
    <x v="127"/>
    <n v="4"/>
    <n v="1278"/>
    <n v="665"/>
    <n v="2660"/>
    <n v="5112"/>
    <n v="2452"/>
    <s v="Product 5"/>
    <x v="9"/>
    <s v="Eugene Holmes"/>
    <x v="517"/>
    <n v="2"/>
    <x v="1"/>
    <x v="0"/>
    <x v="0"/>
    <x v="0"/>
    <x v="2"/>
  </r>
  <r>
    <s v="AX10579"/>
    <s v="ENX2042"/>
    <s v="A141"/>
    <s v="EMP1020"/>
    <s v="C1368"/>
    <x v="128"/>
    <n v="2"/>
    <n v="203"/>
    <n v="154"/>
    <n v="308"/>
    <n v="406"/>
    <n v="98"/>
    <s v="Product 43"/>
    <x v="23"/>
    <s v="Ryan Butler"/>
    <x v="200"/>
    <n v="2"/>
    <x v="1"/>
    <x v="1"/>
    <x v="1"/>
    <x v="0"/>
    <x v="0"/>
  </r>
  <r>
    <s v="AX10593"/>
    <s v="ENX2093"/>
    <s v="A142"/>
    <s v="EMP1022"/>
    <s v="C1559"/>
    <x v="128"/>
    <n v="1"/>
    <n v="112"/>
    <n v="90"/>
    <n v="90"/>
    <n v="112"/>
    <n v="22"/>
    <s v="Product 94"/>
    <x v="56"/>
    <s v="Walter Cook"/>
    <x v="43"/>
    <n v="2"/>
    <x v="1"/>
    <x v="1"/>
    <x v="1"/>
    <x v="0"/>
    <x v="0"/>
  </r>
  <r>
    <s v="AX10631"/>
    <s v="ENX2077"/>
    <s v="A130"/>
    <s v="EMP1019"/>
    <s v="C1780"/>
    <x v="129"/>
    <n v="1"/>
    <n v="530"/>
    <n v="424"/>
    <n v="424"/>
    <n v="530"/>
    <n v="106"/>
    <s v="Product 78"/>
    <x v="4"/>
    <s v="Roger Robertson"/>
    <x v="320"/>
    <n v="2"/>
    <x v="1"/>
    <x v="1"/>
    <x v="1"/>
    <x v="0"/>
    <x v="0"/>
  </r>
  <r>
    <s v="AX10635"/>
    <s v="ENX2044"/>
    <s v="A130"/>
    <s v="EMP1036"/>
    <s v="C1386"/>
    <x v="129"/>
    <n v="3"/>
    <n v="886"/>
    <n v="478"/>
    <n v="1434"/>
    <n v="2658"/>
    <n v="1224"/>
    <s v="Product 45"/>
    <x v="4"/>
    <s v="Robert Reed"/>
    <x v="123"/>
    <n v="2"/>
    <x v="1"/>
    <x v="1"/>
    <x v="1"/>
    <x v="0"/>
    <x v="0"/>
  </r>
  <r>
    <s v="AX10856"/>
    <s v="ENX2036"/>
    <s v="A123"/>
    <s v="EMP1001"/>
    <s v="C1104"/>
    <x v="130"/>
    <n v="1"/>
    <n v="1582"/>
    <n v="1234"/>
    <n v="1234"/>
    <n v="1582"/>
    <n v="348"/>
    <s v="Product 37"/>
    <x v="34"/>
    <s v="Kevin Butler"/>
    <x v="367"/>
    <n v="2"/>
    <x v="1"/>
    <x v="1"/>
    <x v="1"/>
    <x v="0"/>
    <x v="0"/>
  </r>
  <r>
    <s v="AX11422"/>
    <s v="ENX2053"/>
    <s v="A117"/>
    <s v="EMP1005"/>
    <s v="C1171"/>
    <x v="129"/>
    <n v="1"/>
    <n v="596"/>
    <n v="358"/>
    <n v="358"/>
    <n v="596"/>
    <n v="238"/>
    <s v="Product 54"/>
    <x v="29"/>
    <s v="Ryan Welch"/>
    <x v="150"/>
    <n v="2"/>
    <x v="1"/>
    <x v="1"/>
    <x v="1"/>
    <x v="0"/>
    <x v="0"/>
  </r>
  <r>
    <s v="AX11599"/>
    <s v="ENX2055"/>
    <s v="A145"/>
    <s v="EMP1044"/>
    <s v="C1710"/>
    <x v="128"/>
    <n v="2"/>
    <n v="2495"/>
    <n v="1896"/>
    <n v="3792"/>
    <n v="4990"/>
    <n v="1198"/>
    <s v="Product 56"/>
    <x v="35"/>
    <s v="Martin Carr"/>
    <x v="197"/>
    <n v="2"/>
    <x v="1"/>
    <x v="1"/>
    <x v="1"/>
    <x v="0"/>
    <x v="0"/>
  </r>
  <r>
    <s v="AX12269"/>
    <s v="ENX2067"/>
    <s v="A113"/>
    <s v="EMP1012"/>
    <s v="C1291"/>
    <x v="131"/>
    <n v="1"/>
    <n v="1119"/>
    <n v="683"/>
    <n v="683"/>
    <n v="1119"/>
    <n v="436"/>
    <s v="Product 68"/>
    <x v="73"/>
    <s v="John Reyes"/>
    <x v="16"/>
    <n v="2"/>
    <x v="1"/>
    <x v="1"/>
    <x v="1"/>
    <x v="0"/>
    <x v="0"/>
  </r>
  <r>
    <s v="AX12430"/>
    <s v="ENX2042"/>
    <s v="A133"/>
    <s v="EMP1043"/>
    <s v="C1003"/>
    <x v="130"/>
    <n v="3"/>
    <n v="203"/>
    <n v="154"/>
    <n v="462"/>
    <n v="609"/>
    <n v="147"/>
    <s v="Product 43"/>
    <x v="46"/>
    <s v="Joshua Taylor"/>
    <x v="494"/>
    <n v="2"/>
    <x v="1"/>
    <x v="1"/>
    <x v="1"/>
    <x v="0"/>
    <x v="0"/>
  </r>
  <r>
    <s v="AX12925"/>
    <s v="ENX2014"/>
    <s v="A150"/>
    <s v="EMP1041"/>
    <s v="C1357"/>
    <x v="128"/>
    <n v="3"/>
    <n v="1809"/>
    <n v="1067"/>
    <n v="3201"/>
    <n v="5427"/>
    <n v="2226"/>
    <s v="Product 15"/>
    <x v="30"/>
    <s v="Joe Sims"/>
    <x v="327"/>
    <n v="2"/>
    <x v="1"/>
    <x v="1"/>
    <x v="1"/>
    <x v="0"/>
    <x v="0"/>
  </r>
  <r>
    <s v="AX12938"/>
    <s v="ENX2044"/>
    <s v="A131"/>
    <s v="EMP1037"/>
    <s v="C1700"/>
    <x v="129"/>
    <n v="1"/>
    <n v="886"/>
    <n v="478"/>
    <n v="478"/>
    <n v="886"/>
    <n v="408"/>
    <s v="Product 45"/>
    <x v="32"/>
    <s v="Carl Hall"/>
    <x v="271"/>
    <n v="2"/>
    <x v="1"/>
    <x v="1"/>
    <x v="1"/>
    <x v="0"/>
    <x v="0"/>
  </r>
  <r>
    <s v="AX13210"/>
    <s v="ENX2098"/>
    <s v="A122"/>
    <s v="EMP1043"/>
    <s v="C1044"/>
    <x v="128"/>
    <n v="1"/>
    <n v="1178"/>
    <n v="683"/>
    <n v="683"/>
    <n v="1178"/>
    <n v="495"/>
    <s v="Product 99"/>
    <x v="71"/>
    <s v="Joshua Taylor"/>
    <x v="331"/>
    <n v="2"/>
    <x v="1"/>
    <x v="1"/>
    <x v="1"/>
    <x v="0"/>
    <x v="0"/>
  </r>
  <r>
    <s v="AX13658"/>
    <s v="ENX2028"/>
    <s v="A100"/>
    <s v="EMP1009"/>
    <s v="C1566"/>
    <x v="130"/>
    <n v="1"/>
    <n v="2283"/>
    <n v="1484"/>
    <n v="1484"/>
    <n v="2283"/>
    <n v="799"/>
    <s v="Product 29"/>
    <x v="52"/>
    <s v="Kenneth Fields"/>
    <x v="45"/>
    <n v="2"/>
    <x v="1"/>
    <x v="1"/>
    <x v="1"/>
    <x v="0"/>
    <x v="0"/>
  </r>
  <r>
    <s v="AX13932"/>
    <s v="ENX2065"/>
    <s v="A128"/>
    <s v="EMP1042"/>
    <s v="C1381"/>
    <x v="129"/>
    <n v="2"/>
    <n v="2396"/>
    <n v="1965"/>
    <n v="3930"/>
    <n v="4792"/>
    <n v="862"/>
    <s v="Product 66"/>
    <x v="12"/>
    <s v="Scott Clark"/>
    <x v="714"/>
    <n v="2"/>
    <x v="1"/>
    <x v="1"/>
    <x v="1"/>
    <x v="0"/>
    <x v="0"/>
  </r>
  <r>
    <s v="AX14488"/>
    <s v="ENX2066"/>
    <s v="A101"/>
    <s v="EMP1027"/>
    <s v="C1174"/>
    <x v="128"/>
    <n v="1"/>
    <n v="2091"/>
    <n v="1485"/>
    <n v="1485"/>
    <n v="2091"/>
    <n v="606"/>
    <s v="Product 67"/>
    <x v="60"/>
    <s v="Gary Rodriguez"/>
    <x v="715"/>
    <n v="2"/>
    <x v="1"/>
    <x v="1"/>
    <x v="1"/>
    <x v="0"/>
    <x v="0"/>
  </r>
  <r>
    <s v="AX14495"/>
    <s v="ENX2044"/>
    <s v="A122"/>
    <s v="EMP1002"/>
    <s v="C1332"/>
    <x v="128"/>
    <n v="1"/>
    <n v="886"/>
    <n v="478"/>
    <n v="478"/>
    <n v="886"/>
    <n v="408"/>
    <s v="Product 45"/>
    <x v="71"/>
    <s v="Andrew Bowman"/>
    <x v="7"/>
    <n v="2"/>
    <x v="1"/>
    <x v="1"/>
    <x v="1"/>
    <x v="0"/>
    <x v="0"/>
  </r>
  <r>
    <s v="AX15022"/>
    <s v="ENX2046"/>
    <s v="A167"/>
    <s v="EMP1021"/>
    <s v="C1131"/>
    <x v="129"/>
    <n v="3"/>
    <n v="2410"/>
    <n v="1518"/>
    <n v="4554"/>
    <n v="7230"/>
    <n v="2676"/>
    <s v="Product 47"/>
    <x v="64"/>
    <s v="Clarence Fox"/>
    <x v="76"/>
    <n v="2"/>
    <x v="1"/>
    <x v="1"/>
    <x v="1"/>
    <x v="0"/>
    <x v="0"/>
  </r>
  <r>
    <s v="AX15108"/>
    <s v="ENX2040"/>
    <s v="A132"/>
    <s v="EMP1017"/>
    <s v="C1238"/>
    <x v="129"/>
    <n v="3"/>
    <n v="1889"/>
    <n v="945"/>
    <n v="2835"/>
    <n v="5667"/>
    <n v="2832"/>
    <s v="Product 41"/>
    <x v="48"/>
    <s v="Brian Hansen"/>
    <x v="627"/>
    <n v="2"/>
    <x v="1"/>
    <x v="1"/>
    <x v="1"/>
    <x v="0"/>
    <x v="0"/>
  </r>
  <r>
    <s v="AX15529"/>
    <s v="ENX2093"/>
    <s v="A173"/>
    <s v="EMP1006"/>
    <s v="C1196"/>
    <x v="130"/>
    <n v="3"/>
    <n v="112"/>
    <n v="90"/>
    <n v="270"/>
    <n v="336"/>
    <n v="66"/>
    <s v="Product 94"/>
    <x v="25"/>
    <s v="Sean Miller"/>
    <x v="65"/>
    <n v="2"/>
    <x v="1"/>
    <x v="1"/>
    <x v="1"/>
    <x v="0"/>
    <x v="0"/>
  </r>
  <r>
    <s v="AX16164"/>
    <s v="ENX2058"/>
    <s v="A152"/>
    <s v="EMP1038"/>
    <s v="C1797"/>
    <x v="129"/>
    <n v="1"/>
    <n v="2257"/>
    <n v="1535"/>
    <n v="1535"/>
    <n v="2257"/>
    <n v="722"/>
    <s v="Product 59"/>
    <x v="26"/>
    <s v="Scott Mason"/>
    <x v="407"/>
    <n v="2"/>
    <x v="1"/>
    <x v="1"/>
    <x v="1"/>
    <x v="0"/>
    <x v="0"/>
  </r>
  <r>
    <s v="AX16287"/>
    <s v="ENX2053"/>
    <s v="A119"/>
    <s v="EMP1004"/>
    <s v="C1448"/>
    <x v="128"/>
    <n v="4"/>
    <n v="596"/>
    <n v="358"/>
    <n v="1432"/>
    <n v="2384"/>
    <n v="952"/>
    <s v="Product 54"/>
    <x v="16"/>
    <s v="Kenneth Bradley"/>
    <x v="716"/>
    <n v="2"/>
    <x v="1"/>
    <x v="1"/>
    <x v="1"/>
    <x v="0"/>
    <x v="0"/>
  </r>
  <r>
    <s v="AX16607"/>
    <s v="ENX2095"/>
    <s v="A138"/>
    <s v="EMP1023"/>
    <s v="C1003"/>
    <x v="131"/>
    <n v="1"/>
    <n v="1743"/>
    <n v="872"/>
    <n v="872"/>
    <n v="1743"/>
    <n v="871"/>
    <s v="Product 96"/>
    <x v="37"/>
    <s v="Brian Davis"/>
    <x v="494"/>
    <n v="2"/>
    <x v="1"/>
    <x v="1"/>
    <x v="1"/>
    <x v="0"/>
    <x v="0"/>
  </r>
  <r>
    <s v="AX17035"/>
    <s v="ENX2084"/>
    <s v="A157"/>
    <s v="EMP1019"/>
    <s v="C1764"/>
    <x v="129"/>
    <n v="4"/>
    <n v="1783"/>
    <n v="1230"/>
    <n v="4920"/>
    <n v="7132"/>
    <n v="2212"/>
    <s v="Product 85"/>
    <x v="7"/>
    <s v="Roger Robertson"/>
    <x v="386"/>
    <n v="2"/>
    <x v="1"/>
    <x v="1"/>
    <x v="1"/>
    <x v="0"/>
    <x v="0"/>
  </r>
  <r>
    <s v="AX17080"/>
    <s v="ENX2096"/>
    <s v="A144"/>
    <s v="EMP1043"/>
    <s v="C1625"/>
    <x v="129"/>
    <n v="1"/>
    <n v="1587"/>
    <n v="1301"/>
    <n v="1301"/>
    <n v="1587"/>
    <n v="286"/>
    <s v="Product 97"/>
    <x v="65"/>
    <s v="Joshua Taylor"/>
    <x v="575"/>
    <n v="2"/>
    <x v="1"/>
    <x v="1"/>
    <x v="1"/>
    <x v="0"/>
    <x v="0"/>
  </r>
  <r>
    <s v="AX17345"/>
    <s v="ENX2021"/>
    <s v="A145"/>
    <s v="EMP1040"/>
    <s v="C1393"/>
    <x v="128"/>
    <n v="1"/>
    <n v="217"/>
    <n v="171"/>
    <n v="171"/>
    <n v="217"/>
    <n v="46"/>
    <s v="Product 22"/>
    <x v="35"/>
    <s v="Patrick Ruiz"/>
    <x v="93"/>
    <n v="2"/>
    <x v="1"/>
    <x v="1"/>
    <x v="1"/>
    <x v="0"/>
    <x v="0"/>
  </r>
  <r>
    <s v="AX17351"/>
    <s v="ENX2056"/>
    <s v="A139"/>
    <s v="EMP1043"/>
    <s v="C1349"/>
    <x v="129"/>
    <n v="1"/>
    <n v="1635"/>
    <n v="1046"/>
    <n v="1046"/>
    <n v="1635"/>
    <n v="589"/>
    <s v="Product 57"/>
    <x v="38"/>
    <s v="Joshua Taylor"/>
    <x v="501"/>
    <n v="2"/>
    <x v="1"/>
    <x v="1"/>
    <x v="1"/>
    <x v="0"/>
    <x v="0"/>
  </r>
  <r>
    <s v="AX18464"/>
    <s v="ENX2095"/>
    <s v="A171"/>
    <s v="EMP1025"/>
    <s v="C1463"/>
    <x v="128"/>
    <n v="3"/>
    <n v="1743"/>
    <n v="872"/>
    <n v="2616"/>
    <n v="5229"/>
    <n v="2613"/>
    <s v="Product 96"/>
    <x v="0"/>
    <s v="Ernest Wagner"/>
    <x v="535"/>
    <n v="2"/>
    <x v="1"/>
    <x v="1"/>
    <x v="1"/>
    <x v="0"/>
    <x v="0"/>
  </r>
  <r>
    <s v="AX18538"/>
    <s v="ENX2072"/>
    <s v="A126"/>
    <s v="EMP1040"/>
    <s v="C1033"/>
    <x v="130"/>
    <n v="3"/>
    <n v="1887"/>
    <n v="1378"/>
    <n v="4134"/>
    <n v="5661"/>
    <n v="1527"/>
    <s v="Product 73"/>
    <x v="5"/>
    <s v="Patrick Ruiz"/>
    <x v="515"/>
    <n v="2"/>
    <x v="1"/>
    <x v="1"/>
    <x v="1"/>
    <x v="0"/>
    <x v="0"/>
  </r>
  <r>
    <s v="AX18689"/>
    <s v="ENX2073"/>
    <s v="A153"/>
    <s v="EMP1000"/>
    <s v="C1141"/>
    <x v="129"/>
    <n v="1"/>
    <n v="95"/>
    <n v="61"/>
    <n v="61"/>
    <n v="95"/>
    <n v="34"/>
    <s v="Product 74"/>
    <x v="8"/>
    <s v="Fred Robertson"/>
    <x v="166"/>
    <n v="2"/>
    <x v="1"/>
    <x v="1"/>
    <x v="1"/>
    <x v="0"/>
    <x v="0"/>
  </r>
  <r>
    <s v="AX18872"/>
    <s v="ENX2030"/>
    <s v="A107"/>
    <s v="EMP1042"/>
    <s v="C1324"/>
    <x v="128"/>
    <n v="2"/>
    <n v="1899"/>
    <n v="1044"/>
    <n v="2088"/>
    <n v="3798"/>
    <n v="1710"/>
    <s v="Product 31"/>
    <x v="21"/>
    <s v="Scott Clark"/>
    <x v="252"/>
    <n v="2"/>
    <x v="1"/>
    <x v="1"/>
    <x v="1"/>
    <x v="0"/>
    <x v="0"/>
  </r>
  <r>
    <s v="AX19026"/>
    <s v="ENX2001"/>
    <s v="A141"/>
    <s v="EMP1002"/>
    <s v="C1255"/>
    <x v="128"/>
    <n v="3"/>
    <n v="951"/>
    <n v="504"/>
    <n v="1512"/>
    <n v="2853"/>
    <n v="1341"/>
    <s v="Product 2"/>
    <x v="23"/>
    <s v="Andrew Bowman"/>
    <x v="111"/>
    <n v="2"/>
    <x v="1"/>
    <x v="1"/>
    <x v="1"/>
    <x v="0"/>
    <x v="0"/>
  </r>
  <r>
    <s v="AX19033"/>
    <s v="ENX2023"/>
    <s v="A144"/>
    <s v="EMP1040"/>
    <s v="C1763"/>
    <x v="130"/>
    <n v="3"/>
    <n v="818"/>
    <n v="450"/>
    <n v="1350"/>
    <n v="2454"/>
    <n v="1104"/>
    <s v="Product 24"/>
    <x v="65"/>
    <s v="Patrick Ruiz"/>
    <x v="409"/>
    <n v="2"/>
    <x v="1"/>
    <x v="1"/>
    <x v="1"/>
    <x v="0"/>
    <x v="0"/>
  </r>
  <r>
    <s v="AX19214"/>
    <s v="ENX2034"/>
    <s v="A100"/>
    <s v="EMP1018"/>
    <s v="C1431"/>
    <x v="128"/>
    <n v="2"/>
    <n v="871"/>
    <n v="540"/>
    <n v="1080"/>
    <n v="1742"/>
    <n v="662"/>
    <s v="Product 35"/>
    <x v="52"/>
    <s v="Jimmy Young"/>
    <x v="587"/>
    <n v="2"/>
    <x v="1"/>
    <x v="1"/>
    <x v="1"/>
    <x v="0"/>
    <x v="0"/>
  </r>
  <r>
    <s v="AX19277"/>
    <s v="ENX2095"/>
    <s v="A154"/>
    <s v="EMP1011"/>
    <s v="C1526"/>
    <x v="128"/>
    <n v="1"/>
    <n v="1743"/>
    <n v="872"/>
    <n v="872"/>
    <n v="1743"/>
    <n v="871"/>
    <s v="Product 96"/>
    <x v="24"/>
    <s v="Larry Marshall"/>
    <x v="6"/>
    <n v="2"/>
    <x v="1"/>
    <x v="1"/>
    <x v="1"/>
    <x v="0"/>
    <x v="0"/>
  </r>
  <r>
    <s v="AX19338"/>
    <s v="ENX2098"/>
    <s v="A129"/>
    <s v="EMP1043"/>
    <s v="C1307"/>
    <x v="129"/>
    <n v="1"/>
    <n v="1178"/>
    <n v="683"/>
    <n v="683"/>
    <n v="1178"/>
    <n v="495"/>
    <s v="Product 99"/>
    <x v="22"/>
    <s v="Joshua Taylor"/>
    <x v="416"/>
    <n v="2"/>
    <x v="1"/>
    <x v="1"/>
    <x v="1"/>
    <x v="0"/>
    <x v="0"/>
  </r>
  <r>
    <s v="AX19616"/>
    <s v="ENX2071"/>
    <s v="A111"/>
    <s v="EMP1017"/>
    <s v="C1036"/>
    <x v="129"/>
    <n v="1"/>
    <n v="136"/>
    <n v="72"/>
    <n v="72"/>
    <n v="136"/>
    <n v="64"/>
    <s v="Product 72"/>
    <x v="54"/>
    <s v="Brian Hansen"/>
    <x v="256"/>
    <n v="2"/>
    <x v="1"/>
    <x v="1"/>
    <x v="1"/>
    <x v="0"/>
    <x v="0"/>
  </r>
  <r>
    <s v="AX19749"/>
    <s v="ENX2052"/>
    <s v="A103"/>
    <s v="EMP1010"/>
    <s v="C1625"/>
    <x v="128"/>
    <n v="1"/>
    <n v="1526"/>
    <n v="1251"/>
    <n v="1251"/>
    <n v="1526"/>
    <n v="275"/>
    <s v="Product 53"/>
    <x v="61"/>
    <s v="Joshua Cook"/>
    <x v="575"/>
    <n v="2"/>
    <x v="1"/>
    <x v="1"/>
    <x v="1"/>
    <x v="0"/>
    <x v="0"/>
  </r>
  <r>
    <s v="AX19811"/>
    <s v="ENX2060"/>
    <s v="A117"/>
    <s v="EMP1002"/>
    <s v="C1248"/>
    <x v="129"/>
    <n v="3"/>
    <n v="1467"/>
    <n v="807"/>
    <n v="2421"/>
    <n v="4401"/>
    <n v="1980"/>
    <s v="Product 61"/>
    <x v="29"/>
    <s v="Andrew Bowman"/>
    <x v="354"/>
    <n v="2"/>
    <x v="1"/>
    <x v="1"/>
    <x v="1"/>
    <x v="0"/>
    <x v="0"/>
  </r>
  <r>
    <s v="AX20010"/>
    <s v="ENX2047"/>
    <s v="A115"/>
    <s v="EMP1009"/>
    <s v="C1208"/>
    <x v="130"/>
    <n v="3"/>
    <n v="290"/>
    <n v="200"/>
    <n v="600"/>
    <n v="870"/>
    <n v="270"/>
    <s v="Product 48"/>
    <x v="33"/>
    <s v="Kenneth Fields"/>
    <x v="582"/>
    <n v="2"/>
    <x v="1"/>
    <x v="1"/>
    <x v="1"/>
    <x v="0"/>
    <x v="0"/>
  </r>
  <r>
    <s v="AX20634"/>
    <s v="ENX2030"/>
    <s v="A115"/>
    <s v="EMP1001"/>
    <s v="C1545"/>
    <x v="128"/>
    <n v="1"/>
    <n v="1899"/>
    <n v="1044"/>
    <n v="1044"/>
    <n v="1899"/>
    <n v="855"/>
    <s v="Product 31"/>
    <x v="33"/>
    <s v="Kevin Butler"/>
    <x v="646"/>
    <n v="2"/>
    <x v="1"/>
    <x v="1"/>
    <x v="1"/>
    <x v="0"/>
    <x v="0"/>
  </r>
  <r>
    <s v="AX22370"/>
    <s v="ENX2046"/>
    <s v="A125"/>
    <s v="EMP1033"/>
    <s v="C1523"/>
    <x v="128"/>
    <n v="1"/>
    <n v="2410"/>
    <n v="1518"/>
    <n v="1518"/>
    <n v="2410"/>
    <n v="892"/>
    <s v="Product 47"/>
    <x v="31"/>
    <s v="Jerry Perry"/>
    <x v="543"/>
    <n v="2"/>
    <x v="1"/>
    <x v="1"/>
    <x v="1"/>
    <x v="0"/>
    <x v="0"/>
  </r>
  <r>
    <s v="AX22728"/>
    <s v="ENX2069"/>
    <s v="A134"/>
    <s v="EMP1027"/>
    <s v="C1296"/>
    <x v="128"/>
    <n v="1"/>
    <n v="378"/>
    <n v="291"/>
    <n v="291"/>
    <n v="378"/>
    <n v="87"/>
    <s v="Product 70"/>
    <x v="41"/>
    <s v="Gary Rodriguez"/>
    <x v="105"/>
    <n v="2"/>
    <x v="1"/>
    <x v="1"/>
    <x v="1"/>
    <x v="0"/>
    <x v="0"/>
  </r>
  <r>
    <s v="AX22910"/>
    <s v="ENX2015"/>
    <s v="A129"/>
    <s v="EMP1020"/>
    <s v="C1667"/>
    <x v="131"/>
    <n v="1"/>
    <n v="637"/>
    <n v="389"/>
    <n v="389"/>
    <n v="637"/>
    <n v="248"/>
    <s v="Product 16"/>
    <x v="22"/>
    <s v="Ryan Butler"/>
    <x v="462"/>
    <n v="2"/>
    <x v="1"/>
    <x v="1"/>
    <x v="1"/>
    <x v="0"/>
    <x v="0"/>
  </r>
  <r>
    <s v="AX23269"/>
    <s v="ENX2079"/>
    <s v="A151"/>
    <s v="EMP1027"/>
    <s v="C1569"/>
    <x v="131"/>
    <n v="3"/>
    <n v="1725"/>
    <n v="1363"/>
    <n v="4089"/>
    <n v="5175"/>
    <n v="1086"/>
    <s v="Product 80"/>
    <x v="1"/>
    <s v="Gary Rodriguez"/>
    <x v="485"/>
    <n v="2"/>
    <x v="1"/>
    <x v="1"/>
    <x v="1"/>
    <x v="0"/>
    <x v="0"/>
  </r>
  <r>
    <s v="AX23622"/>
    <s v="ENX2005"/>
    <s v="A116"/>
    <s v="EMP1033"/>
    <s v="C1518"/>
    <x v="129"/>
    <n v="3"/>
    <n v="684"/>
    <n v="561"/>
    <n v="1683"/>
    <n v="2052"/>
    <n v="369"/>
    <s v="Product 6"/>
    <x v="15"/>
    <s v="Jerry Perry"/>
    <x v="703"/>
    <n v="2"/>
    <x v="1"/>
    <x v="1"/>
    <x v="1"/>
    <x v="0"/>
    <x v="0"/>
  </r>
  <r>
    <s v="AX10004"/>
    <s v="ENX2029"/>
    <s v="A142"/>
    <s v="EMP1019"/>
    <s v="C1078"/>
    <x v="132"/>
    <n v="4"/>
    <n v="1848"/>
    <n v="1294"/>
    <n v="5176"/>
    <n v="7392"/>
    <n v="2216"/>
    <s v="Product 30"/>
    <x v="56"/>
    <s v="Roger Robertson"/>
    <x v="565"/>
    <n v="2"/>
    <x v="1"/>
    <x v="1"/>
    <x v="1"/>
    <x v="0"/>
    <x v="1"/>
  </r>
  <r>
    <s v="AX10162"/>
    <s v="ENX2030"/>
    <s v="A158"/>
    <s v="EMP1015"/>
    <s v="C1120"/>
    <x v="133"/>
    <n v="2"/>
    <n v="1899"/>
    <n v="1044"/>
    <n v="2088"/>
    <n v="3798"/>
    <n v="1710"/>
    <s v="Product 31"/>
    <x v="58"/>
    <s v="Justin Lynch"/>
    <x v="685"/>
    <n v="2"/>
    <x v="1"/>
    <x v="1"/>
    <x v="1"/>
    <x v="0"/>
    <x v="1"/>
  </r>
  <r>
    <s v="AX10232"/>
    <s v="ENX2081"/>
    <s v="A143"/>
    <s v="EMP1035"/>
    <s v="C1572"/>
    <x v="132"/>
    <n v="1"/>
    <n v="1566"/>
    <n v="1190"/>
    <n v="1190"/>
    <n v="1566"/>
    <n v="376"/>
    <s v="Product 82"/>
    <x v="39"/>
    <s v="Roger Ramos"/>
    <x v="717"/>
    <n v="2"/>
    <x v="1"/>
    <x v="1"/>
    <x v="1"/>
    <x v="0"/>
    <x v="1"/>
  </r>
  <r>
    <s v="AX10243"/>
    <s v="ENX2004"/>
    <s v="A108"/>
    <s v="EMP1020"/>
    <s v="C1529"/>
    <x v="133"/>
    <n v="4"/>
    <n v="1278"/>
    <n v="665"/>
    <n v="2660"/>
    <n v="5112"/>
    <n v="2452"/>
    <s v="Product 5"/>
    <x v="49"/>
    <s v="Ryan Butler"/>
    <x v="247"/>
    <n v="2"/>
    <x v="1"/>
    <x v="1"/>
    <x v="1"/>
    <x v="0"/>
    <x v="1"/>
  </r>
  <r>
    <s v="AX10355"/>
    <s v="ENX2040"/>
    <s v="A151"/>
    <s v="EMP1010"/>
    <s v="C1776"/>
    <x v="132"/>
    <n v="2"/>
    <n v="1889"/>
    <n v="945"/>
    <n v="1890"/>
    <n v="3778"/>
    <n v="1888"/>
    <s v="Product 41"/>
    <x v="1"/>
    <s v="Joshua Cook"/>
    <x v="160"/>
    <n v="2"/>
    <x v="1"/>
    <x v="1"/>
    <x v="1"/>
    <x v="0"/>
    <x v="1"/>
  </r>
  <r>
    <s v="AX10512"/>
    <s v="ENX2099"/>
    <s v="A129"/>
    <s v="EMP1037"/>
    <s v="C1482"/>
    <x v="132"/>
    <n v="3"/>
    <n v="1367"/>
    <n v="984"/>
    <n v="2952"/>
    <n v="4101"/>
    <n v="1149"/>
    <s v="Product 100"/>
    <x v="22"/>
    <s v="Carl Hall"/>
    <x v="155"/>
    <n v="2"/>
    <x v="1"/>
    <x v="1"/>
    <x v="1"/>
    <x v="0"/>
    <x v="1"/>
  </r>
  <r>
    <s v="AX10703"/>
    <s v="ENX2074"/>
    <s v="A104"/>
    <s v="EMP1032"/>
    <s v="C1273"/>
    <x v="133"/>
    <n v="1"/>
    <n v="504"/>
    <n v="408"/>
    <n v="408"/>
    <n v="504"/>
    <n v="96"/>
    <s v="Product 75"/>
    <x v="50"/>
    <s v="Larry Castillo"/>
    <x v="469"/>
    <n v="2"/>
    <x v="1"/>
    <x v="1"/>
    <x v="1"/>
    <x v="0"/>
    <x v="1"/>
  </r>
  <r>
    <s v="AX11109"/>
    <s v="ENX2037"/>
    <s v="A154"/>
    <s v="EMP1012"/>
    <s v="C1085"/>
    <x v="134"/>
    <n v="1"/>
    <n v="880"/>
    <n v="634"/>
    <n v="634"/>
    <n v="880"/>
    <n v="246"/>
    <s v="Product 38"/>
    <x v="24"/>
    <s v="John Reyes"/>
    <x v="412"/>
    <n v="2"/>
    <x v="1"/>
    <x v="1"/>
    <x v="1"/>
    <x v="0"/>
    <x v="1"/>
  </r>
  <r>
    <s v="AX11329"/>
    <s v="ENX2052"/>
    <s v="A123"/>
    <s v="EMP1002"/>
    <s v="C1311"/>
    <x v="132"/>
    <n v="3"/>
    <n v="1526"/>
    <n v="1251"/>
    <n v="3753"/>
    <n v="4578"/>
    <n v="825"/>
    <s v="Product 53"/>
    <x v="34"/>
    <s v="Andrew Bowman"/>
    <x v="309"/>
    <n v="2"/>
    <x v="1"/>
    <x v="1"/>
    <x v="1"/>
    <x v="0"/>
    <x v="1"/>
  </r>
  <r>
    <s v="AX11421"/>
    <s v="ENX2000"/>
    <s v="A166"/>
    <s v="EMP1012"/>
    <s v="C1410"/>
    <x v="133"/>
    <n v="3"/>
    <n v="2241"/>
    <n v="1367"/>
    <n v="4101"/>
    <n v="6723"/>
    <n v="2622"/>
    <s v="Product 1"/>
    <x v="70"/>
    <s v="John Reyes"/>
    <x v="112"/>
    <n v="2"/>
    <x v="1"/>
    <x v="1"/>
    <x v="1"/>
    <x v="0"/>
    <x v="1"/>
  </r>
  <r>
    <s v="AX11689"/>
    <s v="ENX2014"/>
    <s v="A152"/>
    <s v="EMP1034"/>
    <s v="C1542"/>
    <x v="132"/>
    <n v="1"/>
    <n v="1809"/>
    <n v="1067"/>
    <n v="1067"/>
    <n v="1809"/>
    <n v="742"/>
    <s v="Product 15"/>
    <x v="26"/>
    <s v="Arthur Mccoy"/>
    <x v="712"/>
    <n v="2"/>
    <x v="1"/>
    <x v="1"/>
    <x v="1"/>
    <x v="0"/>
    <x v="1"/>
  </r>
  <r>
    <s v="AX12223"/>
    <s v="ENX2036"/>
    <s v="A172"/>
    <s v="EMP1025"/>
    <s v="C1724"/>
    <x v="132"/>
    <n v="1"/>
    <n v="1582"/>
    <n v="1234"/>
    <n v="1234"/>
    <n v="1582"/>
    <n v="348"/>
    <s v="Product 37"/>
    <x v="36"/>
    <s v="Ernest Wagner"/>
    <x v="378"/>
    <n v="2"/>
    <x v="1"/>
    <x v="1"/>
    <x v="1"/>
    <x v="0"/>
    <x v="1"/>
  </r>
  <r>
    <s v="AX12758"/>
    <s v="ENX2029"/>
    <s v="A126"/>
    <s v="EMP1029"/>
    <s v="C1157"/>
    <x v="132"/>
    <n v="1"/>
    <n v="1848"/>
    <n v="1294"/>
    <n v="1294"/>
    <n v="1848"/>
    <n v="554"/>
    <s v="Product 30"/>
    <x v="5"/>
    <s v="Howard Gardner"/>
    <x v="415"/>
    <n v="2"/>
    <x v="1"/>
    <x v="1"/>
    <x v="1"/>
    <x v="0"/>
    <x v="1"/>
  </r>
  <r>
    <s v="AX12923"/>
    <s v="ENX2100"/>
    <s v="A129"/>
    <s v="EMP1010"/>
    <s v="C1197"/>
    <x v="132"/>
    <n v="1"/>
    <n v="799"/>
    <n v="455"/>
    <n v="455"/>
    <n v="799"/>
    <n v="344"/>
    <s v="Product 101"/>
    <x v="22"/>
    <s v="Joshua Cook"/>
    <x v="718"/>
    <n v="2"/>
    <x v="1"/>
    <x v="1"/>
    <x v="1"/>
    <x v="0"/>
    <x v="1"/>
  </r>
  <r>
    <s v="AX13041"/>
    <s v="ENX2093"/>
    <s v="A133"/>
    <s v="EMP1041"/>
    <s v="C1670"/>
    <x v="133"/>
    <n v="1"/>
    <n v="112"/>
    <n v="90"/>
    <n v="90"/>
    <n v="112"/>
    <n v="22"/>
    <s v="Product 94"/>
    <x v="46"/>
    <s v="Joe Sims"/>
    <x v="663"/>
    <n v="2"/>
    <x v="1"/>
    <x v="1"/>
    <x v="1"/>
    <x v="0"/>
    <x v="1"/>
  </r>
  <r>
    <s v="AX13447"/>
    <s v="ENX2021"/>
    <s v="A127"/>
    <s v="EMP1040"/>
    <s v="C1046"/>
    <x v="134"/>
    <n v="1"/>
    <n v="217"/>
    <n v="171"/>
    <n v="171"/>
    <n v="217"/>
    <n v="46"/>
    <s v="Product 22"/>
    <x v="69"/>
    <s v="Patrick Ruiz"/>
    <x v="719"/>
    <n v="2"/>
    <x v="1"/>
    <x v="1"/>
    <x v="1"/>
    <x v="0"/>
    <x v="1"/>
  </r>
  <r>
    <s v="AX13462"/>
    <s v="ENX2051"/>
    <s v="A169"/>
    <s v="EMP1039"/>
    <s v="C1563"/>
    <x v="135"/>
    <n v="2"/>
    <n v="1077"/>
    <n v="732"/>
    <n v="1464"/>
    <n v="2154"/>
    <n v="690"/>
    <s v="Product 52"/>
    <x v="17"/>
    <s v="Eugene Holmes"/>
    <x v="130"/>
    <n v="2"/>
    <x v="1"/>
    <x v="1"/>
    <x v="1"/>
    <x v="0"/>
    <x v="1"/>
  </r>
  <r>
    <s v="AX14013"/>
    <s v="ENX2083"/>
    <s v="A139"/>
    <s v="EMP1021"/>
    <s v="C1111"/>
    <x v="134"/>
    <n v="1"/>
    <n v="2141"/>
    <n v="1777"/>
    <n v="1777"/>
    <n v="2141"/>
    <n v="364"/>
    <s v="Product 84"/>
    <x v="38"/>
    <s v="Clarence Fox"/>
    <x v="563"/>
    <n v="2"/>
    <x v="1"/>
    <x v="1"/>
    <x v="1"/>
    <x v="0"/>
    <x v="1"/>
  </r>
  <r>
    <s v="AX14048"/>
    <s v="ENX2079"/>
    <s v="A145"/>
    <s v="EMP1001"/>
    <s v="C1792"/>
    <x v="132"/>
    <n v="4"/>
    <n v="1725"/>
    <n v="1363"/>
    <n v="5452"/>
    <n v="6900"/>
    <n v="1448"/>
    <s v="Product 80"/>
    <x v="35"/>
    <s v="Kevin Butler"/>
    <x v="536"/>
    <n v="2"/>
    <x v="1"/>
    <x v="1"/>
    <x v="1"/>
    <x v="0"/>
    <x v="1"/>
  </r>
  <r>
    <s v="AX15467"/>
    <s v="ENX2020"/>
    <s v="A154"/>
    <s v="EMP1025"/>
    <s v="C1269"/>
    <x v="132"/>
    <n v="1"/>
    <n v="2005"/>
    <n v="1223"/>
    <n v="1223"/>
    <n v="2005"/>
    <n v="782"/>
    <s v="Product 21"/>
    <x v="24"/>
    <s v="Ernest Wagner"/>
    <x v="661"/>
    <n v="2"/>
    <x v="1"/>
    <x v="1"/>
    <x v="1"/>
    <x v="0"/>
    <x v="1"/>
  </r>
  <r>
    <s v="AX15495"/>
    <s v="ENX2023"/>
    <s v="A148"/>
    <s v="EMP1033"/>
    <s v="C1208"/>
    <x v="132"/>
    <n v="1"/>
    <n v="818"/>
    <n v="450"/>
    <n v="450"/>
    <n v="818"/>
    <n v="368"/>
    <s v="Product 24"/>
    <x v="62"/>
    <s v="Jerry Perry"/>
    <x v="582"/>
    <n v="2"/>
    <x v="1"/>
    <x v="1"/>
    <x v="1"/>
    <x v="0"/>
    <x v="1"/>
  </r>
  <r>
    <s v="AX15563"/>
    <s v="ENX2020"/>
    <s v="A104"/>
    <s v="EMP1039"/>
    <s v="C1080"/>
    <x v="132"/>
    <n v="1"/>
    <n v="2005"/>
    <n v="1223"/>
    <n v="1223"/>
    <n v="2005"/>
    <n v="782"/>
    <s v="Product 21"/>
    <x v="50"/>
    <s v="Eugene Holmes"/>
    <x v="720"/>
    <n v="2"/>
    <x v="1"/>
    <x v="1"/>
    <x v="1"/>
    <x v="0"/>
    <x v="1"/>
  </r>
  <r>
    <s v="AX15599"/>
    <s v="ENX2080"/>
    <s v="A164"/>
    <s v="EMP1043"/>
    <s v="C1359"/>
    <x v="134"/>
    <n v="1"/>
    <n v="2353"/>
    <n v="1788"/>
    <n v="1788"/>
    <n v="2353"/>
    <n v="565"/>
    <s v="Product 81"/>
    <x v="3"/>
    <s v="Joshua Taylor"/>
    <x v="652"/>
    <n v="2"/>
    <x v="1"/>
    <x v="1"/>
    <x v="1"/>
    <x v="0"/>
    <x v="1"/>
  </r>
  <r>
    <s v="AX15659"/>
    <s v="ENX2036"/>
    <s v="A123"/>
    <s v="EMP1044"/>
    <s v="C1260"/>
    <x v="132"/>
    <n v="1"/>
    <n v="1582"/>
    <n v="1234"/>
    <n v="1234"/>
    <n v="1582"/>
    <n v="348"/>
    <s v="Product 37"/>
    <x v="34"/>
    <s v="Martin Carr"/>
    <x v="27"/>
    <n v="2"/>
    <x v="1"/>
    <x v="1"/>
    <x v="1"/>
    <x v="0"/>
    <x v="1"/>
  </r>
  <r>
    <s v="AX16281"/>
    <s v="ENX2051"/>
    <s v="A100"/>
    <s v="EMP1035"/>
    <s v="C1302"/>
    <x v="134"/>
    <n v="3"/>
    <n v="1077"/>
    <n v="732"/>
    <n v="2196"/>
    <n v="3231"/>
    <n v="1035"/>
    <s v="Product 52"/>
    <x v="52"/>
    <s v="Roger Ramos"/>
    <x v="451"/>
    <n v="2"/>
    <x v="1"/>
    <x v="1"/>
    <x v="1"/>
    <x v="0"/>
    <x v="1"/>
  </r>
  <r>
    <s v="AX16362"/>
    <s v="ENX2096"/>
    <s v="A135"/>
    <s v="EMP1016"/>
    <s v="C1335"/>
    <x v="133"/>
    <n v="1"/>
    <n v="1587"/>
    <n v="1301"/>
    <n v="1301"/>
    <n v="1587"/>
    <n v="286"/>
    <s v="Product 97"/>
    <x v="10"/>
    <s v="Henry Nelson"/>
    <x v="2"/>
    <n v="2"/>
    <x v="1"/>
    <x v="1"/>
    <x v="1"/>
    <x v="0"/>
    <x v="1"/>
  </r>
  <r>
    <s v="AX16407"/>
    <s v="ENX2025"/>
    <s v="A112"/>
    <s v="EMP1022"/>
    <s v="C1663"/>
    <x v="132"/>
    <n v="4"/>
    <n v="667"/>
    <n v="387"/>
    <n v="1548"/>
    <n v="2668"/>
    <n v="1120"/>
    <s v="Product 26"/>
    <x v="66"/>
    <s v="Walter Cook"/>
    <x v="602"/>
    <n v="2"/>
    <x v="1"/>
    <x v="1"/>
    <x v="1"/>
    <x v="0"/>
    <x v="1"/>
  </r>
  <r>
    <s v="AX16742"/>
    <s v="ENX2091"/>
    <s v="A134"/>
    <s v="EMP1036"/>
    <s v="C1213"/>
    <x v="134"/>
    <n v="1"/>
    <n v="368"/>
    <n v="294"/>
    <n v="294"/>
    <n v="368"/>
    <n v="74"/>
    <s v="Product 92"/>
    <x v="41"/>
    <s v="Robert Reed"/>
    <x v="487"/>
    <n v="2"/>
    <x v="1"/>
    <x v="1"/>
    <x v="1"/>
    <x v="0"/>
    <x v="1"/>
  </r>
  <r>
    <s v="AX17359"/>
    <s v="ENX2041"/>
    <s v="A118"/>
    <s v="EMP1002"/>
    <s v="C1336"/>
    <x v="132"/>
    <n v="1"/>
    <n v="1380"/>
    <n v="1090"/>
    <n v="1090"/>
    <n v="1380"/>
    <n v="290"/>
    <s v="Product 42"/>
    <x v="19"/>
    <s v="Andrew Bowman"/>
    <x v="721"/>
    <n v="2"/>
    <x v="1"/>
    <x v="1"/>
    <x v="1"/>
    <x v="0"/>
    <x v="1"/>
  </r>
  <r>
    <s v="AX17756"/>
    <s v="ENX2019"/>
    <s v="A122"/>
    <s v="EMP1004"/>
    <s v="C1307"/>
    <x v="134"/>
    <n v="4"/>
    <n v="800"/>
    <n v="536"/>
    <n v="2144"/>
    <n v="3200"/>
    <n v="1056"/>
    <s v="Product 20"/>
    <x v="71"/>
    <s v="Kenneth Bradley"/>
    <x v="416"/>
    <n v="2"/>
    <x v="1"/>
    <x v="1"/>
    <x v="1"/>
    <x v="0"/>
    <x v="1"/>
  </r>
  <r>
    <s v="AX17820"/>
    <s v="ENX2100"/>
    <s v="A168"/>
    <s v="EMP1029"/>
    <s v="C1002"/>
    <x v="133"/>
    <n v="1"/>
    <n v="799"/>
    <n v="455"/>
    <n v="455"/>
    <n v="799"/>
    <n v="344"/>
    <s v="Product 101"/>
    <x v="40"/>
    <s v="Howard Gardner"/>
    <x v="49"/>
    <n v="2"/>
    <x v="1"/>
    <x v="1"/>
    <x v="1"/>
    <x v="0"/>
    <x v="1"/>
  </r>
  <r>
    <s v="AX18248"/>
    <s v="ENX2064"/>
    <s v="A150"/>
    <s v="EMP1016"/>
    <s v="C1113"/>
    <x v="134"/>
    <n v="3"/>
    <n v="1414"/>
    <n v="962"/>
    <n v="2886"/>
    <n v="4242"/>
    <n v="1356"/>
    <s v="Product 65"/>
    <x v="30"/>
    <s v="Henry Nelson"/>
    <x v="101"/>
    <n v="2"/>
    <x v="1"/>
    <x v="1"/>
    <x v="1"/>
    <x v="0"/>
    <x v="1"/>
  </r>
  <r>
    <s v="AX18428"/>
    <s v="ENX2062"/>
    <s v="A137"/>
    <s v="EMP1022"/>
    <s v="C1756"/>
    <x v="132"/>
    <n v="3"/>
    <n v="2464"/>
    <n v="1774"/>
    <n v="5322"/>
    <n v="7392"/>
    <n v="2070"/>
    <s v="Product 63"/>
    <x v="68"/>
    <s v="Walter Cook"/>
    <x v="371"/>
    <n v="2"/>
    <x v="1"/>
    <x v="1"/>
    <x v="1"/>
    <x v="0"/>
    <x v="1"/>
  </r>
  <r>
    <s v="AX18825"/>
    <s v="ENX2032"/>
    <s v="A157"/>
    <s v="EMP1031"/>
    <s v="C1678"/>
    <x v="133"/>
    <n v="3"/>
    <n v="1967"/>
    <n v="1397"/>
    <n v="4191"/>
    <n v="5901"/>
    <n v="1710"/>
    <s v="Product 33"/>
    <x v="7"/>
    <s v="Brian Thomas"/>
    <x v="191"/>
    <n v="2"/>
    <x v="1"/>
    <x v="1"/>
    <x v="1"/>
    <x v="0"/>
    <x v="1"/>
  </r>
  <r>
    <s v="AX19052"/>
    <s v="ENX2075"/>
    <s v="A158"/>
    <s v="EMP1009"/>
    <s v="C1434"/>
    <x v="132"/>
    <n v="1"/>
    <n v="400"/>
    <n v="208"/>
    <n v="208"/>
    <n v="400"/>
    <n v="192"/>
    <s v="Product 76"/>
    <x v="58"/>
    <s v="Kenneth Fields"/>
    <x v="722"/>
    <n v="2"/>
    <x v="1"/>
    <x v="1"/>
    <x v="1"/>
    <x v="0"/>
    <x v="1"/>
  </r>
  <r>
    <s v="AX19655"/>
    <s v="ENX2000"/>
    <s v="A173"/>
    <s v="EMP1032"/>
    <s v="C1279"/>
    <x v="134"/>
    <n v="1"/>
    <n v="2241"/>
    <n v="1367"/>
    <n v="1367"/>
    <n v="2241"/>
    <n v="874"/>
    <s v="Product 1"/>
    <x v="25"/>
    <s v="Larry Castillo"/>
    <x v="210"/>
    <n v="2"/>
    <x v="1"/>
    <x v="1"/>
    <x v="1"/>
    <x v="0"/>
    <x v="1"/>
  </r>
  <r>
    <s v="AX19720"/>
    <s v="ENX2023"/>
    <s v="A156"/>
    <s v="EMP1035"/>
    <s v="C1720"/>
    <x v="135"/>
    <n v="1"/>
    <n v="818"/>
    <n v="450"/>
    <n v="450"/>
    <n v="818"/>
    <n v="368"/>
    <s v="Product 24"/>
    <x v="14"/>
    <s v="Roger Ramos"/>
    <x v="152"/>
    <n v="2"/>
    <x v="1"/>
    <x v="1"/>
    <x v="1"/>
    <x v="0"/>
    <x v="1"/>
  </r>
  <r>
    <s v="AX19868"/>
    <s v="ENX2040"/>
    <s v="A122"/>
    <s v="EMP1019"/>
    <s v="C1117"/>
    <x v="135"/>
    <n v="1"/>
    <n v="1889"/>
    <n v="945"/>
    <n v="945"/>
    <n v="1889"/>
    <n v="944"/>
    <s v="Product 41"/>
    <x v="71"/>
    <s v="Roger Robertson"/>
    <x v="519"/>
    <n v="2"/>
    <x v="1"/>
    <x v="1"/>
    <x v="1"/>
    <x v="0"/>
    <x v="1"/>
  </r>
  <r>
    <s v="AX20145"/>
    <s v="ENX2056"/>
    <s v="A171"/>
    <s v="EMP1011"/>
    <s v="C1090"/>
    <x v="134"/>
    <n v="4"/>
    <n v="1635"/>
    <n v="1046"/>
    <n v="4184"/>
    <n v="6540"/>
    <n v="2356"/>
    <s v="Product 57"/>
    <x v="0"/>
    <s v="Larry Marshall"/>
    <x v="0"/>
    <n v="2"/>
    <x v="1"/>
    <x v="1"/>
    <x v="1"/>
    <x v="0"/>
    <x v="1"/>
  </r>
  <r>
    <s v="AX20274"/>
    <s v="ENX2035"/>
    <s v="A122"/>
    <s v="EMP1041"/>
    <s v="C1016"/>
    <x v="134"/>
    <n v="3"/>
    <n v="458"/>
    <n v="376"/>
    <n v="1128"/>
    <n v="1374"/>
    <n v="246"/>
    <s v="Product 36"/>
    <x v="71"/>
    <s v="Joe Sims"/>
    <x v="335"/>
    <n v="2"/>
    <x v="1"/>
    <x v="1"/>
    <x v="1"/>
    <x v="0"/>
    <x v="1"/>
  </r>
  <r>
    <s v="AX20393"/>
    <s v="ENX2033"/>
    <s v="A160"/>
    <s v="EMP1041"/>
    <s v="C1449"/>
    <x v="133"/>
    <n v="2"/>
    <n v="2182"/>
    <n v="1200"/>
    <n v="2400"/>
    <n v="4364"/>
    <n v="1964"/>
    <s v="Product 34"/>
    <x v="9"/>
    <s v="Joe Sims"/>
    <x v="230"/>
    <n v="2"/>
    <x v="1"/>
    <x v="1"/>
    <x v="1"/>
    <x v="0"/>
    <x v="1"/>
  </r>
  <r>
    <s v="AX20473"/>
    <s v="ENX2099"/>
    <s v="A127"/>
    <s v="EMP1039"/>
    <s v="C1505"/>
    <x v="135"/>
    <n v="1"/>
    <n v="1367"/>
    <n v="984"/>
    <n v="984"/>
    <n v="1367"/>
    <n v="383"/>
    <s v="Product 100"/>
    <x v="69"/>
    <s v="Eugene Holmes"/>
    <x v="632"/>
    <n v="2"/>
    <x v="1"/>
    <x v="1"/>
    <x v="1"/>
    <x v="0"/>
    <x v="1"/>
  </r>
  <r>
    <s v="AX20488"/>
    <s v="ENX2036"/>
    <s v="A104"/>
    <s v="EMP1038"/>
    <s v="C1350"/>
    <x v="133"/>
    <n v="2"/>
    <n v="1582"/>
    <n v="1234"/>
    <n v="2468"/>
    <n v="3164"/>
    <n v="696"/>
    <s v="Product 37"/>
    <x v="50"/>
    <s v="Scott Mason"/>
    <x v="625"/>
    <n v="2"/>
    <x v="1"/>
    <x v="1"/>
    <x v="1"/>
    <x v="0"/>
    <x v="1"/>
  </r>
  <r>
    <s v="AX20855"/>
    <s v="ENX2047"/>
    <s v="A103"/>
    <s v="EMP1016"/>
    <s v="C1620"/>
    <x v="132"/>
    <n v="3"/>
    <n v="290"/>
    <n v="200"/>
    <n v="600"/>
    <n v="870"/>
    <n v="270"/>
    <s v="Product 48"/>
    <x v="61"/>
    <s v="Henry Nelson"/>
    <x v="445"/>
    <n v="2"/>
    <x v="1"/>
    <x v="1"/>
    <x v="1"/>
    <x v="0"/>
    <x v="1"/>
  </r>
  <r>
    <s v="AX21042"/>
    <s v="ENX2010"/>
    <s v="A116"/>
    <s v="EMP1010"/>
    <s v="C1357"/>
    <x v="132"/>
    <n v="1"/>
    <n v="1812"/>
    <n v="1305"/>
    <n v="1305"/>
    <n v="1812"/>
    <n v="507"/>
    <s v="Product 11"/>
    <x v="15"/>
    <s v="Joshua Cook"/>
    <x v="327"/>
    <n v="2"/>
    <x v="1"/>
    <x v="1"/>
    <x v="1"/>
    <x v="0"/>
    <x v="1"/>
  </r>
  <r>
    <s v="AX21135"/>
    <s v="ENX2047"/>
    <s v="A132"/>
    <s v="EMP1042"/>
    <s v="C1773"/>
    <x v="132"/>
    <n v="2"/>
    <n v="290"/>
    <n v="200"/>
    <n v="400"/>
    <n v="580"/>
    <n v="180"/>
    <s v="Product 48"/>
    <x v="48"/>
    <s v="Scott Clark"/>
    <x v="723"/>
    <n v="2"/>
    <x v="1"/>
    <x v="1"/>
    <x v="1"/>
    <x v="0"/>
    <x v="1"/>
  </r>
  <r>
    <s v="AX21198"/>
    <s v="ENX2046"/>
    <s v="A131"/>
    <s v="EMP1024"/>
    <s v="C1095"/>
    <x v="134"/>
    <n v="1"/>
    <n v="2410"/>
    <n v="1518"/>
    <n v="1518"/>
    <n v="2410"/>
    <n v="892"/>
    <s v="Product 47"/>
    <x v="32"/>
    <s v="Ernest Wheeler"/>
    <x v="240"/>
    <n v="2"/>
    <x v="1"/>
    <x v="1"/>
    <x v="1"/>
    <x v="0"/>
    <x v="1"/>
  </r>
  <r>
    <s v="AX21223"/>
    <s v="ENX2099"/>
    <s v="A153"/>
    <s v="EMP1003"/>
    <s v="C1273"/>
    <x v="135"/>
    <n v="1"/>
    <n v="1367"/>
    <n v="984"/>
    <n v="984"/>
    <n v="1367"/>
    <n v="383"/>
    <s v="Product 100"/>
    <x v="8"/>
    <s v="Christopher Tucker"/>
    <x v="469"/>
    <n v="2"/>
    <x v="1"/>
    <x v="1"/>
    <x v="1"/>
    <x v="0"/>
    <x v="1"/>
  </r>
  <r>
    <s v="AX21269"/>
    <s v="ENX2015"/>
    <s v="A100"/>
    <s v="EMP1033"/>
    <s v="C1407"/>
    <x v="132"/>
    <n v="1"/>
    <n v="637"/>
    <n v="389"/>
    <n v="389"/>
    <n v="637"/>
    <n v="248"/>
    <s v="Product 16"/>
    <x v="52"/>
    <s v="Jerry Perry"/>
    <x v="294"/>
    <n v="2"/>
    <x v="1"/>
    <x v="1"/>
    <x v="1"/>
    <x v="0"/>
    <x v="1"/>
  </r>
  <r>
    <s v="AX21402"/>
    <s v="ENX2015"/>
    <s v="A142"/>
    <s v="EMP1038"/>
    <s v="C1451"/>
    <x v="132"/>
    <n v="4"/>
    <n v="637"/>
    <n v="389"/>
    <n v="1556"/>
    <n v="2548"/>
    <n v="992"/>
    <s v="Product 16"/>
    <x v="56"/>
    <s v="Scott Mason"/>
    <x v="80"/>
    <n v="2"/>
    <x v="1"/>
    <x v="1"/>
    <x v="1"/>
    <x v="0"/>
    <x v="1"/>
  </r>
  <r>
    <s v="AX21628"/>
    <s v="ENX2092"/>
    <s v="A129"/>
    <s v="EMP1044"/>
    <s v="C1335"/>
    <x v="134"/>
    <n v="1"/>
    <n v="1639"/>
    <n v="1295"/>
    <n v="1295"/>
    <n v="1639"/>
    <n v="344"/>
    <s v="Product 93"/>
    <x v="22"/>
    <s v="Martin Carr"/>
    <x v="2"/>
    <n v="2"/>
    <x v="1"/>
    <x v="1"/>
    <x v="1"/>
    <x v="0"/>
    <x v="1"/>
  </r>
  <r>
    <s v="AX22088"/>
    <s v="ENX2057"/>
    <s v="A154"/>
    <s v="EMP1010"/>
    <s v="C1798"/>
    <x v="135"/>
    <n v="1"/>
    <n v="181"/>
    <n v="130"/>
    <n v="130"/>
    <n v="181"/>
    <n v="51"/>
    <s v="Product 58"/>
    <x v="24"/>
    <s v="Joshua Cook"/>
    <x v="608"/>
    <n v="2"/>
    <x v="1"/>
    <x v="1"/>
    <x v="1"/>
    <x v="0"/>
    <x v="1"/>
  </r>
  <r>
    <s v="AX22200"/>
    <s v="ENX2010"/>
    <s v="A101"/>
    <s v="EMP1027"/>
    <s v="C1693"/>
    <x v="133"/>
    <n v="1"/>
    <n v="1812"/>
    <n v="1305"/>
    <n v="1305"/>
    <n v="1812"/>
    <n v="507"/>
    <s v="Product 11"/>
    <x v="60"/>
    <s v="Gary Rodriguez"/>
    <x v="724"/>
    <n v="2"/>
    <x v="1"/>
    <x v="1"/>
    <x v="1"/>
    <x v="0"/>
    <x v="1"/>
  </r>
  <r>
    <s v="AX22586"/>
    <s v="ENX2052"/>
    <s v="A122"/>
    <s v="EMP1017"/>
    <s v="C1135"/>
    <x v="135"/>
    <n v="1"/>
    <n v="1526"/>
    <n v="1251"/>
    <n v="1251"/>
    <n v="1526"/>
    <n v="275"/>
    <s v="Product 53"/>
    <x v="71"/>
    <s v="Brian Hansen"/>
    <x v="669"/>
    <n v="2"/>
    <x v="1"/>
    <x v="1"/>
    <x v="1"/>
    <x v="0"/>
    <x v="1"/>
  </r>
  <r>
    <s v="AX22608"/>
    <s v="ENX2026"/>
    <s v="A115"/>
    <s v="EMP1016"/>
    <s v="C1246"/>
    <x v="135"/>
    <n v="4"/>
    <n v="947"/>
    <n v="786"/>
    <n v="3144"/>
    <n v="3788"/>
    <n v="644"/>
    <s v="Product 27"/>
    <x v="33"/>
    <s v="Henry Nelson"/>
    <x v="665"/>
    <n v="2"/>
    <x v="1"/>
    <x v="1"/>
    <x v="1"/>
    <x v="0"/>
    <x v="1"/>
  </r>
  <r>
    <s v="AX24082"/>
    <s v="ENX2055"/>
    <s v="A170"/>
    <s v="EMP1012"/>
    <s v="C1535"/>
    <x v="134"/>
    <n v="2"/>
    <n v="2495"/>
    <n v="1896"/>
    <n v="3792"/>
    <n v="4990"/>
    <n v="1198"/>
    <s v="Product 56"/>
    <x v="47"/>
    <s v="John Reyes"/>
    <x v="85"/>
    <n v="2"/>
    <x v="1"/>
    <x v="1"/>
    <x v="1"/>
    <x v="0"/>
    <x v="1"/>
  </r>
  <r>
    <s v="AX24152"/>
    <s v="ENX2023"/>
    <s v="A147"/>
    <s v="EMP1004"/>
    <s v="C1793"/>
    <x v="134"/>
    <n v="1"/>
    <n v="818"/>
    <n v="450"/>
    <n v="450"/>
    <n v="818"/>
    <n v="368"/>
    <s v="Product 24"/>
    <x v="42"/>
    <s v="Kenneth Bradley"/>
    <x v="677"/>
    <n v="2"/>
    <x v="1"/>
    <x v="1"/>
    <x v="1"/>
    <x v="0"/>
    <x v="1"/>
  </r>
  <r>
    <s v="AX11191"/>
    <s v="ENX2022"/>
    <s v="A124"/>
    <s v="EMP1013"/>
    <s v="C1001"/>
    <x v="136"/>
    <n v="1"/>
    <n v="561"/>
    <n v="421"/>
    <n v="421"/>
    <n v="561"/>
    <n v="140"/>
    <s v="Product 23"/>
    <x v="67"/>
    <s v="Charles Harper"/>
    <x v="725"/>
    <n v="2"/>
    <x v="1"/>
    <x v="1"/>
    <x v="1"/>
    <x v="0"/>
    <x v="2"/>
  </r>
  <r>
    <s v="AX11467"/>
    <s v="ENX2080"/>
    <s v="A116"/>
    <s v="EMP1002"/>
    <s v="C1553"/>
    <x v="137"/>
    <n v="1"/>
    <n v="2353"/>
    <n v="1788"/>
    <n v="1788"/>
    <n v="2353"/>
    <n v="565"/>
    <s v="Product 81"/>
    <x v="15"/>
    <s v="Andrew Bowman"/>
    <x v="726"/>
    <n v="2"/>
    <x v="1"/>
    <x v="1"/>
    <x v="1"/>
    <x v="0"/>
    <x v="2"/>
  </r>
  <r>
    <s v="AX11644"/>
    <s v="ENX2094"/>
    <s v="A112"/>
    <s v="EMP1032"/>
    <s v="C1223"/>
    <x v="136"/>
    <n v="3"/>
    <n v="771"/>
    <n v="648"/>
    <n v="1944"/>
    <n v="2313"/>
    <n v="369"/>
    <s v="Product 95"/>
    <x v="66"/>
    <s v="Larry Castillo"/>
    <x v="310"/>
    <n v="2"/>
    <x v="1"/>
    <x v="1"/>
    <x v="1"/>
    <x v="0"/>
    <x v="2"/>
  </r>
  <r>
    <s v="AX11829"/>
    <s v="ENX2051"/>
    <s v="A173"/>
    <s v="EMP1001"/>
    <s v="C1303"/>
    <x v="137"/>
    <n v="1"/>
    <n v="1077"/>
    <n v="732"/>
    <n v="732"/>
    <n v="1077"/>
    <n v="345"/>
    <s v="Product 52"/>
    <x v="25"/>
    <s v="Kevin Butler"/>
    <x v="531"/>
    <n v="2"/>
    <x v="1"/>
    <x v="1"/>
    <x v="1"/>
    <x v="0"/>
    <x v="2"/>
  </r>
  <r>
    <s v="AX11996"/>
    <s v="ENX2068"/>
    <s v="A135"/>
    <s v="EMP1038"/>
    <s v="C1631"/>
    <x v="137"/>
    <n v="3"/>
    <n v="1500"/>
    <n v="900"/>
    <n v="2700"/>
    <n v="4500"/>
    <n v="1800"/>
    <s v="Product 69"/>
    <x v="10"/>
    <s v="Scott Mason"/>
    <x v="659"/>
    <n v="2"/>
    <x v="1"/>
    <x v="1"/>
    <x v="1"/>
    <x v="0"/>
    <x v="2"/>
  </r>
  <r>
    <s v="AX12001"/>
    <s v="ENX2078"/>
    <s v="A105"/>
    <s v="EMP1002"/>
    <s v="C1372"/>
    <x v="137"/>
    <n v="4"/>
    <n v="1798"/>
    <n v="971"/>
    <n v="3884"/>
    <n v="7192"/>
    <n v="3308"/>
    <s v="Product 79"/>
    <x v="45"/>
    <s v="Andrew Bowman"/>
    <x v="60"/>
    <n v="2"/>
    <x v="1"/>
    <x v="1"/>
    <x v="1"/>
    <x v="0"/>
    <x v="2"/>
  </r>
  <r>
    <s v="AX12130"/>
    <s v="ENX2082"/>
    <s v="A130"/>
    <s v="EMP1031"/>
    <s v="C1787"/>
    <x v="137"/>
    <n v="3"/>
    <n v="1103"/>
    <n v="838"/>
    <n v="2514"/>
    <n v="3309"/>
    <n v="795"/>
    <s v="Product 83"/>
    <x v="4"/>
    <s v="Brian Thomas"/>
    <x v="439"/>
    <n v="2"/>
    <x v="1"/>
    <x v="1"/>
    <x v="1"/>
    <x v="0"/>
    <x v="2"/>
  </r>
  <r>
    <s v="AX12285"/>
    <s v="ENX2100"/>
    <s v="A145"/>
    <s v="EMP1022"/>
    <s v="C1170"/>
    <x v="137"/>
    <n v="1"/>
    <n v="799"/>
    <n v="455"/>
    <n v="455"/>
    <n v="799"/>
    <n v="344"/>
    <s v="Product 101"/>
    <x v="35"/>
    <s v="Walter Cook"/>
    <x v="616"/>
    <n v="2"/>
    <x v="1"/>
    <x v="1"/>
    <x v="1"/>
    <x v="0"/>
    <x v="2"/>
  </r>
  <r>
    <s v="AX12515"/>
    <s v="ENX2083"/>
    <s v="A137"/>
    <s v="EMP1019"/>
    <s v="C1501"/>
    <x v="138"/>
    <n v="1"/>
    <n v="2141"/>
    <n v="1777"/>
    <n v="1777"/>
    <n v="2141"/>
    <n v="364"/>
    <s v="Product 84"/>
    <x v="68"/>
    <s v="Roger Robertson"/>
    <x v="387"/>
    <n v="2"/>
    <x v="1"/>
    <x v="1"/>
    <x v="1"/>
    <x v="0"/>
    <x v="2"/>
  </r>
  <r>
    <s v="AX12783"/>
    <s v="ENX2012"/>
    <s v="A117"/>
    <s v="EMP1010"/>
    <s v="C1671"/>
    <x v="138"/>
    <n v="3"/>
    <n v="1353"/>
    <n v="947"/>
    <n v="2841"/>
    <n v="4059"/>
    <n v="1218"/>
    <s v="Product 13"/>
    <x v="29"/>
    <s v="Joshua Cook"/>
    <x v="248"/>
    <n v="2"/>
    <x v="1"/>
    <x v="1"/>
    <x v="1"/>
    <x v="0"/>
    <x v="2"/>
  </r>
  <r>
    <s v="AX13253"/>
    <s v="ENX2054"/>
    <s v="A116"/>
    <s v="EMP1043"/>
    <s v="C1639"/>
    <x v="139"/>
    <n v="3"/>
    <n v="127"/>
    <n v="79"/>
    <n v="237"/>
    <n v="381"/>
    <n v="144"/>
    <s v="Product 55"/>
    <x v="15"/>
    <s v="Joshua Taylor"/>
    <x v="30"/>
    <n v="2"/>
    <x v="1"/>
    <x v="1"/>
    <x v="1"/>
    <x v="0"/>
    <x v="2"/>
  </r>
  <r>
    <s v="AX13433"/>
    <s v="ENX2004"/>
    <s v="A167"/>
    <s v="EMP1035"/>
    <s v="C1751"/>
    <x v="139"/>
    <n v="1"/>
    <n v="1278"/>
    <n v="665"/>
    <n v="665"/>
    <n v="1278"/>
    <n v="613"/>
    <s v="Product 5"/>
    <x v="64"/>
    <s v="Roger Ramos"/>
    <x v="332"/>
    <n v="2"/>
    <x v="1"/>
    <x v="1"/>
    <x v="1"/>
    <x v="0"/>
    <x v="2"/>
  </r>
  <r>
    <s v="AX14010"/>
    <s v="ENX2081"/>
    <s v="A134"/>
    <s v="EMP1035"/>
    <s v="C1465"/>
    <x v="136"/>
    <n v="1"/>
    <n v="1566"/>
    <n v="1190"/>
    <n v="1190"/>
    <n v="1566"/>
    <n v="376"/>
    <s v="Product 82"/>
    <x v="41"/>
    <s v="Roger Ramos"/>
    <x v="88"/>
    <n v="2"/>
    <x v="1"/>
    <x v="1"/>
    <x v="1"/>
    <x v="0"/>
    <x v="2"/>
  </r>
  <r>
    <s v="AX14190"/>
    <s v="ENX2034"/>
    <s v="A149"/>
    <s v="EMP1040"/>
    <s v="C1562"/>
    <x v="136"/>
    <n v="4"/>
    <n v="871"/>
    <n v="540"/>
    <n v="2160"/>
    <n v="3484"/>
    <n v="1324"/>
    <s v="Product 35"/>
    <x v="59"/>
    <s v="Patrick Ruiz"/>
    <x v="312"/>
    <n v="2"/>
    <x v="1"/>
    <x v="1"/>
    <x v="1"/>
    <x v="0"/>
    <x v="2"/>
  </r>
  <r>
    <s v="AX14672"/>
    <s v="ENX2087"/>
    <s v="A130"/>
    <s v="EMP1028"/>
    <s v="C1618"/>
    <x v="139"/>
    <n v="1"/>
    <n v="1022"/>
    <n v="818"/>
    <n v="818"/>
    <n v="1022"/>
    <n v="204"/>
    <s v="Product 88"/>
    <x v="4"/>
    <s v="Howard Sims"/>
    <x v="292"/>
    <n v="2"/>
    <x v="1"/>
    <x v="1"/>
    <x v="1"/>
    <x v="0"/>
    <x v="2"/>
  </r>
  <r>
    <s v="AX14746"/>
    <s v="ENX2066"/>
    <s v="A137"/>
    <s v="EMP1026"/>
    <s v="C1246"/>
    <x v="136"/>
    <n v="2"/>
    <n v="2091"/>
    <n v="1485"/>
    <n v="2970"/>
    <n v="4182"/>
    <n v="1212"/>
    <s v="Product 67"/>
    <x v="68"/>
    <s v="Martin Perry"/>
    <x v="665"/>
    <n v="2"/>
    <x v="1"/>
    <x v="1"/>
    <x v="1"/>
    <x v="0"/>
    <x v="2"/>
  </r>
  <r>
    <s v="AX14757"/>
    <s v="ENX2028"/>
    <s v="A159"/>
    <s v="EMP1032"/>
    <s v="C1484"/>
    <x v="139"/>
    <n v="2"/>
    <n v="2283"/>
    <n v="1484"/>
    <n v="2968"/>
    <n v="4566"/>
    <n v="1598"/>
    <s v="Product 29"/>
    <x v="13"/>
    <s v="Larry Castillo"/>
    <x v="466"/>
    <n v="2"/>
    <x v="1"/>
    <x v="1"/>
    <x v="1"/>
    <x v="0"/>
    <x v="2"/>
  </r>
  <r>
    <s v="AX14827"/>
    <s v="ENX2086"/>
    <s v="A146"/>
    <s v="EMP1013"/>
    <s v="C1638"/>
    <x v="138"/>
    <n v="1"/>
    <n v="123"/>
    <n v="84"/>
    <n v="84"/>
    <n v="123"/>
    <n v="39"/>
    <s v="Product 87"/>
    <x v="27"/>
    <s v="Charles Harper"/>
    <x v="395"/>
    <n v="2"/>
    <x v="1"/>
    <x v="1"/>
    <x v="1"/>
    <x v="0"/>
    <x v="2"/>
  </r>
  <r>
    <s v="AX14995"/>
    <s v="ENX2032"/>
    <s v="A100"/>
    <s v="EMP1023"/>
    <s v="C1056"/>
    <x v="136"/>
    <n v="1"/>
    <n v="1967"/>
    <n v="1397"/>
    <n v="1397"/>
    <n v="1967"/>
    <n v="570"/>
    <s v="Product 33"/>
    <x v="52"/>
    <s v="Brian Davis"/>
    <x v="260"/>
    <n v="2"/>
    <x v="1"/>
    <x v="1"/>
    <x v="1"/>
    <x v="0"/>
    <x v="2"/>
  </r>
  <r>
    <s v="AX15076"/>
    <s v="ENX2008"/>
    <s v="A171"/>
    <s v="EMP1006"/>
    <s v="C1575"/>
    <x v="137"/>
    <n v="1"/>
    <n v="315"/>
    <n v="208"/>
    <n v="208"/>
    <n v="315"/>
    <n v="107"/>
    <s v="Product 9"/>
    <x v="0"/>
    <s v="Sean Miller"/>
    <x v="99"/>
    <n v="2"/>
    <x v="1"/>
    <x v="1"/>
    <x v="1"/>
    <x v="0"/>
    <x v="2"/>
  </r>
  <r>
    <s v="AX15504"/>
    <s v="ENX2058"/>
    <s v="A157"/>
    <s v="EMP1009"/>
    <s v="C1035"/>
    <x v="139"/>
    <n v="1"/>
    <n v="2257"/>
    <n v="1535"/>
    <n v="1535"/>
    <n v="2257"/>
    <n v="722"/>
    <s v="Product 59"/>
    <x v="7"/>
    <s v="Kenneth Fields"/>
    <x v="95"/>
    <n v="2"/>
    <x v="1"/>
    <x v="1"/>
    <x v="1"/>
    <x v="0"/>
    <x v="2"/>
  </r>
  <r>
    <s v="AX15758"/>
    <s v="ENX2023"/>
    <s v="A120"/>
    <s v="EMP1025"/>
    <s v="C1158"/>
    <x v="136"/>
    <n v="3"/>
    <n v="818"/>
    <n v="450"/>
    <n v="1350"/>
    <n v="2454"/>
    <n v="1104"/>
    <s v="Product 24"/>
    <x v="20"/>
    <s v="Ernest Wagner"/>
    <x v="541"/>
    <n v="2"/>
    <x v="1"/>
    <x v="1"/>
    <x v="1"/>
    <x v="0"/>
    <x v="2"/>
  </r>
  <r>
    <s v="AX15791"/>
    <s v="ENX2018"/>
    <s v="A166"/>
    <s v="EMP1025"/>
    <s v="C1708"/>
    <x v="137"/>
    <n v="3"/>
    <n v="1972"/>
    <n v="1321"/>
    <n v="3963"/>
    <n v="5916"/>
    <n v="1953"/>
    <s v="Product 19"/>
    <x v="70"/>
    <s v="Ernest Wagner"/>
    <x v="579"/>
    <n v="2"/>
    <x v="1"/>
    <x v="1"/>
    <x v="1"/>
    <x v="0"/>
    <x v="2"/>
  </r>
  <r>
    <s v="AX15982"/>
    <s v="ENX2029"/>
    <s v="A107"/>
    <s v="EMP1019"/>
    <s v="C1647"/>
    <x v="136"/>
    <n v="4"/>
    <n v="1848"/>
    <n v="1294"/>
    <n v="5176"/>
    <n v="7392"/>
    <n v="2216"/>
    <s v="Product 30"/>
    <x v="21"/>
    <s v="Roger Robertson"/>
    <x v="318"/>
    <n v="2"/>
    <x v="1"/>
    <x v="1"/>
    <x v="1"/>
    <x v="0"/>
    <x v="2"/>
  </r>
  <r>
    <s v="AX17188"/>
    <s v="ENX2032"/>
    <s v="A128"/>
    <s v="EMP1029"/>
    <s v="C1537"/>
    <x v="136"/>
    <n v="4"/>
    <n v="1967"/>
    <n v="1397"/>
    <n v="5588"/>
    <n v="7868"/>
    <n v="2280"/>
    <s v="Product 33"/>
    <x v="12"/>
    <s v="Howard Gardner"/>
    <x v="141"/>
    <n v="2"/>
    <x v="1"/>
    <x v="1"/>
    <x v="1"/>
    <x v="0"/>
    <x v="2"/>
  </r>
  <r>
    <s v="AX17374"/>
    <s v="ENX2011"/>
    <s v="A159"/>
    <s v="EMP1039"/>
    <s v="C1645"/>
    <x v="139"/>
    <n v="3"/>
    <n v="530"/>
    <n v="435"/>
    <n v="1305"/>
    <n v="1590"/>
    <n v="285"/>
    <s v="Product 12"/>
    <x v="13"/>
    <s v="Eugene Holmes"/>
    <x v="128"/>
    <n v="2"/>
    <x v="1"/>
    <x v="1"/>
    <x v="1"/>
    <x v="0"/>
    <x v="2"/>
  </r>
  <r>
    <s v="AX17418"/>
    <s v="ENX2052"/>
    <s v="A105"/>
    <s v="EMP1016"/>
    <s v="C1421"/>
    <x v="137"/>
    <n v="3"/>
    <n v="1526"/>
    <n v="1251"/>
    <n v="3753"/>
    <n v="4578"/>
    <n v="825"/>
    <s v="Product 53"/>
    <x v="45"/>
    <s v="Henry Nelson"/>
    <x v="564"/>
    <n v="2"/>
    <x v="1"/>
    <x v="1"/>
    <x v="1"/>
    <x v="0"/>
    <x v="2"/>
  </r>
  <r>
    <s v="AX17946"/>
    <s v="ENX2027"/>
    <s v="A125"/>
    <s v="EMP1010"/>
    <s v="C1387"/>
    <x v="136"/>
    <n v="2"/>
    <n v="2497"/>
    <n v="1473"/>
    <n v="2946"/>
    <n v="4994"/>
    <n v="2048"/>
    <s v="Product 28"/>
    <x v="31"/>
    <s v="Joshua Cook"/>
    <x v="346"/>
    <n v="2"/>
    <x v="1"/>
    <x v="1"/>
    <x v="1"/>
    <x v="0"/>
    <x v="2"/>
  </r>
  <r>
    <s v="AX18232"/>
    <s v="ENX2062"/>
    <s v="A170"/>
    <s v="EMP1042"/>
    <s v="C1130"/>
    <x v="138"/>
    <n v="2"/>
    <n v="2464"/>
    <n v="1774"/>
    <n v="3548"/>
    <n v="4928"/>
    <n v="1380"/>
    <s v="Product 63"/>
    <x v="47"/>
    <s v="Scott Clark"/>
    <x v="448"/>
    <n v="2"/>
    <x v="1"/>
    <x v="1"/>
    <x v="1"/>
    <x v="0"/>
    <x v="2"/>
  </r>
  <r>
    <s v="AX18281"/>
    <s v="ENX2052"/>
    <s v="A133"/>
    <s v="EMP1037"/>
    <s v="C1303"/>
    <x v="136"/>
    <n v="3"/>
    <n v="1526"/>
    <n v="1251"/>
    <n v="3753"/>
    <n v="4578"/>
    <n v="825"/>
    <s v="Product 53"/>
    <x v="46"/>
    <s v="Carl Hall"/>
    <x v="531"/>
    <n v="2"/>
    <x v="1"/>
    <x v="1"/>
    <x v="1"/>
    <x v="0"/>
    <x v="2"/>
  </r>
  <r>
    <s v="AX18795"/>
    <s v="ENX2051"/>
    <s v="A137"/>
    <s v="EMP1029"/>
    <s v="C1719"/>
    <x v="137"/>
    <n v="1"/>
    <n v="1077"/>
    <n v="732"/>
    <n v="732"/>
    <n v="1077"/>
    <n v="345"/>
    <s v="Product 52"/>
    <x v="68"/>
    <s v="Howard Gardner"/>
    <x v="666"/>
    <n v="2"/>
    <x v="1"/>
    <x v="1"/>
    <x v="1"/>
    <x v="0"/>
    <x v="2"/>
  </r>
  <r>
    <s v="AX18882"/>
    <s v="ENX2032"/>
    <s v="A124"/>
    <s v="EMP1032"/>
    <s v="C1623"/>
    <x v="136"/>
    <n v="3"/>
    <n v="1967"/>
    <n v="1397"/>
    <n v="4191"/>
    <n v="5901"/>
    <n v="1710"/>
    <s v="Product 33"/>
    <x v="67"/>
    <s v="Larry Castillo"/>
    <x v="282"/>
    <n v="2"/>
    <x v="1"/>
    <x v="1"/>
    <x v="1"/>
    <x v="0"/>
    <x v="2"/>
  </r>
  <r>
    <s v="AX19075"/>
    <s v="ENX2024"/>
    <s v="A128"/>
    <s v="EMP1007"/>
    <s v="C1668"/>
    <x v="137"/>
    <n v="3"/>
    <n v="356"/>
    <n v="292"/>
    <n v="876"/>
    <n v="1068"/>
    <n v="192"/>
    <s v="Product 25"/>
    <x v="12"/>
    <s v="Jeremy Mendoza"/>
    <x v="727"/>
    <n v="2"/>
    <x v="1"/>
    <x v="1"/>
    <x v="1"/>
    <x v="0"/>
    <x v="2"/>
  </r>
  <r>
    <s v="AX19201"/>
    <s v="ENX2045"/>
    <s v="A135"/>
    <s v="EMP1019"/>
    <s v="C1343"/>
    <x v="137"/>
    <n v="1"/>
    <n v="556"/>
    <n v="395"/>
    <n v="395"/>
    <n v="556"/>
    <n v="161"/>
    <s v="Product 46"/>
    <x v="10"/>
    <s v="Roger Robertson"/>
    <x v="175"/>
    <n v="2"/>
    <x v="1"/>
    <x v="1"/>
    <x v="1"/>
    <x v="0"/>
    <x v="2"/>
  </r>
  <r>
    <s v="AX19516"/>
    <s v="ENX2003"/>
    <s v="A122"/>
    <s v="EMP1014"/>
    <s v="C1599"/>
    <x v="138"/>
    <n v="2"/>
    <n v="1783"/>
    <n v="1516"/>
    <n v="3032"/>
    <n v="3566"/>
    <n v="534"/>
    <s v="Product 4"/>
    <x v="71"/>
    <s v="Ronald Reed"/>
    <x v="556"/>
    <n v="2"/>
    <x v="1"/>
    <x v="1"/>
    <x v="1"/>
    <x v="0"/>
    <x v="2"/>
  </r>
  <r>
    <s v="AX20040"/>
    <s v="ENX2089"/>
    <s v="A152"/>
    <s v="EMP1002"/>
    <s v="C1710"/>
    <x v="137"/>
    <n v="1"/>
    <n v="2294"/>
    <n v="1399"/>
    <n v="1399"/>
    <n v="2294"/>
    <n v="895"/>
    <s v="Product 90"/>
    <x v="26"/>
    <s v="Andrew Bowman"/>
    <x v="197"/>
    <n v="2"/>
    <x v="1"/>
    <x v="1"/>
    <x v="1"/>
    <x v="0"/>
    <x v="2"/>
  </r>
  <r>
    <s v="AX20059"/>
    <s v="ENX2057"/>
    <s v="A153"/>
    <s v="EMP1031"/>
    <s v="C1660"/>
    <x v="137"/>
    <n v="2"/>
    <n v="181"/>
    <n v="130"/>
    <n v="260"/>
    <n v="362"/>
    <n v="102"/>
    <s v="Product 58"/>
    <x v="8"/>
    <s v="Brian Thomas"/>
    <x v="146"/>
    <n v="2"/>
    <x v="1"/>
    <x v="1"/>
    <x v="1"/>
    <x v="0"/>
    <x v="2"/>
  </r>
  <r>
    <s v="AX20301"/>
    <s v="ENX2026"/>
    <s v="A125"/>
    <s v="EMP1034"/>
    <s v="C1588"/>
    <x v="136"/>
    <n v="4"/>
    <n v="947"/>
    <n v="786"/>
    <n v="3144"/>
    <n v="3788"/>
    <n v="644"/>
    <s v="Product 27"/>
    <x v="31"/>
    <s v="Arthur Mccoy"/>
    <x v="653"/>
    <n v="2"/>
    <x v="1"/>
    <x v="1"/>
    <x v="1"/>
    <x v="0"/>
    <x v="2"/>
  </r>
  <r>
    <s v="AX20392"/>
    <s v="ENX2100"/>
    <s v="A115"/>
    <s v="EMP1006"/>
    <s v="C1593"/>
    <x v="137"/>
    <n v="1"/>
    <n v="799"/>
    <n v="455"/>
    <n v="455"/>
    <n v="799"/>
    <n v="344"/>
    <s v="Product 101"/>
    <x v="33"/>
    <s v="Sean Miller"/>
    <x v="25"/>
    <n v="2"/>
    <x v="1"/>
    <x v="1"/>
    <x v="1"/>
    <x v="0"/>
    <x v="2"/>
  </r>
  <r>
    <s v="AX20467"/>
    <s v="ENX2095"/>
    <s v="A129"/>
    <s v="EMP1005"/>
    <s v="C1289"/>
    <x v="137"/>
    <n v="2"/>
    <n v="1743"/>
    <n v="872"/>
    <n v="1744"/>
    <n v="3486"/>
    <n v="1742"/>
    <s v="Product 96"/>
    <x v="22"/>
    <s v="Ryan Welch"/>
    <x v="328"/>
    <n v="2"/>
    <x v="1"/>
    <x v="1"/>
    <x v="1"/>
    <x v="0"/>
    <x v="2"/>
  </r>
  <r>
    <s v="AX21032"/>
    <s v="ENX2050"/>
    <s v="A122"/>
    <s v="EMP1010"/>
    <s v="C1381"/>
    <x v="137"/>
    <n v="1"/>
    <n v="2391"/>
    <n v="1291"/>
    <n v="1291"/>
    <n v="2391"/>
    <n v="1100"/>
    <s v="Product 51"/>
    <x v="71"/>
    <s v="Joshua Cook"/>
    <x v="714"/>
    <n v="2"/>
    <x v="1"/>
    <x v="1"/>
    <x v="1"/>
    <x v="0"/>
    <x v="2"/>
  </r>
  <r>
    <s v="AX21139"/>
    <s v="ENX2069"/>
    <s v="A133"/>
    <s v="EMP1012"/>
    <s v="C1657"/>
    <x v="137"/>
    <n v="3"/>
    <n v="378"/>
    <n v="291"/>
    <n v="873"/>
    <n v="1134"/>
    <n v="261"/>
    <s v="Product 70"/>
    <x v="46"/>
    <s v="John Reyes"/>
    <x v="361"/>
    <n v="2"/>
    <x v="1"/>
    <x v="1"/>
    <x v="1"/>
    <x v="0"/>
    <x v="2"/>
  </r>
  <r>
    <s v="AX21590"/>
    <s v="ENX2065"/>
    <s v="A123"/>
    <s v="EMP1015"/>
    <s v="C1340"/>
    <x v="136"/>
    <n v="1"/>
    <n v="2396"/>
    <n v="1965"/>
    <n v="1965"/>
    <n v="2396"/>
    <n v="431"/>
    <s v="Product 66"/>
    <x v="34"/>
    <s v="Justin Lynch"/>
    <x v="433"/>
    <n v="2"/>
    <x v="1"/>
    <x v="1"/>
    <x v="1"/>
    <x v="0"/>
    <x v="2"/>
  </r>
  <r>
    <s v="AX21918"/>
    <s v="ENX2009"/>
    <s v="A160"/>
    <s v="EMP1022"/>
    <s v="C1266"/>
    <x v="139"/>
    <n v="1"/>
    <n v="584"/>
    <n v="420"/>
    <n v="420"/>
    <n v="584"/>
    <n v="164"/>
    <s v="Product 10"/>
    <x v="9"/>
    <s v="Walter Cook"/>
    <x v="254"/>
    <n v="2"/>
    <x v="1"/>
    <x v="1"/>
    <x v="1"/>
    <x v="0"/>
    <x v="2"/>
  </r>
  <r>
    <s v="AX22094"/>
    <s v="ENX2010"/>
    <s v="A137"/>
    <s v="EMP1001"/>
    <s v="C1150"/>
    <x v="139"/>
    <n v="1"/>
    <n v="1812"/>
    <n v="1305"/>
    <n v="1305"/>
    <n v="1812"/>
    <n v="507"/>
    <s v="Product 11"/>
    <x v="68"/>
    <s v="Kevin Butler"/>
    <x v="456"/>
    <n v="2"/>
    <x v="1"/>
    <x v="1"/>
    <x v="1"/>
    <x v="0"/>
    <x v="2"/>
  </r>
  <r>
    <s v="AX22328"/>
    <s v="ENX2066"/>
    <s v="A104"/>
    <s v="EMP1043"/>
    <s v="C1444"/>
    <x v="136"/>
    <n v="1"/>
    <n v="2091"/>
    <n v="1485"/>
    <n v="1485"/>
    <n v="2091"/>
    <n v="606"/>
    <s v="Product 67"/>
    <x v="50"/>
    <s v="Joshua Taylor"/>
    <x v="454"/>
    <n v="2"/>
    <x v="1"/>
    <x v="1"/>
    <x v="1"/>
    <x v="0"/>
    <x v="2"/>
  </r>
  <r>
    <s v="AX22799"/>
    <s v="ENX2022"/>
    <s v="A110"/>
    <s v="EMP1027"/>
    <s v="C1457"/>
    <x v="139"/>
    <n v="2"/>
    <n v="561"/>
    <n v="421"/>
    <n v="842"/>
    <n v="1122"/>
    <n v="280"/>
    <s v="Product 23"/>
    <x v="63"/>
    <s v="Gary Rodriguez"/>
    <x v="522"/>
    <n v="2"/>
    <x v="1"/>
    <x v="1"/>
    <x v="1"/>
    <x v="0"/>
    <x v="2"/>
  </r>
  <r>
    <s v="AX22933"/>
    <s v="ENX2015"/>
    <s v="A140"/>
    <s v="EMP1022"/>
    <s v="C1313"/>
    <x v="137"/>
    <n v="1"/>
    <n v="637"/>
    <n v="389"/>
    <n v="389"/>
    <n v="637"/>
    <n v="248"/>
    <s v="Product 16"/>
    <x v="18"/>
    <s v="Walter Cook"/>
    <x v="728"/>
    <n v="2"/>
    <x v="1"/>
    <x v="1"/>
    <x v="1"/>
    <x v="0"/>
    <x v="2"/>
  </r>
  <r>
    <s v="AX23053"/>
    <s v="ENX2055"/>
    <s v="A116"/>
    <s v="EMP1041"/>
    <s v="C1633"/>
    <x v="138"/>
    <n v="1"/>
    <n v="2495"/>
    <n v="1896"/>
    <n v="1896"/>
    <n v="2495"/>
    <n v="599"/>
    <s v="Product 56"/>
    <x v="15"/>
    <s v="Joe Sims"/>
    <x v="558"/>
    <n v="2"/>
    <x v="1"/>
    <x v="1"/>
    <x v="1"/>
    <x v="0"/>
    <x v="2"/>
  </r>
  <r>
    <s v="AX23533"/>
    <s v="ENX2000"/>
    <s v="A117"/>
    <s v="EMP1014"/>
    <s v="C1717"/>
    <x v="137"/>
    <n v="1"/>
    <n v="2241"/>
    <n v="1367"/>
    <n v="1367"/>
    <n v="2241"/>
    <n v="874"/>
    <s v="Product 1"/>
    <x v="29"/>
    <s v="Ronald Reed"/>
    <x v="605"/>
    <n v="2"/>
    <x v="1"/>
    <x v="1"/>
    <x v="1"/>
    <x v="0"/>
    <x v="2"/>
  </r>
  <r>
    <s v="AX23886"/>
    <s v="ENX2093"/>
    <s v="A127"/>
    <s v="EMP1036"/>
    <s v="C1181"/>
    <x v="137"/>
    <n v="1"/>
    <n v="112"/>
    <n v="90"/>
    <n v="90"/>
    <n v="112"/>
    <n v="22"/>
    <s v="Product 94"/>
    <x v="69"/>
    <s v="Robert Reed"/>
    <x v="449"/>
    <n v="2"/>
    <x v="1"/>
    <x v="1"/>
    <x v="1"/>
    <x v="0"/>
    <x v="2"/>
  </r>
  <r>
    <s v="AX23959"/>
    <s v="ENX2001"/>
    <s v="A159"/>
    <s v="EMP1036"/>
    <s v="C1423"/>
    <x v="136"/>
    <n v="1"/>
    <n v="951"/>
    <n v="504"/>
    <n v="504"/>
    <n v="951"/>
    <n v="447"/>
    <s v="Product 2"/>
    <x v="13"/>
    <s v="Robert Reed"/>
    <x v="182"/>
    <n v="2"/>
    <x v="1"/>
    <x v="1"/>
    <x v="1"/>
    <x v="0"/>
    <x v="2"/>
  </r>
  <r>
    <s v="AX24027"/>
    <s v="ENX2005"/>
    <s v="A131"/>
    <s v="EMP1027"/>
    <s v="C1072"/>
    <x v="137"/>
    <n v="1"/>
    <n v="684"/>
    <n v="561"/>
    <n v="561"/>
    <n v="684"/>
    <n v="123"/>
    <s v="Product 6"/>
    <x v="32"/>
    <s v="Gary Rodriguez"/>
    <x v="529"/>
    <n v="2"/>
    <x v="1"/>
    <x v="1"/>
    <x v="1"/>
    <x v="0"/>
    <x v="2"/>
  </r>
  <r>
    <s v="AX24104"/>
    <s v="ENX2054"/>
    <s v="A156"/>
    <s v="EMP1022"/>
    <s v="C1720"/>
    <x v="137"/>
    <n v="1"/>
    <n v="127"/>
    <n v="79"/>
    <n v="79"/>
    <n v="127"/>
    <n v="48"/>
    <s v="Product 55"/>
    <x v="14"/>
    <s v="Walter Cook"/>
    <x v="152"/>
    <n v="2"/>
    <x v="1"/>
    <x v="1"/>
    <x v="1"/>
    <x v="0"/>
    <x v="2"/>
  </r>
  <r>
    <s v="AX24467"/>
    <s v="ENX2075"/>
    <s v="A110"/>
    <s v="EMP1003"/>
    <s v="C1272"/>
    <x v="138"/>
    <n v="1"/>
    <n v="400"/>
    <n v="208"/>
    <n v="208"/>
    <n v="400"/>
    <n v="192"/>
    <s v="Product 76"/>
    <x v="63"/>
    <s v="Christopher Tucker"/>
    <x v="491"/>
    <n v="2"/>
    <x v="1"/>
    <x v="1"/>
    <x v="1"/>
    <x v="0"/>
    <x v="2"/>
  </r>
  <r>
    <s v="AX24590"/>
    <s v="ENX2073"/>
    <s v="A168"/>
    <s v="EMP1041"/>
    <s v="C1771"/>
    <x v="138"/>
    <n v="1"/>
    <n v="95"/>
    <n v="61"/>
    <n v="61"/>
    <n v="95"/>
    <n v="34"/>
    <s v="Product 74"/>
    <x v="40"/>
    <s v="Joe Sims"/>
    <x v="34"/>
    <n v="2"/>
    <x v="1"/>
    <x v="1"/>
    <x v="1"/>
    <x v="0"/>
    <x v="2"/>
  </r>
  <r>
    <s v="AX24674"/>
    <s v="ENX2064"/>
    <s v="A122"/>
    <s v="EMP1008"/>
    <s v="C1154"/>
    <x v="138"/>
    <n v="2"/>
    <n v="1414"/>
    <n v="962"/>
    <n v="1924"/>
    <n v="2828"/>
    <n v="904"/>
    <s v="Product 65"/>
    <x v="71"/>
    <s v="Carl Elliott"/>
    <x v="243"/>
    <n v="2"/>
    <x v="1"/>
    <x v="1"/>
    <x v="1"/>
    <x v="0"/>
    <x v="2"/>
  </r>
  <r>
    <s v="AX24897"/>
    <s v="ENX2030"/>
    <s v="A166"/>
    <s v="EMP1020"/>
    <s v="C1753"/>
    <x v="139"/>
    <n v="3"/>
    <n v="1899"/>
    <n v="1044"/>
    <n v="3132"/>
    <n v="5697"/>
    <n v="2565"/>
    <s v="Product 31"/>
    <x v="70"/>
    <s v="Ryan Butler"/>
    <x v="696"/>
    <n v="2"/>
    <x v="1"/>
    <x v="1"/>
    <x v="1"/>
    <x v="0"/>
    <x v="2"/>
  </r>
  <r>
    <s v="AX10376"/>
    <s v="ENX2024"/>
    <s v="A128"/>
    <s v="EMP1002"/>
    <s v="C1426"/>
    <x v="140"/>
    <n v="4"/>
    <n v="356"/>
    <n v="292"/>
    <n v="1168"/>
    <n v="1424"/>
    <n v="256"/>
    <s v="Product 25"/>
    <x v="12"/>
    <s v="Andrew Bowman"/>
    <x v="127"/>
    <n v="2"/>
    <x v="1"/>
    <x v="2"/>
    <x v="2"/>
    <x v="0"/>
    <x v="0"/>
  </r>
  <r>
    <s v="AX10398"/>
    <s v="ENX2077"/>
    <s v="A158"/>
    <s v="EMP1009"/>
    <s v="C1103"/>
    <x v="141"/>
    <n v="4"/>
    <n v="530"/>
    <n v="424"/>
    <n v="1696"/>
    <n v="2120"/>
    <n v="424"/>
    <s v="Product 78"/>
    <x v="58"/>
    <s v="Kenneth Fields"/>
    <x v="336"/>
    <n v="2"/>
    <x v="1"/>
    <x v="2"/>
    <x v="2"/>
    <x v="0"/>
    <x v="0"/>
  </r>
  <r>
    <s v="AX10502"/>
    <s v="ENX2086"/>
    <s v="A163"/>
    <s v="EMP1019"/>
    <s v="C1317"/>
    <x v="142"/>
    <n v="2"/>
    <n v="123"/>
    <n v="84"/>
    <n v="168"/>
    <n v="246"/>
    <n v="78"/>
    <s v="Product 87"/>
    <x v="51"/>
    <s v="Roger Robertson"/>
    <x v="504"/>
    <n v="2"/>
    <x v="1"/>
    <x v="2"/>
    <x v="2"/>
    <x v="0"/>
    <x v="0"/>
  </r>
  <r>
    <s v="AX10568"/>
    <s v="ENX2051"/>
    <s v="A102"/>
    <s v="EMP1017"/>
    <s v="C1532"/>
    <x v="143"/>
    <n v="1"/>
    <n v="1077"/>
    <n v="732"/>
    <n v="732"/>
    <n v="1077"/>
    <n v="345"/>
    <s v="Product 52"/>
    <x v="44"/>
    <s v="Brian Hansen"/>
    <x v="103"/>
    <n v="2"/>
    <x v="1"/>
    <x v="2"/>
    <x v="2"/>
    <x v="0"/>
    <x v="0"/>
  </r>
  <r>
    <s v="AX10760"/>
    <s v="ENX2070"/>
    <s v="A156"/>
    <s v="EMP1015"/>
    <s v="C1599"/>
    <x v="141"/>
    <n v="2"/>
    <n v="1671"/>
    <n v="1220"/>
    <n v="2440"/>
    <n v="3342"/>
    <n v="902"/>
    <s v="Product 71"/>
    <x v="14"/>
    <s v="Justin Lynch"/>
    <x v="556"/>
    <n v="2"/>
    <x v="1"/>
    <x v="2"/>
    <x v="2"/>
    <x v="0"/>
    <x v="0"/>
  </r>
  <r>
    <s v="AX10994"/>
    <s v="ENX2078"/>
    <s v="A147"/>
    <s v="EMP1016"/>
    <s v="C1565"/>
    <x v="142"/>
    <n v="3"/>
    <n v="1798"/>
    <n v="971"/>
    <n v="2913"/>
    <n v="5394"/>
    <n v="2481"/>
    <s v="Product 79"/>
    <x v="42"/>
    <s v="Henry Nelson"/>
    <x v="577"/>
    <n v="2"/>
    <x v="1"/>
    <x v="2"/>
    <x v="2"/>
    <x v="0"/>
    <x v="0"/>
  </r>
  <r>
    <s v="AX11070"/>
    <s v="ENX2062"/>
    <s v="A123"/>
    <s v="EMP1018"/>
    <s v="C1281"/>
    <x v="140"/>
    <n v="1"/>
    <n v="2464"/>
    <n v="1774"/>
    <n v="1774"/>
    <n v="2464"/>
    <n v="690"/>
    <s v="Product 63"/>
    <x v="34"/>
    <s v="Jimmy Young"/>
    <x v="216"/>
    <n v="2"/>
    <x v="1"/>
    <x v="2"/>
    <x v="2"/>
    <x v="0"/>
    <x v="0"/>
  </r>
  <r>
    <s v="AX11423"/>
    <s v="ENX2061"/>
    <s v="A103"/>
    <s v="EMP1026"/>
    <s v="C1387"/>
    <x v="144"/>
    <n v="4"/>
    <n v="913"/>
    <n v="584"/>
    <n v="2336"/>
    <n v="3652"/>
    <n v="1316"/>
    <s v="Product 62"/>
    <x v="61"/>
    <s v="Martin Perry"/>
    <x v="346"/>
    <n v="2"/>
    <x v="1"/>
    <x v="2"/>
    <x v="2"/>
    <x v="0"/>
    <x v="0"/>
  </r>
  <r>
    <s v="AX11440"/>
    <s v="ENX2025"/>
    <s v="A144"/>
    <s v="EMP1007"/>
    <s v="C1462"/>
    <x v="140"/>
    <n v="3"/>
    <n v="667"/>
    <n v="387"/>
    <n v="1161"/>
    <n v="2001"/>
    <n v="840"/>
    <s v="Product 26"/>
    <x v="65"/>
    <s v="Jeremy Mendoza"/>
    <x v="418"/>
    <n v="2"/>
    <x v="1"/>
    <x v="2"/>
    <x v="2"/>
    <x v="0"/>
    <x v="0"/>
  </r>
  <r>
    <s v="AX11728"/>
    <s v="ENX2036"/>
    <s v="A163"/>
    <s v="EMP1032"/>
    <s v="C1129"/>
    <x v="144"/>
    <n v="1"/>
    <n v="1582"/>
    <n v="1234"/>
    <n v="1234"/>
    <n v="1582"/>
    <n v="348"/>
    <s v="Product 37"/>
    <x v="51"/>
    <s v="Larry Castillo"/>
    <x v="281"/>
    <n v="2"/>
    <x v="1"/>
    <x v="2"/>
    <x v="2"/>
    <x v="0"/>
    <x v="0"/>
  </r>
  <r>
    <s v="AX12144"/>
    <s v="ENX2053"/>
    <s v="A104"/>
    <s v="EMP1024"/>
    <s v="C1407"/>
    <x v="141"/>
    <n v="1"/>
    <n v="596"/>
    <n v="358"/>
    <n v="358"/>
    <n v="596"/>
    <n v="238"/>
    <s v="Product 54"/>
    <x v="50"/>
    <s v="Ernest Wheeler"/>
    <x v="294"/>
    <n v="2"/>
    <x v="1"/>
    <x v="2"/>
    <x v="2"/>
    <x v="0"/>
    <x v="0"/>
  </r>
  <r>
    <s v="AX12323"/>
    <s v="ENX2016"/>
    <s v="A141"/>
    <s v="EMP1013"/>
    <s v="C1703"/>
    <x v="143"/>
    <n v="4"/>
    <n v="1351"/>
    <n v="1108"/>
    <n v="4432"/>
    <n v="5404"/>
    <n v="972"/>
    <s v="Product 17"/>
    <x v="23"/>
    <s v="Charles Harper"/>
    <x v="424"/>
    <n v="2"/>
    <x v="1"/>
    <x v="2"/>
    <x v="2"/>
    <x v="0"/>
    <x v="0"/>
  </r>
  <r>
    <s v="AX12798"/>
    <s v="ENX2042"/>
    <s v="A146"/>
    <s v="EMP1012"/>
    <s v="C1557"/>
    <x v="142"/>
    <n v="3"/>
    <n v="203"/>
    <n v="154"/>
    <n v="462"/>
    <n v="609"/>
    <n v="147"/>
    <s v="Product 43"/>
    <x v="27"/>
    <s v="John Reyes"/>
    <x v="729"/>
    <n v="2"/>
    <x v="1"/>
    <x v="2"/>
    <x v="2"/>
    <x v="0"/>
    <x v="0"/>
  </r>
  <r>
    <s v="AX13428"/>
    <s v="ENX2046"/>
    <s v="A105"/>
    <s v="EMP1034"/>
    <s v="C1126"/>
    <x v="143"/>
    <n v="1"/>
    <n v="2410"/>
    <n v="1518"/>
    <n v="1518"/>
    <n v="2410"/>
    <n v="892"/>
    <s v="Product 47"/>
    <x v="45"/>
    <s v="Arthur Mccoy"/>
    <x v="374"/>
    <n v="2"/>
    <x v="1"/>
    <x v="2"/>
    <x v="2"/>
    <x v="0"/>
    <x v="0"/>
  </r>
  <r>
    <s v="AX13537"/>
    <s v="ENX2001"/>
    <s v="A129"/>
    <s v="EMP1005"/>
    <s v="C1318"/>
    <x v="141"/>
    <n v="1"/>
    <n v="951"/>
    <n v="504"/>
    <n v="504"/>
    <n v="951"/>
    <n v="447"/>
    <s v="Product 2"/>
    <x v="22"/>
    <s v="Ryan Welch"/>
    <x v="730"/>
    <n v="2"/>
    <x v="1"/>
    <x v="2"/>
    <x v="2"/>
    <x v="0"/>
    <x v="0"/>
  </r>
  <r>
    <s v="AX14741"/>
    <s v="ENX2028"/>
    <s v="A109"/>
    <s v="EMP1001"/>
    <s v="C1706"/>
    <x v="141"/>
    <n v="2"/>
    <n v="2283"/>
    <n v="1484"/>
    <n v="2968"/>
    <n v="4566"/>
    <n v="1598"/>
    <s v="Product 29"/>
    <x v="57"/>
    <s v="Kevin Butler"/>
    <x v="171"/>
    <n v="2"/>
    <x v="1"/>
    <x v="2"/>
    <x v="2"/>
    <x v="0"/>
    <x v="0"/>
  </r>
  <r>
    <s v="AX14760"/>
    <s v="ENX2078"/>
    <s v="A144"/>
    <s v="EMP1036"/>
    <s v="C1385"/>
    <x v="141"/>
    <n v="1"/>
    <n v="1798"/>
    <n v="971"/>
    <n v="971"/>
    <n v="1798"/>
    <n v="827"/>
    <s v="Product 79"/>
    <x v="65"/>
    <s v="Robert Reed"/>
    <x v="523"/>
    <n v="2"/>
    <x v="1"/>
    <x v="2"/>
    <x v="2"/>
    <x v="0"/>
    <x v="0"/>
  </r>
  <r>
    <s v="AX15151"/>
    <s v="ENX2030"/>
    <s v="A152"/>
    <s v="EMP1005"/>
    <s v="C1317"/>
    <x v="140"/>
    <n v="2"/>
    <n v="1899"/>
    <n v="1044"/>
    <n v="2088"/>
    <n v="3798"/>
    <n v="1710"/>
    <s v="Product 31"/>
    <x v="26"/>
    <s v="Ryan Welch"/>
    <x v="504"/>
    <n v="2"/>
    <x v="1"/>
    <x v="2"/>
    <x v="2"/>
    <x v="0"/>
    <x v="0"/>
  </r>
  <r>
    <s v="AX15220"/>
    <s v="ENX2016"/>
    <s v="A119"/>
    <s v="EMP1028"/>
    <s v="C1264"/>
    <x v="144"/>
    <n v="1"/>
    <n v="1351"/>
    <n v="1108"/>
    <n v="1108"/>
    <n v="1351"/>
    <n v="243"/>
    <s v="Product 17"/>
    <x v="16"/>
    <s v="Howard Sims"/>
    <x v="206"/>
    <n v="2"/>
    <x v="1"/>
    <x v="2"/>
    <x v="2"/>
    <x v="0"/>
    <x v="0"/>
  </r>
  <r>
    <s v="AX15403"/>
    <s v="ENX2089"/>
    <s v="A156"/>
    <s v="EMP1002"/>
    <s v="C1178"/>
    <x v="144"/>
    <n v="1"/>
    <n v="2294"/>
    <n v="1399"/>
    <n v="1399"/>
    <n v="2294"/>
    <n v="895"/>
    <s v="Product 90"/>
    <x v="14"/>
    <s v="Andrew Bowman"/>
    <x v="465"/>
    <n v="2"/>
    <x v="1"/>
    <x v="2"/>
    <x v="2"/>
    <x v="0"/>
    <x v="0"/>
  </r>
  <r>
    <s v="AX15452"/>
    <s v="ENX2071"/>
    <s v="A112"/>
    <s v="EMP1003"/>
    <s v="C1550"/>
    <x v="143"/>
    <n v="4"/>
    <n v="136"/>
    <n v="72"/>
    <n v="288"/>
    <n v="544"/>
    <n v="256"/>
    <s v="Product 72"/>
    <x v="66"/>
    <s v="Christopher Tucker"/>
    <x v="689"/>
    <n v="2"/>
    <x v="1"/>
    <x v="2"/>
    <x v="2"/>
    <x v="0"/>
    <x v="0"/>
  </r>
  <r>
    <s v="AX15526"/>
    <s v="ENX2028"/>
    <s v="A102"/>
    <s v="EMP1015"/>
    <s v="C1142"/>
    <x v="143"/>
    <n v="1"/>
    <n v="2283"/>
    <n v="1484"/>
    <n v="1484"/>
    <n v="2283"/>
    <n v="799"/>
    <s v="Product 29"/>
    <x v="44"/>
    <s v="Justin Lynch"/>
    <x v="731"/>
    <n v="2"/>
    <x v="1"/>
    <x v="2"/>
    <x v="2"/>
    <x v="0"/>
    <x v="0"/>
  </r>
  <r>
    <s v="AX15650"/>
    <s v="ENX2082"/>
    <s v="A146"/>
    <s v="EMP1043"/>
    <s v="C1106"/>
    <x v="144"/>
    <n v="1"/>
    <n v="1103"/>
    <n v="838"/>
    <n v="838"/>
    <n v="1103"/>
    <n v="265"/>
    <s v="Product 83"/>
    <x v="27"/>
    <s v="Joshua Taylor"/>
    <x v="377"/>
    <n v="2"/>
    <x v="1"/>
    <x v="2"/>
    <x v="2"/>
    <x v="0"/>
    <x v="0"/>
  </r>
  <r>
    <s v="AX15887"/>
    <s v="ENX2095"/>
    <s v="A107"/>
    <s v="EMP1021"/>
    <s v="C1633"/>
    <x v="144"/>
    <n v="1"/>
    <n v="1743"/>
    <n v="872"/>
    <n v="872"/>
    <n v="1743"/>
    <n v="871"/>
    <s v="Product 96"/>
    <x v="21"/>
    <s v="Clarence Fox"/>
    <x v="558"/>
    <n v="2"/>
    <x v="1"/>
    <x v="2"/>
    <x v="2"/>
    <x v="0"/>
    <x v="0"/>
  </r>
  <r>
    <s v="AX16118"/>
    <s v="ENX2094"/>
    <s v="A127"/>
    <s v="EMP1016"/>
    <s v="C1219"/>
    <x v="142"/>
    <n v="1"/>
    <n v="771"/>
    <n v="648"/>
    <n v="648"/>
    <n v="771"/>
    <n v="123"/>
    <s v="Product 95"/>
    <x v="69"/>
    <s v="Henry Nelson"/>
    <x v="301"/>
    <n v="2"/>
    <x v="1"/>
    <x v="2"/>
    <x v="2"/>
    <x v="0"/>
    <x v="0"/>
  </r>
  <r>
    <s v="AX16255"/>
    <s v="ENX2012"/>
    <s v="A136"/>
    <s v="EMP1015"/>
    <s v="C1486"/>
    <x v="143"/>
    <n v="2"/>
    <n v="1353"/>
    <n v="947"/>
    <n v="1894"/>
    <n v="2706"/>
    <n v="812"/>
    <s v="Product 13"/>
    <x v="43"/>
    <s v="Justin Lynch"/>
    <x v="357"/>
    <n v="2"/>
    <x v="1"/>
    <x v="2"/>
    <x v="2"/>
    <x v="0"/>
    <x v="0"/>
  </r>
  <r>
    <s v="AX16290"/>
    <s v="ENX2070"/>
    <s v="A153"/>
    <s v="EMP1002"/>
    <s v="C1009"/>
    <x v="140"/>
    <n v="2"/>
    <n v="1671"/>
    <n v="1220"/>
    <n v="2440"/>
    <n v="3342"/>
    <n v="902"/>
    <s v="Product 71"/>
    <x v="8"/>
    <s v="Andrew Bowman"/>
    <x v="458"/>
    <n v="2"/>
    <x v="1"/>
    <x v="2"/>
    <x v="2"/>
    <x v="0"/>
    <x v="0"/>
  </r>
  <r>
    <s v="AX16612"/>
    <s v="ENX2055"/>
    <s v="A118"/>
    <s v="EMP1009"/>
    <s v="C1266"/>
    <x v="143"/>
    <n v="1"/>
    <n v="2495"/>
    <n v="1896"/>
    <n v="1896"/>
    <n v="2495"/>
    <n v="599"/>
    <s v="Product 56"/>
    <x v="19"/>
    <s v="Kenneth Fields"/>
    <x v="254"/>
    <n v="2"/>
    <x v="1"/>
    <x v="2"/>
    <x v="2"/>
    <x v="0"/>
    <x v="0"/>
  </r>
  <r>
    <s v="AX16819"/>
    <s v="ENX2067"/>
    <s v="A128"/>
    <s v="EMP1031"/>
    <s v="C1564"/>
    <x v="140"/>
    <n v="2"/>
    <n v="1119"/>
    <n v="683"/>
    <n v="1366"/>
    <n v="2238"/>
    <n v="872"/>
    <s v="Product 68"/>
    <x v="12"/>
    <s v="Brian Thomas"/>
    <x v="302"/>
    <n v="2"/>
    <x v="1"/>
    <x v="2"/>
    <x v="2"/>
    <x v="0"/>
    <x v="0"/>
  </r>
  <r>
    <s v="AX16875"/>
    <s v="ENX2057"/>
    <s v="A160"/>
    <s v="EMP1033"/>
    <s v="C1414"/>
    <x v="140"/>
    <n v="1"/>
    <n v="181"/>
    <n v="130"/>
    <n v="130"/>
    <n v="181"/>
    <n v="51"/>
    <s v="Product 58"/>
    <x v="9"/>
    <s v="Jerry Perry"/>
    <x v="140"/>
    <n v="2"/>
    <x v="1"/>
    <x v="2"/>
    <x v="2"/>
    <x v="0"/>
    <x v="0"/>
  </r>
  <r>
    <s v="AX16881"/>
    <s v="ENX2016"/>
    <s v="A106"/>
    <s v="EMP1013"/>
    <s v="C1327"/>
    <x v="144"/>
    <n v="4"/>
    <n v="1351"/>
    <n v="1108"/>
    <n v="4432"/>
    <n v="5404"/>
    <n v="972"/>
    <s v="Product 17"/>
    <x v="11"/>
    <s v="Charles Harper"/>
    <x v="321"/>
    <n v="2"/>
    <x v="1"/>
    <x v="2"/>
    <x v="2"/>
    <x v="0"/>
    <x v="0"/>
  </r>
  <r>
    <s v="AX16917"/>
    <s v="ENX2074"/>
    <s v="A149"/>
    <s v="EMP1000"/>
    <s v="C1503"/>
    <x v="142"/>
    <n v="2"/>
    <n v="504"/>
    <n v="408"/>
    <n v="816"/>
    <n v="1008"/>
    <n v="192"/>
    <s v="Product 75"/>
    <x v="59"/>
    <s v="Fred Robertson"/>
    <x v="569"/>
    <n v="2"/>
    <x v="1"/>
    <x v="2"/>
    <x v="2"/>
    <x v="0"/>
    <x v="0"/>
  </r>
  <r>
    <s v="AX16967"/>
    <s v="ENX2003"/>
    <s v="A154"/>
    <s v="EMP1037"/>
    <s v="C1147"/>
    <x v="141"/>
    <n v="2"/>
    <n v="1783"/>
    <n v="1516"/>
    <n v="3032"/>
    <n v="3566"/>
    <n v="534"/>
    <s v="Product 4"/>
    <x v="24"/>
    <s v="Carl Hall"/>
    <x v="427"/>
    <n v="2"/>
    <x v="1"/>
    <x v="2"/>
    <x v="2"/>
    <x v="0"/>
    <x v="0"/>
  </r>
  <r>
    <s v="AX17226"/>
    <s v="ENX2016"/>
    <s v="A120"/>
    <s v="EMP1005"/>
    <s v="C1460"/>
    <x v="141"/>
    <n v="3"/>
    <n v="1351"/>
    <n v="1108"/>
    <n v="3324"/>
    <n v="4053"/>
    <n v="729"/>
    <s v="Product 17"/>
    <x v="20"/>
    <s v="Ryan Welch"/>
    <x v="613"/>
    <n v="2"/>
    <x v="1"/>
    <x v="2"/>
    <x v="2"/>
    <x v="0"/>
    <x v="0"/>
  </r>
  <r>
    <s v="AX18067"/>
    <s v="ENX2038"/>
    <s v="A139"/>
    <s v="EMP1012"/>
    <s v="C1256"/>
    <x v="142"/>
    <n v="4"/>
    <n v="392"/>
    <n v="255"/>
    <n v="1020"/>
    <n v="1568"/>
    <n v="548"/>
    <s v="Product 39"/>
    <x v="38"/>
    <s v="John Reyes"/>
    <x v="524"/>
    <n v="2"/>
    <x v="1"/>
    <x v="2"/>
    <x v="2"/>
    <x v="0"/>
    <x v="0"/>
  </r>
  <r>
    <s v="AX18137"/>
    <s v="ENX2083"/>
    <s v="A155"/>
    <s v="EMP1010"/>
    <s v="C1753"/>
    <x v="144"/>
    <n v="1"/>
    <n v="2141"/>
    <n v="1777"/>
    <n v="1777"/>
    <n v="2141"/>
    <n v="364"/>
    <s v="Product 84"/>
    <x v="53"/>
    <s v="Joshua Cook"/>
    <x v="696"/>
    <n v="2"/>
    <x v="1"/>
    <x v="2"/>
    <x v="2"/>
    <x v="0"/>
    <x v="0"/>
  </r>
  <r>
    <s v="AX18263"/>
    <s v="ENX2061"/>
    <s v="A108"/>
    <s v="EMP1018"/>
    <s v="C1329"/>
    <x v="143"/>
    <n v="4"/>
    <n v="913"/>
    <n v="584"/>
    <n v="2336"/>
    <n v="3652"/>
    <n v="1316"/>
    <s v="Product 62"/>
    <x v="49"/>
    <s v="Jimmy Young"/>
    <x v="244"/>
    <n v="2"/>
    <x v="1"/>
    <x v="2"/>
    <x v="2"/>
    <x v="0"/>
    <x v="0"/>
  </r>
  <r>
    <s v="AX18456"/>
    <s v="ENX2069"/>
    <s v="A133"/>
    <s v="EMP1033"/>
    <s v="C1693"/>
    <x v="140"/>
    <n v="1"/>
    <n v="378"/>
    <n v="291"/>
    <n v="291"/>
    <n v="378"/>
    <n v="87"/>
    <s v="Product 70"/>
    <x v="46"/>
    <s v="Jerry Perry"/>
    <x v="724"/>
    <n v="2"/>
    <x v="1"/>
    <x v="2"/>
    <x v="2"/>
    <x v="0"/>
    <x v="0"/>
  </r>
  <r>
    <s v="AX18513"/>
    <s v="ENX2081"/>
    <s v="A171"/>
    <s v="EMP1016"/>
    <s v="C1576"/>
    <x v="141"/>
    <n v="2"/>
    <n v="1566"/>
    <n v="1190"/>
    <n v="2380"/>
    <n v="3132"/>
    <n v="752"/>
    <s v="Product 82"/>
    <x v="0"/>
    <s v="Henry Nelson"/>
    <x v="398"/>
    <n v="2"/>
    <x v="1"/>
    <x v="2"/>
    <x v="2"/>
    <x v="0"/>
    <x v="0"/>
  </r>
  <r>
    <s v="AX19068"/>
    <s v="ENX2088"/>
    <s v="A130"/>
    <s v="EMP1022"/>
    <s v="C1470"/>
    <x v="144"/>
    <n v="4"/>
    <n v="603"/>
    <n v="416"/>
    <n v="1664"/>
    <n v="2412"/>
    <n v="748"/>
    <s v="Product 89"/>
    <x v="4"/>
    <s v="Walter Cook"/>
    <x v="621"/>
    <n v="2"/>
    <x v="1"/>
    <x v="2"/>
    <x v="2"/>
    <x v="0"/>
    <x v="0"/>
  </r>
  <r>
    <s v="AX19209"/>
    <s v="ENX2071"/>
    <s v="A108"/>
    <s v="EMP1025"/>
    <s v="C1347"/>
    <x v="142"/>
    <n v="3"/>
    <n v="136"/>
    <n v="72"/>
    <n v="216"/>
    <n v="408"/>
    <n v="192"/>
    <s v="Product 72"/>
    <x v="49"/>
    <s v="Ernest Wagner"/>
    <x v="686"/>
    <n v="2"/>
    <x v="1"/>
    <x v="2"/>
    <x v="2"/>
    <x v="0"/>
    <x v="0"/>
  </r>
  <r>
    <s v="AX19882"/>
    <s v="ENX2048"/>
    <s v="A125"/>
    <s v="EMP1011"/>
    <s v="C1251"/>
    <x v="141"/>
    <n v="1"/>
    <n v="502"/>
    <n v="296"/>
    <n v="296"/>
    <n v="502"/>
    <n v="206"/>
    <s v="Product 49"/>
    <x v="31"/>
    <s v="Larry Marshall"/>
    <x v="199"/>
    <n v="2"/>
    <x v="1"/>
    <x v="2"/>
    <x v="2"/>
    <x v="0"/>
    <x v="0"/>
  </r>
  <r>
    <s v="AX20193"/>
    <s v="ENX2087"/>
    <s v="A110"/>
    <s v="EMP1010"/>
    <s v="C1750"/>
    <x v="144"/>
    <n v="2"/>
    <n v="1022"/>
    <n v="818"/>
    <n v="1636"/>
    <n v="2044"/>
    <n v="408"/>
    <s v="Product 88"/>
    <x v="63"/>
    <s v="Joshua Cook"/>
    <x v="591"/>
    <n v="2"/>
    <x v="1"/>
    <x v="2"/>
    <x v="2"/>
    <x v="0"/>
    <x v="0"/>
  </r>
  <r>
    <s v="AX20203"/>
    <s v="ENX2005"/>
    <s v="A135"/>
    <s v="EMP1022"/>
    <s v="C1006"/>
    <x v="143"/>
    <n v="2"/>
    <n v="684"/>
    <n v="561"/>
    <n v="1122"/>
    <n v="1368"/>
    <n v="246"/>
    <s v="Product 6"/>
    <x v="10"/>
    <s v="Walter Cook"/>
    <x v="687"/>
    <n v="2"/>
    <x v="1"/>
    <x v="2"/>
    <x v="2"/>
    <x v="0"/>
    <x v="0"/>
  </r>
  <r>
    <s v="AX20283"/>
    <s v="ENX2026"/>
    <s v="A148"/>
    <s v="EMP1008"/>
    <s v="C1528"/>
    <x v="141"/>
    <n v="4"/>
    <n v="947"/>
    <n v="786"/>
    <n v="3144"/>
    <n v="3788"/>
    <n v="644"/>
    <s v="Product 27"/>
    <x v="62"/>
    <s v="Carl Elliott"/>
    <x v="158"/>
    <n v="2"/>
    <x v="1"/>
    <x v="2"/>
    <x v="2"/>
    <x v="0"/>
    <x v="0"/>
  </r>
  <r>
    <s v="AX20653"/>
    <s v="ENX2071"/>
    <s v="A164"/>
    <s v="EMP1003"/>
    <s v="C1252"/>
    <x v="141"/>
    <n v="1"/>
    <n v="136"/>
    <n v="72"/>
    <n v="72"/>
    <n v="136"/>
    <n v="64"/>
    <s v="Product 72"/>
    <x v="3"/>
    <s v="Christopher Tucker"/>
    <x v="358"/>
    <n v="2"/>
    <x v="1"/>
    <x v="2"/>
    <x v="2"/>
    <x v="0"/>
    <x v="0"/>
  </r>
  <r>
    <s v="AX20834"/>
    <s v="ENX2014"/>
    <s v="A127"/>
    <s v="EMP1041"/>
    <s v="C1747"/>
    <x v="144"/>
    <n v="1"/>
    <n v="1809"/>
    <n v="1067"/>
    <n v="1067"/>
    <n v="1809"/>
    <n v="742"/>
    <s v="Product 15"/>
    <x v="69"/>
    <s v="Joe Sims"/>
    <x v="392"/>
    <n v="2"/>
    <x v="1"/>
    <x v="2"/>
    <x v="2"/>
    <x v="0"/>
    <x v="0"/>
  </r>
  <r>
    <s v="AX20840"/>
    <s v="ENX2050"/>
    <s v="A126"/>
    <s v="EMP1008"/>
    <s v="C1722"/>
    <x v="140"/>
    <n v="2"/>
    <n v="2391"/>
    <n v="1291"/>
    <n v="2582"/>
    <n v="4782"/>
    <n v="2200"/>
    <s v="Product 51"/>
    <x v="5"/>
    <s v="Carl Elliott"/>
    <x v="257"/>
    <n v="2"/>
    <x v="1"/>
    <x v="2"/>
    <x v="2"/>
    <x v="0"/>
    <x v="0"/>
  </r>
  <r>
    <s v="AX21249"/>
    <s v="ENX2099"/>
    <s v="A127"/>
    <s v="EMP1033"/>
    <s v="C1049"/>
    <x v="143"/>
    <n v="2"/>
    <n v="1367"/>
    <n v="984"/>
    <n v="1968"/>
    <n v="2734"/>
    <n v="766"/>
    <s v="Product 100"/>
    <x v="69"/>
    <s v="Jerry Perry"/>
    <x v="305"/>
    <n v="2"/>
    <x v="1"/>
    <x v="2"/>
    <x v="2"/>
    <x v="0"/>
    <x v="0"/>
  </r>
  <r>
    <s v="AX21332"/>
    <s v="ENX2047"/>
    <s v="A109"/>
    <s v="EMP1025"/>
    <s v="C1175"/>
    <x v="143"/>
    <n v="1"/>
    <n v="290"/>
    <n v="200"/>
    <n v="200"/>
    <n v="290"/>
    <n v="90"/>
    <s v="Product 48"/>
    <x v="57"/>
    <s v="Ernest Wagner"/>
    <x v="89"/>
    <n v="2"/>
    <x v="1"/>
    <x v="2"/>
    <x v="2"/>
    <x v="0"/>
    <x v="0"/>
  </r>
  <r>
    <s v="AX21383"/>
    <s v="ENX2052"/>
    <s v="A166"/>
    <s v="EMP1037"/>
    <s v="C1381"/>
    <x v="143"/>
    <n v="2"/>
    <n v="1526"/>
    <n v="1251"/>
    <n v="2502"/>
    <n v="3052"/>
    <n v="550"/>
    <s v="Product 53"/>
    <x v="70"/>
    <s v="Carl Hall"/>
    <x v="714"/>
    <n v="2"/>
    <x v="1"/>
    <x v="2"/>
    <x v="2"/>
    <x v="0"/>
    <x v="0"/>
  </r>
  <r>
    <s v="AX21535"/>
    <s v="ENX2085"/>
    <s v="A129"/>
    <s v="EMP1014"/>
    <s v="C1190"/>
    <x v="140"/>
    <n v="2"/>
    <n v="1862"/>
    <n v="1173"/>
    <n v="2346"/>
    <n v="3724"/>
    <n v="1378"/>
    <s v="Product 86"/>
    <x v="22"/>
    <s v="Ronald Reed"/>
    <x v="1"/>
    <n v="2"/>
    <x v="1"/>
    <x v="2"/>
    <x v="2"/>
    <x v="0"/>
    <x v="0"/>
  </r>
  <r>
    <s v="AX21568"/>
    <s v="ENX2026"/>
    <s v="A129"/>
    <s v="EMP1027"/>
    <s v="C1600"/>
    <x v="144"/>
    <n v="1"/>
    <n v="947"/>
    <n v="786"/>
    <n v="786"/>
    <n v="947"/>
    <n v="161"/>
    <s v="Product 27"/>
    <x v="22"/>
    <s v="Gary Rodriguez"/>
    <x v="266"/>
    <n v="2"/>
    <x v="1"/>
    <x v="2"/>
    <x v="2"/>
    <x v="0"/>
    <x v="0"/>
  </r>
  <r>
    <s v="AX21835"/>
    <s v="ENX2014"/>
    <s v="A112"/>
    <s v="EMP1000"/>
    <s v="C1471"/>
    <x v="144"/>
    <n v="1"/>
    <n v="1809"/>
    <n v="1067"/>
    <n v="1067"/>
    <n v="1809"/>
    <n v="742"/>
    <s v="Product 15"/>
    <x v="66"/>
    <s v="Fred Robertson"/>
    <x v="586"/>
    <n v="2"/>
    <x v="1"/>
    <x v="2"/>
    <x v="2"/>
    <x v="0"/>
    <x v="0"/>
  </r>
  <r>
    <s v="AX21852"/>
    <s v="ENX2070"/>
    <s v="A144"/>
    <s v="EMP1015"/>
    <s v="C1287"/>
    <x v="141"/>
    <n v="1"/>
    <n v="1671"/>
    <n v="1220"/>
    <n v="1220"/>
    <n v="1671"/>
    <n v="451"/>
    <s v="Product 71"/>
    <x v="65"/>
    <s v="Justin Lynch"/>
    <x v="443"/>
    <n v="2"/>
    <x v="1"/>
    <x v="2"/>
    <x v="2"/>
    <x v="0"/>
    <x v="0"/>
  </r>
  <r>
    <s v="AX22023"/>
    <s v="ENX2058"/>
    <s v="A103"/>
    <s v="EMP1037"/>
    <s v="C1677"/>
    <x v="143"/>
    <n v="2"/>
    <n v="2257"/>
    <n v="1535"/>
    <n v="3070"/>
    <n v="4514"/>
    <n v="1444"/>
    <s v="Product 59"/>
    <x v="61"/>
    <s v="Carl Hall"/>
    <x v="641"/>
    <n v="2"/>
    <x v="1"/>
    <x v="2"/>
    <x v="2"/>
    <x v="0"/>
    <x v="0"/>
  </r>
  <r>
    <s v="AX22118"/>
    <s v="ENX2062"/>
    <s v="A119"/>
    <s v="EMP1024"/>
    <s v="C1501"/>
    <x v="143"/>
    <n v="1"/>
    <n v="2464"/>
    <n v="1774"/>
    <n v="1774"/>
    <n v="2464"/>
    <n v="690"/>
    <s v="Product 63"/>
    <x v="16"/>
    <s v="Ernest Wheeler"/>
    <x v="387"/>
    <n v="2"/>
    <x v="1"/>
    <x v="2"/>
    <x v="2"/>
    <x v="0"/>
    <x v="0"/>
  </r>
  <r>
    <s v="AX22237"/>
    <s v="ENX2023"/>
    <s v="A102"/>
    <s v="EMP1005"/>
    <s v="C1446"/>
    <x v="141"/>
    <n v="2"/>
    <n v="818"/>
    <n v="450"/>
    <n v="900"/>
    <n v="1636"/>
    <n v="736"/>
    <s v="Product 24"/>
    <x v="44"/>
    <s v="Ryan Welch"/>
    <x v="345"/>
    <n v="2"/>
    <x v="1"/>
    <x v="2"/>
    <x v="2"/>
    <x v="0"/>
    <x v="0"/>
  </r>
  <r>
    <s v="AX22411"/>
    <s v="ENX2010"/>
    <s v="A101"/>
    <s v="EMP1025"/>
    <s v="C1434"/>
    <x v="142"/>
    <n v="2"/>
    <n v="1812"/>
    <n v="1305"/>
    <n v="2610"/>
    <n v="3624"/>
    <n v="1014"/>
    <s v="Product 11"/>
    <x v="60"/>
    <s v="Ernest Wagner"/>
    <x v="722"/>
    <n v="2"/>
    <x v="1"/>
    <x v="2"/>
    <x v="2"/>
    <x v="0"/>
    <x v="0"/>
  </r>
  <r>
    <s v="AX22809"/>
    <s v="ENX2071"/>
    <s v="A171"/>
    <s v="EMP1030"/>
    <s v="C1539"/>
    <x v="141"/>
    <n v="3"/>
    <n v="136"/>
    <n v="72"/>
    <n v="216"/>
    <n v="408"/>
    <n v="192"/>
    <s v="Product 72"/>
    <x v="0"/>
    <s v="Bobby Russell"/>
    <x v="280"/>
    <n v="2"/>
    <x v="1"/>
    <x v="2"/>
    <x v="2"/>
    <x v="0"/>
    <x v="0"/>
  </r>
  <r>
    <s v="AX22875"/>
    <s v="ENX2100"/>
    <s v="A162"/>
    <s v="EMP1007"/>
    <s v="C1438"/>
    <x v="142"/>
    <n v="1"/>
    <n v="799"/>
    <n v="455"/>
    <n v="455"/>
    <n v="799"/>
    <n v="344"/>
    <s v="Product 101"/>
    <x v="2"/>
    <s v="Jeremy Mendoza"/>
    <x v="670"/>
    <n v="2"/>
    <x v="1"/>
    <x v="2"/>
    <x v="2"/>
    <x v="0"/>
    <x v="0"/>
  </r>
  <r>
    <s v="AX23264"/>
    <s v="ENX2070"/>
    <s v="A103"/>
    <s v="EMP1012"/>
    <s v="C1400"/>
    <x v="140"/>
    <n v="1"/>
    <n v="1671"/>
    <n v="1220"/>
    <n v="1220"/>
    <n v="1671"/>
    <n v="451"/>
    <s v="Product 71"/>
    <x v="61"/>
    <s v="John Reyes"/>
    <x v="437"/>
    <n v="2"/>
    <x v="1"/>
    <x v="2"/>
    <x v="2"/>
    <x v="0"/>
    <x v="0"/>
  </r>
  <r>
    <s v="AX23745"/>
    <s v="ENX2056"/>
    <s v="A165"/>
    <s v="EMP1029"/>
    <s v="C1418"/>
    <x v="142"/>
    <n v="1"/>
    <n v="1635"/>
    <n v="1046"/>
    <n v="1046"/>
    <n v="1635"/>
    <n v="589"/>
    <s v="Product 57"/>
    <x v="55"/>
    <s v="Howard Gardner"/>
    <x v="441"/>
    <n v="2"/>
    <x v="1"/>
    <x v="2"/>
    <x v="2"/>
    <x v="0"/>
    <x v="0"/>
  </r>
  <r>
    <s v="AX23909"/>
    <s v="ENX2030"/>
    <s v="A125"/>
    <s v="EMP1023"/>
    <s v="C1681"/>
    <x v="144"/>
    <n v="1"/>
    <n v="1899"/>
    <n v="1044"/>
    <n v="1044"/>
    <n v="1899"/>
    <n v="855"/>
    <s v="Product 31"/>
    <x v="31"/>
    <s v="Brian Davis"/>
    <x v="235"/>
    <n v="2"/>
    <x v="1"/>
    <x v="2"/>
    <x v="2"/>
    <x v="0"/>
    <x v="0"/>
  </r>
  <r>
    <s v="AX24012"/>
    <s v="ENX2022"/>
    <s v="A162"/>
    <s v="EMP1034"/>
    <s v="C1243"/>
    <x v="144"/>
    <n v="1"/>
    <n v="561"/>
    <n v="421"/>
    <n v="421"/>
    <n v="561"/>
    <n v="140"/>
    <s v="Product 23"/>
    <x v="2"/>
    <s v="Arthur Mccoy"/>
    <x v="129"/>
    <n v="2"/>
    <x v="1"/>
    <x v="2"/>
    <x v="2"/>
    <x v="0"/>
    <x v="0"/>
  </r>
  <r>
    <s v="AX24056"/>
    <s v="ENX2027"/>
    <s v="A161"/>
    <s v="EMP1042"/>
    <s v="C1689"/>
    <x v="140"/>
    <n v="2"/>
    <n v="2497"/>
    <n v="1473"/>
    <n v="2946"/>
    <n v="4994"/>
    <n v="2048"/>
    <s v="Product 28"/>
    <x v="6"/>
    <s v="Scott Clark"/>
    <x v="181"/>
    <n v="2"/>
    <x v="1"/>
    <x v="2"/>
    <x v="2"/>
    <x v="0"/>
    <x v="0"/>
  </r>
  <r>
    <s v="AX24060"/>
    <s v="ENX2016"/>
    <s v="A131"/>
    <s v="EMP1002"/>
    <s v="C1112"/>
    <x v="144"/>
    <n v="1"/>
    <n v="1351"/>
    <n v="1108"/>
    <n v="1108"/>
    <n v="1351"/>
    <n v="243"/>
    <s v="Product 17"/>
    <x v="32"/>
    <s v="Andrew Bowman"/>
    <x v="590"/>
    <n v="2"/>
    <x v="1"/>
    <x v="2"/>
    <x v="2"/>
    <x v="0"/>
    <x v="0"/>
  </r>
  <r>
    <s v="AX24258"/>
    <s v="ENX2001"/>
    <s v="A154"/>
    <s v="EMP1014"/>
    <s v="C1460"/>
    <x v="140"/>
    <n v="3"/>
    <n v="951"/>
    <n v="504"/>
    <n v="1512"/>
    <n v="2853"/>
    <n v="1341"/>
    <s v="Product 2"/>
    <x v="24"/>
    <s v="Ronald Reed"/>
    <x v="613"/>
    <n v="2"/>
    <x v="1"/>
    <x v="2"/>
    <x v="2"/>
    <x v="0"/>
    <x v="0"/>
  </r>
  <r>
    <s v="AX24612"/>
    <s v="ENX2097"/>
    <s v="A102"/>
    <s v="EMP1010"/>
    <s v="C1060"/>
    <x v="141"/>
    <n v="1"/>
    <n v="1052"/>
    <n v="589"/>
    <n v="589"/>
    <n v="1052"/>
    <n v="463"/>
    <s v="Product 98"/>
    <x v="44"/>
    <s v="Joshua Cook"/>
    <x v="603"/>
    <n v="2"/>
    <x v="1"/>
    <x v="2"/>
    <x v="2"/>
    <x v="0"/>
    <x v="0"/>
  </r>
  <r>
    <s v="AX24821"/>
    <s v="ENX2022"/>
    <s v="A169"/>
    <s v="EMP1042"/>
    <s v="C1663"/>
    <x v="142"/>
    <n v="3"/>
    <n v="561"/>
    <n v="421"/>
    <n v="1263"/>
    <n v="1683"/>
    <n v="420"/>
    <s v="Product 23"/>
    <x v="17"/>
    <s v="Scott Clark"/>
    <x v="602"/>
    <n v="2"/>
    <x v="1"/>
    <x v="2"/>
    <x v="2"/>
    <x v="0"/>
    <x v="0"/>
  </r>
  <r>
    <s v="AX24850"/>
    <s v="ENX2037"/>
    <s v="A157"/>
    <s v="EMP1024"/>
    <s v="C1377"/>
    <x v="143"/>
    <n v="1"/>
    <n v="880"/>
    <n v="634"/>
    <n v="634"/>
    <n v="880"/>
    <n v="246"/>
    <s v="Product 38"/>
    <x v="7"/>
    <s v="Ernest Wheeler"/>
    <x v="214"/>
    <n v="2"/>
    <x v="1"/>
    <x v="2"/>
    <x v="2"/>
    <x v="0"/>
    <x v="0"/>
  </r>
  <r>
    <s v="AX24915"/>
    <s v="ENX2025"/>
    <s v="A114"/>
    <s v="EMP1023"/>
    <s v="C1161"/>
    <x v="141"/>
    <n v="3"/>
    <n v="667"/>
    <n v="387"/>
    <n v="1161"/>
    <n v="2001"/>
    <n v="840"/>
    <s v="Product 26"/>
    <x v="28"/>
    <s v="Brian Davis"/>
    <x v="732"/>
    <n v="2"/>
    <x v="1"/>
    <x v="2"/>
    <x v="2"/>
    <x v="0"/>
    <x v="0"/>
  </r>
  <r>
    <s v="AX11172"/>
    <s v="ENX2007"/>
    <s v="A124"/>
    <s v="EMP1042"/>
    <s v="C1308"/>
    <x v="145"/>
    <n v="1"/>
    <n v="1405"/>
    <n v="1054"/>
    <n v="1054"/>
    <n v="1405"/>
    <n v="351"/>
    <s v="Product 8"/>
    <x v="67"/>
    <s v="Scott Clark"/>
    <x v="226"/>
    <n v="2"/>
    <x v="1"/>
    <x v="2"/>
    <x v="2"/>
    <x v="0"/>
    <x v="1"/>
  </r>
  <r>
    <s v="AX11797"/>
    <s v="ENX2092"/>
    <s v="A135"/>
    <s v="EMP1036"/>
    <s v="C1723"/>
    <x v="146"/>
    <n v="1"/>
    <n v="1639"/>
    <n v="1295"/>
    <n v="1295"/>
    <n v="1639"/>
    <n v="344"/>
    <s v="Product 93"/>
    <x v="10"/>
    <s v="Robert Reed"/>
    <x v="118"/>
    <n v="2"/>
    <x v="1"/>
    <x v="2"/>
    <x v="2"/>
    <x v="0"/>
    <x v="1"/>
  </r>
  <r>
    <s v="AX12486"/>
    <s v="ENX2058"/>
    <s v="A171"/>
    <s v="EMP1004"/>
    <s v="C1368"/>
    <x v="145"/>
    <n v="3"/>
    <n v="2257"/>
    <n v="1535"/>
    <n v="4605"/>
    <n v="6771"/>
    <n v="2166"/>
    <s v="Product 59"/>
    <x v="0"/>
    <s v="Kenneth Bradley"/>
    <x v="200"/>
    <n v="2"/>
    <x v="1"/>
    <x v="2"/>
    <x v="2"/>
    <x v="0"/>
    <x v="1"/>
  </r>
  <r>
    <s v="AX12711"/>
    <s v="ENX2089"/>
    <s v="A166"/>
    <s v="EMP1001"/>
    <s v="C1503"/>
    <x v="146"/>
    <n v="3"/>
    <n v="2294"/>
    <n v="1399"/>
    <n v="4197"/>
    <n v="6882"/>
    <n v="2685"/>
    <s v="Product 90"/>
    <x v="70"/>
    <s v="Kevin Butler"/>
    <x v="569"/>
    <n v="2"/>
    <x v="1"/>
    <x v="2"/>
    <x v="2"/>
    <x v="0"/>
    <x v="1"/>
  </r>
  <r>
    <s v="AX12899"/>
    <s v="ENX2063"/>
    <s v="A156"/>
    <s v="EMP1021"/>
    <s v="C1048"/>
    <x v="146"/>
    <n v="2"/>
    <n v="1708"/>
    <n v="871"/>
    <n v="1742"/>
    <n v="3416"/>
    <n v="1674"/>
    <s v="Product 64"/>
    <x v="14"/>
    <s v="Clarence Fox"/>
    <x v="391"/>
    <n v="2"/>
    <x v="1"/>
    <x v="2"/>
    <x v="2"/>
    <x v="0"/>
    <x v="1"/>
  </r>
  <r>
    <s v="AX13377"/>
    <s v="ENX2072"/>
    <s v="A164"/>
    <s v="EMP1001"/>
    <s v="C1543"/>
    <x v="146"/>
    <n v="2"/>
    <n v="1887"/>
    <n v="1378"/>
    <n v="2756"/>
    <n v="3774"/>
    <n v="1018"/>
    <s v="Product 73"/>
    <x v="3"/>
    <s v="Kevin Butler"/>
    <x v="337"/>
    <n v="2"/>
    <x v="1"/>
    <x v="2"/>
    <x v="2"/>
    <x v="0"/>
    <x v="1"/>
  </r>
  <r>
    <s v="AX13412"/>
    <s v="ENX2077"/>
    <s v="A132"/>
    <s v="EMP1021"/>
    <s v="C1706"/>
    <x v="145"/>
    <n v="1"/>
    <n v="530"/>
    <n v="424"/>
    <n v="424"/>
    <n v="530"/>
    <n v="106"/>
    <s v="Product 78"/>
    <x v="48"/>
    <s v="Clarence Fox"/>
    <x v="171"/>
    <n v="2"/>
    <x v="1"/>
    <x v="2"/>
    <x v="2"/>
    <x v="0"/>
    <x v="1"/>
  </r>
  <r>
    <s v="AX13454"/>
    <s v="ENX2083"/>
    <s v="A140"/>
    <s v="EMP1034"/>
    <s v="C1480"/>
    <x v="146"/>
    <n v="1"/>
    <n v="2141"/>
    <n v="1777"/>
    <n v="1777"/>
    <n v="2141"/>
    <n v="364"/>
    <s v="Product 84"/>
    <x v="18"/>
    <s v="Arthur Mccoy"/>
    <x v="64"/>
    <n v="2"/>
    <x v="1"/>
    <x v="2"/>
    <x v="2"/>
    <x v="0"/>
    <x v="1"/>
  </r>
  <r>
    <s v="AX14097"/>
    <s v="ENX2054"/>
    <s v="A137"/>
    <s v="EMP1026"/>
    <s v="C1125"/>
    <x v="145"/>
    <n v="3"/>
    <n v="127"/>
    <n v="79"/>
    <n v="237"/>
    <n v="381"/>
    <n v="144"/>
    <s v="Product 55"/>
    <x v="68"/>
    <s v="Martin Perry"/>
    <x v="539"/>
    <n v="2"/>
    <x v="1"/>
    <x v="2"/>
    <x v="2"/>
    <x v="0"/>
    <x v="1"/>
  </r>
  <r>
    <s v="AX14253"/>
    <s v="ENX2009"/>
    <s v="A158"/>
    <s v="EMP1026"/>
    <s v="C1166"/>
    <x v="146"/>
    <n v="1"/>
    <n v="584"/>
    <n v="420"/>
    <n v="420"/>
    <n v="584"/>
    <n v="164"/>
    <s v="Product 10"/>
    <x v="58"/>
    <s v="Martin Perry"/>
    <x v="733"/>
    <n v="2"/>
    <x v="1"/>
    <x v="2"/>
    <x v="2"/>
    <x v="0"/>
    <x v="1"/>
  </r>
  <r>
    <s v="AX14426"/>
    <s v="ENX2090"/>
    <s v="A102"/>
    <s v="EMP1025"/>
    <s v="C1388"/>
    <x v="146"/>
    <n v="1"/>
    <n v="1338"/>
    <n v="682"/>
    <n v="682"/>
    <n v="1338"/>
    <n v="656"/>
    <s v="Product 91"/>
    <x v="44"/>
    <s v="Ernest Wagner"/>
    <x v="120"/>
    <n v="2"/>
    <x v="1"/>
    <x v="2"/>
    <x v="2"/>
    <x v="0"/>
    <x v="1"/>
  </r>
  <r>
    <s v="AX14474"/>
    <s v="ENX2021"/>
    <s v="A132"/>
    <s v="EMP1019"/>
    <s v="C1014"/>
    <x v="146"/>
    <n v="3"/>
    <n v="217"/>
    <n v="171"/>
    <n v="513"/>
    <n v="651"/>
    <n v="138"/>
    <s v="Product 22"/>
    <x v="48"/>
    <s v="Roger Robertson"/>
    <x v="26"/>
    <n v="2"/>
    <x v="1"/>
    <x v="2"/>
    <x v="2"/>
    <x v="0"/>
    <x v="1"/>
  </r>
  <r>
    <s v="AX14481"/>
    <s v="ENX2048"/>
    <s v="A173"/>
    <s v="EMP1026"/>
    <s v="C1629"/>
    <x v="145"/>
    <n v="3"/>
    <n v="502"/>
    <n v="296"/>
    <n v="888"/>
    <n v="1506"/>
    <n v="618"/>
    <s v="Product 49"/>
    <x v="25"/>
    <s v="Martin Perry"/>
    <x v="734"/>
    <n v="2"/>
    <x v="1"/>
    <x v="2"/>
    <x v="2"/>
    <x v="0"/>
    <x v="1"/>
  </r>
  <r>
    <s v="AX15707"/>
    <s v="ENX2077"/>
    <s v="A145"/>
    <s v="EMP1009"/>
    <s v="C1543"/>
    <x v="145"/>
    <n v="3"/>
    <n v="530"/>
    <n v="424"/>
    <n v="1272"/>
    <n v="1590"/>
    <n v="318"/>
    <s v="Product 78"/>
    <x v="35"/>
    <s v="Kenneth Fields"/>
    <x v="337"/>
    <n v="2"/>
    <x v="1"/>
    <x v="2"/>
    <x v="2"/>
    <x v="0"/>
    <x v="1"/>
  </r>
  <r>
    <s v="AX16284"/>
    <s v="ENX2073"/>
    <s v="A124"/>
    <s v="EMP1038"/>
    <s v="C1542"/>
    <x v="146"/>
    <n v="2"/>
    <n v="95"/>
    <n v="61"/>
    <n v="122"/>
    <n v="190"/>
    <n v="68"/>
    <s v="Product 74"/>
    <x v="67"/>
    <s v="Scott Mason"/>
    <x v="712"/>
    <n v="2"/>
    <x v="1"/>
    <x v="2"/>
    <x v="2"/>
    <x v="0"/>
    <x v="1"/>
  </r>
  <r>
    <s v="AX16706"/>
    <s v="ENX2033"/>
    <s v="A155"/>
    <s v="EMP1037"/>
    <s v="C1078"/>
    <x v="145"/>
    <n v="3"/>
    <n v="2182"/>
    <n v="1200"/>
    <n v="3600"/>
    <n v="6546"/>
    <n v="2946"/>
    <s v="Product 34"/>
    <x v="53"/>
    <s v="Carl Hall"/>
    <x v="565"/>
    <n v="2"/>
    <x v="1"/>
    <x v="2"/>
    <x v="2"/>
    <x v="0"/>
    <x v="1"/>
  </r>
  <r>
    <s v="AX16966"/>
    <s v="ENX2083"/>
    <s v="A117"/>
    <s v="EMP1015"/>
    <s v="C1633"/>
    <x v="146"/>
    <n v="4"/>
    <n v="2141"/>
    <n v="1777"/>
    <n v="7108"/>
    <n v="8564"/>
    <n v="1456"/>
    <s v="Product 84"/>
    <x v="29"/>
    <s v="Justin Lynch"/>
    <x v="558"/>
    <n v="2"/>
    <x v="1"/>
    <x v="2"/>
    <x v="2"/>
    <x v="0"/>
    <x v="1"/>
  </r>
  <r>
    <s v="AX17395"/>
    <s v="ENX2044"/>
    <s v="A167"/>
    <s v="EMP1018"/>
    <s v="C1333"/>
    <x v="145"/>
    <n v="1"/>
    <n v="886"/>
    <n v="478"/>
    <n v="478"/>
    <n v="886"/>
    <n v="408"/>
    <s v="Product 45"/>
    <x v="64"/>
    <s v="Jimmy Young"/>
    <x v="673"/>
    <n v="2"/>
    <x v="1"/>
    <x v="2"/>
    <x v="2"/>
    <x v="0"/>
    <x v="1"/>
  </r>
  <r>
    <s v="AX17482"/>
    <s v="ENX2065"/>
    <s v="A167"/>
    <s v="EMP1006"/>
    <s v="C1728"/>
    <x v="146"/>
    <n v="1"/>
    <n v="2396"/>
    <n v="1965"/>
    <n v="1965"/>
    <n v="2396"/>
    <n v="431"/>
    <s v="Product 66"/>
    <x v="64"/>
    <s v="Sean Miller"/>
    <x v="446"/>
    <n v="2"/>
    <x v="1"/>
    <x v="2"/>
    <x v="2"/>
    <x v="0"/>
    <x v="1"/>
  </r>
  <r>
    <s v="AX17526"/>
    <s v="ENX2095"/>
    <s v="A155"/>
    <s v="EMP1028"/>
    <s v="C1590"/>
    <x v="146"/>
    <n v="4"/>
    <n v="1743"/>
    <n v="872"/>
    <n v="3488"/>
    <n v="6972"/>
    <n v="3484"/>
    <s v="Product 96"/>
    <x v="53"/>
    <s v="Howard Sims"/>
    <x v="735"/>
    <n v="2"/>
    <x v="1"/>
    <x v="2"/>
    <x v="2"/>
    <x v="0"/>
    <x v="1"/>
  </r>
  <r>
    <s v="AX17754"/>
    <s v="ENX2005"/>
    <s v="A115"/>
    <s v="EMP1038"/>
    <s v="C1519"/>
    <x v="146"/>
    <n v="4"/>
    <n v="684"/>
    <n v="561"/>
    <n v="2244"/>
    <n v="2736"/>
    <n v="492"/>
    <s v="Product 6"/>
    <x v="33"/>
    <s v="Scott Mason"/>
    <x v="426"/>
    <n v="2"/>
    <x v="1"/>
    <x v="2"/>
    <x v="2"/>
    <x v="0"/>
    <x v="1"/>
  </r>
  <r>
    <s v="AX18994"/>
    <s v="ENX2015"/>
    <s v="A149"/>
    <s v="EMP1004"/>
    <s v="C1033"/>
    <x v="146"/>
    <n v="1"/>
    <n v="637"/>
    <n v="389"/>
    <n v="389"/>
    <n v="637"/>
    <n v="248"/>
    <s v="Product 16"/>
    <x v="59"/>
    <s v="Kenneth Bradley"/>
    <x v="515"/>
    <n v="2"/>
    <x v="1"/>
    <x v="2"/>
    <x v="2"/>
    <x v="0"/>
    <x v="1"/>
  </r>
  <r>
    <s v="AX19855"/>
    <s v="ENX2065"/>
    <s v="A125"/>
    <s v="EMP1005"/>
    <s v="C1103"/>
    <x v="146"/>
    <n v="1"/>
    <n v="2396"/>
    <n v="1965"/>
    <n v="1965"/>
    <n v="2396"/>
    <n v="431"/>
    <s v="Product 66"/>
    <x v="31"/>
    <s v="Ryan Welch"/>
    <x v="336"/>
    <n v="2"/>
    <x v="1"/>
    <x v="2"/>
    <x v="2"/>
    <x v="0"/>
    <x v="1"/>
  </r>
  <r>
    <s v="AX20041"/>
    <s v="ENX2055"/>
    <s v="A156"/>
    <s v="EMP1021"/>
    <s v="C1070"/>
    <x v="146"/>
    <n v="1"/>
    <n v="2495"/>
    <n v="1896"/>
    <n v="1896"/>
    <n v="2495"/>
    <n v="599"/>
    <s v="Product 56"/>
    <x v="14"/>
    <s v="Clarence Fox"/>
    <x v="48"/>
    <n v="2"/>
    <x v="1"/>
    <x v="2"/>
    <x v="2"/>
    <x v="0"/>
    <x v="1"/>
  </r>
  <r>
    <s v="AX20399"/>
    <s v="ENX2002"/>
    <s v="A146"/>
    <s v="EMP1033"/>
    <s v="C1551"/>
    <x v="145"/>
    <n v="3"/>
    <n v="847"/>
    <n v="534"/>
    <n v="1602"/>
    <n v="2541"/>
    <n v="939"/>
    <s v="Product 3"/>
    <x v="27"/>
    <s v="Jerry Perry"/>
    <x v="596"/>
    <n v="2"/>
    <x v="1"/>
    <x v="2"/>
    <x v="2"/>
    <x v="0"/>
    <x v="1"/>
  </r>
  <r>
    <s v="AX20679"/>
    <s v="ENX2053"/>
    <s v="A173"/>
    <s v="EMP1007"/>
    <s v="C1773"/>
    <x v="145"/>
    <n v="2"/>
    <n v="596"/>
    <n v="358"/>
    <n v="716"/>
    <n v="1192"/>
    <n v="476"/>
    <s v="Product 54"/>
    <x v="25"/>
    <s v="Jeremy Mendoza"/>
    <x v="723"/>
    <n v="2"/>
    <x v="1"/>
    <x v="2"/>
    <x v="2"/>
    <x v="0"/>
    <x v="1"/>
  </r>
  <r>
    <s v="AX21663"/>
    <s v="ENX2013"/>
    <s v="A142"/>
    <s v="EMP1024"/>
    <s v="C1270"/>
    <x v="145"/>
    <n v="3"/>
    <n v="368"/>
    <n v="269"/>
    <n v="807"/>
    <n v="1104"/>
    <n v="297"/>
    <s v="Product 14"/>
    <x v="56"/>
    <s v="Ernest Wheeler"/>
    <x v="517"/>
    <n v="2"/>
    <x v="1"/>
    <x v="2"/>
    <x v="2"/>
    <x v="0"/>
    <x v="1"/>
  </r>
  <r>
    <s v="AX21763"/>
    <s v="ENX2067"/>
    <s v="A157"/>
    <s v="EMP1044"/>
    <s v="C1176"/>
    <x v="145"/>
    <n v="2"/>
    <n v="1119"/>
    <n v="683"/>
    <n v="1366"/>
    <n v="2238"/>
    <n v="872"/>
    <s v="Product 68"/>
    <x v="7"/>
    <s v="Martin Carr"/>
    <x v="117"/>
    <n v="2"/>
    <x v="1"/>
    <x v="2"/>
    <x v="2"/>
    <x v="0"/>
    <x v="1"/>
  </r>
  <r>
    <s v="AX22314"/>
    <s v="ENX2030"/>
    <s v="A145"/>
    <s v="EMP1029"/>
    <s v="C1576"/>
    <x v="145"/>
    <n v="3"/>
    <n v="1899"/>
    <n v="1044"/>
    <n v="3132"/>
    <n v="5697"/>
    <n v="2565"/>
    <s v="Product 31"/>
    <x v="35"/>
    <s v="Howard Gardner"/>
    <x v="398"/>
    <n v="2"/>
    <x v="1"/>
    <x v="2"/>
    <x v="2"/>
    <x v="0"/>
    <x v="1"/>
  </r>
  <r>
    <s v="AX22453"/>
    <s v="ENX2015"/>
    <s v="A138"/>
    <s v="EMP1017"/>
    <s v="C1759"/>
    <x v="145"/>
    <n v="3"/>
    <n v="637"/>
    <n v="389"/>
    <n v="1167"/>
    <n v="1911"/>
    <n v="744"/>
    <s v="Product 16"/>
    <x v="37"/>
    <s v="Brian Hansen"/>
    <x v="355"/>
    <n v="2"/>
    <x v="1"/>
    <x v="2"/>
    <x v="2"/>
    <x v="0"/>
    <x v="1"/>
  </r>
  <r>
    <s v="AX22506"/>
    <s v="ENX2061"/>
    <s v="A127"/>
    <s v="EMP1014"/>
    <s v="C1059"/>
    <x v="146"/>
    <n v="1"/>
    <n v="913"/>
    <n v="584"/>
    <n v="584"/>
    <n v="913"/>
    <n v="329"/>
    <s v="Product 62"/>
    <x v="69"/>
    <s v="Ronald Reed"/>
    <x v="297"/>
    <n v="2"/>
    <x v="1"/>
    <x v="2"/>
    <x v="2"/>
    <x v="0"/>
    <x v="1"/>
  </r>
  <r>
    <s v="AX24490"/>
    <s v="ENX2078"/>
    <s v="A160"/>
    <s v="EMP1034"/>
    <s v="C1688"/>
    <x v="145"/>
    <n v="3"/>
    <n v="1798"/>
    <n v="971"/>
    <n v="2913"/>
    <n v="5394"/>
    <n v="2481"/>
    <s v="Product 79"/>
    <x v="9"/>
    <s v="Arthur Mccoy"/>
    <x v="213"/>
    <n v="2"/>
    <x v="1"/>
    <x v="2"/>
    <x v="2"/>
    <x v="0"/>
    <x v="1"/>
  </r>
  <r>
    <s v="AX10045"/>
    <s v="ENX2058"/>
    <s v="A161"/>
    <s v="EMP1028"/>
    <s v="C1419"/>
    <x v="147"/>
    <n v="2"/>
    <n v="2257"/>
    <n v="1535"/>
    <n v="3070"/>
    <n v="4514"/>
    <n v="1444"/>
    <s v="Product 59"/>
    <x v="6"/>
    <s v="Howard Sims"/>
    <x v="163"/>
    <n v="2"/>
    <x v="1"/>
    <x v="2"/>
    <x v="2"/>
    <x v="0"/>
    <x v="2"/>
  </r>
  <r>
    <s v="AX10143"/>
    <s v="ENX2049"/>
    <s v="A127"/>
    <s v="EMP1035"/>
    <s v="C1258"/>
    <x v="147"/>
    <n v="1"/>
    <n v="826"/>
    <n v="562"/>
    <n v="562"/>
    <n v="826"/>
    <n v="264"/>
    <s v="Product 50"/>
    <x v="69"/>
    <s v="Roger Ramos"/>
    <x v="644"/>
    <n v="2"/>
    <x v="1"/>
    <x v="2"/>
    <x v="2"/>
    <x v="0"/>
    <x v="2"/>
  </r>
  <r>
    <s v="AX10954"/>
    <s v="ENX2077"/>
    <s v="A119"/>
    <s v="EMP1012"/>
    <s v="C1350"/>
    <x v="148"/>
    <n v="1"/>
    <n v="530"/>
    <n v="424"/>
    <n v="424"/>
    <n v="530"/>
    <n v="106"/>
    <s v="Product 78"/>
    <x v="16"/>
    <s v="John Reyes"/>
    <x v="625"/>
    <n v="2"/>
    <x v="1"/>
    <x v="2"/>
    <x v="2"/>
    <x v="0"/>
    <x v="2"/>
  </r>
  <r>
    <s v="AX10982"/>
    <s v="ENX2089"/>
    <s v="A129"/>
    <s v="EMP1037"/>
    <s v="C1368"/>
    <x v="149"/>
    <n v="2"/>
    <n v="2294"/>
    <n v="1399"/>
    <n v="2798"/>
    <n v="4588"/>
    <n v="1790"/>
    <s v="Product 90"/>
    <x v="22"/>
    <s v="Carl Hall"/>
    <x v="200"/>
    <n v="2"/>
    <x v="1"/>
    <x v="2"/>
    <x v="2"/>
    <x v="0"/>
    <x v="2"/>
  </r>
  <r>
    <s v="AX11057"/>
    <s v="ENX2005"/>
    <s v="A122"/>
    <s v="EMP1043"/>
    <s v="C1476"/>
    <x v="148"/>
    <n v="4"/>
    <n v="684"/>
    <n v="561"/>
    <n v="2244"/>
    <n v="2736"/>
    <n v="492"/>
    <s v="Product 6"/>
    <x v="71"/>
    <s v="Joshua Taylor"/>
    <x v="207"/>
    <n v="2"/>
    <x v="1"/>
    <x v="2"/>
    <x v="2"/>
    <x v="0"/>
    <x v="2"/>
  </r>
  <r>
    <s v="AX11259"/>
    <s v="ENX2027"/>
    <s v="A146"/>
    <s v="EMP1029"/>
    <s v="C1750"/>
    <x v="147"/>
    <n v="3"/>
    <n v="2497"/>
    <n v="1473"/>
    <n v="4419"/>
    <n v="7491"/>
    <n v="3072"/>
    <s v="Product 28"/>
    <x v="27"/>
    <s v="Howard Gardner"/>
    <x v="591"/>
    <n v="2"/>
    <x v="1"/>
    <x v="2"/>
    <x v="2"/>
    <x v="0"/>
    <x v="2"/>
  </r>
  <r>
    <s v="AX11659"/>
    <s v="ENX2033"/>
    <s v="A101"/>
    <s v="EMP1003"/>
    <s v="C1506"/>
    <x v="148"/>
    <n v="3"/>
    <n v="2182"/>
    <n v="1200"/>
    <n v="3600"/>
    <n v="6546"/>
    <n v="2946"/>
    <s v="Product 34"/>
    <x v="60"/>
    <s v="Christopher Tucker"/>
    <x v="538"/>
    <n v="2"/>
    <x v="1"/>
    <x v="2"/>
    <x v="2"/>
    <x v="0"/>
    <x v="2"/>
  </r>
  <r>
    <s v="AX12445"/>
    <s v="ENX2078"/>
    <s v="A132"/>
    <s v="EMP1044"/>
    <s v="C1137"/>
    <x v="147"/>
    <n v="1"/>
    <n v="1798"/>
    <n v="971"/>
    <n v="971"/>
    <n v="1798"/>
    <n v="827"/>
    <s v="Product 79"/>
    <x v="48"/>
    <s v="Martin Carr"/>
    <x v="131"/>
    <n v="2"/>
    <x v="1"/>
    <x v="2"/>
    <x v="2"/>
    <x v="0"/>
    <x v="2"/>
  </r>
  <r>
    <s v="AX12647"/>
    <s v="ENX2076"/>
    <s v="A104"/>
    <s v="EMP1026"/>
    <s v="C1119"/>
    <x v="147"/>
    <n v="1"/>
    <n v="1522"/>
    <n v="791"/>
    <n v="791"/>
    <n v="1522"/>
    <n v="731"/>
    <s v="Product 77"/>
    <x v="50"/>
    <s v="Martin Perry"/>
    <x v="614"/>
    <n v="2"/>
    <x v="1"/>
    <x v="2"/>
    <x v="2"/>
    <x v="0"/>
    <x v="2"/>
  </r>
  <r>
    <s v="AX13020"/>
    <s v="ENX2090"/>
    <s v="A136"/>
    <s v="EMP1034"/>
    <s v="C1701"/>
    <x v="147"/>
    <n v="1"/>
    <n v="1338"/>
    <n v="682"/>
    <n v="682"/>
    <n v="1338"/>
    <n v="656"/>
    <s v="Product 91"/>
    <x v="43"/>
    <s v="Arthur Mccoy"/>
    <x v="736"/>
    <n v="2"/>
    <x v="1"/>
    <x v="2"/>
    <x v="2"/>
    <x v="0"/>
    <x v="2"/>
  </r>
  <r>
    <s v="AX13199"/>
    <s v="ENX2082"/>
    <s v="A169"/>
    <s v="EMP1006"/>
    <s v="C1122"/>
    <x v="147"/>
    <n v="3"/>
    <n v="1103"/>
    <n v="838"/>
    <n v="2514"/>
    <n v="3309"/>
    <n v="795"/>
    <s v="Product 83"/>
    <x v="17"/>
    <s v="Sean Miller"/>
    <x v="84"/>
    <n v="2"/>
    <x v="1"/>
    <x v="2"/>
    <x v="2"/>
    <x v="0"/>
    <x v="2"/>
  </r>
  <r>
    <s v="AX13619"/>
    <s v="ENX2091"/>
    <s v="A106"/>
    <s v="EMP1018"/>
    <s v="C1516"/>
    <x v="149"/>
    <n v="1"/>
    <n v="368"/>
    <n v="294"/>
    <n v="294"/>
    <n v="368"/>
    <n v="74"/>
    <s v="Product 92"/>
    <x v="11"/>
    <s v="Jimmy Young"/>
    <x v="568"/>
    <n v="2"/>
    <x v="1"/>
    <x v="2"/>
    <x v="2"/>
    <x v="0"/>
    <x v="2"/>
  </r>
  <r>
    <s v="AX14391"/>
    <s v="ENX2007"/>
    <s v="A126"/>
    <s v="EMP1002"/>
    <s v="C1714"/>
    <x v="149"/>
    <n v="1"/>
    <n v="1405"/>
    <n v="1054"/>
    <n v="1054"/>
    <n v="1405"/>
    <n v="351"/>
    <s v="Product 8"/>
    <x v="5"/>
    <s v="Andrew Bowman"/>
    <x v="317"/>
    <n v="2"/>
    <x v="1"/>
    <x v="2"/>
    <x v="2"/>
    <x v="0"/>
    <x v="2"/>
  </r>
  <r>
    <s v="AX14414"/>
    <s v="ENX2030"/>
    <s v="A126"/>
    <s v="EMP1031"/>
    <s v="C1520"/>
    <x v="147"/>
    <n v="1"/>
    <n v="1899"/>
    <n v="1044"/>
    <n v="1044"/>
    <n v="1899"/>
    <n v="855"/>
    <s v="Product 31"/>
    <x v="5"/>
    <s v="Brian Thomas"/>
    <x v="576"/>
    <n v="2"/>
    <x v="1"/>
    <x v="2"/>
    <x v="2"/>
    <x v="0"/>
    <x v="2"/>
  </r>
  <r>
    <s v="AX14685"/>
    <s v="ENX2058"/>
    <s v="A117"/>
    <s v="EMP1020"/>
    <s v="C1652"/>
    <x v="148"/>
    <n v="2"/>
    <n v="2257"/>
    <n v="1535"/>
    <n v="3070"/>
    <n v="4514"/>
    <n v="1444"/>
    <s v="Product 59"/>
    <x v="29"/>
    <s v="Ryan Butler"/>
    <x v="737"/>
    <n v="2"/>
    <x v="1"/>
    <x v="2"/>
    <x v="2"/>
    <x v="0"/>
    <x v="2"/>
  </r>
  <r>
    <s v="AX14687"/>
    <s v="ENX2048"/>
    <s v="A159"/>
    <s v="EMP1024"/>
    <s v="C1579"/>
    <x v="148"/>
    <n v="1"/>
    <n v="502"/>
    <n v="296"/>
    <n v="296"/>
    <n v="502"/>
    <n v="206"/>
    <s v="Product 49"/>
    <x v="13"/>
    <s v="Ernest Wheeler"/>
    <x v="422"/>
    <n v="2"/>
    <x v="1"/>
    <x v="2"/>
    <x v="2"/>
    <x v="0"/>
    <x v="2"/>
  </r>
  <r>
    <s v="AX14873"/>
    <s v="ENX2021"/>
    <s v="A102"/>
    <s v="EMP1027"/>
    <s v="C1433"/>
    <x v="150"/>
    <n v="3"/>
    <n v="217"/>
    <n v="171"/>
    <n v="513"/>
    <n v="651"/>
    <n v="138"/>
    <s v="Product 22"/>
    <x v="44"/>
    <s v="Gary Rodriguez"/>
    <x v="525"/>
    <n v="2"/>
    <x v="1"/>
    <x v="2"/>
    <x v="2"/>
    <x v="0"/>
    <x v="2"/>
  </r>
  <r>
    <s v="AX14910"/>
    <s v="ENX2013"/>
    <s v="A132"/>
    <s v="EMP1016"/>
    <s v="C1012"/>
    <x v="149"/>
    <n v="2"/>
    <n v="368"/>
    <n v="269"/>
    <n v="538"/>
    <n v="736"/>
    <n v="198"/>
    <s v="Product 14"/>
    <x v="48"/>
    <s v="Henry Nelson"/>
    <x v="738"/>
    <n v="2"/>
    <x v="1"/>
    <x v="2"/>
    <x v="2"/>
    <x v="0"/>
    <x v="2"/>
  </r>
  <r>
    <s v="AX15057"/>
    <s v="ENX2013"/>
    <s v="A126"/>
    <s v="EMP1038"/>
    <s v="C1619"/>
    <x v="149"/>
    <n v="2"/>
    <n v="368"/>
    <n v="269"/>
    <n v="538"/>
    <n v="736"/>
    <n v="198"/>
    <s v="Product 14"/>
    <x v="5"/>
    <s v="Scott Mason"/>
    <x v="77"/>
    <n v="2"/>
    <x v="1"/>
    <x v="2"/>
    <x v="2"/>
    <x v="0"/>
    <x v="2"/>
  </r>
  <r>
    <s v="AX15103"/>
    <s v="ENX2040"/>
    <s v="A125"/>
    <s v="EMP1003"/>
    <s v="C1753"/>
    <x v="147"/>
    <n v="2"/>
    <n v="1889"/>
    <n v="945"/>
    <n v="1890"/>
    <n v="3778"/>
    <n v="1888"/>
    <s v="Product 41"/>
    <x v="31"/>
    <s v="Christopher Tucker"/>
    <x v="696"/>
    <n v="2"/>
    <x v="1"/>
    <x v="2"/>
    <x v="2"/>
    <x v="0"/>
    <x v="2"/>
  </r>
  <r>
    <s v="AX15629"/>
    <s v="ENX2085"/>
    <s v="A157"/>
    <s v="EMP1023"/>
    <s v="C1318"/>
    <x v="147"/>
    <n v="1"/>
    <n v="1862"/>
    <n v="1173"/>
    <n v="1173"/>
    <n v="1862"/>
    <n v="689"/>
    <s v="Product 86"/>
    <x v="7"/>
    <s v="Brian Davis"/>
    <x v="730"/>
    <n v="2"/>
    <x v="1"/>
    <x v="2"/>
    <x v="2"/>
    <x v="0"/>
    <x v="2"/>
  </r>
  <r>
    <s v="AX15900"/>
    <s v="ENX2088"/>
    <s v="A127"/>
    <s v="EMP1011"/>
    <s v="C1503"/>
    <x v="148"/>
    <n v="1"/>
    <n v="603"/>
    <n v="416"/>
    <n v="416"/>
    <n v="603"/>
    <n v="187"/>
    <s v="Product 89"/>
    <x v="69"/>
    <s v="Larry Marshall"/>
    <x v="569"/>
    <n v="2"/>
    <x v="1"/>
    <x v="2"/>
    <x v="2"/>
    <x v="0"/>
    <x v="2"/>
  </r>
  <r>
    <s v="AX16075"/>
    <s v="ENX2066"/>
    <s v="A148"/>
    <s v="EMP1000"/>
    <s v="C1346"/>
    <x v="148"/>
    <n v="2"/>
    <n v="2091"/>
    <n v="1485"/>
    <n v="2970"/>
    <n v="4182"/>
    <n v="1212"/>
    <s v="Product 67"/>
    <x v="62"/>
    <s v="Fred Robertson"/>
    <x v="340"/>
    <n v="2"/>
    <x v="1"/>
    <x v="2"/>
    <x v="2"/>
    <x v="0"/>
    <x v="2"/>
  </r>
  <r>
    <s v="AX16513"/>
    <s v="ENX2061"/>
    <s v="A153"/>
    <s v="EMP1014"/>
    <s v="C1117"/>
    <x v="147"/>
    <n v="4"/>
    <n v="913"/>
    <n v="584"/>
    <n v="2336"/>
    <n v="3652"/>
    <n v="1316"/>
    <s v="Product 62"/>
    <x v="8"/>
    <s v="Ronald Reed"/>
    <x v="519"/>
    <n v="2"/>
    <x v="1"/>
    <x v="2"/>
    <x v="2"/>
    <x v="0"/>
    <x v="2"/>
  </r>
  <r>
    <s v="AX16667"/>
    <s v="ENX2059"/>
    <s v="A101"/>
    <s v="EMP1018"/>
    <s v="C1144"/>
    <x v="150"/>
    <n v="1"/>
    <n v="1494"/>
    <n v="971"/>
    <n v="971"/>
    <n v="1494"/>
    <n v="523"/>
    <s v="Product 60"/>
    <x v="60"/>
    <s v="Jimmy Young"/>
    <x v="478"/>
    <n v="2"/>
    <x v="1"/>
    <x v="2"/>
    <x v="2"/>
    <x v="0"/>
    <x v="2"/>
  </r>
  <r>
    <s v="AX16743"/>
    <s v="ENX2075"/>
    <s v="A107"/>
    <s v="EMP1011"/>
    <s v="C1419"/>
    <x v="150"/>
    <n v="3"/>
    <n v="400"/>
    <n v="208"/>
    <n v="624"/>
    <n v="1200"/>
    <n v="576"/>
    <s v="Product 76"/>
    <x v="21"/>
    <s v="Larry Marshall"/>
    <x v="163"/>
    <n v="2"/>
    <x v="1"/>
    <x v="2"/>
    <x v="2"/>
    <x v="0"/>
    <x v="2"/>
  </r>
  <r>
    <s v="AX16796"/>
    <s v="ENX2017"/>
    <s v="A114"/>
    <s v="EMP1006"/>
    <s v="C1645"/>
    <x v="150"/>
    <n v="3"/>
    <n v="35"/>
    <n v="22"/>
    <n v="66"/>
    <n v="105"/>
    <n v="39"/>
    <s v="Product 18"/>
    <x v="28"/>
    <s v="Sean Miller"/>
    <x v="128"/>
    <n v="2"/>
    <x v="1"/>
    <x v="2"/>
    <x v="2"/>
    <x v="0"/>
    <x v="2"/>
  </r>
  <r>
    <s v="AX16898"/>
    <s v="ENX2042"/>
    <s v="A116"/>
    <s v="EMP1013"/>
    <s v="C1565"/>
    <x v="148"/>
    <n v="2"/>
    <n v="203"/>
    <n v="154"/>
    <n v="308"/>
    <n v="406"/>
    <n v="98"/>
    <s v="Product 43"/>
    <x v="15"/>
    <s v="Charles Harper"/>
    <x v="577"/>
    <n v="2"/>
    <x v="1"/>
    <x v="2"/>
    <x v="2"/>
    <x v="0"/>
    <x v="2"/>
  </r>
  <r>
    <s v="AX16901"/>
    <s v="ENX2089"/>
    <s v="A108"/>
    <s v="EMP1011"/>
    <s v="C1079"/>
    <x v="150"/>
    <n v="1"/>
    <n v="2294"/>
    <n v="1399"/>
    <n v="1399"/>
    <n v="2294"/>
    <n v="895"/>
    <s v="Product 90"/>
    <x v="49"/>
    <s v="Larry Marshall"/>
    <x v="370"/>
    <n v="2"/>
    <x v="1"/>
    <x v="2"/>
    <x v="2"/>
    <x v="0"/>
    <x v="2"/>
  </r>
  <r>
    <s v="AX17101"/>
    <s v="ENX2100"/>
    <s v="A116"/>
    <s v="EMP1022"/>
    <s v="C1708"/>
    <x v="149"/>
    <n v="4"/>
    <n v="799"/>
    <n v="455"/>
    <n v="1820"/>
    <n v="3196"/>
    <n v="1376"/>
    <s v="Product 101"/>
    <x v="15"/>
    <s v="Walter Cook"/>
    <x v="579"/>
    <n v="2"/>
    <x v="1"/>
    <x v="2"/>
    <x v="2"/>
    <x v="0"/>
    <x v="2"/>
  </r>
  <r>
    <s v="AX17289"/>
    <s v="ENX2049"/>
    <s v="A144"/>
    <s v="EMP1022"/>
    <s v="C1383"/>
    <x v="150"/>
    <n v="1"/>
    <n v="826"/>
    <n v="562"/>
    <n v="562"/>
    <n v="826"/>
    <n v="264"/>
    <s v="Product 50"/>
    <x v="65"/>
    <s v="Walter Cook"/>
    <x v="508"/>
    <n v="2"/>
    <x v="1"/>
    <x v="2"/>
    <x v="2"/>
    <x v="0"/>
    <x v="2"/>
  </r>
  <r>
    <s v="AX17292"/>
    <s v="ENX2085"/>
    <s v="A112"/>
    <s v="EMP1030"/>
    <s v="C1050"/>
    <x v="148"/>
    <n v="3"/>
    <n v="1862"/>
    <n v="1173"/>
    <n v="3519"/>
    <n v="5586"/>
    <n v="2067"/>
    <s v="Product 86"/>
    <x v="66"/>
    <s v="Bobby Russell"/>
    <x v="684"/>
    <n v="2"/>
    <x v="1"/>
    <x v="2"/>
    <x v="2"/>
    <x v="0"/>
    <x v="2"/>
  </r>
  <r>
    <s v="AX17598"/>
    <s v="ENX2017"/>
    <s v="A101"/>
    <s v="EMP1011"/>
    <s v="C1795"/>
    <x v="148"/>
    <n v="1"/>
    <n v="35"/>
    <n v="22"/>
    <n v="22"/>
    <n v="35"/>
    <n v="13"/>
    <s v="Product 18"/>
    <x v="60"/>
    <s v="Larry Marshall"/>
    <x v="592"/>
    <n v="2"/>
    <x v="1"/>
    <x v="2"/>
    <x v="2"/>
    <x v="0"/>
    <x v="2"/>
  </r>
  <r>
    <s v="AX18027"/>
    <s v="ENX2078"/>
    <s v="A129"/>
    <s v="EMP1012"/>
    <s v="C1728"/>
    <x v="150"/>
    <n v="1"/>
    <n v="1798"/>
    <n v="971"/>
    <n v="971"/>
    <n v="1798"/>
    <n v="827"/>
    <s v="Product 79"/>
    <x v="22"/>
    <s v="John Reyes"/>
    <x v="446"/>
    <n v="2"/>
    <x v="1"/>
    <x v="2"/>
    <x v="2"/>
    <x v="0"/>
    <x v="2"/>
  </r>
  <r>
    <s v="AX18107"/>
    <s v="ENX2051"/>
    <s v="A158"/>
    <s v="EMP1029"/>
    <s v="C1456"/>
    <x v="149"/>
    <n v="1"/>
    <n v="1077"/>
    <n v="732"/>
    <n v="732"/>
    <n v="1077"/>
    <n v="345"/>
    <s v="Product 52"/>
    <x v="58"/>
    <s v="Howard Gardner"/>
    <x v="366"/>
    <n v="2"/>
    <x v="1"/>
    <x v="2"/>
    <x v="2"/>
    <x v="0"/>
    <x v="2"/>
  </r>
  <r>
    <s v="AX18439"/>
    <s v="ENX2001"/>
    <s v="A124"/>
    <s v="EMP1002"/>
    <s v="C1155"/>
    <x v="150"/>
    <n v="4"/>
    <n v="951"/>
    <n v="504"/>
    <n v="2016"/>
    <n v="3804"/>
    <n v="1788"/>
    <s v="Product 2"/>
    <x v="67"/>
    <s v="Andrew Bowman"/>
    <x v="711"/>
    <n v="2"/>
    <x v="1"/>
    <x v="2"/>
    <x v="2"/>
    <x v="0"/>
    <x v="2"/>
  </r>
  <r>
    <s v="AX18769"/>
    <s v="ENX2045"/>
    <s v="A123"/>
    <s v="EMP1001"/>
    <s v="C1524"/>
    <x v="148"/>
    <n v="3"/>
    <n v="556"/>
    <n v="395"/>
    <n v="1185"/>
    <n v="1668"/>
    <n v="483"/>
    <s v="Product 46"/>
    <x v="34"/>
    <s v="Kevin Butler"/>
    <x v="263"/>
    <n v="2"/>
    <x v="1"/>
    <x v="2"/>
    <x v="2"/>
    <x v="0"/>
    <x v="2"/>
  </r>
  <r>
    <s v="AX18796"/>
    <s v="ENX2088"/>
    <s v="A162"/>
    <s v="EMP1044"/>
    <s v="C1338"/>
    <x v="148"/>
    <n v="4"/>
    <n v="603"/>
    <n v="416"/>
    <n v="1664"/>
    <n v="2412"/>
    <n v="748"/>
    <s v="Product 89"/>
    <x v="2"/>
    <s v="Martin Carr"/>
    <x v="542"/>
    <n v="2"/>
    <x v="1"/>
    <x v="2"/>
    <x v="2"/>
    <x v="0"/>
    <x v="2"/>
  </r>
  <r>
    <s v="AX18945"/>
    <s v="ENX2096"/>
    <s v="A170"/>
    <s v="EMP1004"/>
    <s v="C1736"/>
    <x v="150"/>
    <n v="4"/>
    <n v="1587"/>
    <n v="1301"/>
    <n v="5204"/>
    <n v="6348"/>
    <n v="1144"/>
    <s v="Product 97"/>
    <x v="47"/>
    <s v="Kenneth Bradley"/>
    <x v="472"/>
    <n v="2"/>
    <x v="1"/>
    <x v="2"/>
    <x v="2"/>
    <x v="0"/>
    <x v="2"/>
  </r>
  <r>
    <s v="AX19147"/>
    <s v="ENX2021"/>
    <s v="A141"/>
    <s v="EMP1028"/>
    <s v="C1191"/>
    <x v="148"/>
    <n v="1"/>
    <n v="217"/>
    <n v="171"/>
    <n v="171"/>
    <n v="217"/>
    <n v="46"/>
    <s v="Product 22"/>
    <x v="23"/>
    <s v="Howard Sims"/>
    <x v="739"/>
    <n v="2"/>
    <x v="1"/>
    <x v="2"/>
    <x v="2"/>
    <x v="0"/>
    <x v="2"/>
  </r>
  <r>
    <s v="AX19534"/>
    <s v="ENX2052"/>
    <s v="A107"/>
    <s v="EMP1042"/>
    <s v="C1290"/>
    <x v="148"/>
    <n v="1"/>
    <n v="1526"/>
    <n v="1251"/>
    <n v="1251"/>
    <n v="1526"/>
    <n v="275"/>
    <s v="Product 53"/>
    <x v="21"/>
    <s v="Scott Clark"/>
    <x v="675"/>
    <n v="2"/>
    <x v="1"/>
    <x v="2"/>
    <x v="2"/>
    <x v="0"/>
    <x v="2"/>
  </r>
  <r>
    <s v="AX20352"/>
    <s v="ENX2043"/>
    <s v="A173"/>
    <s v="EMP1023"/>
    <s v="C1611"/>
    <x v="149"/>
    <n v="2"/>
    <n v="545"/>
    <n v="425"/>
    <n v="850"/>
    <n v="1090"/>
    <n v="240"/>
    <s v="Product 44"/>
    <x v="25"/>
    <s v="Brian Davis"/>
    <x v="306"/>
    <n v="2"/>
    <x v="1"/>
    <x v="2"/>
    <x v="2"/>
    <x v="0"/>
    <x v="2"/>
  </r>
  <r>
    <s v="AX21140"/>
    <s v="ENX2067"/>
    <s v="A113"/>
    <s v="EMP1030"/>
    <s v="C1048"/>
    <x v="147"/>
    <n v="4"/>
    <n v="1119"/>
    <n v="683"/>
    <n v="2732"/>
    <n v="4476"/>
    <n v="1744"/>
    <s v="Product 68"/>
    <x v="73"/>
    <s v="Bobby Russell"/>
    <x v="391"/>
    <n v="2"/>
    <x v="1"/>
    <x v="2"/>
    <x v="2"/>
    <x v="0"/>
    <x v="2"/>
  </r>
  <r>
    <s v="AX21431"/>
    <s v="ENX2071"/>
    <s v="A155"/>
    <s v="EMP1021"/>
    <s v="C1156"/>
    <x v="149"/>
    <n v="4"/>
    <n v="136"/>
    <n v="72"/>
    <n v="288"/>
    <n v="544"/>
    <n v="256"/>
    <s v="Product 72"/>
    <x v="53"/>
    <s v="Clarence Fox"/>
    <x v="740"/>
    <n v="2"/>
    <x v="1"/>
    <x v="2"/>
    <x v="2"/>
    <x v="0"/>
    <x v="2"/>
  </r>
  <r>
    <s v="AX21629"/>
    <s v="ENX2000"/>
    <s v="A132"/>
    <s v="EMP1004"/>
    <s v="C1614"/>
    <x v="147"/>
    <n v="1"/>
    <n v="2241"/>
    <n v="1367"/>
    <n v="1367"/>
    <n v="2241"/>
    <n v="874"/>
    <s v="Product 1"/>
    <x v="48"/>
    <s v="Kenneth Bradley"/>
    <x v="11"/>
    <n v="2"/>
    <x v="1"/>
    <x v="2"/>
    <x v="2"/>
    <x v="0"/>
    <x v="2"/>
  </r>
  <r>
    <s v="AX22152"/>
    <s v="ENX2030"/>
    <s v="A114"/>
    <s v="EMP1019"/>
    <s v="C1428"/>
    <x v="149"/>
    <n v="1"/>
    <n v="1899"/>
    <n v="1044"/>
    <n v="1044"/>
    <n v="1899"/>
    <n v="855"/>
    <s v="Product 31"/>
    <x v="28"/>
    <s v="Roger Robertson"/>
    <x v="509"/>
    <n v="2"/>
    <x v="1"/>
    <x v="2"/>
    <x v="2"/>
    <x v="0"/>
    <x v="2"/>
  </r>
  <r>
    <s v="AX22393"/>
    <s v="ENX2083"/>
    <s v="A137"/>
    <s v="EMP1001"/>
    <s v="C1128"/>
    <x v="148"/>
    <n v="1"/>
    <n v="2141"/>
    <n v="1777"/>
    <n v="1777"/>
    <n v="2141"/>
    <n v="364"/>
    <s v="Product 84"/>
    <x v="68"/>
    <s v="Kevin Butler"/>
    <x v="553"/>
    <n v="2"/>
    <x v="1"/>
    <x v="2"/>
    <x v="2"/>
    <x v="0"/>
    <x v="2"/>
  </r>
  <r>
    <s v="AX22468"/>
    <s v="ENX2038"/>
    <s v="A131"/>
    <s v="EMP1004"/>
    <s v="C1709"/>
    <x v="147"/>
    <n v="3"/>
    <n v="392"/>
    <n v="255"/>
    <n v="765"/>
    <n v="1176"/>
    <n v="411"/>
    <s v="Product 39"/>
    <x v="32"/>
    <s v="Kenneth Bradley"/>
    <x v="203"/>
    <n v="2"/>
    <x v="1"/>
    <x v="2"/>
    <x v="2"/>
    <x v="0"/>
    <x v="2"/>
  </r>
  <r>
    <s v="AX22780"/>
    <s v="ENX2096"/>
    <s v="A160"/>
    <s v="EMP1027"/>
    <s v="C1429"/>
    <x v="148"/>
    <n v="1"/>
    <n v="1587"/>
    <n v="1301"/>
    <n v="1301"/>
    <n v="1587"/>
    <n v="286"/>
    <s v="Product 97"/>
    <x v="9"/>
    <s v="Gary Rodriguez"/>
    <x v="651"/>
    <n v="2"/>
    <x v="1"/>
    <x v="2"/>
    <x v="2"/>
    <x v="0"/>
    <x v="2"/>
  </r>
  <r>
    <s v="AX22948"/>
    <s v="ENX2077"/>
    <s v="A123"/>
    <s v="EMP1013"/>
    <s v="C1634"/>
    <x v="149"/>
    <n v="2"/>
    <n v="530"/>
    <n v="424"/>
    <n v="848"/>
    <n v="1060"/>
    <n v="212"/>
    <s v="Product 78"/>
    <x v="34"/>
    <s v="Charles Harper"/>
    <x v="71"/>
    <n v="2"/>
    <x v="1"/>
    <x v="2"/>
    <x v="2"/>
    <x v="0"/>
    <x v="2"/>
  </r>
  <r>
    <s v="AX22993"/>
    <s v="ENX2040"/>
    <s v="A167"/>
    <s v="EMP1030"/>
    <s v="C1304"/>
    <x v="149"/>
    <n v="1"/>
    <n v="1889"/>
    <n v="945"/>
    <n v="945"/>
    <n v="1889"/>
    <n v="944"/>
    <s v="Product 41"/>
    <x v="64"/>
    <s v="Bobby Russell"/>
    <x v="298"/>
    <n v="2"/>
    <x v="1"/>
    <x v="2"/>
    <x v="2"/>
    <x v="0"/>
    <x v="2"/>
  </r>
  <r>
    <s v="AX23982"/>
    <s v="ENX2015"/>
    <s v="A111"/>
    <s v="EMP1014"/>
    <s v="C1419"/>
    <x v="149"/>
    <n v="1"/>
    <n v="637"/>
    <n v="389"/>
    <n v="389"/>
    <n v="637"/>
    <n v="248"/>
    <s v="Product 16"/>
    <x v="54"/>
    <s v="Ronald Reed"/>
    <x v="163"/>
    <n v="2"/>
    <x v="1"/>
    <x v="2"/>
    <x v="2"/>
    <x v="0"/>
    <x v="2"/>
  </r>
  <r>
    <s v="AX24085"/>
    <s v="ENX2059"/>
    <s v="A165"/>
    <s v="EMP1017"/>
    <s v="C1435"/>
    <x v="148"/>
    <n v="2"/>
    <n v="1494"/>
    <n v="971"/>
    <n v="1942"/>
    <n v="2988"/>
    <n v="1046"/>
    <s v="Product 60"/>
    <x v="55"/>
    <s v="Brian Hansen"/>
    <x v="476"/>
    <n v="2"/>
    <x v="1"/>
    <x v="2"/>
    <x v="2"/>
    <x v="0"/>
    <x v="2"/>
  </r>
  <r>
    <s v="AX24174"/>
    <s v="ENX2067"/>
    <s v="A140"/>
    <s v="EMP1001"/>
    <s v="C1610"/>
    <x v="147"/>
    <n v="1"/>
    <n v="1119"/>
    <n v="683"/>
    <n v="683"/>
    <n v="1119"/>
    <n v="436"/>
    <s v="Product 68"/>
    <x v="18"/>
    <s v="Kevin Butler"/>
    <x v="362"/>
    <n v="2"/>
    <x v="1"/>
    <x v="2"/>
    <x v="2"/>
    <x v="0"/>
    <x v="2"/>
  </r>
  <r>
    <s v="AX24953"/>
    <s v="ENX2060"/>
    <s v="A132"/>
    <s v="EMP1004"/>
    <s v="C1221"/>
    <x v="147"/>
    <n v="1"/>
    <n v="1467"/>
    <n v="807"/>
    <n v="807"/>
    <n v="1467"/>
    <n v="660"/>
    <s v="Product 61"/>
    <x v="48"/>
    <s v="Kenneth Bradley"/>
    <x v="429"/>
    <n v="2"/>
    <x v="1"/>
    <x v="2"/>
    <x v="2"/>
    <x v="0"/>
    <x v="2"/>
  </r>
  <r>
    <s v="AX10177"/>
    <s v="ENX2064"/>
    <s v="A109"/>
    <s v="EMP1027"/>
    <s v="C1057"/>
    <x v="151"/>
    <n v="1"/>
    <n v="1414"/>
    <n v="962"/>
    <n v="962"/>
    <n v="1414"/>
    <n v="452"/>
    <s v="Product 65"/>
    <x v="57"/>
    <s v="Gary Rodriguez"/>
    <x v="635"/>
    <n v="2"/>
    <x v="1"/>
    <x v="3"/>
    <x v="3"/>
    <x v="1"/>
    <x v="0"/>
  </r>
  <r>
    <s v="AX10551"/>
    <s v="ENX2091"/>
    <s v="A131"/>
    <s v="EMP1012"/>
    <s v="C1769"/>
    <x v="152"/>
    <n v="1"/>
    <n v="368"/>
    <n v="294"/>
    <n v="294"/>
    <n v="368"/>
    <n v="74"/>
    <s v="Product 92"/>
    <x v="32"/>
    <s v="John Reyes"/>
    <x v="269"/>
    <n v="2"/>
    <x v="1"/>
    <x v="3"/>
    <x v="3"/>
    <x v="1"/>
    <x v="0"/>
  </r>
  <r>
    <s v="AX10701"/>
    <s v="ENX2004"/>
    <s v="A130"/>
    <s v="EMP1035"/>
    <s v="C1508"/>
    <x v="153"/>
    <n v="4"/>
    <n v="1278"/>
    <n v="665"/>
    <n v="2660"/>
    <n v="5112"/>
    <n v="2452"/>
    <s v="Product 5"/>
    <x v="4"/>
    <s v="Roger Ramos"/>
    <x v="37"/>
    <n v="2"/>
    <x v="1"/>
    <x v="3"/>
    <x v="3"/>
    <x v="1"/>
    <x v="0"/>
  </r>
  <r>
    <s v="AX11131"/>
    <s v="ENX2097"/>
    <s v="A132"/>
    <s v="EMP1006"/>
    <s v="C1093"/>
    <x v="152"/>
    <n v="1"/>
    <n v="1052"/>
    <n v="589"/>
    <n v="589"/>
    <n v="1052"/>
    <n v="463"/>
    <s v="Product 98"/>
    <x v="48"/>
    <s v="Sean Miller"/>
    <x v="290"/>
    <n v="2"/>
    <x v="1"/>
    <x v="3"/>
    <x v="3"/>
    <x v="1"/>
    <x v="0"/>
  </r>
  <r>
    <s v="AX11146"/>
    <s v="ENX2020"/>
    <s v="A147"/>
    <s v="EMP1021"/>
    <s v="C1225"/>
    <x v="153"/>
    <n v="3"/>
    <n v="2005"/>
    <n v="1223"/>
    <n v="3669"/>
    <n v="6015"/>
    <n v="2346"/>
    <s v="Product 21"/>
    <x v="42"/>
    <s v="Clarence Fox"/>
    <x v="588"/>
    <n v="2"/>
    <x v="1"/>
    <x v="3"/>
    <x v="3"/>
    <x v="1"/>
    <x v="0"/>
  </r>
  <r>
    <s v="AX11204"/>
    <s v="ENX2043"/>
    <s v="A124"/>
    <s v="EMP1000"/>
    <s v="C1747"/>
    <x v="151"/>
    <n v="1"/>
    <n v="545"/>
    <n v="425"/>
    <n v="425"/>
    <n v="545"/>
    <n v="120"/>
    <s v="Product 44"/>
    <x v="67"/>
    <s v="Fred Robertson"/>
    <x v="392"/>
    <n v="2"/>
    <x v="1"/>
    <x v="3"/>
    <x v="3"/>
    <x v="1"/>
    <x v="0"/>
  </r>
  <r>
    <s v="AX11452"/>
    <s v="ENX2091"/>
    <s v="A118"/>
    <s v="EMP1033"/>
    <s v="C1048"/>
    <x v="154"/>
    <n v="3"/>
    <n v="368"/>
    <n v="294"/>
    <n v="882"/>
    <n v="1104"/>
    <n v="222"/>
    <s v="Product 92"/>
    <x v="19"/>
    <s v="Jerry Perry"/>
    <x v="391"/>
    <n v="2"/>
    <x v="1"/>
    <x v="3"/>
    <x v="3"/>
    <x v="1"/>
    <x v="0"/>
  </r>
  <r>
    <s v="AX11529"/>
    <s v="ENX2075"/>
    <s v="A102"/>
    <s v="EMP1029"/>
    <s v="C1210"/>
    <x v="152"/>
    <n v="1"/>
    <n v="400"/>
    <n v="208"/>
    <n v="208"/>
    <n v="400"/>
    <n v="192"/>
    <s v="Product 76"/>
    <x v="44"/>
    <s v="Howard Gardner"/>
    <x v="629"/>
    <n v="2"/>
    <x v="1"/>
    <x v="3"/>
    <x v="3"/>
    <x v="1"/>
    <x v="0"/>
  </r>
  <r>
    <s v="AX11547"/>
    <s v="ENX2027"/>
    <s v="A146"/>
    <s v="EMP1025"/>
    <s v="C1382"/>
    <x v="154"/>
    <n v="2"/>
    <n v="2497"/>
    <n v="1473"/>
    <n v="2946"/>
    <n v="4994"/>
    <n v="2048"/>
    <s v="Product 28"/>
    <x v="27"/>
    <s v="Ernest Wagner"/>
    <x v="334"/>
    <n v="2"/>
    <x v="1"/>
    <x v="3"/>
    <x v="3"/>
    <x v="1"/>
    <x v="0"/>
  </r>
  <r>
    <s v="AX11811"/>
    <s v="ENX2005"/>
    <s v="A113"/>
    <s v="EMP1008"/>
    <s v="C1334"/>
    <x v="152"/>
    <n v="4"/>
    <n v="684"/>
    <n v="561"/>
    <n v="2244"/>
    <n v="2736"/>
    <n v="492"/>
    <s v="Product 6"/>
    <x v="73"/>
    <s v="Carl Elliott"/>
    <x v="53"/>
    <n v="2"/>
    <x v="1"/>
    <x v="3"/>
    <x v="3"/>
    <x v="1"/>
    <x v="0"/>
  </r>
  <r>
    <s v="AX11972"/>
    <s v="ENX2086"/>
    <s v="A169"/>
    <s v="EMP1027"/>
    <s v="C1000"/>
    <x v="151"/>
    <n v="2"/>
    <n v="123"/>
    <n v="84"/>
    <n v="168"/>
    <n v="246"/>
    <n v="78"/>
    <s v="Product 87"/>
    <x v="17"/>
    <s v="Gary Rodriguez"/>
    <x v="57"/>
    <n v="2"/>
    <x v="1"/>
    <x v="3"/>
    <x v="3"/>
    <x v="1"/>
    <x v="0"/>
  </r>
  <r>
    <s v="AX12096"/>
    <s v="ENX2065"/>
    <s v="A133"/>
    <s v="EMP1030"/>
    <s v="C1001"/>
    <x v="152"/>
    <n v="1"/>
    <n v="2396"/>
    <n v="1965"/>
    <n v="1965"/>
    <n v="2396"/>
    <n v="431"/>
    <s v="Product 66"/>
    <x v="46"/>
    <s v="Bobby Russell"/>
    <x v="725"/>
    <n v="2"/>
    <x v="1"/>
    <x v="3"/>
    <x v="3"/>
    <x v="1"/>
    <x v="0"/>
  </r>
  <r>
    <s v="AX13320"/>
    <s v="ENX2051"/>
    <s v="A135"/>
    <s v="EMP1012"/>
    <s v="C1077"/>
    <x v="153"/>
    <n v="3"/>
    <n v="1077"/>
    <n v="732"/>
    <n v="2196"/>
    <n v="3231"/>
    <n v="1035"/>
    <s v="Product 52"/>
    <x v="10"/>
    <s v="John Reyes"/>
    <x v="315"/>
    <n v="2"/>
    <x v="1"/>
    <x v="3"/>
    <x v="3"/>
    <x v="1"/>
    <x v="0"/>
  </r>
  <r>
    <s v="AX13366"/>
    <s v="ENX2042"/>
    <s v="A127"/>
    <s v="EMP1020"/>
    <s v="C1353"/>
    <x v="153"/>
    <n v="1"/>
    <n v="203"/>
    <n v="154"/>
    <n v="154"/>
    <n v="203"/>
    <n v="49"/>
    <s v="Product 43"/>
    <x v="69"/>
    <s v="Ryan Butler"/>
    <x v="642"/>
    <n v="2"/>
    <x v="1"/>
    <x v="3"/>
    <x v="3"/>
    <x v="1"/>
    <x v="0"/>
  </r>
  <r>
    <s v="AX13444"/>
    <s v="ENX2078"/>
    <s v="A115"/>
    <s v="EMP1044"/>
    <s v="C1407"/>
    <x v="151"/>
    <n v="1"/>
    <n v="1798"/>
    <n v="971"/>
    <n v="971"/>
    <n v="1798"/>
    <n v="827"/>
    <s v="Product 79"/>
    <x v="33"/>
    <s v="Martin Carr"/>
    <x v="294"/>
    <n v="2"/>
    <x v="1"/>
    <x v="3"/>
    <x v="3"/>
    <x v="1"/>
    <x v="0"/>
  </r>
  <r>
    <s v="AX14231"/>
    <s v="ENX2006"/>
    <s v="A170"/>
    <s v="EMP1023"/>
    <s v="C1786"/>
    <x v="154"/>
    <n v="1"/>
    <n v="1826"/>
    <n v="1443"/>
    <n v="1443"/>
    <n v="1826"/>
    <n v="383"/>
    <s v="Product 7"/>
    <x v="47"/>
    <s v="Brian Davis"/>
    <x v="406"/>
    <n v="2"/>
    <x v="1"/>
    <x v="3"/>
    <x v="3"/>
    <x v="1"/>
    <x v="0"/>
  </r>
  <r>
    <s v="AX14374"/>
    <s v="ENX2057"/>
    <s v="A118"/>
    <s v="EMP1029"/>
    <s v="C1270"/>
    <x v="153"/>
    <n v="3"/>
    <n v="181"/>
    <n v="130"/>
    <n v="390"/>
    <n v="543"/>
    <n v="153"/>
    <s v="Product 58"/>
    <x v="19"/>
    <s v="Howard Gardner"/>
    <x v="517"/>
    <n v="2"/>
    <x v="1"/>
    <x v="3"/>
    <x v="3"/>
    <x v="1"/>
    <x v="0"/>
  </r>
  <r>
    <s v="AX14396"/>
    <s v="ENX2092"/>
    <s v="A126"/>
    <s v="EMP1013"/>
    <s v="C1430"/>
    <x v="154"/>
    <n v="2"/>
    <n v="1639"/>
    <n v="1295"/>
    <n v="2590"/>
    <n v="3278"/>
    <n v="688"/>
    <s v="Product 93"/>
    <x v="5"/>
    <s v="Charles Harper"/>
    <x v="741"/>
    <n v="2"/>
    <x v="1"/>
    <x v="3"/>
    <x v="3"/>
    <x v="1"/>
    <x v="0"/>
  </r>
  <r>
    <s v="AX15058"/>
    <s v="ENX2034"/>
    <s v="A129"/>
    <s v="EMP1026"/>
    <s v="C1784"/>
    <x v="152"/>
    <n v="1"/>
    <n v="871"/>
    <n v="540"/>
    <n v="540"/>
    <n v="871"/>
    <n v="331"/>
    <s v="Product 35"/>
    <x v="22"/>
    <s v="Martin Perry"/>
    <x v="397"/>
    <n v="2"/>
    <x v="1"/>
    <x v="3"/>
    <x v="3"/>
    <x v="1"/>
    <x v="0"/>
  </r>
  <r>
    <s v="AX15612"/>
    <s v="ENX2040"/>
    <s v="A137"/>
    <s v="EMP1034"/>
    <s v="C1120"/>
    <x v="154"/>
    <n v="1"/>
    <n v="1889"/>
    <n v="945"/>
    <n v="945"/>
    <n v="1889"/>
    <n v="944"/>
    <s v="Product 41"/>
    <x v="68"/>
    <s v="Arthur Mccoy"/>
    <x v="685"/>
    <n v="2"/>
    <x v="1"/>
    <x v="3"/>
    <x v="3"/>
    <x v="1"/>
    <x v="0"/>
  </r>
  <r>
    <s v="AX15614"/>
    <s v="ENX2075"/>
    <s v="A146"/>
    <s v="EMP1007"/>
    <s v="C1581"/>
    <x v="152"/>
    <n v="2"/>
    <n v="400"/>
    <n v="208"/>
    <n v="416"/>
    <n v="800"/>
    <n v="384"/>
    <s v="Product 76"/>
    <x v="27"/>
    <s v="Jeremy Mendoza"/>
    <x v="510"/>
    <n v="2"/>
    <x v="1"/>
    <x v="3"/>
    <x v="3"/>
    <x v="1"/>
    <x v="0"/>
  </r>
  <r>
    <s v="AX15888"/>
    <s v="ENX2023"/>
    <s v="A131"/>
    <s v="EMP1004"/>
    <s v="C1139"/>
    <x v="153"/>
    <n v="2"/>
    <n v="818"/>
    <n v="450"/>
    <n v="900"/>
    <n v="1636"/>
    <n v="736"/>
    <s v="Product 24"/>
    <x v="32"/>
    <s v="Kenneth Bradley"/>
    <x v="561"/>
    <n v="2"/>
    <x v="1"/>
    <x v="3"/>
    <x v="3"/>
    <x v="1"/>
    <x v="0"/>
  </r>
  <r>
    <s v="AX16401"/>
    <s v="ENX2014"/>
    <s v="A164"/>
    <s v="EMP1033"/>
    <s v="C1221"/>
    <x v="153"/>
    <n v="1"/>
    <n v="1809"/>
    <n v="1067"/>
    <n v="1067"/>
    <n v="1809"/>
    <n v="742"/>
    <s v="Product 15"/>
    <x v="3"/>
    <s v="Jerry Perry"/>
    <x v="429"/>
    <n v="2"/>
    <x v="1"/>
    <x v="3"/>
    <x v="3"/>
    <x v="1"/>
    <x v="0"/>
  </r>
  <r>
    <s v="AX16473"/>
    <s v="ENX2026"/>
    <s v="A117"/>
    <s v="EMP1017"/>
    <s v="C1612"/>
    <x v="153"/>
    <n v="4"/>
    <n v="947"/>
    <n v="786"/>
    <n v="3144"/>
    <n v="3788"/>
    <n v="644"/>
    <s v="Product 27"/>
    <x v="29"/>
    <s v="Brian Hansen"/>
    <x v="46"/>
    <n v="2"/>
    <x v="1"/>
    <x v="3"/>
    <x v="3"/>
    <x v="1"/>
    <x v="0"/>
  </r>
  <r>
    <s v="AX16530"/>
    <s v="ENX2050"/>
    <s v="A149"/>
    <s v="EMP1000"/>
    <s v="C1775"/>
    <x v="152"/>
    <n v="2"/>
    <n v="2391"/>
    <n v="1291"/>
    <n v="2582"/>
    <n v="4782"/>
    <n v="2200"/>
    <s v="Product 51"/>
    <x v="59"/>
    <s v="Fred Robertson"/>
    <x v="69"/>
    <n v="2"/>
    <x v="1"/>
    <x v="3"/>
    <x v="3"/>
    <x v="1"/>
    <x v="0"/>
  </r>
  <r>
    <s v="AX16628"/>
    <s v="ENX2006"/>
    <s v="A172"/>
    <s v="EMP1006"/>
    <s v="C1754"/>
    <x v="153"/>
    <n v="4"/>
    <n v="1826"/>
    <n v="1443"/>
    <n v="5772"/>
    <n v="7304"/>
    <n v="1532"/>
    <s v="Product 7"/>
    <x v="36"/>
    <s v="Sean Miller"/>
    <x v="742"/>
    <n v="2"/>
    <x v="1"/>
    <x v="3"/>
    <x v="3"/>
    <x v="1"/>
    <x v="0"/>
  </r>
  <r>
    <s v="AX16720"/>
    <s v="ENX2000"/>
    <s v="A166"/>
    <s v="EMP1001"/>
    <s v="C1372"/>
    <x v="154"/>
    <n v="1"/>
    <n v="2241"/>
    <n v="1367"/>
    <n v="1367"/>
    <n v="2241"/>
    <n v="874"/>
    <s v="Product 1"/>
    <x v="70"/>
    <s v="Kevin Butler"/>
    <x v="60"/>
    <n v="2"/>
    <x v="1"/>
    <x v="3"/>
    <x v="3"/>
    <x v="1"/>
    <x v="0"/>
  </r>
  <r>
    <s v="AX16806"/>
    <s v="ENX2040"/>
    <s v="A102"/>
    <s v="EMP1005"/>
    <s v="C1420"/>
    <x v="153"/>
    <n v="1"/>
    <n v="1889"/>
    <n v="945"/>
    <n v="945"/>
    <n v="1889"/>
    <n v="944"/>
    <s v="Product 41"/>
    <x v="44"/>
    <s v="Ryan Welch"/>
    <x v="33"/>
    <n v="2"/>
    <x v="1"/>
    <x v="3"/>
    <x v="3"/>
    <x v="1"/>
    <x v="0"/>
  </r>
  <r>
    <s v="AX16878"/>
    <s v="ENX2028"/>
    <s v="A106"/>
    <s v="EMP1037"/>
    <s v="C1050"/>
    <x v="154"/>
    <n v="1"/>
    <n v="2283"/>
    <n v="1484"/>
    <n v="1484"/>
    <n v="2283"/>
    <n v="799"/>
    <s v="Product 29"/>
    <x v="11"/>
    <s v="Carl Hall"/>
    <x v="684"/>
    <n v="2"/>
    <x v="1"/>
    <x v="3"/>
    <x v="3"/>
    <x v="1"/>
    <x v="0"/>
  </r>
  <r>
    <s v="AX16927"/>
    <s v="ENX2008"/>
    <s v="A148"/>
    <s v="EMP1005"/>
    <s v="C1260"/>
    <x v="154"/>
    <n v="1"/>
    <n v="315"/>
    <n v="208"/>
    <n v="208"/>
    <n v="315"/>
    <n v="107"/>
    <s v="Product 9"/>
    <x v="62"/>
    <s v="Ryan Welch"/>
    <x v="27"/>
    <n v="2"/>
    <x v="1"/>
    <x v="3"/>
    <x v="3"/>
    <x v="1"/>
    <x v="0"/>
  </r>
  <r>
    <s v="AX17140"/>
    <s v="ENX2098"/>
    <s v="A108"/>
    <s v="EMP1043"/>
    <s v="C1100"/>
    <x v="151"/>
    <n v="1"/>
    <n v="1178"/>
    <n v="683"/>
    <n v="683"/>
    <n v="1178"/>
    <n v="495"/>
    <s v="Product 99"/>
    <x v="49"/>
    <s v="Joshua Taylor"/>
    <x v="110"/>
    <n v="2"/>
    <x v="1"/>
    <x v="3"/>
    <x v="3"/>
    <x v="1"/>
    <x v="0"/>
  </r>
  <r>
    <s v="AX17566"/>
    <s v="ENX2035"/>
    <s v="A145"/>
    <s v="EMP1039"/>
    <s v="C1775"/>
    <x v="151"/>
    <n v="4"/>
    <n v="458"/>
    <n v="376"/>
    <n v="1504"/>
    <n v="1832"/>
    <n v="328"/>
    <s v="Product 36"/>
    <x v="35"/>
    <s v="Eugene Holmes"/>
    <x v="69"/>
    <n v="2"/>
    <x v="1"/>
    <x v="3"/>
    <x v="3"/>
    <x v="1"/>
    <x v="0"/>
  </r>
  <r>
    <s v="AX17822"/>
    <s v="ENX2030"/>
    <s v="A162"/>
    <s v="EMP1004"/>
    <s v="C1197"/>
    <x v="151"/>
    <n v="1"/>
    <n v="1899"/>
    <n v="1044"/>
    <n v="1044"/>
    <n v="1899"/>
    <n v="855"/>
    <s v="Product 31"/>
    <x v="2"/>
    <s v="Kenneth Bradley"/>
    <x v="718"/>
    <n v="2"/>
    <x v="1"/>
    <x v="3"/>
    <x v="3"/>
    <x v="1"/>
    <x v="0"/>
  </r>
  <r>
    <s v="AX17861"/>
    <s v="ENX2017"/>
    <s v="A134"/>
    <s v="EMP1025"/>
    <s v="C1386"/>
    <x v="152"/>
    <n v="3"/>
    <n v="35"/>
    <n v="22"/>
    <n v="66"/>
    <n v="105"/>
    <n v="39"/>
    <s v="Product 18"/>
    <x v="41"/>
    <s v="Ernest Wagner"/>
    <x v="123"/>
    <n v="2"/>
    <x v="1"/>
    <x v="3"/>
    <x v="3"/>
    <x v="1"/>
    <x v="0"/>
  </r>
  <r>
    <s v="AX17901"/>
    <s v="ENX2005"/>
    <s v="A163"/>
    <s v="EMP1000"/>
    <s v="C1279"/>
    <x v="153"/>
    <n v="2"/>
    <n v="684"/>
    <n v="561"/>
    <n v="1122"/>
    <n v="1368"/>
    <n v="246"/>
    <s v="Product 6"/>
    <x v="51"/>
    <s v="Fred Robertson"/>
    <x v="210"/>
    <n v="2"/>
    <x v="1"/>
    <x v="3"/>
    <x v="3"/>
    <x v="1"/>
    <x v="0"/>
  </r>
  <r>
    <s v="AX18155"/>
    <s v="ENX2072"/>
    <s v="A138"/>
    <s v="EMP1020"/>
    <s v="C1531"/>
    <x v="151"/>
    <n v="3"/>
    <n v="1887"/>
    <n v="1378"/>
    <n v="4134"/>
    <n v="5661"/>
    <n v="1527"/>
    <s v="Product 73"/>
    <x v="37"/>
    <s v="Ryan Butler"/>
    <x v="743"/>
    <n v="2"/>
    <x v="1"/>
    <x v="3"/>
    <x v="3"/>
    <x v="1"/>
    <x v="0"/>
  </r>
  <r>
    <s v="AX18214"/>
    <s v="ENX2031"/>
    <s v="A165"/>
    <s v="EMP1040"/>
    <s v="C1423"/>
    <x v="151"/>
    <n v="3"/>
    <n v="1638"/>
    <n v="1261"/>
    <n v="3783"/>
    <n v="4914"/>
    <n v="1131"/>
    <s v="Product 32"/>
    <x v="55"/>
    <s v="Patrick Ruiz"/>
    <x v="182"/>
    <n v="2"/>
    <x v="1"/>
    <x v="3"/>
    <x v="3"/>
    <x v="1"/>
    <x v="0"/>
  </r>
  <r>
    <s v="AX18370"/>
    <s v="ENX2035"/>
    <s v="A168"/>
    <s v="EMP1015"/>
    <s v="C1509"/>
    <x v="153"/>
    <n v="1"/>
    <n v="458"/>
    <n v="376"/>
    <n v="376"/>
    <n v="458"/>
    <n v="82"/>
    <s v="Product 36"/>
    <x v="40"/>
    <s v="Justin Lynch"/>
    <x v="442"/>
    <n v="2"/>
    <x v="1"/>
    <x v="3"/>
    <x v="3"/>
    <x v="1"/>
    <x v="0"/>
  </r>
  <r>
    <s v="AX18599"/>
    <s v="ENX2082"/>
    <s v="A132"/>
    <s v="EMP1038"/>
    <s v="C1536"/>
    <x v="151"/>
    <n v="1"/>
    <n v="1103"/>
    <n v="838"/>
    <n v="838"/>
    <n v="1103"/>
    <n v="265"/>
    <s v="Product 83"/>
    <x v="48"/>
    <s v="Scott Mason"/>
    <x v="74"/>
    <n v="2"/>
    <x v="1"/>
    <x v="3"/>
    <x v="3"/>
    <x v="1"/>
    <x v="0"/>
  </r>
  <r>
    <s v="AX18627"/>
    <s v="ENX2050"/>
    <s v="A153"/>
    <s v="EMP1036"/>
    <s v="C1278"/>
    <x v="153"/>
    <n v="1"/>
    <n v="2391"/>
    <n v="1291"/>
    <n v="1291"/>
    <n v="2391"/>
    <n v="1100"/>
    <s v="Product 51"/>
    <x v="8"/>
    <s v="Robert Reed"/>
    <x v="744"/>
    <n v="2"/>
    <x v="1"/>
    <x v="3"/>
    <x v="3"/>
    <x v="1"/>
    <x v="0"/>
  </r>
  <r>
    <s v="AX19746"/>
    <s v="ENX2076"/>
    <s v="A164"/>
    <s v="EMP1012"/>
    <s v="C1391"/>
    <x v="151"/>
    <n v="1"/>
    <n v="1522"/>
    <n v="791"/>
    <n v="791"/>
    <n v="1522"/>
    <n v="731"/>
    <s v="Product 77"/>
    <x v="3"/>
    <s v="John Reyes"/>
    <x v="745"/>
    <n v="2"/>
    <x v="1"/>
    <x v="3"/>
    <x v="3"/>
    <x v="1"/>
    <x v="0"/>
  </r>
  <r>
    <s v="AX19747"/>
    <s v="ENX2043"/>
    <s v="A171"/>
    <s v="EMP1041"/>
    <s v="C1712"/>
    <x v="151"/>
    <n v="4"/>
    <n v="545"/>
    <n v="425"/>
    <n v="1700"/>
    <n v="2180"/>
    <n v="480"/>
    <s v="Product 44"/>
    <x v="0"/>
    <s v="Joe Sims"/>
    <x v="21"/>
    <n v="2"/>
    <x v="1"/>
    <x v="3"/>
    <x v="3"/>
    <x v="1"/>
    <x v="0"/>
  </r>
  <r>
    <s v="AX19846"/>
    <s v="ENX2003"/>
    <s v="A127"/>
    <s v="EMP1004"/>
    <s v="C1192"/>
    <x v="153"/>
    <n v="1"/>
    <n v="1783"/>
    <n v="1516"/>
    <n v="1516"/>
    <n v="1783"/>
    <n v="267"/>
    <s v="Product 4"/>
    <x v="69"/>
    <s v="Kenneth Bradley"/>
    <x v="746"/>
    <n v="2"/>
    <x v="1"/>
    <x v="3"/>
    <x v="3"/>
    <x v="1"/>
    <x v="0"/>
  </r>
  <r>
    <s v="AX19885"/>
    <s v="ENX2064"/>
    <s v="A164"/>
    <s v="EMP1044"/>
    <s v="C1485"/>
    <x v="152"/>
    <n v="2"/>
    <n v="1414"/>
    <n v="962"/>
    <n v="1924"/>
    <n v="2828"/>
    <n v="904"/>
    <s v="Product 65"/>
    <x v="3"/>
    <s v="Martin Carr"/>
    <x v="679"/>
    <n v="2"/>
    <x v="1"/>
    <x v="3"/>
    <x v="3"/>
    <x v="1"/>
    <x v="0"/>
  </r>
  <r>
    <s v="AX20450"/>
    <s v="ENX2020"/>
    <s v="A159"/>
    <s v="EMP1032"/>
    <s v="C1567"/>
    <x v="153"/>
    <n v="1"/>
    <n v="2005"/>
    <n v="1223"/>
    <n v="1223"/>
    <n v="2005"/>
    <n v="782"/>
    <s v="Product 21"/>
    <x v="13"/>
    <s v="Larry Castillo"/>
    <x v="251"/>
    <n v="2"/>
    <x v="1"/>
    <x v="3"/>
    <x v="3"/>
    <x v="1"/>
    <x v="0"/>
  </r>
  <r>
    <s v="AX20955"/>
    <s v="ENX2065"/>
    <s v="A154"/>
    <s v="EMP1039"/>
    <s v="C1442"/>
    <x v="152"/>
    <n v="1"/>
    <n v="2396"/>
    <n v="1965"/>
    <n v="1965"/>
    <n v="2396"/>
    <n v="431"/>
    <s v="Product 66"/>
    <x v="24"/>
    <s v="Eugene Holmes"/>
    <x v="299"/>
    <n v="2"/>
    <x v="1"/>
    <x v="3"/>
    <x v="3"/>
    <x v="1"/>
    <x v="0"/>
  </r>
  <r>
    <s v="AX21000"/>
    <s v="ENX2084"/>
    <s v="A171"/>
    <s v="EMP1042"/>
    <s v="C1015"/>
    <x v="154"/>
    <n v="3"/>
    <n v="1783"/>
    <n v="1230"/>
    <n v="3690"/>
    <n v="5349"/>
    <n v="1659"/>
    <s v="Product 85"/>
    <x v="0"/>
    <s v="Scott Clark"/>
    <x v="583"/>
    <n v="2"/>
    <x v="1"/>
    <x v="3"/>
    <x v="3"/>
    <x v="1"/>
    <x v="0"/>
  </r>
  <r>
    <s v="AX21143"/>
    <s v="ENX2023"/>
    <s v="A150"/>
    <s v="EMP1031"/>
    <s v="C1116"/>
    <x v="153"/>
    <n v="1"/>
    <n v="818"/>
    <n v="450"/>
    <n v="450"/>
    <n v="818"/>
    <n v="368"/>
    <s v="Product 24"/>
    <x v="30"/>
    <s v="Brian Thomas"/>
    <x v="747"/>
    <n v="2"/>
    <x v="1"/>
    <x v="3"/>
    <x v="3"/>
    <x v="1"/>
    <x v="0"/>
  </r>
  <r>
    <s v="AX21234"/>
    <s v="ENX2061"/>
    <s v="A162"/>
    <s v="EMP1004"/>
    <s v="C1658"/>
    <x v="152"/>
    <n v="2"/>
    <n v="913"/>
    <n v="584"/>
    <n v="1168"/>
    <n v="1826"/>
    <n v="658"/>
    <s v="Product 62"/>
    <x v="2"/>
    <s v="Kenneth Bradley"/>
    <x v="612"/>
    <n v="2"/>
    <x v="1"/>
    <x v="3"/>
    <x v="3"/>
    <x v="1"/>
    <x v="0"/>
  </r>
  <r>
    <s v="AX21449"/>
    <s v="ENX2078"/>
    <s v="A141"/>
    <s v="EMP1013"/>
    <s v="C1145"/>
    <x v="153"/>
    <n v="1"/>
    <n v="1798"/>
    <n v="971"/>
    <n v="971"/>
    <n v="1798"/>
    <n v="827"/>
    <s v="Product 79"/>
    <x v="23"/>
    <s v="Charles Harper"/>
    <x v="489"/>
    <n v="2"/>
    <x v="1"/>
    <x v="3"/>
    <x v="3"/>
    <x v="1"/>
    <x v="0"/>
  </r>
  <r>
    <s v="AX21498"/>
    <s v="ENX2018"/>
    <s v="A138"/>
    <s v="EMP1038"/>
    <s v="C1430"/>
    <x v="153"/>
    <n v="2"/>
    <n v="1972"/>
    <n v="1321"/>
    <n v="2642"/>
    <n v="3944"/>
    <n v="1302"/>
    <s v="Product 19"/>
    <x v="37"/>
    <s v="Scott Mason"/>
    <x v="741"/>
    <n v="2"/>
    <x v="1"/>
    <x v="3"/>
    <x v="3"/>
    <x v="1"/>
    <x v="0"/>
  </r>
  <r>
    <s v="AX21884"/>
    <s v="ENX2032"/>
    <s v="A167"/>
    <s v="EMP1042"/>
    <s v="C1686"/>
    <x v="151"/>
    <n v="1"/>
    <n v="1967"/>
    <n v="1397"/>
    <n v="1397"/>
    <n v="1967"/>
    <n v="570"/>
    <s v="Product 33"/>
    <x v="64"/>
    <s v="Scott Clark"/>
    <x v="748"/>
    <n v="2"/>
    <x v="1"/>
    <x v="3"/>
    <x v="3"/>
    <x v="1"/>
    <x v="0"/>
  </r>
  <r>
    <s v="AX22247"/>
    <s v="ENX2071"/>
    <s v="A146"/>
    <s v="EMP1009"/>
    <s v="C1323"/>
    <x v="151"/>
    <n v="1"/>
    <n v="136"/>
    <n v="72"/>
    <n v="72"/>
    <n v="136"/>
    <n v="64"/>
    <s v="Product 72"/>
    <x v="27"/>
    <s v="Kenneth Fields"/>
    <x v="83"/>
    <n v="2"/>
    <x v="1"/>
    <x v="3"/>
    <x v="3"/>
    <x v="1"/>
    <x v="0"/>
  </r>
  <r>
    <s v="AX22335"/>
    <s v="ENX2065"/>
    <s v="A163"/>
    <s v="EMP1040"/>
    <s v="C1039"/>
    <x v="151"/>
    <n v="2"/>
    <n v="2396"/>
    <n v="1965"/>
    <n v="3930"/>
    <n v="4792"/>
    <n v="862"/>
    <s v="Product 66"/>
    <x v="51"/>
    <s v="Patrick Ruiz"/>
    <x v="574"/>
    <n v="2"/>
    <x v="1"/>
    <x v="3"/>
    <x v="3"/>
    <x v="1"/>
    <x v="0"/>
  </r>
  <r>
    <s v="AX22510"/>
    <s v="ENX2027"/>
    <s v="A142"/>
    <s v="EMP1035"/>
    <s v="C1212"/>
    <x v="151"/>
    <n v="4"/>
    <n v="2497"/>
    <n v="1473"/>
    <n v="5892"/>
    <n v="9988"/>
    <n v="4096"/>
    <s v="Product 28"/>
    <x v="56"/>
    <s v="Roger Ramos"/>
    <x v="220"/>
    <n v="2"/>
    <x v="1"/>
    <x v="3"/>
    <x v="3"/>
    <x v="1"/>
    <x v="0"/>
  </r>
  <r>
    <s v="AX22521"/>
    <s v="ENX2014"/>
    <s v="A161"/>
    <s v="EMP1002"/>
    <s v="C1208"/>
    <x v="153"/>
    <n v="4"/>
    <n v="1809"/>
    <n v="1067"/>
    <n v="4268"/>
    <n v="7236"/>
    <n v="2968"/>
    <s v="Product 15"/>
    <x v="6"/>
    <s v="Andrew Bowman"/>
    <x v="582"/>
    <n v="2"/>
    <x v="1"/>
    <x v="3"/>
    <x v="3"/>
    <x v="1"/>
    <x v="0"/>
  </r>
  <r>
    <s v="AX22814"/>
    <s v="ENX2093"/>
    <s v="A162"/>
    <s v="EMP1021"/>
    <s v="C1602"/>
    <x v="153"/>
    <n v="1"/>
    <n v="112"/>
    <n v="90"/>
    <n v="90"/>
    <n v="112"/>
    <n v="22"/>
    <s v="Product 94"/>
    <x v="2"/>
    <s v="Clarence Fox"/>
    <x v="749"/>
    <n v="2"/>
    <x v="1"/>
    <x v="3"/>
    <x v="3"/>
    <x v="1"/>
    <x v="0"/>
  </r>
  <r>
    <s v="AX22924"/>
    <s v="ENX2067"/>
    <s v="A133"/>
    <s v="EMP1028"/>
    <s v="C1181"/>
    <x v="151"/>
    <n v="2"/>
    <n v="1119"/>
    <n v="683"/>
    <n v="1366"/>
    <n v="2238"/>
    <n v="872"/>
    <s v="Product 68"/>
    <x v="46"/>
    <s v="Howard Sims"/>
    <x v="449"/>
    <n v="2"/>
    <x v="1"/>
    <x v="3"/>
    <x v="3"/>
    <x v="1"/>
    <x v="0"/>
  </r>
  <r>
    <s v="AX22960"/>
    <s v="ENX2001"/>
    <s v="A145"/>
    <s v="EMP1001"/>
    <s v="C1302"/>
    <x v="151"/>
    <n v="1"/>
    <n v="951"/>
    <n v="504"/>
    <n v="504"/>
    <n v="951"/>
    <n v="447"/>
    <s v="Product 2"/>
    <x v="35"/>
    <s v="Kevin Butler"/>
    <x v="451"/>
    <n v="2"/>
    <x v="1"/>
    <x v="3"/>
    <x v="3"/>
    <x v="1"/>
    <x v="0"/>
  </r>
  <r>
    <s v="AX23858"/>
    <s v="ENX2051"/>
    <s v="A105"/>
    <s v="EMP1017"/>
    <s v="C1383"/>
    <x v="154"/>
    <n v="1"/>
    <n v="1077"/>
    <n v="732"/>
    <n v="732"/>
    <n v="1077"/>
    <n v="345"/>
    <s v="Product 52"/>
    <x v="45"/>
    <s v="Brian Hansen"/>
    <x v="508"/>
    <n v="2"/>
    <x v="1"/>
    <x v="3"/>
    <x v="3"/>
    <x v="1"/>
    <x v="0"/>
  </r>
  <r>
    <s v="AX23954"/>
    <s v="ENX2072"/>
    <s v="A135"/>
    <s v="EMP1000"/>
    <s v="C1621"/>
    <x v="154"/>
    <n v="1"/>
    <n v="1887"/>
    <n v="1378"/>
    <n v="1378"/>
    <n v="1887"/>
    <n v="509"/>
    <s v="Product 73"/>
    <x v="10"/>
    <s v="Fred Robertson"/>
    <x v="159"/>
    <n v="2"/>
    <x v="1"/>
    <x v="3"/>
    <x v="3"/>
    <x v="1"/>
    <x v="0"/>
  </r>
  <r>
    <s v="AX24187"/>
    <s v="ENX2048"/>
    <s v="A146"/>
    <s v="EMP1017"/>
    <s v="C1501"/>
    <x v="151"/>
    <n v="1"/>
    <n v="502"/>
    <n v="296"/>
    <n v="296"/>
    <n v="502"/>
    <n v="206"/>
    <s v="Product 49"/>
    <x v="27"/>
    <s v="Brian Hansen"/>
    <x v="387"/>
    <n v="2"/>
    <x v="1"/>
    <x v="3"/>
    <x v="3"/>
    <x v="1"/>
    <x v="0"/>
  </r>
  <r>
    <s v="AX24311"/>
    <s v="ENX2033"/>
    <s v="A140"/>
    <s v="EMP1024"/>
    <s v="C1281"/>
    <x v="153"/>
    <n v="1"/>
    <n v="2182"/>
    <n v="1200"/>
    <n v="1200"/>
    <n v="2182"/>
    <n v="982"/>
    <s v="Product 34"/>
    <x v="18"/>
    <s v="Ernest Wheeler"/>
    <x v="216"/>
    <n v="2"/>
    <x v="1"/>
    <x v="3"/>
    <x v="3"/>
    <x v="1"/>
    <x v="0"/>
  </r>
  <r>
    <s v="AX24862"/>
    <s v="ENX2051"/>
    <s v="A153"/>
    <s v="EMP1016"/>
    <s v="C1787"/>
    <x v="153"/>
    <n v="1"/>
    <n v="1077"/>
    <n v="732"/>
    <n v="732"/>
    <n v="1077"/>
    <n v="345"/>
    <s v="Product 52"/>
    <x v="8"/>
    <s v="Henry Nelson"/>
    <x v="439"/>
    <n v="2"/>
    <x v="1"/>
    <x v="3"/>
    <x v="3"/>
    <x v="1"/>
    <x v="0"/>
  </r>
  <r>
    <s v="AX10403"/>
    <s v="ENX2041"/>
    <s v="A124"/>
    <s v="EMP1042"/>
    <s v="C1717"/>
    <x v="155"/>
    <n v="4"/>
    <n v="1380"/>
    <n v="1090"/>
    <n v="4360"/>
    <n v="5520"/>
    <n v="1160"/>
    <s v="Product 42"/>
    <x v="67"/>
    <s v="Scott Clark"/>
    <x v="605"/>
    <n v="2"/>
    <x v="1"/>
    <x v="3"/>
    <x v="3"/>
    <x v="1"/>
    <x v="2"/>
  </r>
  <r>
    <s v="AX10408"/>
    <s v="ENX2069"/>
    <s v="A166"/>
    <s v="EMP1025"/>
    <s v="C1742"/>
    <x v="156"/>
    <n v="1"/>
    <n v="378"/>
    <n v="291"/>
    <n v="291"/>
    <n v="378"/>
    <n v="87"/>
    <s v="Product 70"/>
    <x v="70"/>
    <s v="Ernest Wagner"/>
    <x v="434"/>
    <n v="2"/>
    <x v="1"/>
    <x v="3"/>
    <x v="3"/>
    <x v="1"/>
    <x v="2"/>
  </r>
  <r>
    <s v="AX10431"/>
    <s v="ENX2002"/>
    <s v="A113"/>
    <s v="EMP1007"/>
    <s v="C1660"/>
    <x v="157"/>
    <n v="1"/>
    <n v="847"/>
    <n v="534"/>
    <n v="534"/>
    <n v="847"/>
    <n v="313"/>
    <s v="Product 3"/>
    <x v="73"/>
    <s v="Jeremy Mendoza"/>
    <x v="146"/>
    <n v="2"/>
    <x v="1"/>
    <x v="3"/>
    <x v="3"/>
    <x v="1"/>
    <x v="2"/>
  </r>
  <r>
    <s v="AX10581"/>
    <s v="ENX2072"/>
    <s v="A115"/>
    <s v="EMP1005"/>
    <s v="C1530"/>
    <x v="158"/>
    <n v="3"/>
    <n v="1887"/>
    <n v="1378"/>
    <n v="4134"/>
    <n v="5661"/>
    <n v="1527"/>
    <s v="Product 73"/>
    <x v="33"/>
    <s v="Ryan Welch"/>
    <x v="224"/>
    <n v="2"/>
    <x v="1"/>
    <x v="3"/>
    <x v="3"/>
    <x v="1"/>
    <x v="2"/>
  </r>
  <r>
    <s v="AX10682"/>
    <s v="ENX2058"/>
    <s v="A139"/>
    <s v="EMP1036"/>
    <s v="C1330"/>
    <x v="157"/>
    <n v="1"/>
    <n v="2257"/>
    <n v="1535"/>
    <n v="1535"/>
    <n v="2257"/>
    <n v="722"/>
    <s v="Product 59"/>
    <x v="38"/>
    <s v="Robert Reed"/>
    <x v="511"/>
    <n v="2"/>
    <x v="1"/>
    <x v="3"/>
    <x v="3"/>
    <x v="1"/>
    <x v="2"/>
  </r>
  <r>
    <s v="AX10918"/>
    <s v="ENX2046"/>
    <s v="A151"/>
    <s v="EMP1007"/>
    <s v="C1498"/>
    <x v="159"/>
    <n v="1"/>
    <n v="2410"/>
    <n v="1518"/>
    <n v="1518"/>
    <n v="2410"/>
    <n v="892"/>
    <s v="Product 47"/>
    <x v="1"/>
    <s v="Jeremy Mendoza"/>
    <x v="10"/>
    <n v="2"/>
    <x v="1"/>
    <x v="3"/>
    <x v="3"/>
    <x v="1"/>
    <x v="2"/>
  </r>
  <r>
    <s v="AX10999"/>
    <s v="ENX2031"/>
    <s v="A117"/>
    <s v="EMP1015"/>
    <s v="C1568"/>
    <x v="156"/>
    <n v="1"/>
    <n v="1638"/>
    <n v="1261"/>
    <n v="1261"/>
    <n v="1638"/>
    <n v="377"/>
    <s v="Product 32"/>
    <x v="29"/>
    <s v="Justin Lynch"/>
    <x v="551"/>
    <n v="2"/>
    <x v="1"/>
    <x v="3"/>
    <x v="3"/>
    <x v="1"/>
    <x v="2"/>
  </r>
  <r>
    <s v="AX11871"/>
    <s v="ENX2003"/>
    <s v="A112"/>
    <s v="EMP1038"/>
    <s v="C1049"/>
    <x v="157"/>
    <n v="1"/>
    <n v="1783"/>
    <n v="1516"/>
    <n v="1516"/>
    <n v="1783"/>
    <n v="267"/>
    <s v="Product 4"/>
    <x v="66"/>
    <s v="Scott Mason"/>
    <x v="305"/>
    <n v="2"/>
    <x v="1"/>
    <x v="3"/>
    <x v="3"/>
    <x v="1"/>
    <x v="2"/>
  </r>
  <r>
    <s v="AX12024"/>
    <s v="ENX2078"/>
    <s v="A112"/>
    <s v="EMP1028"/>
    <s v="C1268"/>
    <x v="158"/>
    <n v="2"/>
    <n v="1798"/>
    <n v="971"/>
    <n v="1942"/>
    <n v="3596"/>
    <n v="1654"/>
    <s v="Product 79"/>
    <x v="66"/>
    <s v="Howard Sims"/>
    <x v="526"/>
    <n v="2"/>
    <x v="1"/>
    <x v="3"/>
    <x v="3"/>
    <x v="1"/>
    <x v="2"/>
  </r>
  <r>
    <s v="AX12554"/>
    <s v="ENX2096"/>
    <s v="A123"/>
    <s v="EMP1023"/>
    <s v="C1485"/>
    <x v="155"/>
    <n v="2"/>
    <n v="1587"/>
    <n v="1301"/>
    <n v="2602"/>
    <n v="3174"/>
    <n v="572"/>
    <s v="Product 97"/>
    <x v="34"/>
    <s v="Brian Davis"/>
    <x v="679"/>
    <n v="2"/>
    <x v="1"/>
    <x v="3"/>
    <x v="3"/>
    <x v="1"/>
    <x v="2"/>
  </r>
  <r>
    <s v="AX12633"/>
    <s v="ENX2035"/>
    <s v="A110"/>
    <s v="EMP1030"/>
    <s v="C1228"/>
    <x v="159"/>
    <n v="1"/>
    <n v="458"/>
    <n v="376"/>
    <n v="376"/>
    <n v="458"/>
    <n v="82"/>
    <s v="Product 36"/>
    <x v="63"/>
    <s v="Bobby Russell"/>
    <x v="530"/>
    <n v="2"/>
    <x v="1"/>
    <x v="3"/>
    <x v="3"/>
    <x v="1"/>
    <x v="2"/>
  </r>
  <r>
    <s v="AX12696"/>
    <s v="ENX2018"/>
    <s v="A167"/>
    <s v="EMP1005"/>
    <s v="C1716"/>
    <x v="155"/>
    <n v="1"/>
    <n v="1972"/>
    <n v="1321"/>
    <n v="1321"/>
    <n v="1972"/>
    <n v="651"/>
    <s v="Product 19"/>
    <x v="64"/>
    <s v="Ryan Welch"/>
    <x v="24"/>
    <n v="2"/>
    <x v="1"/>
    <x v="3"/>
    <x v="3"/>
    <x v="1"/>
    <x v="2"/>
  </r>
  <r>
    <s v="AX12725"/>
    <s v="ENX2001"/>
    <s v="A172"/>
    <s v="EMP1012"/>
    <s v="C1339"/>
    <x v="157"/>
    <n v="3"/>
    <n v="951"/>
    <n v="504"/>
    <n v="1512"/>
    <n v="2853"/>
    <n v="1341"/>
    <s v="Product 2"/>
    <x v="36"/>
    <s v="John Reyes"/>
    <x v="401"/>
    <n v="2"/>
    <x v="1"/>
    <x v="3"/>
    <x v="3"/>
    <x v="1"/>
    <x v="2"/>
  </r>
  <r>
    <s v="AX12807"/>
    <s v="ENX2081"/>
    <s v="A104"/>
    <s v="EMP1036"/>
    <s v="C1572"/>
    <x v="158"/>
    <n v="4"/>
    <n v="1566"/>
    <n v="1190"/>
    <n v="4760"/>
    <n v="6264"/>
    <n v="1504"/>
    <s v="Product 82"/>
    <x v="50"/>
    <s v="Robert Reed"/>
    <x v="717"/>
    <n v="2"/>
    <x v="1"/>
    <x v="3"/>
    <x v="3"/>
    <x v="1"/>
    <x v="2"/>
  </r>
  <r>
    <s v="AX13766"/>
    <s v="ENX2042"/>
    <s v="A120"/>
    <s v="EMP1021"/>
    <s v="C1673"/>
    <x v="158"/>
    <n v="1"/>
    <n v="203"/>
    <n v="154"/>
    <n v="154"/>
    <n v="203"/>
    <n v="49"/>
    <s v="Product 43"/>
    <x v="20"/>
    <s v="Clarence Fox"/>
    <x v="87"/>
    <n v="2"/>
    <x v="1"/>
    <x v="3"/>
    <x v="3"/>
    <x v="1"/>
    <x v="2"/>
  </r>
  <r>
    <s v="AX13782"/>
    <s v="ENX2060"/>
    <s v="A147"/>
    <s v="EMP1033"/>
    <s v="C1217"/>
    <x v="156"/>
    <n v="3"/>
    <n v="1467"/>
    <n v="807"/>
    <n v="2421"/>
    <n v="4401"/>
    <n v="1980"/>
    <s v="Product 61"/>
    <x v="42"/>
    <s v="Jerry Perry"/>
    <x v="619"/>
    <n v="2"/>
    <x v="1"/>
    <x v="3"/>
    <x v="3"/>
    <x v="1"/>
    <x v="2"/>
  </r>
  <r>
    <s v="AX13840"/>
    <s v="ENX2012"/>
    <s v="A163"/>
    <s v="EMP1033"/>
    <s v="C1411"/>
    <x v="158"/>
    <n v="1"/>
    <n v="1353"/>
    <n v="947"/>
    <n v="947"/>
    <n v="1353"/>
    <n v="406"/>
    <s v="Product 13"/>
    <x v="51"/>
    <s v="Jerry Perry"/>
    <x v="600"/>
    <n v="2"/>
    <x v="1"/>
    <x v="3"/>
    <x v="3"/>
    <x v="1"/>
    <x v="2"/>
  </r>
  <r>
    <s v="AX14066"/>
    <s v="ENX2040"/>
    <s v="A141"/>
    <s v="EMP1011"/>
    <s v="C1413"/>
    <x v="158"/>
    <n v="1"/>
    <n v="1889"/>
    <n v="945"/>
    <n v="945"/>
    <n v="1889"/>
    <n v="944"/>
    <s v="Product 41"/>
    <x v="23"/>
    <s v="Larry Marshall"/>
    <x v="571"/>
    <n v="2"/>
    <x v="1"/>
    <x v="3"/>
    <x v="3"/>
    <x v="1"/>
    <x v="2"/>
  </r>
  <r>
    <s v="AX14146"/>
    <s v="ENX2090"/>
    <s v="A115"/>
    <s v="EMP1012"/>
    <s v="C1222"/>
    <x v="156"/>
    <n v="1"/>
    <n v="1338"/>
    <n v="682"/>
    <n v="682"/>
    <n v="1338"/>
    <n v="656"/>
    <s v="Product 91"/>
    <x v="33"/>
    <s v="John Reyes"/>
    <x v="691"/>
    <n v="2"/>
    <x v="1"/>
    <x v="3"/>
    <x v="3"/>
    <x v="1"/>
    <x v="2"/>
  </r>
  <r>
    <s v="AX14973"/>
    <s v="ENX2066"/>
    <s v="A150"/>
    <s v="EMP1015"/>
    <s v="C1199"/>
    <x v="157"/>
    <n v="1"/>
    <n v="2091"/>
    <n v="1485"/>
    <n v="1485"/>
    <n v="2091"/>
    <n v="606"/>
    <s v="Product 67"/>
    <x v="30"/>
    <s v="Justin Lynch"/>
    <x v="245"/>
    <n v="2"/>
    <x v="1"/>
    <x v="3"/>
    <x v="3"/>
    <x v="1"/>
    <x v="2"/>
  </r>
  <r>
    <s v="AX15162"/>
    <s v="ENX2072"/>
    <s v="A159"/>
    <s v="EMP1021"/>
    <s v="C1403"/>
    <x v="155"/>
    <n v="1"/>
    <n v="1887"/>
    <n v="1378"/>
    <n v="1378"/>
    <n v="1887"/>
    <n v="509"/>
    <s v="Product 73"/>
    <x v="13"/>
    <s v="Clarence Fox"/>
    <x v="134"/>
    <n v="2"/>
    <x v="1"/>
    <x v="3"/>
    <x v="3"/>
    <x v="1"/>
    <x v="2"/>
  </r>
  <r>
    <s v="AX15805"/>
    <s v="ENX2031"/>
    <s v="A172"/>
    <s v="EMP1034"/>
    <s v="C1302"/>
    <x v="155"/>
    <n v="3"/>
    <n v="1638"/>
    <n v="1261"/>
    <n v="3783"/>
    <n v="4914"/>
    <n v="1131"/>
    <s v="Product 32"/>
    <x v="36"/>
    <s v="Arthur Mccoy"/>
    <x v="451"/>
    <n v="2"/>
    <x v="1"/>
    <x v="3"/>
    <x v="3"/>
    <x v="1"/>
    <x v="2"/>
  </r>
  <r>
    <s v="AX16246"/>
    <s v="ENX2030"/>
    <s v="A109"/>
    <s v="EMP1029"/>
    <s v="C1264"/>
    <x v="155"/>
    <n v="2"/>
    <n v="1899"/>
    <n v="1044"/>
    <n v="2088"/>
    <n v="3798"/>
    <n v="1710"/>
    <s v="Product 31"/>
    <x v="57"/>
    <s v="Howard Gardner"/>
    <x v="206"/>
    <n v="2"/>
    <x v="1"/>
    <x v="3"/>
    <x v="3"/>
    <x v="1"/>
    <x v="2"/>
  </r>
  <r>
    <s v="AX16249"/>
    <s v="ENX2054"/>
    <s v="A168"/>
    <s v="EMP1031"/>
    <s v="C1368"/>
    <x v="159"/>
    <n v="1"/>
    <n v="127"/>
    <n v="79"/>
    <n v="79"/>
    <n v="127"/>
    <n v="48"/>
    <s v="Product 55"/>
    <x v="40"/>
    <s v="Brian Thomas"/>
    <x v="200"/>
    <n v="2"/>
    <x v="1"/>
    <x v="3"/>
    <x v="3"/>
    <x v="1"/>
    <x v="2"/>
  </r>
  <r>
    <s v="AX16736"/>
    <s v="ENX2028"/>
    <s v="A135"/>
    <s v="EMP1033"/>
    <s v="C1377"/>
    <x v="158"/>
    <n v="4"/>
    <n v="2283"/>
    <n v="1484"/>
    <n v="5936"/>
    <n v="9132"/>
    <n v="3196"/>
    <s v="Product 29"/>
    <x v="10"/>
    <s v="Jerry Perry"/>
    <x v="214"/>
    <n v="2"/>
    <x v="1"/>
    <x v="3"/>
    <x v="3"/>
    <x v="1"/>
    <x v="2"/>
  </r>
  <r>
    <s v="AX16763"/>
    <s v="ENX2002"/>
    <s v="A138"/>
    <s v="EMP1023"/>
    <s v="C1095"/>
    <x v="156"/>
    <n v="2"/>
    <n v="847"/>
    <n v="534"/>
    <n v="1068"/>
    <n v="1694"/>
    <n v="626"/>
    <s v="Product 3"/>
    <x v="37"/>
    <s v="Brian Davis"/>
    <x v="240"/>
    <n v="2"/>
    <x v="1"/>
    <x v="3"/>
    <x v="3"/>
    <x v="1"/>
    <x v="2"/>
  </r>
  <r>
    <s v="AX16823"/>
    <s v="ENX2090"/>
    <s v="A110"/>
    <s v="EMP1040"/>
    <s v="C1211"/>
    <x v="155"/>
    <n v="1"/>
    <n v="1338"/>
    <n v="682"/>
    <n v="682"/>
    <n v="1338"/>
    <n v="656"/>
    <s v="Product 91"/>
    <x v="63"/>
    <s v="Patrick Ruiz"/>
    <x v="137"/>
    <n v="2"/>
    <x v="1"/>
    <x v="3"/>
    <x v="3"/>
    <x v="1"/>
    <x v="2"/>
  </r>
  <r>
    <s v="AX16926"/>
    <s v="ENX2027"/>
    <s v="A129"/>
    <s v="EMP1031"/>
    <s v="C1603"/>
    <x v="158"/>
    <n v="1"/>
    <n v="2497"/>
    <n v="1473"/>
    <n v="1473"/>
    <n v="2497"/>
    <n v="1024"/>
    <s v="Product 28"/>
    <x v="22"/>
    <s v="Brian Thomas"/>
    <x v="229"/>
    <n v="2"/>
    <x v="1"/>
    <x v="3"/>
    <x v="3"/>
    <x v="1"/>
    <x v="2"/>
  </r>
  <r>
    <s v="AX16987"/>
    <s v="ENX2082"/>
    <s v="A135"/>
    <s v="EMP1028"/>
    <s v="C1756"/>
    <x v="158"/>
    <n v="4"/>
    <n v="1103"/>
    <n v="838"/>
    <n v="3352"/>
    <n v="4412"/>
    <n v="1060"/>
    <s v="Product 83"/>
    <x v="10"/>
    <s v="Howard Sims"/>
    <x v="371"/>
    <n v="2"/>
    <x v="1"/>
    <x v="3"/>
    <x v="3"/>
    <x v="1"/>
    <x v="2"/>
  </r>
  <r>
    <s v="AX17107"/>
    <s v="ENX2007"/>
    <s v="A145"/>
    <s v="EMP1026"/>
    <s v="C1122"/>
    <x v="158"/>
    <n v="2"/>
    <n v="1405"/>
    <n v="1054"/>
    <n v="2108"/>
    <n v="2810"/>
    <n v="702"/>
    <s v="Product 8"/>
    <x v="35"/>
    <s v="Martin Perry"/>
    <x v="84"/>
    <n v="2"/>
    <x v="1"/>
    <x v="3"/>
    <x v="3"/>
    <x v="1"/>
    <x v="2"/>
  </r>
  <r>
    <s v="AX17312"/>
    <s v="ENX2064"/>
    <s v="A121"/>
    <s v="EMP1043"/>
    <s v="C1556"/>
    <x v="158"/>
    <n v="3"/>
    <n v="1414"/>
    <n v="962"/>
    <n v="2886"/>
    <n v="4242"/>
    <n v="1356"/>
    <s v="Product 65"/>
    <x v="72"/>
    <s v="Joshua Taylor"/>
    <x v="223"/>
    <n v="2"/>
    <x v="1"/>
    <x v="3"/>
    <x v="3"/>
    <x v="1"/>
    <x v="2"/>
  </r>
  <r>
    <s v="AX17378"/>
    <s v="ENX2017"/>
    <s v="A137"/>
    <s v="EMP1030"/>
    <s v="C1692"/>
    <x v="157"/>
    <n v="2"/>
    <n v="35"/>
    <n v="22"/>
    <n v="44"/>
    <n v="70"/>
    <n v="26"/>
    <s v="Product 18"/>
    <x v="68"/>
    <s v="Bobby Russell"/>
    <x v="555"/>
    <n v="2"/>
    <x v="1"/>
    <x v="3"/>
    <x v="3"/>
    <x v="1"/>
    <x v="2"/>
  </r>
  <r>
    <s v="AX17434"/>
    <s v="ENX2066"/>
    <s v="A155"/>
    <s v="EMP1027"/>
    <s v="C1675"/>
    <x v="157"/>
    <n v="1"/>
    <n v="2091"/>
    <n v="1485"/>
    <n v="1485"/>
    <n v="2091"/>
    <n v="606"/>
    <s v="Product 67"/>
    <x v="53"/>
    <s v="Gary Rodriguez"/>
    <x v="453"/>
    <n v="2"/>
    <x v="1"/>
    <x v="3"/>
    <x v="3"/>
    <x v="1"/>
    <x v="2"/>
  </r>
  <r>
    <s v="AX17603"/>
    <s v="ENX2035"/>
    <s v="A146"/>
    <s v="EMP1008"/>
    <s v="C1210"/>
    <x v="158"/>
    <n v="1"/>
    <n v="458"/>
    <n v="376"/>
    <n v="376"/>
    <n v="458"/>
    <n v="82"/>
    <s v="Product 36"/>
    <x v="27"/>
    <s v="Carl Elliott"/>
    <x v="629"/>
    <n v="2"/>
    <x v="1"/>
    <x v="3"/>
    <x v="3"/>
    <x v="1"/>
    <x v="2"/>
  </r>
  <r>
    <s v="AX17613"/>
    <s v="ENX2086"/>
    <s v="A150"/>
    <s v="EMP1020"/>
    <s v="C1502"/>
    <x v="157"/>
    <n v="1"/>
    <n v="123"/>
    <n v="84"/>
    <n v="84"/>
    <n v="123"/>
    <n v="39"/>
    <s v="Product 87"/>
    <x v="30"/>
    <s v="Ryan Butler"/>
    <x v="364"/>
    <n v="2"/>
    <x v="1"/>
    <x v="3"/>
    <x v="3"/>
    <x v="1"/>
    <x v="2"/>
  </r>
  <r>
    <s v="AX17790"/>
    <s v="ENX2042"/>
    <s v="A138"/>
    <s v="EMP1020"/>
    <s v="C1587"/>
    <x v="156"/>
    <n v="2"/>
    <n v="203"/>
    <n v="154"/>
    <n v="308"/>
    <n v="406"/>
    <n v="98"/>
    <s v="Product 43"/>
    <x v="37"/>
    <s v="Ryan Butler"/>
    <x v="403"/>
    <n v="2"/>
    <x v="1"/>
    <x v="3"/>
    <x v="3"/>
    <x v="1"/>
    <x v="2"/>
  </r>
  <r>
    <s v="AX17808"/>
    <s v="ENX2051"/>
    <s v="A153"/>
    <s v="EMP1035"/>
    <s v="C1569"/>
    <x v="155"/>
    <n v="1"/>
    <n v="1077"/>
    <n v="732"/>
    <n v="732"/>
    <n v="1077"/>
    <n v="345"/>
    <s v="Product 52"/>
    <x v="8"/>
    <s v="Roger Ramos"/>
    <x v="485"/>
    <n v="2"/>
    <x v="1"/>
    <x v="3"/>
    <x v="3"/>
    <x v="1"/>
    <x v="2"/>
  </r>
  <r>
    <s v="AX17883"/>
    <s v="ENX2049"/>
    <s v="A101"/>
    <s v="EMP1018"/>
    <s v="C1212"/>
    <x v="159"/>
    <n v="1"/>
    <n v="826"/>
    <n v="562"/>
    <n v="562"/>
    <n v="826"/>
    <n v="264"/>
    <s v="Product 50"/>
    <x v="60"/>
    <s v="Jimmy Young"/>
    <x v="220"/>
    <n v="2"/>
    <x v="1"/>
    <x v="3"/>
    <x v="3"/>
    <x v="1"/>
    <x v="2"/>
  </r>
  <r>
    <s v="AX18462"/>
    <s v="ENX2097"/>
    <s v="A130"/>
    <s v="EMP1005"/>
    <s v="C1341"/>
    <x v="158"/>
    <n v="1"/>
    <n v="1052"/>
    <n v="589"/>
    <n v="589"/>
    <n v="1052"/>
    <n v="463"/>
    <s v="Product 98"/>
    <x v="4"/>
    <s v="Ryan Welch"/>
    <x v="750"/>
    <n v="2"/>
    <x v="1"/>
    <x v="3"/>
    <x v="3"/>
    <x v="1"/>
    <x v="2"/>
  </r>
  <r>
    <s v="AX18928"/>
    <s v="ENX2073"/>
    <s v="A120"/>
    <s v="EMP1008"/>
    <s v="C1106"/>
    <x v="155"/>
    <n v="1"/>
    <n v="95"/>
    <n v="61"/>
    <n v="61"/>
    <n v="95"/>
    <n v="34"/>
    <s v="Product 74"/>
    <x v="20"/>
    <s v="Carl Elliott"/>
    <x v="377"/>
    <n v="2"/>
    <x v="1"/>
    <x v="3"/>
    <x v="3"/>
    <x v="1"/>
    <x v="2"/>
  </r>
  <r>
    <s v="AX19016"/>
    <s v="ENX2042"/>
    <s v="A149"/>
    <s v="EMP1015"/>
    <s v="C1566"/>
    <x v="157"/>
    <n v="1"/>
    <n v="203"/>
    <n v="154"/>
    <n v="154"/>
    <n v="203"/>
    <n v="49"/>
    <s v="Product 43"/>
    <x v="59"/>
    <s v="Justin Lynch"/>
    <x v="45"/>
    <n v="2"/>
    <x v="1"/>
    <x v="3"/>
    <x v="3"/>
    <x v="1"/>
    <x v="2"/>
  </r>
  <r>
    <s v="AX19490"/>
    <s v="ENX2011"/>
    <s v="A109"/>
    <s v="EMP1035"/>
    <s v="C1255"/>
    <x v="157"/>
    <n v="1"/>
    <n v="530"/>
    <n v="435"/>
    <n v="435"/>
    <n v="530"/>
    <n v="95"/>
    <s v="Product 12"/>
    <x v="57"/>
    <s v="Roger Ramos"/>
    <x v="111"/>
    <n v="2"/>
    <x v="1"/>
    <x v="3"/>
    <x v="3"/>
    <x v="1"/>
    <x v="2"/>
  </r>
  <r>
    <s v="AX19865"/>
    <s v="ENX2067"/>
    <s v="A105"/>
    <s v="EMP1044"/>
    <s v="C1793"/>
    <x v="155"/>
    <n v="4"/>
    <n v="1119"/>
    <n v="683"/>
    <n v="2732"/>
    <n v="4476"/>
    <n v="1744"/>
    <s v="Product 68"/>
    <x v="45"/>
    <s v="Martin Carr"/>
    <x v="677"/>
    <n v="2"/>
    <x v="1"/>
    <x v="3"/>
    <x v="3"/>
    <x v="1"/>
    <x v="2"/>
  </r>
  <r>
    <s v="AX20100"/>
    <s v="ENX2069"/>
    <s v="A163"/>
    <s v="EMP1023"/>
    <s v="C1678"/>
    <x v="155"/>
    <n v="1"/>
    <n v="378"/>
    <n v="291"/>
    <n v="291"/>
    <n v="378"/>
    <n v="87"/>
    <s v="Product 70"/>
    <x v="51"/>
    <s v="Brian Davis"/>
    <x v="191"/>
    <n v="2"/>
    <x v="1"/>
    <x v="3"/>
    <x v="3"/>
    <x v="1"/>
    <x v="2"/>
  </r>
  <r>
    <s v="AX20320"/>
    <s v="ENX2025"/>
    <s v="A161"/>
    <s v="EMP1023"/>
    <s v="C1676"/>
    <x v="157"/>
    <n v="1"/>
    <n v="667"/>
    <n v="387"/>
    <n v="387"/>
    <n v="667"/>
    <n v="280"/>
    <s v="Product 26"/>
    <x v="6"/>
    <s v="Brian Davis"/>
    <x v="497"/>
    <n v="2"/>
    <x v="1"/>
    <x v="3"/>
    <x v="3"/>
    <x v="1"/>
    <x v="2"/>
  </r>
  <r>
    <s v="AX20714"/>
    <s v="ENX2029"/>
    <s v="A105"/>
    <s v="EMP1044"/>
    <s v="C1471"/>
    <x v="157"/>
    <n v="1"/>
    <n v="1848"/>
    <n v="1294"/>
    <n v="1294"/>
    <n v="1848"/>
    <n v="554"/>
    <s v="Product 30"/>
    <x v="45"/>
    <s v="Martin Carr"/>
    <x v="586"/>
    <n v="2"/>
    <x v="1"/>
    <x v="3"/>
    <x v="3"/>
    <x v="1"/>
    <x v="2"/>
  </r>
  <r>
    <s v="AX21151"/>
    <s v="ENX2021"/>
    <s v="A168"/>
    <s v="EMP1015"/>
    <s v="C1721"/>
    <x v="156"/>
    <n v="1"/>
    <n v="217"/>
    <n v="171"/>
    <n v="171"/>
    <n v="217"/>
    <n v="46"/>
    <s v="Product 22"/>
    <x v="40"/>
    <s v="Justin Lynch"/>
    <x v="678"/>
    <n v="2"/>
    <x v="1"/>
    <x v="3"/>
    <x v="3"/>
    <x v="1"/>
    <x v="2"/>
  </r>
  <r>
    <s v="AX22033"/>
    <s v="ENX2042"/>
    <s v="A152"/>
    <s v="EMP1012"/>
    <s v="C1607"/>
    <x v="157"/>
    <n v="3"/>
    <n v="203"/>
    <n v="154"/>
    <n v="462"/>
    <n v="609"/>
    <n v="147"/>
    <s v="Product 43"/>
    <x v="26"/>
    <s v="John Reyes"/>
    <x v="211"/>
    <n v="2"/>
    <x v="1"/>
    <x v="3"/>
    <x v="3"/>
    <x v="1"/>
    <x v="2"/>
  </r>
  <r>
    <s v="AX22250"/>
    <s v="ENX2045"/>
    <s v="A122"/>
    <s v="EMP1032"/>
    <s v="C1202"/>
    <x v="158"/>
    <n v="1"/>
    <n v="556"/>
    <n v="395"/>
    <n v="395"/>
    <n v="556"/>
    <n v="161"/>
    <s v="Product 46"/>
    <x v="71"/>
    <s v="Larry Castillo"/>
    <x v="3"/>
    <n v="2"/>
    <x v="1"/>
    <x v="3"/>
    <x v="3"/>
    <x v="1"/>
    <x v="2"/>
  </r>
  <r>
    <s v="AX22298"/>
    <s v="ENX2010"/>
    <s v="A160"/>
    <s v="EMP1018"/>
    <s v="C1591"/>
    <x v="155"/>
    <n v="3"/>
    <n v="1812"/>
    <n v="1305"/>
    <n v="3915"/>
    <n v="5436"/>
    <n v="1521"/>
    <s v="Product 11"/>
    <x v="9"/>
    <s v="Jimmy Young"/>
    <x v="289"/>
    <n v="2"/>
    <x v="1"/>
    <x v="3"/>
    <x v="3"/>
    <x v="1"/>
    <x v="2"/>
  </r>
  <r>
    <s v="AX22483"/>
    <s v="ENX2001"/>
    <s v="A148"/>
    <s v="EMP1022"/>
    <s v="C1645"/>
    <x v="155"/>
    <n v="1"/>
    <n v="951"/>
    <n v="504"/>
    <n v="504"/>
    <n v="951"/>
    <n v="447"/>
    <s v="Product 2"/>
    <x v="62"/>
    <s v="Walter Cook"/>
    <x v="128"/>
    <n v="2"/>
    <x v="1"/>
    <x v="3"/>
    <x v="3"/>
    <x v="1"/>
    <x v="2"/>
  </r>
  <r>
    <s v="AX22748"/>
    <s v="ENX2031"/>
    <s v="A115"/>
    <s v="EMP1030"/>
    <s v="C1040"/>
    <x v="157"/>
    <n v="4"/>
    <n v="1638"/>
    <n v="1261"/>
    <n v="5044"/>
    <n v="6552"/>
    <n v="1508"/>
    <s v="Product 32"/>
    <x v="33"/>
    <s v="Bobby Russell"/>
    <x v="221"/>
    <n v="2"/>
    <x v="1"/>
    <x v="3"/>
    <x v="3"/>
    <x v="1"/>
    <x v="2"/>
  </r>
  <r>
    <s v="AX22978"/>
    <s v="ENX2029"/>
    <s v="A137"/>
    <s v="EMP1002"/>
    <s v="C1132"/>
    <x v="159"/>
    <n v="4"/>
    <n v="1848"/>
    <n v="1294"/>
    <n v="5176"/>
    <n v="7392"/>
    <n v="2216"/>
    <s v="Product 30"/>
    <x v="68"/>
    <s v="Andrew Bowman"/>
    <x v="751"/>
    <n v="2"/>
    <x v="1"/>
    <x v="3"/>
    <x v="3"/>
    <x v="1"/>
    <x v="2"/>
  </r>
  <r>
    <s v="AX23394"/>
    <s v="ENX2039"/>
    <s v="A100"/>
    <s v="EMP1001"/>
    <s v="C1156"/>
    <x v="159"/>
    <n v="1"/>
    <n v="817"/>
    <n v="409"/>
    <n v="409"/>
    <n v="817"/>
    <n v="408"/>
    <s v="Product 40"/>
    <x v="52"/>
    <s v="Kevin Butler"/>
    <x v="740"/>
    <n v="2"/>
    <x v="1"/>
    <x v="3"/>
    <x v="3"/>
    <x v="1"/>
    <x v="2"/>
  </r>
  <r>
    <s v="AX23591"/>
    <s v="ENX2020"/>
    <s v="A152"/>
    <s v="EMP1007"/>
    <s v="C1195"/>
    <x v="159"/>
    <n v="2"/>
    <n v="2005"/>
    <n v="1223"/>
    <n v="2446"/>
    <n v="4010"/>
    <n v="1564"/>
    <s v="Product 21"/>
    <x v="26"/>
    <s v="Jeremy Mendoza"/>
    <x v="188"/>
    <n v="2"/>
    <x v="1"/>
    <x v="3"/>
    <x v="3"/>
    <x v="1"/>
    <x v="2"/>
  </r>
  <r>
    <s v="AX24226"/>
    <s v="ENX2043"/>
    <s v="A158"/>
    <s v="EMP1007"/>
    <s v="C1636"/>
    <x v="159"/>
    <n v="4"/>
    <n v="545"/>
    <n v="425"/>
    <n v="1700"/>
    <n v="2180"/>
    <n v="480"/>
    <s v="Product 44"/>
    <x v="58"/>
    <s v="Jeremy Mendoza"/>
    <x v="668"/>
    <n v="2"/>
    <x v="1"/>
    <x v="3"/>
    <x v="3"/>
    <x v="1"/>
    <x v="2"/>
  </r>
  <r>
    <s v="AX24710"/>
    <s v="ENX2000"/>
    <s v="A166"/>
    <s v="EMP1020"/>
    <s v="C1078"/>
    <x v="155"/>
    <n v="1"/>
    <n v="2241"/>
    <n v="1367"/>
    <n v="1367"/>
    <n v="2241"/>
    <n v="874"/>
    <s v="Product 1"/>
    <x v="70"/>
    <s v="Ryan Butler"/>
    <x v="565"/>
    <n v="2"/>
    <x v="1"/>
    <x v="3"/>
    <x v="3"/>
    <x v="1"/>
    <x v="2"/>
  </r>
  <r>
    <s v="AX10575"/>
    <s v="ENX2077"/>
    <s v="A133"/>
    <s v="EMP1018"/>
    <s v="C1152"/>
    <x v="160"/>
    <n v="1"/>
    <n v="530"/>
    <n v="424"/>
    <n v="424"/>
    <n v="530"/>
    <n v="106"/>
    <s v="Product 78"/>
    <x v="46"/>
    <s v="Jimmy Young"/>
    <x v="198"/>
    <n v="2"/>
    <x v="1"/>
    <x v="4"/>
    <x v="4"/>
    <x v="1"/>
    <x v="0"/>
  </r>
  <r>
    <s v="AX10651"/>
    <s v="ENX2049"/>
    <s v="A149"/>
    <s v="EMP1002"/>
    <s v="C1095"/>
    <x v="160"/>
    <n v="4"/>
    <n v="826"/>
    <n v="562"/>
    <n v="2248"/>
    <n v="3304"/>
    <n v="1056"/>
    <s v="Product 50"/>
    <x v="59"/>
    <s v="Andrew Bowman"/>
    <x v="240"/>
    <n v="2"/>
    <x v="1"/>
    <x v="4"/>
    <x v="4"/>
    <x v="1"/>
    <x v="0"/>
  </r>
  <r>
    <s v="AX11164"/>
    <s v="ENX2046"/>
    <s v="A162"/>
    <s v="EMP1008"/>
    <s v="C1454"/>
    <x v="160"/>
    <n v="2"/>
    <n v="2410"/>
    <n v="1518"/>
    <n v="3036"/>
    <n v="4820"/>
    <n v="1784"/>
    <s v="Product 47"/>
    <x v="2"/>
    <s v="Carl Elliott"/>
    <x v="68"/>
    <n v="2"/>
    <x v="1"/>
    <x v="4"/>
    <x v="4"/>
    <x v="1"/>
    <x v="0"/>
  </r>
  <r>
    <s v="AX11637"/>
    <s v="ENX2036"/>
    <s v="A170"/>
    <s v="EMP1036"/>
    <s v="C1022"/>
    <x v="161"/>
    <n v="2"/>
    <n v="1582"/>
    <n v="1234"/>
    <n v="2468"/>
    <n v="3164"/>
    <n v="696"/>
    <s v="Product 37"/>
    <x v="47"/>
    <s v="Robert Reed"/>
    <x v="249"/>
    <n v="2"/>
    <x v="1"/>
    <x v="4"/>
    <x v="4"/>
    <x v="1"/>
    <x v="0"/>
  </r>
  <r>
    <s v="AX12638"/>
    <s v="ENX2071"/>
    <s v="A105"/>
    <s v="EMP1018"/>
    <s v="C1734"/>
    <x v="162"/>
    <n v="2"/>
    <n v="136"/>
    <n v="72"/>
    <n v="144"/>
    <n v="272"/>
    <n v="128"/>
    <s v="Product 72"/>
    <x v="45"/>
    <s v="Jimmy Young"/>
    <x v="658"/>
    <n v="2"/>
    <x v="1"/>
    <x v="4"/>
    <x v="4"/>
    <x v="1"/>
    <x v="0"/>
  </r>
  <r>
    <s v="AX12836"/>
    <s v="ENX2067"/>
    <s v="A153"/>
    <s v="EMP1011"/>
    <s v="C1447"/>
    <x v="162"/>
    <n v="1"/>
    <n v="1119"/>
    <n v="683"/>
    <n v="683"/>
    <n v="1119"/>
    <n v="436"/>
    <s v="Product 68"/>
    <x v="8"/>
    <s v="Larry Marshall"/>
    <x v="702"/>
    <n v="2"/>
    <x v="1"/>
    <x v="4"/>
    <x v="4"/>
    <x v="1"/>
    <x v="0"/>
  </r>
  <r>
    <s v="AX13113"/>
    <s v="ENX2032"/>
    <s v="A104"/>
    <s v="EMP1011"/>
    <s v="C1505"/>
    <x v="161"/>
    <n v="1"/>
    <n v="1967"/>
    <n v="1397"/>
    <n v="1397"/>
    <n v="1967"/>
    <n v="570"/>
    <s v="Product 33"/>
    <x v="50"/>
    <s v="Larry Marshall"/>
    <x v="632"/>
    <n v="2"/>
    <x v="1"/>
    <x v="4"/>
    <x v="4"/>
    <x v="1"/>
    <x v="0"/>
  </r>
  <r>
    <s v="AX13621"/>
    <s v="ENX2059"/>
    <s v="A125"/>
    <s v="EMP1016"/>
    <s v="C1128"/>
    <x v="163"/>
    <n v="1"/>
    <n v="1494"/>
    <n v="971"/>
    <n v="971"/>
    <n v="1494"/>
    <n v="523"/>
    <s v="Product 60"/>
    <x v="31"/>
    <s v="Henry Nelson"/>
    <x v="553"/>
    <n v="2"/>
    <x v="1"/>
    <x v="4"/>
    <x v="4"/>
    <x v="1"/>
    <x v="0"/>
  </r>
  <r>
    <s v="AX13702"/>
    <s v="ENX2004"/>
    <s v="A114"/>
    <s v="EMP1042"/>
    <s v="C1354"/>
    <x v="163"/>
    <n v="4"/>
    <n v="1278"/>
    <n v="665"/>
    <n v="2660"/>
    <n v="5112"/>
    <n v="2452"/>
    <s v="Product 5"/>
    <x v="28"/>
    <s v="Scott Clark"/>
    <x v="133"/>
    <n v="2"/>
    <x v="1"/>
    <x v="4"/>
    <x v="4"/>
    <x v="1"/>
    <x v="0"/>
  </r>
  <r>
    <s v="AX14293"/>
    <s v="ENX2067"/>
    <s v="A171"/>
    <s v="EMP1015"/>
    <s v="C1170"/>
    <x v="162"/>
    <n v="1"/>
    <n v="1119"/>
    <n v="683"/>
    <n v="683"/>
    <n v="1119"/>
    <n v="436"/>
    <s v="Product 68"/>
    <x v="0"/>
    <s v="Justin Lynch"/>
    <x v="616"/>
    <n v="2"/>
    <x v="1"/>
    <x v="4"/>
    <x v="4"/>
    <x v="1"/>
    <x v="0"/>
  </r>
  <r>
    <s v="AX14398"/>
    <s v="ENX2088"/>
    <s v="A147"/>
    <s v="EMP1035"/>
    <s v="C1777"/>
    <x v="162"/>
    <n v="1"/>
    <n v="603"/>
    <n v="416"/>
    <n v="416"/>
    <n v="603"/>
    <n v="187"/>
    <s v="Product 89"/>
    <x v="42"/>
    <s v="Roger Ramos"/>
    <x v="682"/>
    <n v="2"/>
    <x v="1"/>
    <x v="4"/>
    <x v="4"/>
    <x v="1"/>
    <x v="0"/>
  </r>
  <r>
    <s v="AX14403"/>
    <s v="ENX2093"/>
    <s v="A115"/>
    <s v="EMP1000"/>
    <s v="C1775"/>
    <x v="163"/>
    <n v="1"/>
    <n v="112"/>
    <n v="90"/>
    <n v="90"/>
    <n v="112"/>
    <n v="22"/>
    <s v="Product 94"/>
    <x v="33"/>
    <s v="Fred Robertson"/>
    <x v="69"/>
    <n v="2"/>
    <x v="1"/>
    <x v="4"/>
    <x v="4"/>
    <x v="1"/>
    <x v="0"/>
  </r>
  <r>
    <s v="AX14933"/>
    <s v="ENX2094"/>
    <s v="A165"/>
    <s v="EMP1018"/>
    <s v="C1374"/>
    <x v="162"/>
    <n v="3"/>
    <n v="771"/>
    <n v="648"/>
    <n v="1944"/>
    <n v="2313"/>
    <n v="369"/>
    <s v="Product 95"/>
    <x v="55"/>
    <s v="Jimmy Young"/>
    <x v="189"/>
    <n v="2"/>
    <x v="1"/>
    <x v="4"/>
    <x v="4"/>
    <x v="1"/>
    <x v="0"/>
  </r>
  <r>
    <s v="AX15924"/>
    <s v="ENX2067"/>
    <s v="A138"/>
    <s v="EMP1004"/>
    <s v="C1141"/>
    <x v="162"/>
    <n v="1"/>
    <n v="1119"/>
    <n v="683"/>
    <n v="683"/>
    <n v="1119"/>
    <n v="436"/>
    <s v="Product 68"/>
    <x v="37"/>
    <s v="Kenneth Bradley"/>
    <x v="166"/>
    <n v="2"/>
    <x v="1"/>
    <x v="4"/>
    <x v="4"/>
    <x v="1"/>
    <x v="0"/>
  </r>
  <r>
    <s v="AX15927"/>
    <s v="ENX2010"/>
    <s v="A113"/>
    <s v="EMP1015"/>
    <s v="C1099"/>
    <x v="161"/>
    <n v="1"/>
    <n v="1812"/>
    <n v="1305"/>
    <n v="1305"/>
    <n v="1812"/>
    <n v="507"/>
    <s v="Product 11"/>
    <x v="73"/>
    <s v="Justin Lynch"/>
    <x v="394"/>
    <n v="2"/>
    <x v="1"/>
    <x v="4"/>
    <x v="4"/>
    <x v="1"/>
    <x v="0"/>
  </r>
  <r>
    <s v="AX16012"/>
    <s v="ENX2068"/>
    <s v="A123"/>
    <s v="EMP1037"/>
    <s v="C1267"/>
    <x v="161"/>
    <n v="1"/>
    <n v="1500"/>
    <n v="900"/>
    <n v="900"/>
    <n v="1500"/>
    <n v="600"/>
    <s v="Product 69"/>
    <x v="34"/>
    <s v="Carl Hall"/>
    <x v="657"/>
    <n v="2"/>
    <x v="1"/>
    <x v="4"/>
    <x v="4"/>
    <x v="1"/>
    <x v="0"/>
  </r>
  <r>
    <s v="AX16058"/>
    <s v="ENX2093"/>
    <s v="A136"/>
    <s v="EMP1037"/>
    <s v="C1229"/>
    <x v="162"/>
    <n v="3"/>
    <n v="112"/>
    <n v="90"/>
    <n v="270"/>
    <n v="336"/>
    <n v="66"/>
    <s v="Product 94"/>
    <x v="43"/>
    <s v="Carl Hall"/>
    <x v="562"/>
    <n v="2"/>
    <x v="1"/>
    <x v="4"/>
    <x v="4"/>
    <x v="1"/>
    <x v="0"/>
  </r>
  <r>
    <s v="AX16245"/>
    <s v="ENX2072"/>
    <s v="A150"/>
    <s v="EMP1033"/>
    <s v="C1299"/>
    <x v="163"/>
    <n v="2"/>
    <n v="1887"/>
    <n v="1378"/>
    <n v="2756"/>
    <n v="3774"/>
    <n v="1018"/>
    <s v="Product 73"/>
    <x v="30"/>
    <s v="Jerry Perry"/>
    <x v="655"/>
    <n v="2"/>
    <x v="1"/>
    <x v="4"/>
    <x v="4"/>
    <x v="1"/>
    <x v="0"/>
  </r>
  <r>
    <s v="AX16511"/>
    <s v="ENX2095"/>
    <s v="A118"/>
    <s v="EMP1019"/>
    <s v="C1503"/>
    <x v="162"/>
    <n v="1"/>
    <n v="1743"/>
    <n v="872"/>
    <n v="872"/>
    <n v="1743"/>
    <n v="871"/>
    <s v="Product 96"/>
    <x v="19"/>
    <s v="Roger Robertson"/>
    <x v="569"/>
    <n v="2"/>
    <x v="1"/>
    <x v="4"/>
    <x v="4"/>
    <x v="1"/>
    <x v="0"/>
  </r>
  <r>
    <s v="AX17331"/>
    <s v="ENX2025"/>
    <s v="A165"/>
    <s v="EMP1007"/>
    <s v="C1759"/>
    <x v="162"/>
    <n v="1"/>
    <n v="667"/>
    <n v="387"/>
    <n v="387"/>
    <n v="667"/>
    <n v="280"/>
    <s v="Product 26"/>
    <x v="55"/>
    <s v="Jeremy Mendoza"/>
    <x v="355"/>
    <n v="2"/>
    <x v="1"/>
    <x v="4"/>
    <x v="4"/>
    <x v="1"/>
    <x v="0"/>
  </r>
  <r>
    <s v="AX17842"/>
    <s v="ENX2040"/>
    <s v="A131"/>
    <s v="EMP1005"/>
    <s v="C1772"/>
    <x v="162"/>
    <n v="1"/>
    <n v="1889"/>
    <n v="945"/>
    <n v="945"/>
    <n v="1889"/>
    <n v="944"/>
    <s v="Product 41"/>
    <x v="32"/>
    <s v="Ryan Welch"/>
    <x v="643"/>
    <n v="2"/>
    <x v="1"/>
    <x v="4"/>
    <x v="4"/>
    <x v="1"/>
    <x v="0"/>
  </r>
  <r>
    <s v="AX18367"/>
    <s v="ENX2083"/>
    <s v="A157"/>
    <s v="EMP1013"/>
    <s v="C1051"/>
    <x v="162"/>
    <n v="1"/>
    <n v="2141"/>
    <n v="1777"/>
    <n v="1777"/>
    <n v="2141"/>
    <n v="364"/>
    <s v="Product 84"/>
    <x v="7"/>
    <s v="Charles Harper"/>
    <x v="432"/>
    <n v="2"/>
    <x v="1"/>
    <x v="4"/>
    <x v="4"/>
    <x v="1"/>
    <x v="0"/>
  </r>
  <r>
    <s v="AX19036"/>
    <s v="ENX2096"/>
    <s v="A141"/>
    <s v="EMP1032"/>
    <s v="C1783"/>
    <x v="163"/>
    <n v="2"/>
    <n v="1587"/>
    <n v="1301"/>
    <n v="2602"/>
    <n v="3174"/>
    <n v="572"/>
    <s v="Product 97"/>
    <x v="23"/>
    <s v="Larry Castillo"/>
    <x v="272"/>
    <n v="2"/>
    <x v="1"/>
    <x v="4"/>
    <x v="4"/>
    <x v="1"/>
    <x v="0"/>
  </r>
  <r>
    <s v="AX19047"/>
    <s v="ENX2012"/>
    <s v="A110"/>
    <s v="EMP1014"/>
    <s v="C1344"/>
    <x v="160"/>
    <n v="1"/>
    <n v="1353"/>
    <n v="947"/>
    <n v="947"/>
    <n v="1353"/>
    <n v="406"/>
    <s v="Product 13"/>
    <x v="63"/>
    <s v="Ronald Reed"/>
    <x v="22"/>
    <n v="2"/>
    <x v="1"/>
    <x v="4"/>
    <x v="4"/>
    <x v="1"/>
    <x v="0"/>
  </r>
  <r>
    <s v="AX19092"/>
    <s v="ENX2041"/>
    <s v="A160"/>
    <s v="EMP1035"/>
    <s v="C1148"/>
    <x v="163"/>
    <n v="4"/>
    <n v="1380"/>
    <n v="1090"/>
    <n v="4360"/>
    <n v="5520"/>
    <n v="1160"/>
    <s v="Product 42"/>
    <x v="9"/>
    <s v="Roger Ramos"/>
    <x v="55"/>
    <n v="2"/>
    <x v="1"/>
    <x v="4"/>
    <x v="4"/>
    <x v="1"/>
    <x v="0"/>
  </r>
  <r>
    <s v="AX19394"/>
    <s v="ENX2010"/>
    <s v="A116"/>
    <s v="EMP1041"/>
    <s v="C1586"/>
    <x v="162"/>
    <n v="1"/>
    <n v="1812"/>
    <n v="1305"/>
    <n v="1305"/>
    <n v="1812"/>
    <n v="507"/>
    <s v="Product 11"/>
    <x v="15"/>
    <s v="Joe Sims"/>
    <x v="585"/>
    <n v="2"/>
    <x v="1"/>
    <x v="4"/>
    <x v="4"/>
    <x v="1"/>
    <x v="0"/>
  </r>
  <r>
    <s v="AX19815"/>
    <s v="ENX2011"/>
    <s v="A104"/>
    <s v="EMP1039"/>
    <s v="C1744"/>
    <x v="163"/>
    <n v="3"/>
    <n v="530"/>
    <n v="435"/>
    <n v="1305"/>
    <n v="1590"/>
    <n v="285"/>
    <s v="Product 12"/>
    <x v="50"/>
    <s v="Eugene Holmes"/>
    <x v="500"/>
    <n v="2"/>
    <x v="1"/>
    <x v="4"/>
    <x v="4"/>
    <x v="1"/>
    <x v="0"/>
  </r>
  <r>
    <s v="AX20121"/>
    <s v="ENX2006"/>
    <s v="A143"/>
    <s v="EMP1017"/>
    <s v="C1707"/>
    <x v="162"/>
    <n v="1"/>
    <n v="1826"/>
    <n v="1443"/>
    <n v="1443"/>
    <n v="1826"/>
    <n v="383"/>
    <s v="Product 7"/>
    <x v="39"/>
    <s v="Brian Hansen"/>
    <x v="192"/>
    <n v="2"/>
    <x v="1"/>
    <x v="4"/>
    <x v="4"/>
    <x v="1"/>
    <x v="0"/>
  </r>
  <r>
    <s v="AX20177"/>
    <s v="ENX2073"/>
    <s v="A164"/>
    <s v="EMP1005"/>
    <s v="C1189"/>
    <x v="163"/>
    <n v="1"/>
    <n v="95"/>
    <n v="61"/>
    <n v="61"/>
    <n v="95"/>
    <n v="34"/>
    <s v="Product 74"/>
    <x v="3"/>
    <s v="Ryan Welch"/>
    <x v="752"/>
    <n v="2"/>
    <x v="1"/>
    <x v="4"/>
    <x v="4"/>
    <x v="1"/>
    <x v="0"/>
  </r>
  <r>
    <s v="AX20239"/>
    <s v="ENX2095"/>
    <s v="A115"/>
    <s v="EMP1015"/>
    <s v="C1219"/>
    <x v="163"/>
    <n v="3"/>
    <n v="1743"/>
    <n v="872"/>
    <n v="2616"/>
    <n v="5229"/>
    <n v="2613"/>
    <s v="Product 96"/>
    <x v="33"/>
    <s v="Justin Lynch"/>
    <x v="301"/>
    <n v="2"/>
    <x v="1"/>
    <x v="4"/>
    <x v="4"/>
    <x v="1"/>
    <x v="0"/>
  </r>
  <r>
    <s v="AX20605"/>
    <s v="ENX2049"/>
    <s v="A173"/>
    <s v="EMP1006"/>
    <s v="C1492"/>
    <x v="160"/>
    <n v="1"/>
    <n v="826"/>
    <n v="562"/>
    <n v="562"/>
    <n v="826"/>
    <n v="264"/>
    <s v="Product 50"/>
    <x v="25"/>
    <s v="Sean Miller"/>
    <x v="533"/>
    <n v="2"/>
    <x v="1"/>
    <x v="4"/>
    <x v="4"/>
    <x v="1"/>
    <x v="0"/>
  </r>
  <r>
    <s v="AX20996"/>
    <s v="ENX2005"/>
    <s v="A135"/>
    <s v="EMP1011"/>
    <s v="C1697"/>
    <x v="161"/>
    <n v="1"/>
    <n v="684"/>
    <n v="561"/>
    <n v="561"/>
    <n v="684"/>
    <n v="123"/>
    <s v="Product 6"/>
    <x v="10"/>
    <s v="Larry Marshall"/>
    <x v="589"/>
    <n v="2"/>
    <x v="1"/>
    <x v="4"/>
    <x v="4"/>
    <x v="1"/>
    <x v="0"/>
  </r>
  <r>
    <s v="AX21202"/>
    <s v="ENX2023"/>
    <s v="A112"/>
    <s v="EMP1001"/>
    <s v="C1592"/>
    <x v="162"/>
    <n v="1"/>
    <n v="818"/>
    <n v="450"/>
    <n v="450"/>
    <n v="818"/>
    <n v="368"/>
    <s v="Product 24"/>
    <x v="66"/>
    <s v="Kevin Butler"/>
    <x v="499"/>
    <n v="2"/>
    <x v="1"/>
    <x v="4"/>
    <x v="4"/>
    <x v="1"/>
    <x v="0"/>
  </r>
  <r>
    <s v="AX21248"/>
    <s v="ENX2076"/>
    <s v="A128"/>
    <s v="EMP1033"/>
    <s v="C1777"/>
    <x v="163"/>
    <n v="1"/>
    <n v="1522"/>
    <n v="791"/>
    <n v="791"/>
    <n v="1522"/>
    <n v="731"/>
    <s v="Product 77"/>
    <x v="12"/>
    <s v="Jerry Perry"/>
    <x v="682"/>
    <n v="2"/>
    <x v="1"/>
    <x v="4"/>
    <x v="4"/>
    <x v="1"/>
    <x v="0"/>
  </r>
  <r>
    <s v="AX21914"/>
    <s v="ENX2057"/>
    <s v="A145"/>
    <s v="EMP1011"/>
    <s v="C1402"/>
    <x v="163"/>
    <n v="1"/>
    <n v="181"/>
    <n v="130"/>
    <n v="130"/>
    <n v="181"/>
    <n v="51"/>
    <s v="Product 58"/>
    <x v="35"/>
    <s v="Larry Marshall"/>
    <x v="79"/>
    <n v="2"/>
    <x v="1"/>
    <x v="4"/>
    <x v="4"/>
    <x v="1"/>
    <x v="0"/>
  </r>
  <r>
    <s v="AX21920"/>
    <s v="ENX2062"/>
    <s v="A121"/>
    <s v="EMP1028"/>
    <s v="C1579"/>
    <x v="160"/>
    <n v="2"/>
    <n v="2464"/>
    <n v="1774"/>
    <n v="3548"/>
    <n v="4928"/>
    <n v="1380"/>
    <s v="Product 63"/>
    <x v="72"/>
    <s v="Howard Sims"/>
    <x v="422"/>
    <n v="2"/>
    <x v="1"/>
    <x v="4"/>
    <x v="4"/>
    <x v="1"/>
    <x v="0"/>
  </r>
  <r>
    <s v="AX21966"/>
    <s v="ENX2051"/>
    <s v="A144"/>
    <s v="EMP1028"/>
    <s v="C1356"/>
    <x v="161"/>
    <n v="1"/>
    <n v="1077"/>
    <n v="732"/>
    <n v="732"/>
    <n v="1077"/>
    <n v="345"/>
    <s v="Product 52"/>
    <x v="65"/>
    <s v="Howard Sims"/>
    <x v="238"/>
    <n v="2"/>
    <x v="1"/>
    <x v="4"/>
    <x v="4"/>
    <x v="1"/>
    <x v="0"/>
  </r>
  <r>
    <s v="AX21972"/>
    <s v="ENX2085"/>
    <s v="A162"/>
    <s v="EMP1034"/>
    <s v="C1581"/>
    <x v="163"/>
    <n v="2"/>
    <n v="1862"/>
    <n v="1173"/>
    <n v="2346"/>
    <n v="3724"/>
    <n v="1378"/>
    <s v="Product 86"/>
    <x v="2"/>
    <s v="Arthur Mccoy"/>
    <x v="510"/>
    <n v="2"/>
    <x v="1"/>
    <x v="4"/>
    <x v="4"/>
    <x v="1"/>
    <x v="0"/>
  </r>
  <r>
    <s v="AX22150"/>
    <s v="ENX2095"/>
    <s v="A115"/>
    <s v="EMP1036"/>
    <s v="C1563"/>
    <x v="161"/>
    <n v="1"/>
    <n v="1743"/>
    <n v="872"/>
    <n v="872"/>
    <n v="1743"/>
    <n v="871"/>
    <s v="Product 96"/>
    <x v="33"/>
    <s v="Robert Reed"/>
    <x v="130"/>
    <n v="2"/>
    <x v="1"/>
    <x v="4"/>
    <x v="4"/>
    <x v="1"/>
    <x v="0"/>
  </r>
  <r>
    <s v="AX22352"/>
    <s v="ENX2068"/>
    <s v="A129"/>
    <s v="EMP1005"/>
    <s v="C1120"/>
    <x v="161"/>
    <n v="1"/>
    <n v="1500"/>
    <n v="900"/>
    <n v="900"/>
    <n v="1500"/>
    <n v="600"/>
    <s v="Product 69"/>
    <x v="22"/>
    <s v="Ryan Welch"/>
    <x v="685"/>
    <n v="2"/>
    <x v="1"/>
    <x v="4"/>
    <x v="4"/>
    <x v="1"/>
    <x v="0"/>
  </r>
  <r>
    <s v="AX22543"/>
    <s v="ENX2016"/>
    <s v="A127"/>
    <s v="EMP1038"/>
    <s v="C1527"/>
    <x v="160"/>
    <n v="1"/>
    <n v="1351"/>
    <n v="1108"/>
    <n v="1108"/>
    <n v="1351"/>
    <n v="243"/>
    <s v="Product 17"/>
    <x v="69"/>
    <s v="Scott Mason"/>
    <x v="375"/>
    <n v="2"/>
    <x v="1"/>
    <x v="4"/>
    <x v="4"/>
    <x v="1"/>
    <x v="0"/>
  </r>
  <r>
    <s v="AX22787"/>
    <s v="ENX2020"/>
    <s v="A142"/>
    <s v="EMP1044"/>
    <s v="C1157"/>
    <x v="162"/>
    <n v="2"/>
    <n v="2005"/>
    <n v="1223"/>
    <n v="2446"/>
    <n v="4010"/>
    <n v="1564"/>
    <s v="Product 21"/>
    <x v="56"/>
    <s v="Martin Carr"/>
    <x v="415"/>
    <n v="2"/>
    <x v="1"/>
    <x v="4"/>
    <x v="4"/>
    <x v="1"/>
    <x v="0"/>
  </r>
  <r>
    <s v="AX23025"/>
    <s v="ENX2024"/>
    <s v="A106"/>
    <s v="EMP1009"/>
    <s v="C1028"/>
    <x v="163"/>
    <n v="1"/>
    <n v="356"/>
    <n v="292"/>
    <n v="292"/>
    <n v="356"/>
    <n v="64"/>
    <s v="Product 25"/>
    <x v="11"/>
    <s v="Kenneth Fields"/>
    <x v="135"/>
    <n v="2"/>
    <x v="1"/>
    <x v="4"/>
    <x v="4"/>
    <x v="1"/>
    <x v="0"/>
  </r>
  <r>
    <s v="AX23251"/>
    <s v="ENX2078"/>
    <s v="A109"/>
    <s v="EMP1030"/>
    <s v="C1198"/>
    <x v="163"/>
    <n v="1"/>
    <n v="1798"/>
    <n v="971"/>
    <n v="971"/>
    <n v="1798"/>
    <n v="827"/>
    <s v="Product 79"/>
    <x v="57"/>
    <s v="Bobby Russell"/>
    <x v="42"/>
    <n v="2"/>
    <x v="1"/>
    <x v="4"/>
    <x v="4"/>
    <x v="1"/>
    <x v="0"/>
  </r>
  <r>
    <s v="AX23301"/>
    <s v="ENX2024"/>
    <s v="A150"/>
    <s v="EMP1006"/>
    <s v="C1141"/>
    <x v="162"/>
    <n v="3"/>
    <n v="356"/>
    <n v="292"/>
    <n v="876"/>
    <n v="1068"/>
    <n v="192"/>
    <s v="Product 25"/>
    <x v="30"/>
    <s v="Sean Miller"/>
    <x v="166"/>
    <n v="2"/>
    <x v="1"/>
    <x v="4"/>
    <x v="4"/>
    <x v="1"/>
    <x v="0"/>
  </r>
  <r>
    <s v="AX23632"/>
    <s v="ENX2040"/>
    <s v="A102"/>
    <s v="EMP1004"/>
    <s v="C1573"/>
    <x v="163"/>
    <n v="2"/>
    <n v="1889"/>
    <n v="945"/>
    <n v="1890"/>
    <n v="3778"/>
    <n v="1888"/>
    <s v="Product 41"/>
    <x v="44"/>
    <s v="Kenneth Bradley"/>
    <x v="383"/>
    <n v="2"/>
    <x v="1"/>
    <x v="4"/>
    <x v="4"/>
    <x v="1"/>
    <x v="0"/>
  </r>
  <r>
    <s v="AX23690"/>
    <s v="ENX2039"/>
    <s v="A133"/>
    <s v="EMP1024"/>
    <s v="C1356"/>
    <x v="160"/>
    <n v="1"/>
    <n v="817"/>
    <n v="409"/>
    <n v="409"/>
    <n v="817"/>
    <n v="408"/>
    <s v="Product 40"/>
    <x v="46"/>
    <s v="Ernest Wheeler"/>
    <x v="238"/>
    <n v="2"/>
    <x v="1"/>
    <x v="4"/>
    <x v="4"/>
    <x v="1"/>
    <x v="0"/>
  </r>
  <r>
    <s v="AX23911"/>
    <s v="ENX2010"/>
    <s v="A154"/>
    <s v="EMP1024"/>
    <s v="C1243"/>
    <x v="160"/>
    <n v="1"/>
    <n v="1812"/>
    <n v="1305"/>
    <n v="1305"/>
    <n v="1812"/>
    <n v="507"/>
    <s v="Product 11"/>
    <x v="24"/>
    <s v="Ernest Wheeler"/>
    <x v="129"/>
    <n v="2"/>
    <x v="1"/>
    <x v="4"/>
    <x v="4"/>
    <x v="1"/>
    <x v="0"/>
  </r>
  <r>
    <s v="AX24375"/>
    <s v="ENX2049"/>
    <s v="A131"/>
    <s v="EMP1005"/>
    <s v="C1315"/>
    <x v="162"/>
    <n v="3"/>
    <n v="826"/>
    <n v="562"/>
    <n v="1686"/>
    <n v="2478"/>
    <n v="792"/>
    <s v="Product 50"/>
    <x v="32"/>
    <s v="Ryan Welch"/>
    <x v="388"/>
    <n v="2"/>
    <x v="1"/>
    <x v="4"/>
    <x v="4"/>
    <x v="1"/>
    <x v="0"/>
  </r>
  <r>
    <s v="AX24573"/>
    <s v="ENX2023"/>
    <s v="A134"/>
    <s v="EMP1005"/>
    <s v="C1126"/>
    <x v="163"/>
    <n v="1"/>
    <n v="818"/>
    <n v="450"/>
    <n v="450"/>
    <n v="818"/>
    <n v="368"/>
    <s v="Product 24"/>
    <x v="41"/>
    <s v="Ryan Welch"/>
    <x v="374"/>
    <n v="2"/>
    <x v="1"/>
    <x v="4"/>
    <x v="4"/>
    <x v="1"/>
    <x v="0"/>
  </r>
  <r>
    <s v="AX24690"/>
    <s v="ENX2043"/>
    <s v="A165"/>
    <s v="EMP1021"/>
    <s v="C1332"/>
    <x v="163"/>
    <n v="1"/>
    <n v="545"/>
    <n v="425"/>
    <n v="425"/>
    <n v="545"/>
    <n v="120"/>
    <s v="Product 44"/>
    <x v="55"/>
    <s v="Clarence Fox"/>
    <x v="7"/>
    <n v="2"/>
    <x v="1"/>
    <x v="4"/>
    <x v="4"/>
    <x v="1"/>
    <x v="0"/>
  </r>
  <r>
    <s v="AX24966"/>
    <s v="ENX2090"/>
    <s v="A171"/>
    <s v="EMP1004"/>
    <s v="C1624"/>
    <x v="160"/>
    <n v="4"/>
    <n v="1338"/>
    <n v="682"/>
    <n v="2728"/>
    <n v="5352"/>
    <n v="2624"/>
    <s v="Product 91"/>
    <x v="0"/>
    <s v="Kenneth Bradley"/>
    <x v="339"/>
    <n v="2"/>
    <x v="1"/>
    <x v="4"/>
    <x v="4"/>
    <x v="1"/>
    <x v="0"/>
  </r>
  <r>
    <s v="AX10023"/>
    <s v="ENX2005"/>
    <s v="A164"/>
    <s v="EMP1021"/>
    <s v="C1713"/>
    <x v="164"/>
    <n v="4"/>
    <n v="684"/>
    <n v="561"/>
    <n v="2244"/>
    <n v="2736"/>
    <n v="492"/>
    <s v="Product 6"/>
    <x v="3"/>
    <s v="Clarence Fox"/>
    <x v="753"/>
    <n v="2"/>
    <x v="1"/>
    <x v="4"/>
    <x v="4"/>
    <x v="1"/>
    <x v="2"/>
  </r>
  <r>
    <s v="AX10175"/>
    <s v="ENX2054"/>
    <s v="A107"/>
    <s v="EMP1030"/>
    <s v="C1415"/>
    <x v="164"/>
    <n v="3"/>
    <n v="127"/>
    <n v="79"/>
    <n v="237"/>
    <n v="381"/>
    <n v="144"/>
    <s v="Product 55"/>
    <x v="21"/>
    <s v="Bobby Russell"/>
    <x v="352"/>
    <n v="2"/>
    <x v="1"/>
    <x v="4"/>
    <x v="4"/>
    <x v="1"/>
    <x v="2"/>
  </r>
  <r>
    <s v="AX10522"/>
    <s v="ENX2055"/>
    <s v="A148"/>
    <s v="EMP1011"/>
    <s v="C1569"/>
    <x v="164"/>
    <n v="1"/>
    <n v="2495"/>
    <n v="1896"/>
    <n v="1896"/>
    <n v="2495"/>
    <n v="599"/>
    <s v="Product 56"/>
    <x v="62"/>
    <s v="Larry Marshall"/>
    <x v="485"/>
    <n v="2"/>
    <x v="1"/>
    <x v="4"/>
    <x v="4"/>
    <x v="1"/>
    <x v="2"/>
  </r>
  <r>
    <s v="AX10547"/>
    <s v="ENX2080"/>
    <s v="A113"/>
    <s v="EMP1004"/>
    <s v="C1472"/>
    <x v="165"/>
    <n v="4"/>
    <n v="2353"/>
    <n v="1788"/>
    <n v="7152"/>
    <n v="9412"/>
    <n v="2260"/>
    <s v="Product 81"/>
    <x v="73"/>
    <s v="Kenneth Bradley"/>
    <x v="626"/>
    <n v="2"/>
    <x v="1"/>
    <x v="4"/>
    <x v="4"/>
    <x v="1"/>
    <x v="2"/>
  </r>
  <r>
    <s v="AX10758"/>
    <s v="ENX2061"/>
    <s v="A142"/>
    <s v="EMP1019"/>
    <s v="C1144"/>
    <x v="165"/>
    <n v="1"/>
    <n v="913"/>
    <n v="584"/>
    <n v="584"/>
    <n v="913"/>
    <n v="329"/>
    <s v="Product 62"/>
    <x v="56"/>
    <s v="Roger Robertson"/>
    <x v="478"/>
    <n v="2"/>
    <x v="1"/>
    <x v="4"/>
    <x v="4"/>
    <x v="1"/>
    <x v="2"/>
  </r>
  <r>
    <s v="AX11085"/>
    <s v="ENX2047"/>
    <s v="A142"/>
    <s v="EMP1007"/>
    <s v="C1029"/>
    <x v="166"/>
    <n v="2"/>
    <n v="290"/>
    <n v="200"/>
    <n v="400"/>
    <n v="580"/>
    <n v="180"/>
    <s v="Product 48"/>
    <x v="56"/>
    <s v="Jeremy Mendoza"/>
    <x v="601"/>
    <n v="2"/>
    <x v="1"/>
    <x v="4"/>
    <x v="4"/>
    <x v="1"/>
    <x v="2"/>
  </r>
  <r>
    <s v="AX11739"/>
    <s v="ENX2093"/>
    <s v="A132"/>
    <s v="EMP1009"/>
    <s v="C1352"/>
    <x v="165"/>
    <n v="1"/>
    <n v="112"/>
    <n v="90"/>
    <n v="90"/>
    <n v="112"/>
    <n v="22"/>
    <s v="Product 94"/>
    <x v="48"/>
    <s v="Kenneth Fields"/>
    <x v="20"/>
    <n v="2"/>
    <x v="1"/>
    <x v="4"/>
    <x v="4"/>
    <x v="1"/>
    <x v="2"/>
  </r>
  <r>
    <s v="AX11841"/>
    <s v="ENX2048"/>
    <s v="A114"/>
    <s v="EMP1009"/>
    <s v="C1094"/>
    <x v="165"/>
    <n v="1"/>
    <n v="502"/>
    <n v="296"/>
    <n v="296"/>
    <n v="502"/>
    <n v="206"/>
    <s v="Product 49"/>
    <x v="28"/>
    <s v="Kenneth Fields"/>
    <x v="261"/>
    <n v="2"/>
    <x v="1"/>
    <x v="4"/>
    <x v="4"/>
    <x v="1"/>
    <x v="2"/>
  </r>
  <r>
    <s v="AX12865"/>
    <s v="ENX2057"/>
    <s v="A136"/>
    <s v="EMP1031"/>
    <s v="C1610"/>
    <x v="167"/>
    <n v="3"/>
    <n v="181"/>
    <n v="130"/>
    <n v="390"/>
    <n v="543"/>
    <n v="153"/>
    <s v="Product 58"/>
    <x v="43"/>
    <s v="Brian Thomas"/>
    <x v="362"/>
    <n v="2"/>
    <x v="1"/>
    <x v="4"/>
    <x v="4"/>
    <x v="1"/>
    <x v="2"/>
  </r>
  <r>
    <s v="AX13171"/>
    <s v="ENX2097"/>
    <s v="A162"/>
    <s v="EMP1036"/>
    <s v="C1019"/>
    <x v="166"/>
    <n v="1"/>
    <n v="1052"/>
    <n v="589"/>
    <n v="589"/>
    <n v="1052"/>
    <n v="463"/>
    <s v="Product 98"/>
    <x v="2"/>
    <s v="Robert Reed"/>
    <x v="503"/>
    <n v="2"/>
    <x v="1"/>
    <x v="4"/>
    <x v="4"/>
    <x v="1"/>
    <x v="2"/>
  </r>
  <r>
    <s v="AX13722"/>
    <s v="ENX2039"/>
    <s v="A125"/>
    <s v="EMP1016"/>
    <s v="C1796"/>
    <x v="166"/>
    <n v="1"/>
    <n v="817"/>
    <n v="409"/>
    <n v="409"/>
    <n v="817"/>
    <n v="408"/>
    <s v="Product 40"/>
    <x v="31"/>
    <s v="Henry Nelson"/>
    <x v="630"/>
    <n v="2"/>
    <x v="1"/>
    <x v="4"/>
    <x v="4"/>
    <x v="1"/>
    <x v="2"/>
  </r>
  <r>
    <s v="AX13966"/>
    <s v="ENX2024"/>
    <s v="A152"/>
    <s v="EMP1017"/>
    <s v="C1093"/>
    <x v="165"/>
    <n v="2"/>
    <n v="356"/>
    <n v="292"/>
    <n v="584"/>
    <n v="712"/>
    <n v="128"/>
    <s v="Product 25"/>
    <x v="26"/>
    <s v="Brian Hansen"/>
    <x v="290"/>
    <n v="2"/>
    <x v="1"/>
    <x v="4"/>
    <x v="4"/>
    <x v="1"/>
    <x v="2"/>
  </r>
  <r>
    <s v="AX14138"/>
    <s v="ENX2087"/>
    <s v="A107"/>
    <s v="EMP1007"/>
    <s v="C1296"/>
    <x v="166"/>
    <n v="1"/>
    <n v="1022"/>
    <n v="818"/>
    <n v="818"/>
    <n v="1022"/>
    <n v="204"/>
    <s v="Product 88"/>
    <x v="21"/>
    <s v="Jeremy Mendoza"/>
    <x v="105"/>
    <n v="2"/>
    <x v="1"/>
    <x v="4"/>
    <x v="4"/>
    <x v="1"/>
    <x v="2"/>
  </r>
  <r>
    <s v="AX14291"/>
    <s v="ENX2057"/>
    <s v="A105"/>
    <s v="EMP1009"/>
    <s v="C1678"/>
    <x v="167"/>
    <n v="3"/>
    <n v="181"/>
    <n v="130"/>
    <n v="390"/>
    <n v="543"/>
    <n v="153"/>
    <s v="Product 58"/>
    <x v="45"/>
    <s v="Kenneth Fields"/>
    <x v="191"/>
    <n v="2"/>
    <x v="1"/>
    <x v="4"/>
    <x v="4"/>
    <x v="1"/>
    <x v="2"/>
  </r>
  <r>
    <s v="AX15630"/>
    <s v="ENX2093"/>
    <s v="A103"/>
    <s v="EMP1027"/>
    <s v="C1751"/>
    <x v="166"/>
    <n v="2"/>
    <n v="112"/>
    <n v="90"/>
    <n v="180"/>
    <n v="224"/>
    <n v="44"/>
    <s v="Product 94"/>
    <x v="61"/>
    <s v="Gary Rodriguez"/>
    <x v="332"/>
    <n v="2"/>
    <x v="1"/>
    <x v="4"/>
    <x v="4"/>
    <x v="1"/>
    <x v="2"/>
  </r>
  <r>
    <s v="AX16152"/>
    <s v="ENX2008"/>
    <s v="A111"/>
    <s v="EMP1029"/>
    <s v="C1405"/>
    <x v="167"/>
    <n v="3"/>
    <n v="315"/>
    <n v="208"/>
    <n v="624"/>
    <n v="945"/>
    <n v="321"/>
    <s v="Product 9"/>
    <x v="54"/>
    <s v="Howard Gardner"/>
    <x v="544"/>
    <n v="2"/>
    <x v="1"/>
    <x v="4"/>
    <x v="4"/>
    <x v="1"/>
    <x v="2"/>
  </r>
  <r>
    <s v="AX16899"/>
    <s v="ENX2072"/>
    <s v="A110"/>
    <s v="EMP1011"/>
    <s v="C1551"/>
    <x v="166"/>
    <n v="3"/>
    <n v="1887"/>
    <n v="1378"/>
    <n v="4134"/>
    <n v="5661"/>
    <n v="1527"/>
    <s v="Product 73"/>
    <x v="63"/>
    <s v="Larry Marshall"/>
    <x v="596"/>
    <n v="2"/>
    <x v="1"/>
    <x v="4"/>
    <x v="4"/>
    <x v="1"/>
    <x v="2"/>
  </r>
  <r>
    <s v="AX17332"/>
    <s v="ENX2010"/>
    <s v="A163"/>
    <s v="EMP1023"/>
    <s v="C1301"/>
    <x v="165"/>
    <n v="2"/>
    <n v="1812"/>
    <n v="1305"/>
    <n v="2610"/>
    <n v="3624"/>
    <n v="1014"/>
    <s v="Product 11"/>
    <x v="51"/>
    <s v="Brian Davis"/>
    <x v="231"/>
    <n v="2"/>
    <x v="1"/>
    <x v="4"/>
    <x v="4"/>
    <x v="1"/>
    <x v="2"/>
  </r>
  <r>
    <s v="AX17348"/>
    <s v="ENX2056"/>
    <s v="A168"/>
    <s v="EMP1022"/>
    <s v="C1125"/>
    <x v="166"/>
    <n v="1"/>
    <n v="1635"/>
    <n v="1046"/>
    <n v="1046"/>
    <n v="1635"/>
    <n v="589"/>
    <s v="Product 57"/>
    <x v="40"/>
    <s v="Walter Cook"/>
    <x v="539"/>
    <n v="2"/>
    <x v="1"/>
    <x v="4"/>
    <x v="4"/>
    <x v="1"/>
    <x v="2"/>
  </r>
  <r>
    <s v="AX17385"/>
    <s v="ENX2076"/>
    <s v="A139"/>
    <s v="EMP1012"/>
    <s v="C1365"/>
    <x v="166"/>
    <n v="1"/>
    <n v="1522"/>
    <n v="791"/>
    <n v="791"/>
    <n v="1522"/>
    <n v="731"/>
    <s v="Product 77"/>
    <x v="38"/>
    <s v="John Reyes"/>
    <x v="450"/>
    <n v="2"/>
    <x v="1"/>
    <x v="4"/>
    <x v="4"/>
    <x v="1"/>
    <x v="2"/>
  </r>
  <r>
    <s v="AX17389"/>
    <s v="ENX2016"/>
    <s v="A161"/>
    <s v="EMP1012"/>
    <s v="C1758"/>
    <x v="166"/>
    <n v="1"/>
    <n v="1351"/>
    <n v="1108"/>
    <n v="1108"/>
    <n v="1351"/>
    <n v="243"/>
    <s v="Product 17"/>
    <x v="6"/>
    <s v="John Reyes"/>
    <x v="329"/>
    <n v="2"/>
    <x v="1"/>
    <x v="4"/>
    <x v="4"/>
    <x v="1"/>
    <x v="2"/>
  </r>
  <r>
    <s v="AX17641"/>
    <s v="ENX2027"/>
    <s v="A166"/>
    <s v="EMP1043"/>
    <s v="C1596"/>
    <x v="164"/>
    <n v="1"/>
    <n v="2497"/>
    <n v="1473"/>
    <n v="1473"/>
    <n v="2497"/>
    <n v="1024"/>
    <s v="Product 28"/>
    <x v="70"/>
    <s v="Joshua Taylor"/>
    <x v="217"/>
    <n v="2"/>
    <x v="1"/>
    <x v="4"/>
    <x v="4"/>
    <x v="1"/>
    <x v="2"/>
  </r>
  <r>
    <s v="AX17987"/>
    <s v="ENX2093"/>
    <s v="A146"/>
    <s v="EMP1008"/>
    <s v="C1600"/>
    <x v="166"/>
    <n v="3"/>
    <n v="112"/>
    <n v="90"/>
    <n v="270"/>
    <n v="336"/>
    <n v="66"/>
    <s v="Product 94"/>
    <x v="27"/>
    <s v="Carl Elliott"/>
    <x v="266"/>
    <n v="2"/>
    <x v="1"/>
    <x v="4"/>
    <x v="4"/>
    <x v="1"/>
    <x v="2"/>
  </r>
  <r>
    <s v="AX18701"/>
    <s v="ENX2086"/>
    <s v="A149"/>
    <s v="EMP1006"/>
    <s v="C1166"/>
    <x v="166"/>
    <n v="1"/>
    <n v="123"/>
    <n v="84"/>
    <n v="84"/>
    <n v="123"/>
    <n v="39"/>
    <s v="Product 87"/>
    <x v="59"/>
    <s v="Sean Miller"/>
    <x v="733"/>
    <n v="2"/>
    <x v="1"/>
    <x v="4"/>
    <x v="4"/>
    <x v="1"/>
    <x v="2"/>
  </r>
  <r>
    <s v="AX19119"/>
    <s v="ENX2073"/>
    <s v="A132"/>
    <s v="EMP1002"/>
    <s v="C1650"/>
    <x v="167"/>
    <n v="4"/>
    <n v="95"/>
    <n v="61"/>
    <n v="244"/>
    <n v="380"/>
    <n v="136"/>
    <s v="Product 74"/>
    <x v="48"/>
    <s v="Andrew Bowman"/>
    <x v="645"/>
    <n v="2"/>
    <x v="1"/>
    <x v="4"/>
    <x v="4"/>
    <x v="1"/>
    <x v="2"/>
  </r>
  <r>
    <s v="AX19236"/>
    <s v="ENX2056"/>
    <s v="A170"/>
    <s v="EMP1000"/>
    <s v="C1618"/>
    <x v="165"/>
    <n v="1"/>
    <n v="1635"/>
    <n v="1046"/>
    <n v="1046"/>
    <n v="1635"/>
    <n v="589"/>
    <s v="Product 57"/>
    <x v="47"/>
    <s v="Fred Robertson"/>
    <x v="292"/>
    <n v="2"/>
    <x v="1"/>
    <x v="4"/>
    <x v="4"/>
    <x v="1"/>
    <x v="2"/>
  </r>
  <r>
    <s v="AX19416"/>
    <s v="ENX2031"/>
    <s v="A161"/>
    <s v="EMP1009"/>
    <s v="C1511"/>
    <x v="166"/>
    <n v="2"/>
    <n v="1638"/>
    <n v="1261"/>
    <n v="2522"/>
    <n v="3276"/>
    <n v="754"/>
    <s v="Product 32"/>
    <x v="6"/>
    <s v="Kenneth Fields"/>
    <x v="754"/>
    <n v="2"/>
    <x v="1"/>
    <x v="4"/>
    <x v="4"/>
    <x v="1"/>
    <x v="2"/>
  </r>
  <r>
    <s v="AX20168"/>
    <s v="ENX2016"/>
    <s v="A106"/>
    <s v="EMP1021"/>
    <s v="C1448"/>
    <x v="167"/>
    <n v="3"/>
    <n v="1351"/>
    <n v="1108"/>
    <n v="3324"/>
    <n v="4053"/>
    <n v="729"/>
    <s v="Product 17"/>
    <x v="11"/>
    <s v="Clarence Fox"/>
    <x v="716"/>
    <n v="2"/>
    <x v="1"/>
    <x v="4"/>
    <x v="4"/>
    <x v="1"/>
    <x v="2"/>
  </r>
  <r>
    <s v="AX20189"/>
    <s v="ENX2017"/>
    <s v="A103"/>
    <s v="EMP1007"/>
    <s v="C1566"/>
    <x v="164"/>
    <n v="1"/>
    <n v="35"/>
    <n v="22"/>
    <n v="22"/>
    <n v="35"/>
    <n v="13"/>
    <s v="Product 18"/>
    <x v="61"/>
    <s v="Jeremy Mendoza"/>
    <x v="45"/>
    <n v="2"/>
    <x v="1"/>
    <x v="4"/>
    <x v="4"/>
    <x v="1"/>
    <x v="2"/>
  </r>
  <r>
    <s v="AX20354"/>
    <s v="ENX2043"/>
    <s v="A135"/>
    <s v="EMP1006"/>
    <s v="C1132"/>
    <x v="167"/>
    <n v="2"/>
    <n v="545"/>
    <n v="425"/>
    <n v="850"/>
    <n v="1090"/>
    <n v="240"/>
    <s v="Product 44"/>
    <x v="10"/>
    <s v="Sean Miller"/>
    <x v="751"/>
    <n v="2"/>
    <x v="1"/>
    <x v="4"/>
    <x v="4"/>
    <x v="1"/>
    <x v="2"/>
  </r>
  <r>
    <s v="AX21132"/>
    <s v="ENX2059"/>
    <s v="A130"/>
    <s v="EMP1019"/>
    <s v="C1376"/>
    <x v="164"/>
    <n v="4"/>
    <n v="1494"/>
    <n v="971"/>
    <n v="3884"/>
    <n v="5976"/>
    <n v="2092"/>
    <s v="Product 60"/>
    <x v="4"/>
    <s v="Roger Robertson"/>
    <x v="356"/>
    <n v="2"/>
    <x v="1"/>
    <x v="4"/>
    <x v="4"/>
    <x v="1"/>
    <x v="2"/>
  </r>
  <r>
    <s v="AX21175"/>
    <s v="ENX2083"/>
    <s v="A153"/>
    <s v="EMP1002"/>
    <s v="C1759"/>
    <x v="166"/>
    <n v="1"/>
    <n v="2141"/>
    <n v="1777"/>
    <n v="1777"/>
    <n v="2141"/>
    <n v="364"/>
    <s v="Product 84"/>
    <x v="8"/>
    <s v="Andrew Bowman"/>
    <x v="355"/>
    <n v="2"/>
    <x v="1"/>
    <x v="4"/>
    <x v="4"/>
    <x v="1"/>
    <x v="2"/>
  </r>
  <r>
    <s v="AX22592"/>
    <s v="ENX2062"/>
    <s v="A108"/>
    <s v="EMP1037"/>
    <s v="C1211"/>
    <x v="164"/>
    <n v="1"/>
    <n v="2464"/>
    <n v="1774"/>
    <n v="1774"/>
    <n v="2464"/>
    <n v="690"/>
    <s v="Product 63"/>
    <x v="49"/>
    <s v="Carl Hall"/>
    <x v="137"/>
    <n v="2"/>
    <x v="1"/>
    <x v="4"/>
    <x v="4"/>
    <x v="1"/>
    <x v="2"/>
  </r>
  <r>
    <s v="AX22678"/>
    <s v="ENX2020"/>
    <s v="A160"/>
    <s v="EMP1025"/>
    <s v="C1586"/>
    <x v="164"/>
    <n v="2"/>
    <n v="2005"/>
    <n v="1223"/>
    <n v="2446"/>
    <n v="4010"/>
    <n v="1564"/>
    <s v="Product 21"/>
    <x v="9"/>
    <s v="Ernest Wagner"/>
    <x v="585"/>
    <n v="2"/>
    <x v="1"/>
    <x v="4"/>
    <x v="4"/>
    <x v="1"/>
    <x v="2"/>
  </r>
  <r>
    <s v="AX22700"/>
    <s v="ENX2064"/>
    <s v="A149"/>
    <s v="EMP1019"/>
    <s v="C1743"/>
    <x v="167"/>
    <n v="4"/>
    <n v="1414"/>
    <n v="962"/>
    <n v="3848"/>
    <n v="5656"/>
    <n v="1808"/>
    <s v="Product 65"/>
    <x v="59"/>
    <s v="Roger Robertson"/>
    <x v="276"/>
    <n v="2"/>
    <x v="1"/>
    <x v="4"/>
    <x v="4"/>
    <x v="1"/>
    <x v="2"/>
  </r>
  <r>
    <s v="AX23135"/>
    <s v="ENX2092"/>
    <s v="A149"/>
    <s v="EMP1031"/>
    <s v="C1643"/>
    <x v="164"/>
    <n v="3"/>
    <n v="1639"/>
    <n v="1295"/>
    <n v="3885"/>
    <n v="4917"/>
    <n v="1032"/>
    <s v="Product 93"/>
    <x v="59"/>
    <s v="Brian Thomas"/>
    <x v="142"/>
    <n v="2"/>
    <x v="1"/>
    <x v="4"/>
    <x v="4"/>
    <x v="1"/>
    <x v="2"/>
  </r>
  <r>
    <s v="AX23460"/>
    <s v="ENX2037"/>
    <s v="A166"/>
    <s v="EMP1042"/>
    <s v="C1692"/>
    <x v="167"/>
    <n v="1"/>
    <n v="880"/>
    <n v="634"/>
    <n v="634"/>
    <n v="880"/>
    <n v="246"/>
    <s v="Product 38"/>
    <x v="70"/>
    <s v="Scott Clark"/>
    <x v="555"/>
    <n v="2"/>
    <x v="1"/>
    <x v="4"/>
    <x v="4"/>
    <x v="1"/>
    <x v="2"/>
  </r>
  <r>
    <s v="AX23744"/>
    <s v="ENX2034"/>
    <s v="A101"/>
    <s v="EMP1012"/>
    <s v="C1570"/>
    <x v="164"/>
    <n v="4"/>
    <n v="871"/>
    <n v="540"/>
    <n v="2160"/>
    <n v="3484"/>
    <n v="1324"/>
    <s v="Product 35"/>
    <x v="60"/>
    <s v="John Reyes"/>
    <x v="695"/>
    <n v="2"/>
    <x v="1"/>
    <x v="4"/>
    <x v="4"/>
    <x v="1"/>
    <x v="2"/>
  </r>
  <r>
    <s v="AX23827"/>
    <s v="ENX2098"/>
    <s v="A133"/>
    <s v="EMP1035"/>
    <s v="C1071"/>
    <x v="166"/>
    <n v="1"/>
    <n v="1178"/>
    <n v="683"/>
    <n v="683"/>
    <n v="1178"/>
    <n v="495"/>
    <s v="Product 99"/>
    <x v="46"/>
    <s v="Roger Ramos"/>
    <x v="264"/>
    <n v="2"/>
    <x v="1"/>
    <x v="4"/>
    <x v="4"/>
    <x v="1"/>
    <x v="2"/>
  </r>
  <r>
    <s v="AX23988"/>
    <s v="ENX2046"/>
    <s v="A154"/>
    <s v="EMP1005"/>
    <s v="C1077"/>
    <x v="166"/>
    <n v="1"/>
    <n v="2410"/>
    <n v="1518"/>
    <n v="1518"/>
    <n v="2410"/>
    <n v="892"/>
    <s v="Product 47"/>
    <x v="24"/>
    <s v="Ryan Welch"/>
    <x v="315"/>
    <n v="2"/>
    <x v="1"/>
    <x v="4"/>
    <x v="4"/>
    <x v="1"/>
    <x v="2"/>
  </r>
  <r>
    <s v="AX23993"/>
    <s v="ENX2059"/>
    <s v="A109"/>
    <s v="EMP1008"/>
    <s v="C1671"/>
    <x v="167"/>
    <n v="1"/>
    <n v="1494"/>
    <n v="971"/>
    <n v="971"/>
    <n v="1494"/>
    <n v="523"/>
    <s v="Product 60"/>
    <x v="57"/>
    <s v="Carl Elliott"/>
    <x v="248"/>
    <n v="2"/>
    <x v="1"/>
    <x v="4"/>
    <x v="4"/>
    <x v="1"/>
    <x v="2"/>
  </r>
  <r>
    <s v="AX24057"/>
    <s v="ENX2092"/>
    <s v="A117"/>
    <s v="EMP1026"/>
    <s v="C1111"/>
    <x v="164"/>
    <n v="3"/>
    <n v="1639"/>
    <n v="1295"/>
    <n v="3885"/>
    <n v="4917"/>
    <n v="1032"/>
    <s v="Product 93"/>
    <x v="29"/>
    <s v="Martin Perry"/>
    <x v="563"/>
    <n v="2"/>
    <x v="1"/>
    <x v="4"/>
    <x v="4"/>
    <x v="1"/>
    <x v="2"/>
  </r>
  <r>
    <s v="AX24193"/>
    <s v="ENX2035"/>
    <s v="A127"/>
    <s v="EMP1021"/>
    <s v="C1204"/>
    <x v="164"/>
    <n v="1"/>
    <n v="458"/>
    <n v="376"/>
    <n v="376"/>
    <n v="458"/>
    <n v="82"/>
    <s v="Product 36"/>
    <x v="69"/>
    <s v="Clarence Fox"/>
    <x v="654"/>
    <n v="2"/>
    <x v="1"/>
    <x v="4"/>
    <x v="4"/>
    <x v="1"/>
    <x v="2"/>
  </r>
  <r>
    <s v="AX24427"/>
    <s v="ENX2084"/>
    <s v="A119"/>
    <s v="EMP1031"/>
    <s v="C1190"/>
    <x v="166"/>
    <n v="3"/>
    <n v="1783"/>
    <n v="1230"/>
    <n v="3690"/>
    <n v="5349"/>
    <n v="1659"/>
    <s v="Product 85"/>
    <x v="16"/>
    <s v="Brian Thomas"/>
    <x v="1"/>
    <n v="2"/>
    <x v="1"/>
    <x v="4"/>
    <x v="4"/>
    <x v="1"/>
    <x v="2"/>
  </r>
  <r>
    <s v="AX24744"/>
    <s v="ENX2088"/>
    <s v="A133"/>
    <s v="EMP1008"/>
    <s v="C1473"/>
    <x v="167"/>
    <n v="2"/>
    <n v="603"/>
    <n v="416"/>
    <n v="832"/>
    <n v="1206"/>
    <n v="374"/>
    <s v="Product 89"/>
    <x v="46"/>
    <s v="Carl Elliott"/>
    <x v="100"/>
    <n v="2"/>
    <x v="1"/>
    <x v="4"/>
    <x v="4"/>
    <x v="1"/>
    <x v="2"/>
  </r>
  <r>
    <s v="AX10097"/>
    <s v="ENX2024"/>
    <s v="A167"/>
    <s v="EMP1007"/>
    <s v="C1396"/>
    <x v="168"/>
    <n v="4"/>
    <n v="356"/>
    <n v="292"/>
    <n v="1168"/>
    <n v="1424"/>
    <n v="256"/>
    <s v="Product 25"/>
    <x v="64"/>
    <s v="Jeremy Mendoza"/>
    <x v="624"/>
    <n v="2"/>
    <x v="1"/>
    <x v="5"/>
    <x v="5"/>
    <x v="1"/>
    <x v="0"/>
  </r>
  <r>
    <s v="AX10668"/>
    <s v="ENX2060"/>
    <s v="A106"/>
    <s v="EMP1013"/>
    <s v="C1665"/>
    <x v="168"/>
    <n v="3"/>
    <n v="1467"/>
    <n v="807"/>
    <n v="2421"/>
    <n v="4401"/>
    <n v="1980"/>
    <s v="Product 61"/>
    <x v="11"/>
    <s v="Charles Harper"/>
    <x v="615"/>
    <n v="2"/>
    <x v="1"/>
    <x v="5"/>
    <x v="5"/>
    <x v="1"/>
    <x v="0"/>
  </r>
  <r>
    <s v="AX11240"/>
    <s v="ENX2060"/>
    <s v="A125"/>
    <s v="EMP1024"/>
    <s v="C1228"/>
    <x v="169"/>
    <n v="2"/>
    <n v="1467"/>
    <n v="807"/>
    <n v="1614"/>
    <n v="2934"/>
    <n v="1320"/>
    <s v="Product 61"/>
    <x v="31"/>
    <s v="Ernest Wheeler"/>
    <x v="530"/>
    <n v="2"/>
    <x v="1"/>
    <x v="5"/>
    <x v="5"/>
    <x v="1"/>
    <x v="0"/>
  </r>
  <r>
    <s v="AX11506"/>
    <s v="ENX2085"/>
    <s v="A138"/>
    <s v="EMP1044"/>
    <s v="C1114"/>
    <x v="170"/>
    <n v="3"/>
    <n v="1862"/>
    <n v="1173"/>
    <n v="3519"/>
    <n v="5586"/>
    <n v="2067"/>
    <s v="Product 86"/>
    <x v="37"/>
    <s v="Martin Carr"/>
    <x v="405"/>
    <n v="2"/>
    <x v="1"/>
    <x v="5"/>
    <x v="5"/>
    <x v="1"/>
    <x v="0"/>
  </r>
  <r>
    <s v="AX11566"/>
    <s v="ENX2073"/>
    <s v="A154"/>
    <s v="EMP1031"/>
    <s v="C1194"/>
    <x v="169"/>
    <n v="4"/>
    <n v="95"/>
    <n v="61"/>
    <n v="244"/>
    <n v="380"/>
    <n v="136"/>
    <s v="Product 74"/>
    <x v="24"/>
    <s v="Brian Thomas"/>
    <x v="323"/>
    <n v="2"/>
    <x v="1"/>
    <x v="5"/>
    <x v="5"/>
    <x v="1"/>
    <x v="0"/>
  </r>
  <r>
    <s v="AX12007"/>
    <s v="ENX2079"/>
    <s v="A124"/>
    <s v="EMP1005"/>
    <s v="C1024"/>
    <x v="169"/>
    <n v="1"/>
    <n v="1725"/>
    <n v="1363"/>
    <n v="1363"/>
    <n v="1725"/>
    <n v="362"/>
    <s v="Product 80"/>
    <x v="67"/>
    <s v="Ryan Welch"/>
    <x v="599"/>
    <n v="2"/>
    <x v="1"/>
    <x v="5"/>
    <x v="5"/>
    <x v="1"/>
    <x v="0"/>
  </r>
  <r>
    <s v="AX12075"/>
    <s v="ENX2075"/>
    <s v="A112"/>
    <s v="EMP1039"/>
    <s v="C1357"/>
    <x v="171"/>
    <n v="4"/>
    <n v="400"/>
    <n v="208"/>
    <n v="832"/>
    <n v="1600"/>
    <n v="768"/>
    <s v="Product 76"/>
    <x v="66"/>
    <s v="Eugene Holmes"/>
    <x v="327"/>
    <n v="2"/>
    <x v="1"/>
    <x v="5"/>
    <x v="5"/>
    <x v="1"/>
    <x v="0"/>
  </r>
  <r>
    <s v="AX12079"/>
    <s v="ENX2026"/>
    <s v="A115"/>
    <s v="EMP1009"/>
    <s v="C1313"/>
    <x v="169"/>
    <n v="3"/>
    <n v="947"/>
    <n v="786"/>
    <n v="2358"/>
    <n v="2841"/>
    <n v="483"/>
    <s v="Product 27"/>
    <x v="33"/>
    <s v="Kenneth Fields"/>
    <x v="728"/>
    <n v="2"/>
    <x v="1"/>
    <x v="5"/>
    <x v="5"/>
    <x v="1"/>
    <x v="0"/>
  </r>
  <r>
    <s v="AX12240"/>
    <s v="ENX2012"/>
    <s v="A125"/>
    <s v="EMP1036"/>
    <s v="C1055"/>
    <x v="171"/>
    <n v="1"/>
    <n v="1353"/>
    <n v="947"/>
    <n v="947"/>
    <n v="1353"/>
    <n v="406"/>
    <s v="Product 13"/>
    <x v="31"/>
    <s v="Robert Reed"/>
    <x v="593"/>
    <n v="2"/>
    <x v="1"/>
    <x v="5"/>
    <x v="5"/>
    <x v="1"/>
    <x v="0"/>
  </r>
  <r>
    <s v="AX12467"/>
    <s v="ENX2077"/>
    <s v="A144"/>
    <s v="EMP1043"/>
    <s v="C1376"/>
    <x v="168"/>
    <n v="1"/>
    <n v="530"/>
    <n v="424"/>
    <n v="424"/>
    <n v="530"/>
    <n v="106"/>
    <s v="Product 78"/>
    <x v="65"/>
    <s v="Joshua Taylor"/>
    <x v="356"/>
    <n v="2"/>
    <x v="1"/>
    <x v="5"/>
    <x v="5"/>
    <x v="1"/>
    <x v="0"/>
  </r>
  <r>
    <s v="AX12678"/>
    <s v="ENX2093"/>
    <s v="A150"/>
    <s v="EMP1035"/>
    <s v="C1148"/>
    <x v="170"/>
    <n v="2"/>
    <n v="112"/>
    <n v="90"/>
    <n v="180"/>
    <n v="224"/>
    <n v="44"/>
    <s v="Product 94"/>
    <x v="30"/>
    <s v="Roger Ramos"/>
    <x v="55"/>
    <n v="2"/>
    <x v="1"/>
    <x v="5"/>
    <x v="5"/>
    <x v="1"/>
    <x v="0"/>
  </r>
  <r>
    <s v="AX12800"/>
    <s v="ENX2055"/>
    <s v="A166"/>
    <s v="EMP1037"/>
    <s v="C1317"/>
    <x v="170"/>
    <n v="3"/>
    <n v="2495"/>
    <n v="1896"/>
    <n v="5688"/>
    <n v="7485"/>
    <n v="1797"/>
    <s v="Product 56"/>
    <x v="70"/>
    <s v="Carl Hall"/>
    <x v="504"/>
    <n v="2"/>
    <x v="1"/>
    <x v="5"/>
    <x v="5"/>
    <x v="1"/>
    <x v="0"/>
  </r>
  <r>
    <s v="AX13314"/>
    <s v="ENX2077"/>
    <s v="A153"/>
    <s v="EMP1008"/>
    <s v="C1050"/>
    <x v="172"/>
    <n v="2"/>
    <n v="530"/>
    <n v="424"/>
    <n v="848"/>
    <n v="1060"/>
    <n v="212"/>
    <s v="Product 78"/>
    <x v="8"/>
    <s v="Carl Elliott"/>
    <x v="684"/>
    <n v="2"/>
    <x v="1"/>
    <x v="5"/>
    <x v="5"/>
    <x v="1"/>
    <x v="0"/>
  </r>
  <r>
    <s v="AX13360"/>
    <s v="ENX2075"/>
    <s v="A172"/>
    <s v="EMP1005"/>
    <s v="C1346"/>
    <x v="169"/>
    <n v="1"/>
    <n v="400"/>
    <n v="208"/>
    <n v="208"/>
    <n v="400"/>
    <n v="192"/>
    <s v="Product 76"/>
    <x v="36"/>
    <s v="Ryan Welch"/>
    <x v="340"/>
    <n v="2"/>
    <x v="1"/>
    <x v="5"/>
    <x v="5"/>
    <x v="1"/>
    <x v="0"/>
  </r>
  <r>
    <s v="AX13974"/>
    <s v="ENX2025"/>
    <s v="A165"/>
    <s v="EMP1022"/>
    <s v="C1462"/>
    <x v="168"/>
    <n v="3"/>
    <n v="667"/>
    <n v="387"/>
    <n v="1161"/>
    <n v="2001"/>
    <n v="840"/>
    <s v="Product 26"/>
    <x v="55"/>
    <s v="Walter Cook"/>
    <x v="418"/>
    <n v="2"/>
    <x v="1"/>
    <x v="5"/>
    <x v="5"/>
    <x v="1"/>
    <x v="0"/>
  </r>
  <r>
    <s v="AX14043"/>
    <s v="ENX2040"/>
    <s v="A145"/>
    <s v="EMP1029"/>
    <s v="C1606"/>
    <x v="168"/>
    <n v="3"/>
    <n v="1889"/>
    <n v="945"/>
    <n v="2835"/>
    <n v="5667"/>
    <n v="2832"/>
    <s v="Product 41"/>
    <x v="35"/>
    <s v="Howard Gardner"/>
    <x v="250"/>
    <n v="2"/>
    <x v="1"/>
    <x v="5"/>
    <x v="5"/>
    <x v="1"/>
    <x v="0"/>
  </r>
  <r>
    <s v="AX14074"/>
    <s v="ENX2079"/>
    <s v="A144"/>
    <s v="EMP1003"/>
    <s v="C1726"/>
    <x v="168"/>
    <n v="4"/>
    <n v="1725"/>
    <n v="1363"/>
    <n v="5452"/>
    <n v="6900"/>
    <n v="1448"/>
    <s v="Product 80"/>
    <x v="65"/>
    <s v="Christopher Tucker"/>
    <x v="755"/>
    <n v="2"/>
    <x v="1"/>
    <x v="5"/>
    <x v="5"/>
    <x v="1"/>
    <x v="0"/>
  </r>
  <r>
    <s v="AX14248"/>
    <s v="ENX2036"/>
    <s v="A139"/>
    <s v="EMP1001"/>
    <s v="C1265"/>
    <x v="171"/>
    <n v="3"/>
    <n v="1582"/>
    <n v="1234"/>
    <n v="3702"/>
    <n v="4746"/>
    <n v="1044"/>
    <s v="Product 37"/>
    <x v="38"/>
    <s v="Kevin Butler"/>
    <x v="348"/>
    <n v="2"/>
    <x v="1"/>
    <x v="5"/>
    <x v="5"/>
    <x v="1"/>
    <x v="0"/>
  </r>
  <r>
    <s v="AX14300"/>
    <s v="ENX2081"/>
    <s v="A157"/>
    <s v="EMP1001"/>
    <s v="C1294"/>
    <x v="169"/>
    <n v="3"/>
    <n v="1566"/>
    <n v="1190"/>
    <n v="3570"/>
    <n v="4698"/>
    <n v="1128"/>
    <s v="Product 82"/>
    <x v="7"/>
    <s v="Kevin Butler"/>
    <x v="419"/>
    <n v="2"/>
    <x v="1"/>
    <x v="5"/>
    <x v="5"/>
    <x v="1"/>
    <x v="0"/>
  </r>
  <r>
    <s v="AX14562"/>
    <s v="ENX2042"/>
    <s v="A166"/>
    <s v="EMP1044"/>
    <s v="C1562"/>
    <x v="169"/>
    <n v="3"/>
    <n v="203"/>
    <n v="154"/>
    <n v="462"/>
    <n v="609"/>
    <n v="147"/>
    <s v="Product 43"/>
    <x v="70"/>
    <s v="Martin Carr"/>
    <x v="312"/>
    <n v="2"/>
    <x v="1"/>
    <x v="5"/>
    <x v="5"/>
    <x v="1"/>
    <x v="0"/>
  </r>
  <r>
    <s v="AX14592"/>
    <s v="ENX2066"/>
    <s v="A145"/>
    <s v="EMP1043"/>
    <s v="C1109"/>
    <x v="171"/>
    <n v="1"/>
    <n v="2091"/>
    <n v="1485"/>
    <n v="1485"/>
    <n v="2091"/>
    <n v="606"/>
    <s v="Product 67"/>
    <x v="35"/>
    <s v="Joshua Taylor"/>
    <x v="756"/>
    <n v="2"/>
    <x v="1"/>
    <x v="5"/>
    <x v="5"/>
    <x v="1"/>
    <x v="0"/>
  </r>
  <r>
    <s v="AX14639"/>
    <s v="ENX2072"/>
    <s v="A103"/>
    <s v="EMP1018"/>
    <s v="C1792"/>
    <x v="170"/>
    <n v="1"/>
    <n v="1887"/>
    <n v="1378"/>
    <n v="1378"/>
    <n v="1887"/>
    <n v="509"/>
    <s v="Product 73"/>
    <x v="61"/>
    <s v="Jimmy Young"/>
    <x v="536"/>
    <n v="2"/>
    <x v="1"/>
    <x v="5"/>
    <x v="5"/>
    <x v="1"/>
    <x v="0"/>
  </r>
  <r>
    <s v="AX14878"/>
    <s v="ENX2006"/>
    <s v="A102"/>
    <s v="EMP1008"/>
    <s v="C1719"/>
    <x v="169"/>
    <n v="4"/>
    <n v="1826"/>
    <n v="1443"/>
    <n v="5772"/>
    <n v="7304"/>
    <n v="1532"/>
    <s v="Product 7"/>
    <x v="44"/>
    <s v="Carl Elliott"/>
    <x v="666"/>
    <n v="2"/>
    <x v="1"/>
    <x v="5"/>
    <x v="5"/>
    <x v="1"/>
    <x v="0"/>
  </r>
  <r>
    <s v="AX14998"/>
    <s v="ENX2017"/>
    <s v="A144"/>
    <s v="EMP1009"/>
    <s v="C1609"/>
    <x v="170"/>
    <n v="2"/>
    <n v="35"/>
    <n v="22"/>
    <n v="44"/>
    <n v="70"/>
    <n v="26"/>
    <s v="Product 18"/>
    <x v="65"/>
    <s v="Kenneth Fields"/>
    <x v="757"/>
    <n v="2"/>
    <x v="1"/>
    <x v="5"/>
    <x v="5"/>
    <x v="1"/>
    <x v="0"/>
  </r>
  <r>
    <s v="AX15132"/>
    <s v="ENX2014"/>
    <s v="A166"/>
    <s v="EMP1012"/>
    <s v="C1697"/>
    <x v="170"/>
    <n v="1"/>
    <n v="1809"/>
    <n v="1067"/>
    <n v="1067"/>
    <n v="1809"/>
    <n v="742"/>
    <s v="Product 15"/>
    <x v="70"/>
    <s v="John Reyes"/>
    <x v="589"/>
    <n v="2"/>
    <x v="1"/>
    <x v="5"/>
    <x v="5"/>
    <x v="1"/>
    <x v="0"/>
  </r>
  <r>
    <s v="AX15844"/>
    <s v="ENX2059"/>
    <s v="A157"/>
    <s v="EMP1042"/>
    <s v="C1039"/>
    <x v="170"/>
    <n v="3"/>
    <n v="1494"/>
    <n v="971"/>
    <n v="2913"/>
    <n v="4482"/>
    <n v="1569"/>
    <s v="Product 60"/>
    <x v="7"/>
    <s v="Scott Clark"/>
    <x v="574"/>
    <n v="2"/>
    <x v="1"/>
    <x v="5"/>
    <x v="5"/>
    <x v="1"/>
    <x v="0"/>
  </r>
  <r>
    <s v="AX15896"/>
    <s v="ENX2064"/>
    <s v="A142"/>
    <s v="EMP1031"/>
    <s v="C1375"/>
    <x v="168"/>
    <n v="2"/>
    <n v="1414"/>
    <n v="962"/>
    <n v="1924"/>
    <n v="2828"/>
    <n v="904"/>
    <s v="Product 65"/>
    <x v="56"/>
    <s v="Brian Thomas"/>
    <x v="9"/>
    <n v="2"/>
    <x v="1"/>
    <x v="5"/>
    <x v="5"/>
    <x v="1"/>
    <x v="0"/>
  </r>
  <r>
    <s v="AX15999"/>
    <s v="ENX2044"/>
    <s v="A138"/>
    <s v="EMP1017"/>
    <s v="C1181"/>
    <x v="170"/>
    <n v="1"/>
    <n v="886"/>
    <n v="478"/>
    <n v="478"/>
    <n v="886"/>
    <n v="408"/>
    <s v="Product 45"/>
    <x v="37"/>
    <s v="Brian Hansen"/>
    <x v="449"/>
    <n v="2"/>
    <x v="1"/>
    <x v="5"/>
    <x v="5"/>
    <x v="1"/>
    <x v="0"/>
  </r>
  <r>
    <s v="AX16178"/>
    <s v="ENX2020"/>
    <s v="A164"/>
    <s v="EMP1018"/>
    <s v="C1770"/>
    <x v="169"/>
    <n v="1"/>
    <n v="2005"/>
    <n v="1223"/>
    <n v="1223"/>
    <n v="2005"/>
    <n v="782"/>
    <s v="Product 21"/>
    <x v="3"/>
    <s v="Jimmy Young"/>
    <x v="758"/>
    <n v="2"/>
    <x v="1"/>
    <x v="5"/>
    <x v="5"/>
    <x v="1"/>
    <x v="0"/>
  </r>
  <r>
    <s v="AX16380"/>
    <s v="ENX2099"/>
    <s v="A140"/>
    <s v="EMP1022"/>
    <s v="C1052"/>
    <x v="169"/>
    <n v="1"/>
    <n v="1367"/>
    <n v="984"/>
    <n v="984"/>
    <n v="1367"/>
    <n v="383"/>
    <s v="Product 100"/>
    <x v="18"/>
    <s v="Walter Cook"/>
    <x v="638"/>
    <n v="2"/>
    <x v="1"/>
    <x v="5"/>
    <x v="5"/>
    <x v="1"/>
    <x v="0"/>
  </r>
  <r>
    <s v="AX16411"/>
    <s v="ENX2001"/>
    <s v="A114"/>
    <s v="EMP1013"/>
    <s v="C1708"/>
    <x v="172"/>
    <n v="3"/>
    <n v="951"/>
    <n v="504"/>
    <n v="1512"/>
    <n v="2853"/>
    <n v="1341"/>
    <s v="Product 2"/>
    <x v="28"/>
    <s v="Charles Harper"/>
    <x v="579"/>
    <n v="2"/>
    <x v="1"/>
    <x v="5"/>
    <x v="5"/>
    <x v="1"/>
    <x v="0"/>
  </r>
  <r>
    <s v="AX16735"/>
    <s v="ENX2012"/>
    <s v="A130"/>
    <s v="EMP1012"/>
    <s v="C1350"/>
    <x v="171"/>
    <n v="4"/>
    <n v="1353"/>
    <n v="947"/>
    <n v="3788"/>
    <n v="5412"/>
    <n v="1624"/>
    <s v="Product 13"/>
    <x v="4"/>
    <s v="John Reyes"/>
    <x v="625"/>
    <n v="2"/>
    <x v="1"/>
    <x v="5"/>
    <x v="5"/>
    <x v="1"/>
    <x v="0"/>
  </r>
  <r>
    <s v="AX16837"/>
    <s v="ENX2093"/>
    <s v="A122"/>
    <s v="EMP1000"/>
    <s v="C1626"/>
    <x v="169"/>
    <n v="2"/>
    <n v="112"/>
    <n v="90"/>
    <n v="180"/>
    <n v="224"/>
    <n v="44"/>
    <s v="Product 94"/>
    <x v="71"/>
    <s v="Fred Robertson"/>
    <x v="153"/>
    <n v="2"/>
    <x v="1"/>
    <x v="5"/>
    <x v="5"/>
    <x v="1"/>
    <x v="0"/>
  </r>
  <r>
    <s v="AX17124"/>
    <s v="ENX2067"/>
    <s v="A118"/>
    <s v="EMP1038"/>
    <s v="C1130"/>
    <x v="172"/>
    <n v="3"/>
    <n v="1119"/>
    <n v="683"/>
    <n v="2049"/>
    <n v="3357"/>
    <n v="1308"/>
    <s v="Product 68"/>
    <x v="19"/>
    <s v="Scott Mason"/>
    <x v="448"/>
    <n v="2"/>
    <x v="1"/>
    <x v="5"/>
    <x v="5"/>
    <x v="1"/>
    <x v="0"/>
  </r>
  <r>
    <s v="AX17265"/>
    <s v="ENX2062"/>
    <s v="A154"/>
    <s v="EMP1044"/>
    <s v="C1673"/>
    <x v="168"/>
    <n v="1"/>
    <n v="2464"/>
    <n v="1774"/>
    <n v="1774"/>
    <n v="2464"/>
    <n v="690"/>
    <s v="Product 63"/>
    <x v="24"/>
    <s v="Martin Carr"/>
    <x v="87"/>
    <n v="2"/>
    <x v="1"/>
    <x v="5"/>
    <x v="5"/>
    <x v="1"/>
    <x v="0"/>
  </r>
  <r>
    <s v="AX17401"/>
    <s v="ENX2063"/>
    <s v="A116"/>
    <s v="EMP1044"/>
    <s v="C1049"/>
    <x v="168"/>
    <n v="2"/>
    <n v="1708"/>
    <n v="871"/>
    <n v="1742"/>
    <n v="3416"/>
    <n v="1674"/>
    <s v="Product 64"/>
    <x v="15"/>
    <s v="Martin Carr"/>
    <x v="305"/>
    <n v="2"/>
    <x v="1"/>
    <x v="5"/>
    <x v="5"/>
    <x v="1"/>
    <x v="0"/>
  </r>
  <r>
    <s v="AX17419"/>
    <s v="ENX2052"/>
    <s v="A154"/>
    <s v="EMP1039"/>
    <s v="C1542"/>
    <x v="171"/>
    <n v="2"/>
    <n v="1526"/>
    <n v="1251"/>
    <n v="2502"/>
    <n v="3052"/>
    <n v="550"/>
    <s v="Product 53"/>
    <x v="24"/>
    <s v="Eugene Holmes"/>
    <x v="712"/>
    <n v="2"/>
    <x v="1"/>
    <x v="5"/>
    <x v="5"/>
    <x v="1"/>
    <x v="0"/>
  </r>
  <r>
    <s v="AX17477"/>
    <s v="ENX2049"/>
    <s v="A154"/>
    <s v="EMP1011"/>
    <s v="C1753"/>
    <x v="171"/>
    <n v="3"/>
    <n v="826"/>
    <n v="562"/>
    <n v="1686"/>
    <n v="2478"/>
    <n v="792"/>
    <s v="Product 50"/>
    <x v="24"/>
    <s v="Larry Marshall"/>
    <x v="696"/>
    <n v="2"/>
    <x v="1"/>
    <x v="5"/>
    <x v="5"/>
    <x v="1"/>
    <x v="0"/>
  </r>
  <r>
    <s v="AX17732"/>
    <s v="ENX2028"/>
    <s v="A100"/>
    <s v="EMP1041"/>
    <s v="C1107"/>
    <x v="170"/>
    <n v="3"/>
    <n v="2283"/>
    <n v="1484"/>
    <n v="4452"/>
    <n v="6849"/>
    <n v="2397"/>
    <s v="Product 29"/>
    <x v="52"/>
    <s v="Joe Sims"/>
    <x v="278"/>
    <n v="2"/>
    <x v="1"/>
    <x v="5"/>
    <x v="5"/>
    <x v="1"/>
    <x v="0"/>
  </r>
  <r>
    <s v="AX17746"/>
    <s v="ENX2052"/>
    <s v="A103"/>
    <s v="EMP1003"/>
    <s v="C1182"/>
    <x v="171"/>
    <n v="1"/>
    <n v="1526"/>
    <n v="1251"/>
    <n v="1251"/>
    <n v="1526"/>
    <n v="275"/>
    <s v="Product 53"/>
    <x v="61"/>
    <s v="Christopher Tucker"/>
    <x v="759"/>
    <n v="2"/>
    <x v="1"/>
    <x v="5"/>
    <x v="5"/>
    <x v="1"/>
    <x v="0"/>
  </r>
  <r>
    <s v="AX17848"/>
    <s v="ENX2064"/>
    <s v="A168"/>
    <s v="EMP1035"/>
    <s v="C1121"/>
    <x v="169"/>
    <n v="1"/>
    <n v="1414"/>
    <n v="962"/>
    <n v="962"/>
    <n v="1414"/>
    <n v="452"/>
    <s v="Product 65"/>
    <x v="40"/>
    <s v="Roger Ramos"/>
    <x v="681"/>
    <n v="2"/>
    <x v="1"/>
    <x v="5"/>
    <x v="5"/>
    <x v="1"/>
    <x v="0"/>
  </r>
  <r>
    <s v="AX18153"/>
    <s v="ENX2059"/>
    <s v="A109"/>
    <s v="EMP1030"/>
    <s v="C1095"/>
    <x v="169"/>
    <n v="3"/>
    <n v="1494"/>
    <n v="971"/>
    <n v="2913"/>
    <n v="4482"/>
    <n v="1569"/>
    <s v="Product 60"/>
    <x v="57"/>
    <s v="Bobby Russell"/>
    <x v="240"/>
    <n v="2"/>
    <x v="1"/>
    <x v="5"/>
    <x v="5"/>
    <x v="1"/>
    <x v="0"/>
  </r>
  <r>
    <s v="AX18288"/>
    <s v="ENX2094"/>
    <s v="A135"/>
    <s v="EMP1030"/>
    <s v="C1056"/>
    <x v="171"/>
    <n v="1"/>
    <n v="771"/>
    <n v="648"/>
    <n v="648"/>
    <n v="771"/>
    <n v="123"/>
    <s v="Product 95"/>
    <x v="10"/>
    <s v="Bobby Russell"/>
    <x v="260"/>
    <n v="2"/>
    <x v="1"/>
    <x v="5"/>
    <x v="5"/>
    <x v="1"/>
    <x v="0"/>
  </r>
  <r>
    <s v="AX18427"/>
    <s v="ENX2071"/>
    <s v="A101"/>
    <s v="EMP1014"/>
    <s v="C1614"/>
    <x v="169"/>
    <n v="1"/>
    <n v="136"/>
    <n v="72"/>
    <n v="72"/>
    <n v="136"/>
    <n v="64"/>
    <s v="Product 72"/>
    <x v="60"/>
    <s v="Ronald Reed"/>
    <x v="11"/>
    <n v="2"/>
    <x v="1"/>
    <x v="5"/>
    <x v="5"/>
    <x v="1"/>
    <x v="0"/>
  </r>
  <r>
    <s v="AX18566"/>
    <s v="ENX2039"/>
    <s v="A128"/>
    <s v="EMP1030"/>
    <s v="C1541"/>
    <x v="170"/>
    <n v="3"/>
    <n v="817"/>
    <n v="409"/>
    <n v="1227"/>
    <n v="2451"/>
    <n v="1224"/>
    <s v="Product 40"/>
    <x v="12"/>
    <s v="Bobby Russell"/>
    <x v="628"/>
    <n v="2"/>
    <x v="1"/>
    <x v="5"/>
    <x v="5"/>
    <x v="1"/>
    <x v="0"/>
  </r>
  <r>
    <s v="AX18832"/>
    <s v="ENX2028"/>
    <s v="A117"/>
    <s v="EMP1007"/>
    <s v="C1208"/>
    <x v="168"/>
    <n v="1"/>
    <n v="2283"/>
    <n v="1484"/>
    <n v="1484"/>
    <n v="2283"/>
    <n v="799"/>
    <s v="Product 29"/>
    <x v="29"/>
    <s v="Jeremy Mendoza"/>
    <x v="582"/>
    <n v="2"/>
    <x v="1"/>
    <x v="5"/>
    <x v="5"/>
    <x v="1"/>
    <x v="0"/>
  </r>
  <r>
    <s v="AX18879"/>
    <s v="ENX2094"/>
    <s v="A163"/>
    <s v="EMP1019"/>
    <s v="C1253"/>
    <x v="170"/>
    <n v="3"/>
    <n v="771"/>
    <n v="648"/>
    <n v="1944"/>
    <n v="2313"/>
    <n v="369"/>
    <s v="Product 95"/>
    <x v="51"/>
    <s v="Roger Robertson"/>
    <x v="209"/>
    <n v="2"/>
    <x v="1"/>
    <x v="5"/>
    <x v="5"/>
    <x v="1"/>
    <x v="0"/>
  </r>
  <r>
    <s v="AX18971"/>
    <s v="ENX2086"/>
    <s v="A143"/>
    <s v="EMP1018"/>
    <s v="C1339"/>
    <x v="168"/>
    <n v="1"/>
    <n v="123"/>
    <n v="84"/>
    <n v="84"/>
    <n v="123"/>
    <n v="39"/>
    <s v="Product 87"/>
    <x v="39"/>
    <s v="Jimmy Young"/>
    <x v="401"/>
    <n v="2"/>
    <x v="1"/>
    <x v="5"/>
    <x v="5"/>
    <x v="1"/>
    <x v="0"/>
  </r>
  <r>
    <s v="AX19126"/>
    <s v="ENX2034"/>
    <s v="A167"/>
    <s v="EMP1008"/>
    <s v="C1128"/>
    <x v="170"/>
    <n v="4"/>
    <n v="871"/>
    <n v="540"/>
    <n v="2160"/>
    <n v="3484"/>
    <n v="1324"/>
    <s v="Product 35"/>
    <x v="64"/>
    <s v="Carl Elliott"/>
    <x v="553"/>
    <n v="2"/>
    <x v="1"/>
    <x v="5"/>
    <x v="5"/>
    <x v="1"/>
    <x v="0"/>
  </r>
  <r>
    <s v="AX19450"/>
    <s v="ENX2053"/>
    <s v="A112"/>
    <s v="EMP1011"/>
    <s v="C1241"/>
    <x v="168"/>
    <n v="1"/>
    <n v="596"/>
    <n v="358"/>
    <n v="358"/>
    <n v="596"/>
    <n v="238"/>
    <s v="Product 54"/>
    <x v="66"/>
    <s v="Larry Marshall"/>
    <x v="190"/>
    <n v="2"/>
    <x v="1"/>
    <x v="5"/>
    <x v="5"/>
    <x v="1"/>
    <x v="0"/>
  </r>
  <r>
    <s v="AX19796"/>
    <s v="ENX2008"/>
    <s v="A101"/>
    <s v="EMP1032"/>
    <s v="C1695"/>
    <x v="170"/>
    <n v="1"/>
    <n v="315"/>
    <n v="208"/>
    <n v="208"/>
    <n v="315"/>
    <n v="107"/>
    <s v="Product 9"/>
    <x v="60"/>
    <s v="Larry Castillo"/>
    <x v="18"/>
    <n v="2"/>
    <x v="1"/>
    <x v="5"/>
    <x v="5"/>
    <x v="1"/>
    <x v="0"/>
  </r>
  <r>
    <s v="AX20027"/>
    <s v="ENX2099"/>
    <s v="A102"/>
    <s v="EMP1023"/>
    <s v="C1677"/>
    <x v="169"/>
    <n v="1"/>
    <n v="1367"/>
    <n v="984"/>
    <n v="984"/>
    <n v="1367"/>
    <n v="383"/>
    <s v="Product 100"/>
    <x v="44"/>
    <s v="Brian Davis"/>
    <x v="641"/>
    <n v="2"/>
    <x v="1"/>
    <x v="5"/>
    <x v="5"/>
    <x v="1"/>
    <x v="0"/>
  </r>
  <r>
    <s v="AX20447"/>
    <s v="ENX2062"/>
    <s v="A113"/>
    <s v="EMP1021"/>
    <s v="C1137"/>
    <x v="169"/>
    <n v="3"/>
    <n v="2464"/>
    <n v="1774"/>
    <n v="5322"/>
    <n v="7392"/>
    <n v="2070"/>
    <s v="Product 63"/>
    <x v="73"/>
    <s v="Clarence Fox"/>
    <x v="131"/>
    <n v="2"/>
    <x v="1"/>
    <x v="5"/>
    <x v="5"/>
    <x v="1"/>
    <x v="0"/>
  </r>
  <r>
    <s v="AX20510"/>
    <s v="ENX2093"/>
    <s v="A106"/>
    <s v="EMP1017"/>
    <s v="C1025"/>
    <x v="169"/>
    <n v="1"/>
    <n v="112"/>
    <n v="90"/>
    <n v="90"/>
    <n v="112"/>
    <n v="22"/>
    <s v="Product 94"/>
    <x v="11"/>
    <s v="Brian Hansen"/>
    <x v="350"/>
    <n v="2"/>
    <x v="1"/>
    <x v="5"/>
    <x v="5"/>
    <x v="1"/>
    <x v="0"/>
  </r>
  <r>
    <s v="AX20530"/>
    <s v="ENX2040"/>
    <s v="A113"/>
    <s v="EMP1021"/>
    <s v="C1100"/>
    <x v="170"/>
    <n v="1"/>
    <n v="1889"/>
    <n v="945"/>
    <n v="945"/>
    <n v="1889"/>
    <n v="944"/>
    <s v="Product 41"/>
    <x v="73"/>
    <s v="Clarence Fox"/>
    <x v="110"/>
    <n v="2"/>
    <x v="1"/>
    <x v="5"/>
    <x v="5"/>
    <x v="1"/>
    <x v="0"/>
  </r>
  <r>
    <s v="AX20646"/>
    <s v="ENX2072"/>
    <s v="A162"/>
    <s v="EMP1019"/>
    <s v="C1430"/>
    <x v="170"/>
    <n v="3"/>
    <n v="1887"/>
    <n v="1378"/>
    <n v="4134"/>
    <n v="5661"/>
    <n v="1527"/>
    <s v="Product 73"/>
    <x v="2"/>
    <s v="Roger Robertson"/>
    <x v="741"/>
    <n v="2"/>
    <x v="1"/>
    <x v="5"/>
    <x v="5"/>
    <x v="1"/>
    <x v="0"/>
  </r>
  <r>
    <s v="AX20745"/>
    <s v="ENX2099"/>
    <s v="A166"/>
    <s v="EMP1010"/>
    <s v="C1605"/>
    <x v="170"/>
    <n v="1"/>
    <n v="1367"/>
    <n v="984"/>
    <n v="984"/>
    <n v="1367"/>
    <n v="383"/>
    <s v="Product 100"/>
    <x v="70"/>
    <s v="Joshua Cook"/>
    <x v="676"/>
    <n v="2"/>
    <x v="1"/>
    <x v="5"/>
    <x v="5"/>
    <x v="1"/>
    <x v="0"/>
  </r>
  <r>
    <s v="AX20905"/>
    <s v="ENX2062"/>
    <s v="A118"/>
    <s v="EMP1004"/>
    <s v="C1517"/>
    <x v="170"/>
    <n v="3"/>
    <n v="2464"/>
    <n v="1774"/>
    <n v="5322"/>
    <n v="7392"/>
    <n v="2070"/>
    <s v="Product 63"/>
    <x v="19"/>
    <s v="Kenneth Bradley"/>
    <x v="359"/>
    <n v="2"/>
    <x v="1"/>
    <x v="5"/>
    <x v="5"/>
    <x v="1"/>
    <x v="0"/>
  </r>
  <r>
    <s v="AX20957"/>
    <s v="ENX2083"/>
    <s v="A170"/>
    <s v="EMP1035"/>
    <s v="C1727"/>
    <x v="168"/>
    <n v="4"/>
    <n v="2141"/>
    <n v="1777"/>
    <n v="7108"/>
    <n v="8564"/>
    <n v="1456"/>
    <s v="Product 84"/>
    <x v="47"/>
    <s v="Roger Ramos"/>
    <x v="581"/>
    <n v="2"/>
    <x v="1"/>
    <x v="5"/>
    <x v="5"/>
    <x v="1"/>
    <x v="0"/>
  </r>
  <r>
    <s v="AX20960"/>
    <s v="ENX2022"/>
    <s v="A109"/>
    <s v="EMP1032"/>
    <s v="C1504"/>
    <x v="172"/>
    <n v="3"/>
    <n v="561"/>
    <n v="421"/>
    <n v="1263"/>
    <n v="1683"/>
    <n v="420"/>
    <s v="Product 23"/>
    <x v="57"/>
    <s v="Larry Castillo"/>
    <x v="559"/>
    <n v="2"/>
    <x v="1"/>
    <x v="5"/>
    <x v="5"/>
    <x v="1"/>
    <x v="0"/>
  </r>
  <r>
    <s v="AX21040"/>
    <s v="ENX2093"/>
    <s v="A167"/>
    <s v="EMP1032"/>
    <s v="C1240"/>
    <x v="170"/>
    <n v="1"/>
    <n v="112"/>
    <n v="90"/>
    <n v="90"/>
    <n v="112"/>
    <n v="22"/>
    <s v="Product 94"/>
    <x v="64"/>
    <s v="Larry Castillo"/>
    <x v="455"/>
    <n v="2"/>
    <x v="1"/>
    <x v="5"/>
    <x v="5"/>
    <x v="1"/>
    <x v="0"/>
  </r>
  <r>
    <s v="AX21062"/>
    <s v="ENX2025"/>
    <s v="A141"/>
    <s v="EMP1039"/>
    <s v="C1608"/>
    <x v="171"/>
    <n v="1"/>
    <n v="667"/>
    <n v="387"/>
    <n v="387"/>
    <n v="667"/>
    <n v="280"/>
    <s v="Product 26"/>
    <x v="23"/>
    <s v="Eugene Holmes"/>
    <x v="463"/>
    <n v="2"/>
    <x v="1"/>
    <x v="5"/>
    <x v="5"/>
    <x v="1"/>
    <x v="0"/>
  </r>
  <r>
    <s v="AX21106"/>
    <s v="ENX2053"/>
    <s v="A134"/>
    <s v="EMP1034"/>
    <s v="C1372"/>
    <x v="171"/>
    <n v="1"/>
    <n v="596"/>
    <n v="358"/>
    <n v="358"/>
    <n v="596"/>
    <n v="238"/>
    <s v="Product 54"/>
    <x v="41"/>
    <s v="Arthur Mccoy"/>
    <x v="60"/>
    <n v="2"/>
    <x v="1"/>
    <x v="5"/>
    <x v="5"/>
    <x v="1"/>
    <x v="0"/>
  </r>
  <r>
    <s v="AX21250"/>
    <s v="ENX2016"/>
    <s v="A133"/>
    <s v="EMP1038"/>
    <s v="C1266"/>
    <x v="169"/>
    <n v="1"/>
    <n v="1351"/>
    <n v="1108"/>
    <n v="1108"/>
    <n v="1351"/>
    <n v="243"/>
    <s v="Product 17"/>
    <x v="46"/>
    <s v="Scott Mason"/>
    <x v="254"/>
    <n v="2"/>
    <x v="1"/>
    <x v="5"/>
    <x v="5"/>
    <x v="1"/>
    <x v="0"/>
  </r>
  <r>
    <s v="AX21600"/>
    <s v="ENX2056"/>
    <s v="A169"/>
    <s v="EMP1002"/>
    <s v="C1723"/>
    <x v="172"/>
    <n v="1"/>
    <n v="1635"/>
    <n v="1046"/>
    <n v="1046"/>
    <n v="1635"/>
    <n v="589"/>
    <s v="Product 57"/>
    <x v="17"/>
    <s v="Andrew Bowman"/>
    <x v="118"/>
    <n v="2"/>
    <x v="1"/>
    <x v="5"/>
    <x v="5"/>
    <x v="1"/>
    <x v="0"/>
  </r>
  <r>
    <s v="AX21602"/>
    <s v="ENX2038"/>
    <s v="A150"/>
    <s v="EMP1041"/>
    <s v="C1103"/>
    <x v="172"/>
    <n v="1"/>
    <n v="392"/>
    <n v="255"/>
    <n v="255"/>
    <n v="392"/>
    <n v="137"/>
    <s v="Product 39"/>
    <x v="30"/>
    <s v="Joe Sims"/>
    <x v="336"/>
    <n v="2"/>
    <x v="1"/>
    <x v="5"/>
    <x v="5"/>
    <x v="1"/>
    <x v="0"/>
  </r>
  <r>
    <s v="AX21714"/>
    <s v="ENX2050"/>
    <s v="A107"/>
    <s v="EMP1004"/>
    <s v="C1201"/>
    <x v="172"/>
    <n v="4"/>
    <n v="2391"/>
    <n v="1291"/>
    <n v="5164"/>
    <n v="9564"/>
    <n v="4400"/>
    <s v="Product 51"/>
    <x v="21"/>
    <s v="Kenneth Bradley"/>
    <x v="760"/>
    <n v="2"/>
    <x v="1"/>
    <x v="5"/>
    <x v="5"/>
    <x v="1"/>
    <x v="0"/>
  </r>
  <r>
    <s v="AX21797"/>
    <s v="ENX2018"/>
    <s v="A102"/>
    <s v="EMP1024"/>
    <s v="C1683"/>
    <x v="171"/>
    <n v="1"/>
    <n v="1972"/>
    <n v="1321"/>
    <n v="1321"/>
    <n v="1972"/>
    <n v="651"/>
    <s v="Product 19"/>
    <x v="44"/>
    <s v="Ernest Wheeler"/>
    <x v="379"/>
    <n v="2"/>
    <x v="1"/>
    <x v="5"/>
    <x v="5"/>
    <x v="1"/>
    <x v="0"/>
  </r>
  <r>
    <s v="AX21952"/>
    <s v="ENX2081"/>
    <s v="A150"/>
    <s v="EMP1044"/>
    <s v="C1337"/>
    <x v="169"/>
    <n v="1"/>
    <n v="1566"/>
    <n v="1190"/>
    <n v="1190"/>
    <n v="1566"/>
    <n v="376"/>
    <s v="Product 82"/>
    <x v="30"/>
    <s v="Martin Carr"/>
    <x v="417"/>
    <n v="2"/>
    <x v="1"/>
    <x v="5"/>
    <x v="5"/>
    <x v="1"/>
    <x v="0"/>
  </r>
  <r>
    <s v="AX22087"/>
    <s v="ENX2061"/>
    <s v="A169"/>
    <s v="EMP1000"/>
    <s v="C1190"/>
    <x v="168"/>
    <n v="3"/>
    <n v="913"/>
    <n v="584"/>
    <n v="1752"/>
    <n v="2739"/>
    <n v="987"/>
    <s v="Product 62"/>
    <x v="17"/>
    <s v="Fred Robertson"/>
    <x v="1"/>
    <n v="2"/>
    <x v="1"/>
    <x v="5"/>
    <x v="5"/>
    <x v="1"/>
    <x v="0"/>
  </r>
  <r>
    <s v="AX22173"/>
    <s v="ENX2053"/>
    <s v="A153"/>
    <s v="EMP1034"/>
    <s v="C1725"/>
    <x v="170"/>
    <n v="2"/>
    <n v="596"/>
    <n v="358"/>
    <n v="716"/>
    <n v="1192"/>
    <n v="476"/>
    <s v="Product 54"/>
    <x v="8"/>
    <s v="Arthur Mccoy"/>
    <x v="81"/>
    <n v="2"/>
    <x v="1"/>
    <x v="5"/>
    <x v="5"/>
    <x v="1"/>
    <x v="0"/>
  </r>
  <r>
    <s v="AX22428"/>
    <s v="ENX2069"/>
    <s v="A129"/>
    <s v="EMP1041"/>
    <s v="C1687"/>
    <x v="170"/>
    <n v="4"/>
    <n v="378"/>
    <n v="291"/>
    <n v="1164"/>
    <n v="1512"/>
    <n v="348"/>
    <s v="Product 70"/>
    <x v="22"/>
    <s v="Joe Sims"/>
    <x v="389"/>
    <n v="2"/>
    <x v="1"/>
    <x v="5"/>
    <x v="5"/>
    <x v="1"/>
    <x v="0"/>
  </r>
  <r>
    <s v="AX22534"/>
    <s v="ENX2092"/>
    <s v="A161"/>
    <s v="EMP1024"/>
    <s v="C1429"/>
    <x v="170"/>
    <n v="2"/>
    <n v="1639"/>
    <n v="1295"/>
    <n v="2590"/>
    <n v="3278"/>
    <n v="688"/>
    <s v="Product 93"/>
    <x v="6"/>
    <s v="Ernest Wheeler"/>
    <x v="651"/>
    <n v="2"/>
    <x v="1"/>
    <x v="5"/>
    <x v="5"/>
    <x v="1"/>
    <x v="0"/>
  </r>
  <r>
    <s v="AX22674"/>
    <s v="ENX2042"/>
    <s v="A112"/>
    <s v="EMP1021"/>
    <s v="C1607"/>
    <x v="172"/>
    <n v="2"/>
    <n v="203"/>
    <n v="154"/>
    <n v="308"/>
    <n v="406"/>
    <n v="98"/>
    <s v="Product 43"/>
    <x v="66"/>
    <s v="Clarence Fox"/>
    <x v="211"/>
    <n v="2"/>
    <x v="1"/>
    <x v="5"/>
    <x v="5"/>
    <x v="1"/>
    <x v="0"/>
  </r>
  <r>
    <s v="AX22817"/>
    <s v="ENX2092"/>
    <s v="A120"/>
    <s v="EMP1037"/>
    <s v="C1439"/>
    <x v="172"/>
    <n v="4"/>
    <n v="1639"/>
    <n v="1295"/>
    <n v="5180"/>
    <n v="6556"/>
    <n v="1376"/>
    <s v="Product 93"/>
    <x v="20"/>
    <s v="Carl Hall"/>
    <x v="172"/>
    <n v="2"/>
    <x v="1"/>
    <x v="5"/>
    <x v="5"/>
    <x v="1"/>
    <x v="0"/>
  </r>
  <r>
    <s v="AX22952"/>
    <s v="ENX2096"/>
    <s v="A102"/>
    <s v="EMP1043"/>
    <s v="C1288"/>
    <x v="172"/>
    <n v="1"/>
    <n v="1587"/>
    <n v="1301"/>
    <n v="1301"/>
    <n v="1587"/>
    <n v="286"/>
    <s v="Product 97"/>
    <x v="44"/>
    <s v="Joshua Taylor"/>
    <x v="674"/>
    <n v="2"/>
    <x v="1"/>
    <x v="5"/>
    <x v="5"/>
    <x v="1"/>
    <x v="0"/>
  </r>
  <r>
    <s v="AX23137"/>
    <s v="ENX2075"/>
    <s v="A120"/>
    <s v="EMP1019"/>
    <s v="C1449"/>
    <x v="172"/>
    <n v="3"/>
    <n v="400"/>
    <n v="208"/>
    <n v="624"/>
    <n v="1200"/>
    <n v="576"/>
    <s v="Product 76"/>
    <x v="20"/>
    <s v="Roger Robertson"/>
    <x v="230"/>
    <n v="2"/>
    <x v="1"/>
    <x v="5"/>
    <x v="5"/>
    <x v="1"/>
    <x v="0"/>
  </r>
  <r>
    <s v="AX23177"/>
    <s v="ENX2034"/>
    <s v="A171"/>
    <s v="EMP1015"/>
    <s v="C1124"/>
    <x v="170"/>
    <n v="2"/>
    <n v="871"/>
    <n v="540"/>
    <n v="1080"/>
    <n v="1742"/>
    <n v="662"/>
    <s v="Product 35"/>
    <x v="0"/>
    <s v="Justin Lynch"/>
    <x v="102"/>
    <n v="2"/>
    <x v="1"/>
    <x v="5"/>
    <x v="5"/>
    <x v="1"/>
    <x v="0"/>
  </r>
  <r>
    <s v="AX23693"/>
    <s v="ENX2054"/>
    <s v="A142"/>
    <s v="EMP1013"/>
    <s v="C1609"/>
    <x v="170"/>
    <n v="3"/>
    <n v="127"/>
    <n v="79"/>
    <n v="237"/>
    <n v="381"/>
    <n v="144"/>
    <s v="Product 55"/>
    <x v="56"/>
    <s v="Charles Harper"/>
    <x v="757"/>
    <n v="2"/>
    <x v="1"/>
    <x v="5"/>
    <x v="5"/>
    <x v="1"/>
    <x v="0"/>
  </r>
  <r>
    <s v="AX24135"/>
    <s v="ENX2059"/>
    <s v="A127"/>
    <s v="EMP1037"/>
    <s v="C1327"/>
    <x v="172"/>
    <n v="2"/>
    <n v="1494"/>
    <n v="971"/>
    <n v="1942"/>
    <n v="2988"/>
    <n v="1046"/>
    <s v="Product 60"/>
    <x v="69"/>
    <s v="Carl Hall"/>
    <x v="321"/>
    <n v="2"/>
    <x v="1"/>
    <x v="5"/>
    <x v="5"/>
    <x v="1"/>
    <x v="0"/>
  </r>
  <r>
    <s v="AX24968"/>
    <s v="ENX2037"/>
    <s v="A157"/>
    <s v="EMP1019"/>
    <s v="C1552"/>
    <x v="169"/>
    <n v="3"/>
    <n v="880"/>
    <n v="634"/>
    <n v="1902"/>
    <n v="2640"/>
    <n v="738"/>
    <s v="Product 38"/>
    <x v="7"/>
    <s v="Roger Robertson"/>
    <x v="92"/>
    <n v="2"/>
    <x v="1"/>
    <x v="5"/>
    <x v="5"/>
    <x v="1"/>
    <x v="0"/>
  </r>
  <r>
    <s v="AX24994"/>
    <s v="ENX2024"/>
    <s v="A169"/>
    <s v="EMP1044"/>
    <s v="C1351"/>
    <x v="172"/>
    <n v="1"/>
    <n v="356"/>
    <n v="292"/>
    <n v="292"/>
    <n v="356"/>
    <n v="64"/>
    <s v="Product 25"/>
    <x v="17"/>
    <s v="Martin Carr"/>
    <x v="122"/>
    <n v="2"/>
    <x v="1"/>
    <x v="5"/>
    <x v="5"/>
    <x v="1"/>
    <x v="0"/>
  </r>
  <r>
    <s v="AX10043"/>
    <s v="ENX2068"/>
    <s v="A119"/>
    <s v="EMP1024"/>
    <s v="C1641"/>
    <x v="173"/>
    <n v="4"/>
    <n v="1500"/>
    <n v="900"/>
    <n v="3600"/>
    <n v="6000"/>
    <n v="2400"/>
    <s v="Product 69"/>
    <x v="16"/>
    <s v="Ernest Wheeler"/>
    <x v="761"/>
    <n v="2"/>
    <x v="1"/>
    <x v="5"/>
    <x v="5"/>
    <x v="1"/>
    <x v="2"/>
  </r>
  <r>
    <s v="AX10246"/>
    <s v="ENX2056"/>
    <s v="A125"/>
    <s v="EMP1039"/>
    <s v="C1454"/>
    <x v="174"/>
    <n v="1"/>
    <n v="1635"/>
    <n v="1046"/>
    <n v="1046"/>
    <n v="1635"/>
    <n v="589"/>
    <s v="Product 57"/>
    <x v="31"/>
    <s v="Eugene Holmes"/>
    <x v="68"/>
    <n v="2"/>
    <x v="1"/>
    <x v="5"/>
    <x v="5"/>
    <x v="1"/>
    <x v="2"/>
  </r>
  <r>
    <s v="AX10280"/>
    <s v="ENX2098"/>
    <s v="A131"/>
    <s v="EMP1039"/>
    <s v="C1070"/>
    <x v="173"/>
    <n v="2"/>
    <n v="1178"/>
    <n v="683"/>
    <n v="1366"/>
    <n v="2356"/>
    <n v="990"/>
    <s v="Product 99"/>
    <x v="32"/>
    <s v="Eugene Holmes"/>
    <x v="48"/>
    <n v="2"/>
    <x v="1"/>
    <x v="5"/>
    <x v="5"/>
    <x v="1"/>
    <x v="2"/>
  </r>
  <r>
    <s v="AX10365"/>
    <s v="ENX2015"/>
    <s v="A125"/>
    <s v="EMP1013"/>
    <s v="C1679"/>
    <x v="173"/>
    <n v="1"/>
    <n v="637"/>
    <n v="389"/>
    <n v="389"/>
    <n v="637"/>
    <n v="248"/>
    <s v="Product 16"/>
    <x v="31"/>
    <s v="Charles Harper"/>
    <x v="664"/>
    <n v="2"/>
    <x v="1"/>
    <x v="5"/>
    <x v="5"/>
    <x v="1"/>
    <x v="2"/>
  </r>
  <r>
    <s v="AX10479"/>
    <s v="ENX2041"/>
    <s v="A130"/>
    <s v="EMP1005"/>
    <s v="C1214"/>
    <x v="174"/>
    <n v="1"/>
    <n v="1380"/>
    <n v="1090"/>
    <n v="1090"/>
    <n v="1380"/>
    <n v="290"/>
    <s v="Product 42"/>
    <x v="4"/>
    <s v="Ryan Welch"/>
    <x v="262"/>
    <n v="2"/>
    <x v="1"/>
    <x v="5"/>
    <x v="5"/>
    <x v="1"/>
    <x v="2"/>
  </r>
  <r>
    <s v="AX10753"/>
    <s v="ENX2031"/>
    <s v="A154"/>
    <s v="EMP1015"/>
    <s v="C1709"/>
    <x v="175"/>
    <n v="3"/>
    <n v="1638"/>
    <n v="1261"/>
    <n v="3783"/>
    <n v="4914"/>
    <n v="1131"/>
    <s v="Product 32"/>
    <x v="24"/>
    <s v="Justin Lynch"/>
    <x v="203"/>
    <n v="2"/>
    <x v="1"/>
    <x v="5"/>
    <x v="5"/>
    <x v="1"/>
    <x v="2"/>
  </r>
  <r>
    <s v="AX10860"/>
    <s v="ENX2060"/>
    <s v="A122"/>
    <s v="EMP1026"/>
    <s v="C1349"/>
    <x v="176"/>
    <n v="1"/>
    <n v="1467"/>
    <n v="807"/>
    <n v="807"/>
    <n v="1467"/>
    <n v="660"/>
    <s v="Product 61"/>
    <x v="71"/>
    <s v="Martin Perry"/>
    <x v="501"/>
    <n v="2"/>
    <x v="1"/>
    <x v="5"/>
    <x v="5"/>
    <x v="1"/>
    <x v="2"/>
  </r>
  <r>
    <s v="AX11349"/>
    <s v="ENX2004"/>
    <s v="A105"/>
    <s v="EMP1034"/>
    <s v="C1239"/>
    <x v="176"/>
    <n v="2"/>
    <n v="1278"/>
    <n v="665"/>
    <n v="1330"/>
    <n v="2556"/>
    <n v="1226"/>
    <s v="Product 5"/>
    <x v="45"/>
    <s v="Arthur Mccoy"/>
    <x v="479"/>
    <n v="2"/>
    <x v="1"/>
    <x v="5"/>
    <x v="5"/>
    <x v="1"/>
    <x v="2"/>
  </r>
  <r>
    <s v="AX11444"/>
    <s v="ENX2091"/>
    <s v="A128"/>
    <s v="EMP1030"/>
    <s v="C1480"/>
    <x v="174"/>
    <n v="3"/>
    <n v="368"/>
    <n v="294"/>
    <n v="882"/>
    <n v="1104"/>
    <n v="222"/>
    <s v="Product 92"/>
    <x v="12"/>
    <s v="Bobby Russell"/>
    <x v="64"/>
    <n v="2"/>
    <x v="1"/>
    <x v="5"/>
    <x v="5"/>
    <x v="1"/>
    <x v="2"/>
  </r>
  <r>
    <s v="AX11618"/>
    <s v="ENX2082"/>
    <s v="A139"/>
    <s v="EMP1024"/>
    <s v="C1144"/>
    <x v="174"/>
    <n v="1"/>
    <n v="1103"/>
    <n v="838"/>
    <n v="838"/>
    <n v="1103"/>
    <n v="265"/>
    <s v="Product 83"/>
    <x v="38"/>
    <s v="Ernest Wheeler"/>
    <x v="478"/>
    <n v="2"/>
    <x v="1"/>
    <x v="5"/>
    <x v="5"/>
    <x v="1"/>
    <x v="2"/>
  </r>
  <r>
    <s v="AX11821"/>
    <s v="ENX2027"/>
    <s v="A149"/>
    <s v="EMP1021"/>
    <s v="C1777"/>
    <x v="173"/>
    <n v="3"/>
    <n v="2497"/>
    <n v="1473"/>
    <n v="4419"/>
    <n v="7491"/>
    <n v="3072"/>
    <s v="Product 28"/>
    <x v="59"/>
    <s v="Clarence Fox"/>
    <x v="682"/>
    <n v="2"/>
    <x v="1"/>
    <x v="5"/>
    <x v="5"/>
    <x v="1"/>
    <x v="2"/>
  </r>
  <r>
    <s v="AX11849"/>
    <s v="ENX2027"/>
    <s v="A121"/>
    <s v="EMP1004"/>
    <s v="C1731"/>
    <x v="174"/>
    <n v="4"/>
    <n v="2497"/>
    <n v="1473"/>
    <n v="5892"/>
    <n v="9988"/>
    <n v="4096"/>
    <s v="Product 28"/>
    <x v="72"/>
    <s v="Kenneth Bradley"/>
    <x v="762"/>
    <n v="2"/>
    <x v="1"/>
    <x v="5"/>
    <x v="5"/>
    <x v="1"/>
    <x v="2"/>
  </r>
  <r>
    <s v="AX11903"/>
    <s v="ENX2061"/>
    <s v="A112"/>
    <s v="EMP1018"/>
    <s v="C1213"/>
    <x v="176"/>
    <n v="1"/>
    <n v="913"/>
    <n v="584"/>
    <n v="584"/>
    <n v="913"/>
    <n v="329"/>
    <s v="Product 62"/>
    <x v="66"/>
    <s v="Jimmy Young"/>
    <x v="487"/>
    <n v="2"/>
    <x v="1"/>
    <x v="5"/>
    <x v="5"/>
    <x v="1"/>
    <x v="2"/>
  </r>
  <r>
    <s v="AX14060"/>
    <s v="ENX2018"/>
    <s v="A126"/>
    <s v="EMP1012"/>
    <s v="C1653"/>
    <x v="175"/>
    <n v="1"/>
    <n v="1972"/>
    <n v="1321"/>
    <n v="1321"/>
    <n v="1972"/>
    <n v="651"/>
    <s v="Product 19"/>
    <x v="5"/>
    <s v="John Reyes"/>
    <x v="187"/>
    <n v="2"/>
    <x v="1"/>
    <x v="5"/>
    <x v="5"/>
    <x v="1"/>
    <x v="2"/>
  </r>
  <r>
    <s v="AX14111"/>
    <s v="ENX2061"/>
    <s v="A118"/>
    <s v="EMP1028"/>
    <s v="C1002"/>
    <x v="175"/>
    <n v="1"/>
    <n v="913"/>
    <n v="584"/>
    <n v="584"/>
    <n v="913"/>
    <n v="329"/>
    <s v="Product 62"/>
    <x v="19"/>
    <s v="Howard Sims"/>
    <x v="49"/>
    <n v="2"/>
    <x v="1"/>
    <x v="5"/>
    <x v="5"/>
    <x v="1"/>
    <x v="2"/>
  </r>
  <r>
    <s v="AX14202"/>
    <s v="ENX2031"/>
    <s v="A147"/>
    <s v="EMP1013"/>
    <s v="C1176"/>
    <x v="174"/>
    <n v="1"/>
    <n v="1638"/>
    <n v="1261"/>
    <n v="1261"/>
    <n v="1638"/>
    <n v="377"/>
    <s v="Product 32"/>
    <x v="42"/>
    <s v="Charles Harper"/>
    <x v="117"/>
    <n v="2"/>
    <x v="1"/>
    <x v="5"/>
    <x v="5"/>
    <x v="1"/>
    <x v="2"/>
  </r>
  <r>
    <s v="AX14309"/>
    <s v="ENX2050"/>
    <s v="A113"/>
    <s v="EMP1027"/>
    <s v="C1204"/>
    <x v="175"/>
    <n v="1"/>
    <n v="2391"/>
    <n v="1291"/>
    <n v="1291"/>
    <n v="2391"/>
    <n v="1100"/>
    <s v="Product 51"/>
    <x v="73"/>
    <s v="Gary Rodriguez"/>
    <x v="654"/>
    <n v="2"/>
    <x v="1"/>
    <x v="5"/>
    <x v="5"/>
    <x v="1"/>
    <x v="2"/>
  </r>
  <r>
    <s v="AX14523"/>
    <s v="ENX2059"/>
    <s v="A132"/>
    <s v="EMP1005"/>
    <s v="C1168"/>
    <x v="174"/>
    <n v="1"/>
    <n v="1494"/>
    <n v="971"/>
    <n v="971"/>
    <n v="1494"/>
    <n v="523"/>
    <s v="Product 60"/>
    <x v="48"/>
    <s v="Ryan Welch"/>
    <x v="532"/>
    <n v="2"/>
    <x v="1"/>
    <x v="5"/>
    <x v="5"/>
    <x v="1"/>
    <x v="2"/>
  </r>
  <r>
    <s v="AX14534"/>
    <s v="ENX2036"/>
    <s v="A113"/>
    <s v="EMP1042"/>
    <s v="C1405"/>
    <x v="174"/>
    <n v="4"/>
    <n v="1582"/>
    <n v="1234"/>
    <n v="4936"/>
    <n v="6328"/>
    <n v="1392"/>
    <s v="Product 37"/>
    <x v="73"/>
    <s v="Scott Clark"/>
    <x v="544"/>
    <n v="2"/>
    <x v="1"/>
    <x v="5"/>
    <x v="5"/>
    <x v="1"/>
    <x v="2"/>
  </r>
  <r>
    <s v="AX14597"/>
    <s v="ENX2008"/>
    <s v="A129"/>
    <s v="EMP1010"/>
    <s v="C1722"/>
    <x v="175"/>
    <n v="2"/>
    <n v="315"/>
    <n v="208"/>
    <n v="416"/>
    <n v="630"/>
    <n v="214"/>
    <s v="Product 9"/>
    <x v="22"/>
    <s v="Joshua Cook"/>
    <x v="257"/>
    <n v="2"/>
    <x v="1"/>
    <x v="5"/>
    <x v="5"/>
    <x v="1"/>
    <x v="2"/>
  </r>
  <r>
    <s v="AX15127"/>
    <s v="ENX2037"/>
    <s v="A118"/>
    <s v="EMP1035"/>
    <s v="C1740"/>
    <x v="173"/>
    <n v="1"/>
    <n v="880"/>
    <n v="634"/>
    <n v="634"/>
    <n v="880"/>
    <n v="246"/>
    <s v="Product 38"/>
    <x v="19"/>
    <s v="Roger Ramos"/>
    <x v="699"/>
    <n v="2"/>
    <x v="1"/>
    <x v="5"/>
    <x v="5"/>
    <x v="1"/>
    <x v="2"/>
  </r>
  <r>
    <s v="AX15428"/>
    <s v="ENX2015"/>
    <s v="A122"/>
    <s v="EMP1035"/>
    <s v="C1277"/>
    <x v="174"/>
    <n v="2"/>
    <n v="637"/>
    <n v="389"/>
    <n v="778"/>
    <n v="1274"/>
    <n v="496"/>
    <s v="Product 16"/>
    <x v="71"/>
    <s v="Roger Ramos"/>
    <x v="151"/>
    <n v="2"/>
    <x v="1"/>
    <x v="5"/>
    <x v="5"/>
    <x v="1"/>
    <x v="2"/>
  </r>
  <r>
    <s v="AX15491"/>
    <s v="ENX2051"/>
    <s v="A149"/>
    <s v="EMP1033"/>
    <s v="C1449"/>
    <x v="173"/>
    <n v="3"/>
    <n v="1077"/>
    <n v="732"/>
    <n v="2196"/>
    <n v="3231"/>
    <n v="1035"/>
    <s v="Product 52"/>
    <x v="59"/>
    <s v="Jerry Perry"/>
    <x v="230"/>
    <n v="2"/>
    <x v="1"/>
    <x v="5"/>
    <x v="5"/>
    <x v="1"/>
    <x v="2"/>
  </r>
  <r>
    <s v="AX16447"/>
    <s v="ENX2067"/>
    <s v="A138"/>
    <s v="EMP1007"/>
    <s v="C1751"/>
    <x v="173"/>
    <n v="1"/>
    <n v="1119"/>
    <n v="683"/>
    <n v="683"/>
    <n v="1119"/>
    <n v="436"/>
    <s v="Product 68"/>
    <x v="37"/>
    <s v="Jeremy Mendoza"/>
    <x v="332"/>
    <n v="2"/>
    <x v="1"/>
    <x v="5"/>
    <x v="5"/>
    <x v="1"/>
    <x v="2"/>
  </r>
  <r>
    <s v="AX16671"/>
    <s v="ENX2016"/>
    <s v="A103"/>
    <s v="EMP1024"/>
    <s v="C1511"/>
    <x v="175"/>
    <n v="1"/>
    <n v="1351"/>
    <n v="1108"/>
    <n v="1108"/>
    <n v="1351"/>
    <n v="243"/>
    <s v="Product 17"/>
    <x v="61"/>
    <s v="Ernest Wheeler"/>
    <x v="754"/>
    <n v="2"/>
    <x v="1"/>
    <x v="5"/>
    <x v="5"/>
    <x v="1"/>
    <x v="2"/>
  </r>
  <r>
    <s v="AX16744"/>
    <s v="ENX2022"/>
    <s v="A133"/>
    <s v="EMP1041"/>
    <s v="C1620"/>
    <x v="174"/>
    <n v="2"/>
    <n v="561"/>
    <n v="421"/>
    <n v="842"/>
    <n v="1122"/>
    <n v="280"/>
    <s v="Product 23"/>
    <x v="46"/>
    <s v="Joe Sims"/>
    <x v="445"/>
    <n v="2"/>
    <x v="1"/>
    <x v="5"/>
    <x v="5"/>
    <x v="1"/>
    <x v="2"/>
  </r>
  <r>
    <s v="AX16765"/>
    <s v="ENX2056"/>
    <s v="A105"/>
    <s v="EMP1034"/>
    <s v="C1418"/>
    <x v="174"/>
    <n v="1"/>
    <n v="1635"/>
    <n v="1046"/>
    <n v="1046"/>
    <n v="1635"/>
    <n v="589"/>
    <s v="Product 57"/>
    <x v="45"/>
    <s v="Arthur Mccoy"/>
    <x v="441"/>
    <n v="2"/>
    <x v="1"/>
    <x v="5"/>
    <x v="5"/>
    <x v="1"/>
    <x v="2"/>
  </r>
  <r>
    <s v="AX16786"/>
    <s v="ENX2007"/>
    <s v="A114"/>
    <s v="EMP1010"/>
    <s v="C1232"/>
    <x v="175"/>
    <n v="2"/>
    <n v="1405"/>
    <n v="1054"/>
    <n v="2108"/>
    <n v="2810"/>
    <n v="702"/>
    <s v="Product 8"/>
    <x v="28"/>
    <s v="Joshua Cook"/>
    <x v="584"/>
    <n v="2"/>
    <x v="1"/>
    <x v="5"/>
    <x v="5"/>
    <x v="1"/>
    <x v="2"/>
  </r>
  <r>
    <s v="AX16797"/>
    <s v="ENX2083"/>
    <s v="A116"/>
    <s v="EMP1003"/>
    <s v="C1411"/>
    <x v="176"/>
    <n v="1"/>
    <n v="2141"/>
    <n v="1777"/>
    <n v="1777"/>
    <n v="2141"/>
    <n v="364"/>
    <s v="Product 84"/>
    <x v="15"/>
    <s v="Christopher Tucker"/>
    <x v="600"/>
    <n v="2"/>
    <x v="1"/>
    <x v="5"/>
    <x v="5"/>
    <x v="1"/>
    <x v="2"/>
  </r>
  <r>
    <s v="AX17027"/>
    <s v="ENX2074"/>
    <s v="A172"/>
    <s v="EMP1031"/>
    <s v="C1357"/>
    <x v="176"/>
    <n v="2"/>
    <n v="504"/>
    <n v="408"/>
    <n v="816"/>
    <n v="1008"/>
    <n v="192"/>
    <s v="Product 75"/>
    <x v="36"/>
    <s v="Brian Thomas"/>
    <x v="327"/>
    <n v="2"/>
    <x v="1"/>
    <x v="5"/>
    <x v="5"/>
    <x v="1"/>
    <x v="2"/>
  </r>
  <r>
    <s v="AX17976"/>
    <s v="ENX2002"/>
    <s v="A123"/>
    <s v="EMP1021"/>
    <s v="C1342"/>
    <x v="173"/>
    <n v="4"/>
    <n v="847"/>
    <n v="534"/>
    <n v="2136"/>
    <n v="3388"/>
    <n v="1252"/>
    <s v="Product 3"/>
    <x v="34"/>
    <s v="Clarence Fox"/>
    <x v="62"/>
    <n v="2"/>
    <x v="1"/>
    <x v="5"/>
    <x v="5"/>
    <x v="1"/>
    <x v="2"/>
  </r>
  <r>
    <s v="AX18120"/>
    <s v="ENX2016"/>
    <s v="A164"/>
    <s v="EMP1044"/>
    <s v="C1109"/>
    <x v="176"/>
    <n v="1"/>
    <n v="1351"/>
    <n v="1108"/>
    <n v="1108"/>
    <n v="1351"/>
    <n v="243"/>
    <s v="Product 17"/>
    <x v="3"/>
    <s v="Martin Carr"/>
    <x v="756"/>
    <n v="2"/>
    <x v="1"/>
    <x v="5"/>
    <x v="5"/>
    <x v="1"/>
    <x v="2"/>
  </r>
  <r>
    <s v="AX18696"/>
    <s v="ENX2015"/>
    <s v="A105"/>
    <s v="EMP1020"/>
    <s v="C1488"/>
    <x v="173"/>
    <n v="2"/>
    <n v="637"/>
    <n v="389"/>
    <n v="778"/>
    <n v="1274"/>
    <n v="496"/>
    <s v="Product 16"/>
    <x v="45"/>
    <s v="Ryan Butler"/>
    <x v="763"/>
    <n v="2"/>
    <x v="1"/>
    <x v="5"/>
    <x v="5"/>
    <x v="1"/>
    <x v="2"/>
  </r>
  <r>
    <s v="AX18765"/>
    <s v="ENX2089"/>
    <s v="A110"/>
    <s v="EMP1003"/>
    <s v="C1169"/>
    <x v="173"/>
    <n v="1"/>
    <n v="2294"/>
    <n v="1399"/>
    <n v="1399"/>
    <n v="2294"/>
    <n v="895"/>
    <s v="Product 90"/>
    <x v="63"/>
    <s v="Christopher Tucker"/>
    <x v="293"/>
    <n v="2"/>
    <x v="1"/>
    <x v="5"/>
    <x v="5"/>
    <x v="1"/>
    <x v="2"/>
  </r>
  <r>
    <s v="AX19116"/>
    <s v="ENX2083"/>
    <s v="A114"/>
    <s v="EMP1004"/>
    <s v="C1312"/>
    <x v="173"/>
    <n v="3"/>
    <n v="2141"/>
    <n v="1777"/>
    <n v="5331"/>
    <n v="6423"/>
    <n v="1092"/>
    <s v="Product 84"/>
    <x v="28"/>
    <s v="Kenneth Bradley"/>
    <x v="609"/>
    <n v="2"/>
    <x v="1"/>
    <x v="5"/>
    <x v="5"/>
    <x v="1"/>
    <x v="2"/>
  </r>
  <r>
    <s v="AX19326"/>
    <s v="ENX2091"/>
    <s v="A170"/>
    <s v="EMP1019"/>
    <s v="C1266"/>
    <x v="174"/>
    <n v="2"/>
    <n v="368"/>
    <n v="294"/>
    <n v="588"/>
    <n v="736"/>
    <n v="148"/>
    <s v="Product 92"/>
    <x v="47"/>
    <s v="Roger Robertson"/>
    <x v="254"/>
    <n v="2"/>
    <x v="1"/>
    <x v="5"/>
    <x v="5"/>
    <x v="1"/>
    <x v="2"/>
  </r>
  <r>
    <s v="AX19518"/>
    <s v="ENX2003"/>
    <s v="A129"/>
    <s v="EMP1009"/>
    <s v="C1794"/>
    <x v="173"/>
    <n v="1"/>
    <n v="1783"/>
    <n v="1516"/>
    <n v="1516"/>
    <n v="1783"/>
    <n v="267"/>
    <s v="Product 4"/>
    <x v="22"/>
    <s v="Kenneth Fields"/>
    <x v="411"/>
    <n v="2"/>
    <x v="1"/>
    <x v="5"/>
    <x v="5"/>
    <x v="1"/>
    <x v="2"/>
  </r>
  <r>
    <s v="AX19601"/>
    <s v="ENX2012"/>
    <s v="A105"/>
    <s v="EMP1040"/>
    <s v="C1637"/>
    <x v="174"/>
    <n v="1"/>
    <n v="1353"/>
    <n v="947"/>
    <n v="947"/>
    <n v="1353"/>
    <n v="406"/>
    <s v="Product 13"/>
    <x v="45"/>
    <s v="Patrick Ruiz"/>
    <x v="326"/>
    <n v="2"/>
    <x v="1"/>
    <x v="5"/>
    <x v="5"/>
    <x v="1"/>
    <x v="2"/>
  </r>
  <r>
    <s v="AX19966"/>
    <s v="ENX2020"/>
    <s v="A125"/>
    <s v="EMP1028"/>
    <s v="C1784"/>
    <x v="173"/>
    <n v="1"/>
    <n v="2005"/>
    <n v="1223"/>
    <n v="1223"/>
    <n v="2005"/>
    <n v="782"/>
    <s v="Product 21"/>
    <x v="31"/>
    <s v="Howard Sims"/>
    <x v="397"/>
    <n v="2"/>
    <x v="1"/>
    <x v="5"/>
    <x v="5"/>
    <x v="1"/>
    <x v="2"/>
  </r>
  <r>
    <s v="AX20044"/>
    <s v="ENX2073"/>
    <s v="A153"/>
    <s v="EMP1018"/>
    <s v="C1190"/>
    <x v="176"/>
    <n v="1"/>
    <n v="95"/>
    <n v="61"/>
    <n v="61"/>
    <n v="95"/>
    <n v="34"/>
    <s v="Product 74"/>
    <x v="8"/>
    <s v="Jimmy Young"/>
    <x v="1"/>
    <n v="2"/>
    <x v="1"/>
    <x v="5"/>
    <x v="5"/>
    <x v="1"/>
    <x v="2"/>
  </r>
  <r>
    <s v="AX20742"/>
    <s v="ENX2027"/>
    <s v="A167"/>
    <s v="EMP1005"/>
    <s v="C1130"/>
    <x v="176"/>
    <n v="4"/>
    <n v="2497"/>
    <n v="1473"/>
    <n v="5892"/>
    <n v="9988"/>
    <n v="4096"/>
    <s v="Product 28"/>
    <x v="64"/>
    <s v="Ryan Welch"/>
    <x v="448"/>
    <n v="2"/>
    <x v="1"/>
    <x v="5"/>
    <x v="5"/>
    <x v="1"/>
    <x v="2"/>
  </r>
  <r>
    <s v="AX21026"/>
    <s v="ENX2003"/>
    <s v="A163"/>
    <s v="EMP1032"/>
    <s v="C1712"/>
    <x v="174"/>
    <n v="1"/>
    <n v="1783"/>
    <n v="1516"/>
    <n v="1516"/>
    <n v="1783"/>
    <n v="267"/>
    <s v="Product 4"/>
    <x v="51"/>
    <s v="Larry Castillo"/>
    <x v="21"/>
    <n v="2"/>
    <x v="1"/>
    <x v="5"/>
    <x v="5"/>
    <x v="1"/>
    <x v="2"/>
  </r>
  <r>
    <s v="AX21115"/>
    <s v="ENX2090"/>
    <s v="A156"/>
    <s v="EMP1043"/>
    <s v="C1126"/>
    <x v="173"/>
    <n v="1"/>
    <n v="1338"/>
    <n v="682"/>
    <n v="682"/>
    <n v="1338"/>
    <n v="656"/>
    <s v="Product 91"/>
    <x v="14"/>
    <s v="Joshua Taylor"/>
    <x v="374"/>
    <n v="2"/>
    <x v="1"/>
    <x v="5"/>
    <x v="5"/>
    <x v="1"/>
    <x v="2"/>
  </r>
  <r>
    <s v="AX21561"/>
    <s v="ENX2066"/>
    <s v="A145"/>
    <s v="EMP1002"/>
    <s v="C1329"/>
    <x v="175"/>
    <n v="1"/>
    <n v="2091"/>
    <n v="1485"/>
    <n v="1485"/>
    <n v="2091"/>
    <n v="606"/>
    <s v="Product 67"/>
    <x v="35"/>
    <s v="Andrew Bowman"/>
    <x v="244"/>
    <n v="2"/>
    <x v="1"/>
    <x v="5"/>
    <x v="5"/>
    <x v="1"/>
    <x v="2"/>
  </r>
  <r>
    <s v="AX21921"/>
    <s v="ENX2007"/>
    <s v="A102"/>
    <s v="EMP1004"/>
    <s v="C1414"/>
    <x v="174"/>
    <n v="1"/>
    <n v="1405"/>
    <n v="1054"/>
    <n v="1054"/>
    <n v="1405"/>
    <n v="351"/>
    <s v="Product 8"/>
    <x v="44"/>
    <s v="Kenneth Bradley"/>
    <x v="140"/>
    <n v="2"/>
    <x v="1"/>
    <x v="5"/>
    <x v="5"/>
    <x v="1"/>
    <x v="2"/>
  </r>
  <r>
    <s v="AX22045"/>
    <s v="ENX2063"/>
    <s v="A138"/>
    <s v="EMP1038"/>
    <s v="C1461"/>
    <x v="173"/>
    <n v="1"/>
    <n v="1708"/>
    <n v="871"/>
    <n v="871"/>
    <n v="1708"/>
    <n v="837"/>
    <s v="Product 64"/>
    <x v="37"/>
    <s v="Scott Mason"/>
    <x v="634"/>
    <n v="2"/>
    <x v="1"/>
    <x v="5"/>
    <x v="5"/>
    <x v="1"/>
    <x v="2"/>
  </r>
  <r>
    <s v="AX22225"/>
    <s v="ENX2011"/>
    <s v="A135"/>
    <s v="EMP1035"/>
    <s v="C1777"/>
    <x v="174"/>
    <n v="3"/>
    <n v="530"/>
    <n v="435"/>
    <n v="1305"/>
    <n v="1590"/>
    <n v="285"/>
    <s v="Product 12"/>
    <x v="10"/>
    <s v="Roger Ramos"/>
    <x v="682"/>
    <n v="2"/>
    <x v="1"/>
    <x v="5"/>
    <x v="5"/>
    <x v="1"/>
    <x v="2"/>
  </r>
  <r>
    <s v="AX22242"/>
    <s v="ENX2082"/>
    <s v="A130"/>
    <s v="EMP1042"/>
    <s v="C1501"/>
    <x v="173"/>
    <n v="1"/>
    <n v="1103"/>
    <n v="838"/>
    <n v="838"/>
    <n v="1103"/>
    <n v="265"/>
    <s v="Product 83"/>
    <x v="4"/>
    <s v="Scott Clark"/>
    <x v="387"/>
    <n v="2"/>
    <x v="1"/>
    <x v="5"/>
    <x v="5"/>
    <x v="1"/>
    <x v="2"/>
  </r>
  <r>
    <s v="AX22556"/>
    <s v="ENX2024"/>
    <s v="A119"/>
    <s v="EMP1025"/>
    <s v="C1314"/>
    <x v="175"/>
    <n v="1"/>
    <n v="356"/>
    <n v="292"/>
    <n v="292"/>
    <n v="356"/>
    <n v="64"/>
    <s v="Product 25"/>
    <x v="16"/>
    <s v="Ernest Wagner"/>
    <x v="421"/>
    <n v="2"/>
    <x v="1"/>
    <x v="5"/>
    <x v="5"/>
    <x v="1"/>
    <x v="2"/>
  </r>
  <r>
    <s v="AX22635"/>
    <s v="ENX2043"/>
    <s v="A132"/>
    <s v="EMP1035"/>
    <s v="C1461"/>
    <x v="176"/>
    <n v="1"/>
    <n v="545"/>
    <n v="425"/>
    <n v="425"/>
    <n v="545"/>
    <n v="120"/>
    <s v="Product 44"/>
    <x v="48"/>
    <s v="Roger Ramos"/>
    <x v="634"/>
    <n v="2"/>
    <x v="1"/>
    <x v="5"/>
    <x v="5"/>
    <x v="1"/>
    <x v="2"/>
  </r>
  <r>
    <s v="AX23299"/>
    <s v="ENX2031"/>
    <s v="A167"/>
    <s v="EMP1015"/>
    <s v="C1022"/>
    <x v="176"/>
    <n v="1"/>
    <n v="1638"/>
    <n v="1261"/>
    <n v="1261"/>
    <n v="1638"/>
    <n v="377"/>
    <s v="Product 32"/>
    <x v="64"/>
    <s v="Justin Lynch"/>
    <x v="249"/>
    <n v="2"/>
    <x v="1"/>
    <x v="5"/>
    <x v="5"/>
    <x v="1"/>
    <x v="2"/>
  </r>
  <r>
    <s v="AX23947"/>
    <s v="ENX2060"/>
    <s v="A118"/>
    <s v="EMP1027"/>
    <s v="C1739"/>
    <x v="173"/>
    <n v="2"/>
    <n v="1467"/>
    <n v="807"/>
    <n v="1614"/>
    <n v="2934"/>
    <n v="1320"/>
    <s v="Product 61"/>
    <x v="19"/>
    <s v="Gary Rodriguez"/>
    <x v="286"/>
    <n v="2"/>
    <x v="1"/>
    <x v="5"/>
    <x v="5"/>
    <x v="1"/>
    <x v="2"/>
  </r>
  <r>
    <s v="AX23971"/>
    <s v="ENX2004"/>
    <s v="A120"/>
    <s v="EMP1014"/>
    <s v="C1527"/>
    <x v="173"/>
    <n v="1"/>
    <n v="1278"/>
    <n v="665"/>
    <n v="665"/>
    <n v="1278"/>
    <n v="613"/>
    <s v="Product 5"/>
    <x v="20"/>
    <s v="Ronald Reed"/>
    <x v="375"/>
    <n v="2"/>
    <x v="1"/>
    <x v="5"/>
    <x v="5"/>
    <x v="1"/>
    <x v="2"/>
  </r>
  <r>
    <s v="AX24380"/>
    <s v="ENX2071"/>
    <s v="A148"/>
    <s v="EMP1005"/>
    <s v="C1095"/>
    <x v="175"/>
    <n v="1"/>
    <n v="136"/>
    <n v="72"/>
    <n v="72"/>
    <n v="136"/>
    <n v="64"/>
    <s v="Product 72"/>
    <x v="62"/>
    <s v="Ryan Welch"/>
    <x v="240"/>
    <n v="2"/>
    <x v="1"/>
    <x v="5"/>
    <x v="5"/>
    <x v="1"/>
    <x v="2"/>
  </r>
  <r>
    <s v="AX24501"/>
    <s v="ENX2064"/>
    <s v="A159"/>
    <s v="EMP1000"/>
    <s v="C1072"/>
    <x v="175"/>
    <n v="1"/>
    <n v="1414"/>
    <n v="962"/>
    <n v="962"/>
    <n v="1414"/>
    <n v="452"/>
    <s v="Product 65"/>
    <x v="13"/>
    <s v="Fred Robertson"/>
    <x v="529"/>
    <n v="2"/>
    <x v="1"/>
    <x v="5"/>
    <x v="5"/>
    <x v="1"/>
    <x v="2"/>
  </r>
  <r>
    <s v="AX24592"/>
    <s v="ENX2023"/>
    <s v="A140"/>
    <s v="EMP1039"/>
    <s v="C1613"/>
    <x v="175"/>
    <n v="1"/>
    <n v="818"/>
    <n v="450"/>
    <n v="450"/>
    <n v="818"/>
    <n v="368"/>
    <s v="Product 24"/>
    <x v="18"/>
    <s v="Eugene Holmes"/>
    <x v="143"/>
    <n v="2"/>
    <x v="1"/>
    <x v="5"/>
    <x v="5"/>
    <x v="1"/>
    <x v="2"/>
  </r>
  <r>
    <s v="AX10794"/>
    <s v="ENX2065"/>
    <s v="A166"/>
    <s v="EMP1043"/>
    <s v="C1760"/>
    <x v="177"/>
    <n v="2"/>
    <n v="2396"/>
    <n v="1965"/>
    <n v="3930"/>
    <n v="4792"/>
    <n v="862"/>
    <s v="Product 66"/>
    <x v="70"/>
    <s v="Joshua Taylor"/>
    <x v="502"/>
    <n v="2"/>
    <x v="1"/>
    <x v="6"/>
    <x v="6"/>
    <x v="2"/>
    <x v="0"/>
  </r>
  <r>
    <s v="AX11362"/>
    <s v="ENX2012"/>
    <s v="A103"/>
    <s v="EMP1011"/>
    <s v="C1667"/>
    <x v="178"/>
    <n v="1"/>
    <n v="1353"/>
    <n v="947"/>
    <n v="947"/>
    <n v="1353"/>
    <n v="406"/>
    <s v="Product 13"/>
    <x v="61"/>
    <s v="Larry Marshall"/>
    <x v="462"/>
    <n v="2"/>
    <x v="1"/>
    <x v="6"/>
    <x v="6"/>
    <x v="2"/>
    <x v="0"/>
  </r>
  <r>
    <s v="AX11665"/>
    <s v="ENX2047"/>
    <s v="A132"/>
    <s v="EMP1042"/>
    <s v="C1536"/>
    <x v="179"/>
    <n v="3"/>
    <n v="290"/>
    <n v="200"/>
    <n v="600"/>
    <n v="870"/>
    <n v="270"/>
    <s v="Product 48"/>
    <x v="48"/>
    <s v="Scott Clark"/>
    <x v="74"/>
    <n v="2"/>
    <x v="1"/>
    <x v="6"/>
    <x v="6"/>
    <x v="2"/>
    <x v="0"/>
  </r>
  <r>
    <s v="AX11726"/>
    <s v="ENX2012"/>
    <s v="A104"/>
    <s v="EMP1010"/>
    <s v="C1065"/>
    <x v="177"/>
    <n v="1"/>
    <n v="1353"/>
    <n v="947"/>
    <n v="947"/>
    <n v="1353"/>
    <n v="406"/>
    <s v="Product 13"/>
    <x v="50"/>
    <s v="Joshua Cook"/>
    <x v="637"/>
    <n v="2"/>
    <x v="1"/>
    <x v="6"/>
    <x v="6"/>
    <x v="2"/>
    <x v="0"/>
  </r>
  <r>
    <s v="AX12348"/>
    <s v="ENX2062"/>
    <s v="A116"/>
    <s v="EMP1028"/>
    <s v="C1003"/>
    <x v="178"/>
    <n v="1"/>
    <n v="2464"/>
    <n v="1774"/>
    <n v="1774"/>
    <n v="2464"/>
    <n v="690"/>
    <s v="Product 63"/>
    <x v="15"/>
    <s v="Howard Sims"/>
    <x v="494"/>
    <n v="2"/>
    <x v="1"/>
    <x v="6"/>
    <x v="6"/>
    <x v="2"/>
    <x v="0"/>
  </r>
  <r>
    <s v="AX12972"/>
    <s v="ENX2050"/>
    <s v="A149"/>
    <s v="EMP1007"/>
    <s v="C1073"/>
    <x v="177"/>
    <n v="1"/>
    <n v="2391"/>
    <n v="1291"/>
    <n v="1291"/>
    <n v="2391"/>
    <n v="1100"/>
    <s v="Product 51"/>
    <x v="59"/>
    <s v="Jeremy Mendoza"/>
    <x v="237"/>
    <n v="2"/>
    <x v="1"/>
    <x v="6"/>
    <x v="6"/>
    <x v="2"/>
    <x v="0"/>
  </r>
  <r>
    <s v="AX13474"/>
    <s v="ENX2094"/>
    <s v="A149"/>
    <s v="EMP1027"/>
    <s v="C1176"/>
    <x v="179"/>
    <n v="3"/>
    <n v="771"/>
    <n v="648"/>
    <n v="1944"/>
    <n v="2313"/>
    <n v="369"/>
    <s v="Product 95"/>
    <x v="59"/>
    <s v="Gary Rodriguez"/>
    <x v="117"/>
    <n v="2"/>
    <x v="1"/>
    <x v="6"/>
    <x v="6"/>
    <x v="2"/>
    <x v="0"/>
  </r>
  <r>
    <s v="AX13561"/>
    <s v="ENX2097"/>
    <s v="A124"/>
    <s v="EMP1040"/>
    <s v="C1712"/>
    <x v="180"/>
    <n v="3"/>
    <n v="1052"/>
    <n v="589"/>
    <n v="1767"/>
    <n v="3156"/>
    <n v="1389"/>
    <s v="Product 98"/>
    <x v="67"/>
    <s v="Patrick Ruiz"/>
    <x v="21"/>
    <n v="2"/>
    <x v="1"/>
    <x v="6"/>
    <x v="6"/>
    <x v="2"/>
    <x v="0"/>
  </r>
  <r>
    <s v="AX13821"/>
    <s v="ENX2031"/>
    <s v="A112"/>
    <s v="EMP1044"/>
    <s v="C1790"/>
    <x v="177"/>
    <n v="4"/>
    <n v="1638"/>
    <n v="1261"/>
    <n v="5044"/>
    <n v="6552"/>
    <n v="1508"/>
    <s v="Product 32"/>
    <x v="66"/>
    <s v="Martin Carr"/>
    <x v="428"/>
    <n v="2"/>
    <x v="1"/>
    <x v="6"/>
    <x v="6"/>
    <x v="2"/>
    <x v="0"/>
  </r>
  <r>
    <s v="AX14112"/>
    <s v="ENX2051"/>
    <s v="A144"/>
    <s v="EMP1025"/>
    <s v="C1254"/>
    <x v="178"/>
    <n v="1"/>
    <n v="1077"/>
    <n v="732"/>
    <n v="732"/>
    <n v="1077"/>
    <n v="345"/>
    <s v="Product 52"/>
    <x v="65"/>
    <s v="Ernest Wagner"/>
    <x v="104"/>
    <n v="2"/>
    <x v="1"/>
    <x v="6"/>
    <x v="6"/>
    <x v="2"/>
    <x v="0"/>
  </r>
  <r>
    <s v="AX14389"/>
    <s v="ENX2079"/>
    <s v="A107"/>
    <s v="EMP1010"/>
    <s v="C1584"/>
    <x v="177"/>
    <n v="1"/>
    <n v="1725"/>
    <n v="1363"/>
    <n v="1363"/>
    <n v="1725"/>
    <n v="362"/>
    <s v="Product 80"/>
    <x v="21"/>
    <s v="Joshua Cook"/>
    <x v="72"/>
    <n v="2"/>
    <x v="1"/>
    <x v="6"/>
    <x v="6"/>
    <x v="2"/>
    <x v="0"/>
  </r>
  <r>
    <s v="AX14412"/>
    <s v="ENX2011"/>
    <s v="A127"/>
    <s v="EMP1007"/>
    <s v="C1028"/>
    <x v="179"/>
    <n v="1"/>
    <n v="530"/>
    <n v="435"/>
    <n v="435"/>
    <n v="530"/>
    <n v="95"/>
    <s v="Product 12"/>
    <x v="69"/>
    <s v="Jeremy Mendoza"/>
    <x v="135"/>
    <n v="2"/>
    <x v="1"/>
    <x v="6"/>
    <x v="6"/>
    <x v="2"/>
    <x v="0"/>
  </r>
  <r>
    <s v="AX15177"/>
    <s v="ENX2064"/>
    <s v="A152"/>
    <s v="EMP1003"/>
    <s v="C1469"/>
    <x v="178"/>
    <n v="1"/>
    <n v="1414"/>
    <n v="962"/>
    <n v="962"/>
    <n v="1414"/>
    <n v="452"/>
    <s v="Product 65"/>
    <x v="26"/>
    <s v="Christopher Tucker"/>
    <x v="300"/>
    <n v="2"/>
    <x v="1"/>
    <x v="6"/>
    <x v="6"/>
    <x v="2"/>
    <x v="0"/>
  </r>
  <r>
    <s v="AX15268"/>
    <s v="ENX2017"/>
    <s v="A103"/>
    <s v="EMP1012"/>
    <s v="C1169"/>
    <x v="178"/>
    <n v="2"/>
    <n v="35"/>
    <n v="22"/>
    <n v="44"/>
    <n v="70"/>
    <n v="26"/>
    <s v="Product 18"/>
    <x v="61"/>
    <s v="John Reyes"/>
    <x v="293"/>
    <n v="2"/>
    <x v="1"/>
    <x v="6"/>
    <x v="6"/>
    <x v="2"/>
    <x v="0"/>
  </r>
  <r>
    <s v="AX15757"/>
    <s v="ENX2000"/>
    <s v="A142"/>
    <s v="EMP1043"/>
    <s v="C1526"/>
    <x v="178"/>
    <n v="1"/>
    <n v="2241"/>
    <n v="1367"/>
    <n v="1367"/>
    <n v="2241"/>
    <n v="874"/>
    <s v="Product 1"/>
    <x v="56"/>
    <s v="Joshua Taylor"/>
    <x v="6"/>
    <n v="2"/>
    <x v="1"/>
    <x v="6"/>
    <x v="6"/>
    <x v="2"/>
    <x v="0"/>
  </r>
  <r>
    <s v="AX15766"/>
    <s v="ENX2063"/>
    <s v="A111"/>
    <s v="EMP1044"/>
    <s v="C1525"/>
    <x v="180"/>
    <n v="3"/>
    <n v="1708"/>
    <n v="871"/>
    <n v="2613"/>
    <n v="5124"/>
    <n v="2511"/>
    <s v="Product 64"/>
    <x v="54"/>
    <s v="Martin Carr"/>
    <x v="360"/>
    <n v="2"/>
    <x v="1"/>
    <x v="6"/>
    <x v="6"/>
    <x v="2"/>
    <x v="0"/>
  </r>
  <r>
    <s v="AX15779"/>
    <s v="ENX2094"/>
    <s v="A158"/>
    <s v="EMP1016"/>
    <s v="C1033"/>
    <x v="180"/>
    <n v="1"/>
    <n v="771"/>
    <n v="648"/>
    <n v="648"/>
    <n v="771"/>
    <n v="123"/>
    <s v="Product 95"/>
    <x v="58"/>
    <s v="Henry Nelson"/>
    <x v="515"/>
    <n v="2"/>
    <x v="1"/>
    <x v="6"/>
    <x v="6"/>
    <x v="2"/>
    <x v="0"/>
  </r>
  <r>
    <s v="AX15858"/>
    <s v="ENX2027"/>
    <s v="A115"/>
    <s v="EMP1024"/>
    <s v="C1330"/>
    <x v="177"/>
    <n v="2"/>
    <n v="2497"/>
    <n v="1473"/>
    <n v="2946"/>
    <n v="4994"/>
    <n v="2048"/>
    <s v="Product 28"/>
    <x v="33"/>
    <s v="Ernest Wheeler"/>
    <x v="511"/>
    <n v="2"/>
    <x v="1"/>
    <x v="6"/>
    <x v="6"/>
    <x v="2"/>
    <x v="0"/>
  </r>
  <r>
    <s v="AX16086"/>
    <s v="ENX2007"/>
    <s v="A104"/>
    <s v="EMP1043"/>
    <s v="C1157"/>
    <x v="180"/>
    <n v="1"/>
    <n v="1405"/>
    <n v="1054"/>
    <n v="1054"/>
    <n v="1405"/>
    <n v="351"/>
    <s v="Product 8"/>
    <x v="50"/>
    <s v="Joshua Taylor"/>
    <x v="415"/>
    <n v="2"/>
    <x v="1"/>
    <x v="6"/>
    <x v="6"/>
    <x v="2"/>
    <x v="0"/>
  </r>
  <r>
    <s v="AX16448"/>
    <s v="ENX2019"/>
    <s v="A149"/>
    <s v="EMP1007"/>
    <s v="C1744"/>
    <x v="178"/>
    <n v="2"/>
    <n v="800"/>
    <n v="536"/>
    <n v="1072"/>
    <n v="1600"/>
    <n v="528"/>
    <s v="Product 20"/>
    <x v="59"/>
    <s v="Jeremy Mendoza"/>
    <x v="500"/>
    <n v="2"/>
    <x v="1"/>
    <x v="6"/>
    <x v="6"/>
    <x v="2"/>
    <x v="0"/>
  </r>
  <r>
    <s v="AX16483"/>
    <s v="ENX2100"/>
    <s v="A136"/>
    <s v="EMP1011"/>
    <s v="C1470"/>
    <x v="180"/>
    <n v="1"/>
    <n v="799"/>
    <n v="455"/>
    <n v="455"/>
    <n v="799"/>
    <n v="344"/>
    <s v="Product 101"/>
    <x v="43"/>
    <s v="Larry Marshall"/>
    <x v="621"/>
    <n v="2"/>
    <x v="1"/>
    <x v="6"/>
    <x v="6"/>
    <x v="2"/>
    <x v="0"/>
  </r>
  <r>
    <s v="AX16705"/>
    <s v="ENX2003"/>
    <s v="A125"/>
    <s v="EMP1004"/>
    <s v="C1226"/>
    <x v="177"/>
    <n v="4"/>
    <n v="1783"/>
    <n v="1516"/>
    <n v="6064"/>
    <n v="7132"/>
    <n v="1068"/>
    <s v="Product 4"/>
    <x v="31"/>
    <s v="Kenneth Bradley"/>
    <x v="598"/>
    <n v="2"/>
    <x v="1"/>
    <x v="6"/>
    <x v="6"/>
    <x v="2"/>
    <x v="0"/>
  </r>
  <r>
    <s v="AX16769"/>
    <s v="ENX2008"/>
    <s v="A124"/>
    <s v="EMP1006"/>
    <s v="C1706"/>
    <x v="179"/>
    <n v="2"/>
    <n v="315"/>
    <n v="208"/>
    <n v="416"/>
    <n v="630"/>
    <n v="214"/>
    <s v="Product 9"/>
    <x v="67"/>
    <s v="Sean Miller"/>
    <x v="171"/>
    <n v="2"/>
    <x v="1"/>
    <x v="6"/>
    <x v="6"/>
    <x v="2"/>
    <x v="0"/>
  </r>
  <r>
    <s v="AX16884"/>
    <s v="ENX2061"/>
    <s v="A119"/>
    <s v="EMP1028"/>
    <s v="C1696"/>
    <x v="179"/>
    <n v="1"/>
    <n v="913"/>
    <n v="584"/>
    <n v="584"/>
    <n v="913"/>
    <n v="329"/>
    <s v="Product 62"/>
    <x v="16"/>
    <s v="Howard Sims"/>
    <x v="436"/>
    <n v="2"/>
    <x v="1"/>
    <x v="6"/>
    <x v="6"/>
    <x v="2"/>
    <x v="0"/>
  </r>
  <r>
    <s v="AX16903"/>
    <s v="ENX2020"/>
    <s v="A116"/>
    <s v="EMP1039"/>
    <s v="C1396"/>
    <x v="180"/>
    <n v="1"/>
    <n v="2005"/>
    <n v="1223"/>
    <n v="1223"/>
    <n v="2005"/>
    <n v="782"/>
    <s v="Product 21"/>
    <x v="15"/>
    <s v="Eugene Holmes"/>
    <x v="624"/>
    <n v="2"/>
    <x v="1"/>
    <x v="6"/>
    <x v="6"/>
    <x v="2"/>
    <x v="0"/>
  </r>
  <r>
    <s v="AX16965"/>
    <s v="ENX2038"/>
    <s v="A173"/>
    <s v="EMP1022"/>
    <s v="C1084"/>
    <x v="179"/>
    <n v="1"/>
    <n v="392"/>
    <n v="255"/>
    <n v="255"/>
    <n v="392"/>
    <n v="137"/>
    <s v="Product 39"/>
    <x v="25"/>
    <s v="Walter Cook"/>
    <x v="631"/>
    <n v="2"/>
    <x v="1"/>
    <x v="6"/>
    <x v="6"/>
    <x v="2"/>
    <x v="0"/>
  </r>
  <r>
    <s v="AX17213"/>
    <s v="ENX2034"/>
    <s v="A112"/>
    <s v="EMP1024"/>
    <s v="C1231"/>
    <x v="179"/>
    <n v="2"/>
    <n v="871"/>
    <n v="540"/>
    <n v="1080"/>
    <n v="1742"/>
    <n v="662"/>
    <s v="Product 35"/>
    <x v="66"/>
    <s v="Ernest Wheeler"/>
    <x v="94"/>
    <n v="2"/>
    <x v="1"/>
    <x v="6"/>
    <x v="6"/>
    <x v="2"/>
    <x v="0"/>
  </r>
  <r>
    <s v="AX17486"/>
    <s v="ENX2089"/>
    <s v="A100"/>
    <s v="EMP1022"/>
    <s v="C1262"/>
    <x v="178"/>
    <n v="1"/>
    <n v="2294"/>
    <n v="1399"/>
    <n v="1399"/>
    <n v="2294"/>
    <n v="895"/>
    <s v="Product 90"/>
    <x v="52"/>
    <s v="Walter Cook"/>
    <x v="363"/>
    <n v="2"/>
    <x v="1"/>
    <x v="6"/>
    <x v="6"/>
    <x v="2"/>
    <x v="0"/>
  </r>
  <r>
    <s v="AX17705"/>
    <s v="ENX2099"/>
    <s v="A128"/>
    <s v="EMP1003"/>
    <s v="C1036"/>
    <x v="180"/>
    <n v="1"/>
    <n v="1367"/>
    <n v="984"/>
    <n v="984"/>
    <n v="1367"/>
    <n v="383"/>
    <s v="Product 100"/>
    <x v="12"/>
    <s v="Christopher Tucker"/>
    <x v="256"/>
    <n v="2"/>
    <x v="1"/>
    <x v="6"/>
    <x v="6"/>
    <x v="2"/>
    <x v="0"/>
  </r>
  <r>
    <s v="AX17958"/>
    <s v="ENX2049"/>
    <s v="A168"/>
    <s v="EMP1019"/>
    <s v="C1088"/>
    <x v="178"/>
    <n v="3"/>
    <n v="826"/>
    <n v="562"/>
    <n v="1686"/>
    <n v="2478"/>
    <n v="792"/>
    <s v="Product 50"/>
    <x v="40"/>
    <s v="Roger Robertson"/>
    <x v="498"/>
    <n v="2"/>
    <x v="1"/>
    <x v="6"/>
    <x v="6"/>
    <x v="2"/>
    <x v="0"/>
  </r>
  <r>
    <s v="AX17989"/>
    <s v="ENX2066"/>
    <s v="A143"/>
    <s v="EMP1004"/>
    <s v="C1670"/>
    <x v="179"/>
    <n v="1"/>
    <n v="2091"/>
    <n v="1485"/>
    <n v="1485"/>
    <n v="2091"/>
    <n v="606"/>
    <s v="Product 67"/>
    <x v="39"/>
    <s v="Kenneth Bradley"/>
    <x v="663"/>
    <n v="2"/>
    <x v="1"/>
    <x v="6"/>
    <x v="6"/>
    <x v="2"/>
    <x v="0"/>
  </r>
  <r>
    <s v="AX18654"/>
    <s v="ENX2005"/>
    <s v="A102"/>
    <s v="EMP1000"/>
    <s v="C1426"/>
    <x v="180"/>
    <n v="1"/>
    <n v="684"/>
    <n v="561"/>
    <n v="561"/>
    <n v="684"/>
    <n v="123"/>
    <s v="Product 6"/>
    <x v="44"/>
    <s v="Fred Robertson"/>
    <x v="127"/>
    <n v="2"/>
    <x v="1"/>
    <x v="6"/>
    <x v="6"/>
    <x v="2"/>
    <x v="0"/>
  </r>
  <r>
    <s v="AX19055"/>
    <s v="ENX2048"/>
    <s v="A114"/>
    <s v="EMP1017"/>
    <s v="C1285"/>
    <x v="177"/>
    <n v="1"/>
    <n v="502"/>
    <n v="296"/>
    <n v="296"/>
    <n v="502"/>
    <n v="206"/>
    <s v="Product 49"/>
    <x v="28"/>
    <s v="Brian Hansen"/>
    <x v="440"/>
    <n v="2"/>
    <x v="1"/>
    <x v="6"/>
    <x v="6"/>
    <x v="2"/>
    <x v="0"/>
  </r>
  <r>
    <s v="AX19099"/>
    <s v="ENX2049"/>
    <s v="A112"/>
    <s v="EMP1042"/>
    <s v="C1481"/>
    <x v="177"/>
    <n v="1"/>
    <n v="826"/>
    <n v="562"/>
    <n v="562"/>
    <n v="826"/>
    <n v="264"/>
    <s v="Product 50"/>
    <x v="66"/>
    <s v="Scott Clark"/>
    <x v="764"/>
    <n v="2"/>
    <x v="1"/>
    <x v="6"/>
    <x v="6"/>
    <x v="2"/>
    <x v="0"/>
  </r>
  <r>
    <s v="AX19679"/>
    <s v="ENX2096"/>
    <s v="A157"/>
    <s v="EMP1006"/>
    <s v="C1486"/>
    <x v="178"/>
    <n v="1"/>
    <n v="1587"/>
    <n v="1301"/>
    <n v="1301"/>
    <n v="1587"/>
    <n v="286"/>
    <s v="Product 97"/>
    <x v="7"/>
    <s v="Sean Miller"/>
    <x v="357"/>
    <n v="2"/>
    <x v="1"/>
    <x v="6"/>
    <x v="6"/>
    <x v="2"/>
    <x v="0"/>
  </r>
  <r>
    <s v="AX19979"/>
    <s v="ENX2050"/>
    <s v="A103"/>
    <s v="EMP1033"/>
    <s v="C1227"/>
    <x v="177"/>
    <n v="1"/>
    <n v="2391"/>
    <n v="1291"/>
    <n v="1291"/>
    <n v="2391"/>
    <n v="1100"/>
    <s v="Product 51"/>
    <x v="61"/>
    <s v="Jerry Perry"/>
    <x v="765"/>
    <n v="2"/>
    <x v="1"/>
    <x v="6"/>
    <x v="6"/>
    <x v="2"/>
    <x v="0"/>
  </r>
  <r>
    <s v="AX20453"/>
    <s v="ENX2052"/>
    <s v="A125"/>
    <s v="EMP1026"/>
    <s v="C1404"/>
    <x v="177"/>
    <n v="1"/>
    <n v="1526"/>
    <n v="1251"/>
    <n v="1251"/>
    <n v="1526"/>
    <n v="275"/>
    <s v="Product 53"/>
    <x v="31"/>
    <s v="Martin Perry"/>
    <x v="75"/>
    <n v="2"/>
    <x v="1"/>
    <x v="6"/>
    <x v="6"/>
    <x v="2"/>
    <x v="0"/>
  </r>
  <r>
    <s v="AX20736"/>
    <s v="ENX2049"/>
    <s v="A129"/>
    <s v="EMP1001"/>
    <s v="C1703"/>
    <x v="177"/>
    <n v="2"/>
    <n v="826"/>
    <n v="562"/>
    <n v="1124"/>
    <n v="1652"/>
    <n v="528"/>
    <s v="Product 50"/>
    <x v="22"/>
    <s v="Kevin Butler"/>
    <x v="424"/>
    <n v="2"/>
    <x v="1"/>
    <x v="6"/>
    <x v="6"/>
    <x v="2"/>
    <x v="0"/>
  </r>
  <r>
    <s v="AX20786"/>
    <s v="ENX2065"/>
    <s v="A127"/>
    <s v="EMP1011"/>
    <s v="C1748"/>
    <x v="177"/>
    <n v="1"/>
    <n v="2396"/>
    <n v="1965"/>
    <n v="1965"/>
    <n v="2396"/>
    <n v="431"/>
    <s v="Product 66"/>
    <x v="69"/>
    <s v="Larry Marshall"/>
    <x v="162"/>
    <n v="2"/>
    <x v="1"/>
    <x v="6"/>
    <x v="6"/>
    <x v="2"/>
    <x v="0"/>
  </r>
  <r>
    <s v="AX21051"/>
    <s v="ENX2046"/>
    <s v="A139"/>
    <s v="EMP1026"/>
    <s v="C1356"/>
    <x v="180"/>
    <n v="3"/>
    <n v="2410"/>
    <n v="1518"/>
    <n v="4554"/>
    <n v="7230"/>
    <n v="2676"/>
    <s v="Product 47"/>
    <x v="38"/>
    <s v="Martin Perry"/>
    <x v="238"/>
    <n v="2"/>
    <x v="1"/>
    <x v="6"/>
    <x v="6"/>
    <x v="2"/>
    <x v="0"/>
  </r>
  <r>
    <s v="AX21795"/>
    <s v="ENX2014"/>
    <s v="A151"/>
    <s v="EMP1026"/>
    <s v="C1785"/>
    <x v="178"/>
    <n v="4"/>
    <n v="1809"/>
    <n v="1067"/>
    <n v="4268"/>
    <n v="7236"/>
    <n v="2968"/>
    <s v="Product 15"/>
    <x v="1"/>
    <s v="Martin Perry"/>
    <x v="107"/>
    <n v="2"/>
    <x v="1"/>
    <x v="6"/>
    <x v="6"/>
    <x v="2"/>
    <x v="0"/>
  </r>
  <r>
    <s v="AX22499"/>
    <s v="ENX2006"/>
    <s v="A117"/>
    <s v="EMP1032"/>
    <s v="C1366"/>
    <x v="179"/>
    <n v="4"/>
    <n v="1826"/>
    <n v="1443"/>
    <n v="5772"/>
    <n v="7304"/>
    <n v="1532"/>
    <s v="Product 7"/>
    <x v="29"/>
    <s v="Larry Castillo"/>
    <x v="205"/>
    <n v="2"/>
    <x v="1"/>
    <x v="6"/>
    <x v="6"/>
    <x v="2"/>
    <x v="0"/>
  </r>
  <r>
    <s v="AX23714"/>
    <s v="ENX2023"/>
    <s v="A139"/>
    <s v="EMP1013"/>
    <s v="C1437"/>
    <x v="177"/>
    <n v="3"/>
    <n v="818"/>
    <n v="450"/>
    <n v="1350"/>
    <n v="2454"/>
    <n v="1104"/>
    <s v="Product 24"/>
    <x v="38"/>
    <s v="Charles Harper"/>
    <x v="640"/>
    <n v="2"/>
    <x v="1"/>
    <x v="6"/>
    <x v="6"/>
    <x v="2"/>
    <x v="0"/>
  </r>
  <r>
    <s v="AX23812"/>
    <s v="ENX2092"/>
    <s v="A153"/>
    <s v="EMP1029"/>
    <s v="C1090"/>
    <x v="177"/>
    <n v="2"/>
    <n v="1639"/>
    <n v="1295"/>
    <n v="2590"/>
    <n v="3278"/>
    <n v="688"/>
    <s v="Product 93"/>
    <x v="8"/>
    <s v="Howard Gardner"/>
    <x v="0"/>
    <n v="2"/>
    <x v="1"/>
    <x v="6"/>
    <x v="6"/>
    <x v="2"/>
    <x v="0"/>
  </r>
  <r>
    <s v="AX23889"/>
    <s v="ENX2007"/>
    <s v="A157"/>
    <s v="EMP1015"/>
    <s v="C1118"/>
    <x v="177"/>
    <n v="3"/>
    <n v="1405"/>
    <n v="1054"/>
    <n v="3162"/>
    <n v="4215"/>
    <n v="1053"/>
    <s v="Product 8"/>
    <x v="7"/>
    <s v="Justin Lynch"/>
    <x v="633"/>
    <n v="2"/>
    <x v="1"/>
    <x v="6"/>
    <x v="6"/>
    <x v="2"/>
    <x v="0"/>
  </r>
  <r>
    <s v="AX23968"/>
    <s v="ENX2096"/>
    <s v="A154"/>
    <s v="EMP1031"/>
    <s v="C1689"/>
    <x v="178"/>
    <n v="1"/>
    <n v="1587"/>
    <n v="1301"/>
    <n v="1301"/>
    <n v="1587"/>
    <n v="286"/>
    <s v="Product 97"/>
    <x v="24"/>
    <s v="Brian Thomas"/>
    <x v="181"/>
    <n v="2"/>
    <x v="1"/>
    <x v="6"/>
    <x v="6"/>
    <x v="2"/>
    <x v="0"/>
  </r>
  <r>
    <s v="AX23972"/>
    <s v="ENX2029"/>
    <s v="A158"/>
    <s v="EMP1040"/>
    <s v="C1199"/>
    <x v="180"/>
    <n v="1"/>
    <n v="1848"/>
    <n v="1294"/>
    <n v="1294"/>
    <n v="1848"/>
    <n v="554"/>
    <s v="Product 30"/>
    <x v="58"/>
    <s v="Patrick Ruiz"/>
    <x v="245"/>
    <n v="2"/>
    <x v="1"/>
    <x v="6"/>
    <x v="6"/>
    <x v="2"/>
    <x v="0"/>
  </r>
  <r>
    <s v="AX24675"/>
    <s v="ENX2047"/>
    <s v="A103"/>
    <s v="EMP1026"/>
    <s v="C1463"/>
    <x v="179"/>
    <n v="1"/>
    <n v="290"/>
    <n v="200"/>
    <n v="200"/>
    <n v="290"/>
    <n v="90"/>
    <s v="Product 48"/>
    <x v="61"/>
    <s v="Martin Perry"/>
    <x v="535"/>
    <n v="2"/>
    <x v="1"/>
    <x v="6"/>
    <x v="6"/>
    <x v="2"/>
    <x v="0"/>
  </r>
  <r>
    <s v="AX24741"/>
    <s v="ENX2032"/>
    <s v="A115"/>
    <s v="EMP1002"/>
    <s v="C1118"/>
    <x v="179"/>
    <n v="1"/>
    <n v="1967"/>
    <n v="1397"/>
    <n v="1397"/>
    <n v="1967"/>
    <n v="570"/>
    <s v="Product 33"/>
    <x v="33"/>
    <s v="Andrew Bowman"/>
    <x v="633"/>
    <n v="2"/>
    <x v="1"/>
    <x v="6"/>
    <x v="6"/>
    <x v="2"/>
    <x v="0"/>
  </r>
  <r>
    <s v="AX24934"/>
    <s v="ENX2007"/>
    <s v="A136"/>
    <s v="EMP1009"/>
    <s v="C1414"/>
    <x v="178"/>
    <n v="1"/>
    <n v="1405"/>
    <n v="1054"/>
    <n v="1054"/>
    <n v="1405"/>
    <n v="351"/>
    <s v="Product 8"/>
    <x v="43"/>
    <s v="Kenneth Fields"/>
    <x v="140"/>
    <n v="2"/>
    <x v="1"/>
    <x v="6"/>
    <x v="6"/>
    <x v="2"/>
    <x v="0"/>
  </r>
  <r>
    <s v="AX10328"/>
    <s v="ENX2018"/>
    <s v="A103"/>
    <s v="EMP1027"/>
    <s v="C1110"/>
    <x v="181"/>
    <n v="3"/>
    <n v="1972"/>
    <n v="1321"/>
    <n v="3963"/>
    <n v="5916"/>
    <n v="1953"/>
    <s v="Product 19"/>
    <x v="61"/>
    <s v="Gary Rodriguez"/>
    <x v="620"/>
    <n v="2"/>
    <x v="1"/>
    <x v="6"/>
    <x v="6"/>
    <x v="2"/>
    <x v="2"/>
  </r>
  <r>
    <s v="AX10370"/>
    <s v="ENX2011"/>
    <s v="A132"/>
    <s v="EMP1017"/>
    <s v="C1419"/>
    <x v="182"/>
    <n v="1"/>
    <n v="530"/>
    <n v="435"/>
    <n v="435"/>
    <n v="530"/>
    <n v="95"/>
    <s v="Product 12"/>
    <x v="48"/>
    <s v="Brian Hansen"/>
    <x v="163"/>
    <n v="2"/>
    <x v="1"/>
    <x v="6"/>
    <x v="6"/>
    <x v="2"/>
    <x v="2"/>
  </r>
  <r>
    <s v="AX10602"/>
    <s v="ENX2072"/>
    <s v="A173"/>
    <s v="EMP1005"/>
    <s v="C1102"/>
    <x v="181"/>
    <n v="2"/>
    <n v="1887"/>
    <n v="1378"/>
    <n v="2756"/>
    <n v="3774"/>
    <n v="1018"/>
    <s v="Product 73"/>
    <x v="25"/>
    <s v="Ryan Welch"/>
    <x v="766"/>
    <n v="2"/>
    <x v="1"/>
    <x v="6"/>
    <x v="6"/>
    <x v="2"/>
    <x v="2"/>
  </r>
  <r>
    <s v="AX10687"/>
    <s v="ENX2066"/>
    <s v="A113"/>
    <s v="EMP1035"/>
    <s v="C1617"/>
    <x v="181"/>
    <n v="2"/>
    <n v="2091"/>
    <n v="1485"/>
    <n v="2970"/>
    <n v="4182"/>
    <n v="1212"/>
    <s v="Product 67"/>
    <x v="73"/>
    <s v="Roger Ramos"/>
    <x v="195"/>
    <n v="2"/>
    <x v="1"/>
    <x v="6"/>
    <x v="6"/>
    <x v="2"/>
    <x v="2"/>
  </r>
  <r>
    <s v="AX10876"/>
    <s v="ENX2006"/>
    <s v="A114"/>
    <s v="EMP1009"/>
    <s v="C1661"/>
    <x v="183"/>
    <n v="1"/>
    <n v="1826"/>
    <n v="1443"/>
    <n v="1443"/>
    <n v="1826"/>
    <n v="383"/>
    <s v="Product 7"/>
    <x v="28"/>
    <s v="Kenneth Fields"/>
    <x v="767"/>
    <n v="2"/>
    <x v="1"/>
    <x v="6"/>
    <x v="6"/>
    <x v="2"/>
    <x v="2"/>
  </r>
  <r>
    <s v="AX11015"/>
    <s v="ENX2077"/>
    <s v="A119"/>
    <s v="EMP1006"/>
    <s v="C1305"/>
    <x v="184"/>
    <n v="2"/>
    <n v="530"/>
    <n v="424"/>
    <n v="848"/>
    <n v="1060"/>
    <n v="212"/>
    <s v="Product 78"/>
    <x v="16"/>
    <s v="Sean Miller"/>
    <x v="344"/>
    <n v="2"/>
    <x v="1"/>
    <x v="6"/>
    <x v="6"/>
    <x v="2"/>
    <x v="2"/>
  </r>
  <r>
    <s v="AX11166"/>
    <s v="ENX2041"/>
    <s v="A138"/>
    <s v="EMP1032"/>
    <s v="C1210"/>
    <x v="183"/>
    <n v="2"/>
    <n v="1380"/>
    <n v="1090"/>
    <n v="2180"/>
    <n v="2760"/>
    <n v="580"/>
    <s v="Product 42"/>
    <x v="37"/>
    <s v="Larry Castillo"/>
    <x v="629"/>
    <n v="2"/>
    <x v="1"/>
    <x v="6"/>
    <x v="6"/>
    <x v="2"/>
    <x v="2"/>
  </r>
  <r>
    <s v="AX11171"/>
    <s v="ENX2022"/>
    <s v="A146"/>
    <s v="EMP1033"/>
    <s v="C1582"/>
    <x v="181"/>
    <n v="1"/>
    <n v="561"/>
    <n v="421"/>
    <n v="421"/>
    <n v="561"/>
    <n v="140"/>
    <s v="Product 23"/>
    <x v="27"/>
    <s v="Jerry Perry"/>
    <x v="259"/>
    <n v="2"/>
    <x v="1"/>
    <x v="6"/>
    <x v="6"/>
    <x v="2"/>
    <x v="2"/>
  </r>
  <r>
    <s v="AX11262"/>
    <s v="ENX2076"/>
    <s v="A104"/>
    <s v="EMP1006"/>
    <s v="C1340"/>
    <x v="183"/>
    <n v="1"/>
    <n v="1522"/>
    <n v="791"/>
    <n v="791"/>
    <n v="1522"/>
    <n v="731"/>
    <s v="Product 77"/>
    <x v="50"/>
    <s v="Sean Miller"/>
    <x v="433"/>
    <n v="2"/>
    <x v="1"/>
    <x v="6"/>
    <x v="6"/>
    <x v="2"/>
    <x v="2"/>
  </r>
  <r>
    <s v="AX11397"/>
    <s v="ENX2077"/>
    <s v="A159"/>
    <s v="EMP1012"/>
    <s v="C1327"/>
    <x v="183"/>
    <n v="3"/>
    <n v="530"/>
    <n v="424"/>
    <n v="1272"/>
    <n v="1590"/>
    <n v="318"/>
    <s v="Product 78"/>
    <x v="13"/>
    <s v="John Reyes"/>
    <x v="321"/>
    <n v="2"/>
    <x v="1"/>
    <x v="6"/>
    <x v="6"/>
    <x v="2"/>
    <x v="2"/>
  </r>
  <r>
    <s v="AX11869"/>
    <s v="ENX2006"/>
    <s v="A129"/>
    <s v="EMP1026"/>
    <s v="C1579"/>
    <x v="184"/>
    <n v="4"/>
    <n v="1826"/>
    <n v="1443"/>
    <n v="5772"/>
    <n v="7304"/>
    <n v="1532"/>
    <s v="Product 7"/>
    <x v="22"/>
    <s v="Martin Perry"/>
    <x v="422"/>
    <n v="2"/>
    <x v="1"/>
    <x v="6"/>
    <x v="6"/>
    <x v="2"/>
    <x v="2"/>
  </r>
  <r>
    <s v="AX11990"/>
    <s v="ENX2006"/>
    <s v="A157"/>
    <s v="EMP1038"/>
    <s v="C1119"/>
    <x v="184"/>
    <n v="1"/>
    <n v="1826"/>
    <n v="1443"/>
    <n v="1443"/>
    <n v="1826"/>
    <n v="383"/>
    <s v="Product 7"/>
    <x v="7"/>
    <s v="Scott Mason"/>
    <x v="614"/>
    <n v="2"/>
    <x v="1"/>
    <x v="6"/>
    <x v="6"/>
    <x v="2"/>
    <x v="2"/>
  </r>
  <r>
    <s v="AX12021"/>
    <s v="ENX2038"/>
    <s v="A103"/>
    <s v="EMP1041"/>
    <s v="C1691"/>
    <x v="185"/>
    <n v="1"/>
    <n v="392"/>
    <n v="255"/>
    <n v="255"/>
    <n v="392"/>
    <n v="137"/>
    <s v="Product 39"/>
    <x v="61"/>
    <s v="Joe Sims"/>
    <x v="157"/>
    <n v="2"/>
    <x v="1"/>
    <x v="6"/>
    <x v="6"/>
    <x v="2"/>
    <x v="2"/>
  </r>
  <r>
    <s v="AX12068"/>
    <s v="ENX2010"/>
    <s v="A142"/>
    <s v="EMP1006"/>
    <s v="C1636"/>
    <x v="181"/>
    <n v="1"/>
    <n v="1812"/>
    <n v="1305"/>
    <n v="1305"/>
    <n v="1812"/>
    <n v="507"/>
    <s v="Product 11"/>
    <x v="56"/>
    <s v="Sean Miller"/>
    <x v="668"/>
    <n v="2"/>
    <x v="1"/>
    <x v="6"/>
    <x v="6"/>
    <x v="2"/>
    <x v="2"/>
  </r>
  <r>
    <s v="AX12251"/>
    <s v="ENX2047"/>
    <s v="A152"/>
    <s v="EMP1013"/>
    <s v="C1532"/>
    <x v="183"/>
    <n v="1"/>
    <n v="290"/>
    <n v="200"/>
    <n v="200"/>
    <n v="290"/>
    <n v="90"/>
    <s v="Product 48"/>
    <x v="26"/>
    <s v="Charles Harper"/>
    <x v="103"/>
    <n v="2"/>
    <x v="1"/>
    <x v="6"/>
    <x v="6"/>
    <x v="2"/>
    <x v="2"/>
  </r>
  <r>
    <s v="AX12826"/>
    <s v="ENX2063"/>
    <s v="A126"/>
    <s v="EMP1034"/>
    <s v="C1508"/>
    <x v="185"/>
    <n v="1"/>
    <n v="1708"/>
    <n v="871"/>
    <n v="871"/>
    <n v="1708"/>
    <n v="837"/>
    <s v="Product 64"/>
    <x v="5"/>
    <s v="Arthur Mccoy"/>
    <x v="37"/>
    <n v="2"/>
    <x v="1"/>
    <x v="6"/>
    <x v="6"/>
    <x v="2"/>
    <x v="2"/>
  </r>
  <r>
    <s v="AX12832"/>
    <s v="ENX2000"/>
    <s v="A171"/>
    <s v="EMP1026"/>
    <s v="C1147"/>
    <x v="181"/>
    <n v="3"/>
    <n v="2241"/>
    <n v="1367"/>
    <n v="4101"/>
    <n v="6723"/>
    <n v="2622"/>
    <s v="Product 1"/>
    <x v="0"/>
    <s v="Martin Perry"/>
    <x v="427"/>
    <n v="2"/>
    <x v="1"/>
    <x v="6"/>
    <x v="6"/>
    <x v="2"/>
    <x v="2"/>
  </r>
  <r>
    <s v="AX13115"/>
    <s v="ENX2002"/>
    <s v="A104"/>
    <s v="EMP1032"/>
    <s v="C1427"/>
    <x v="183"/>
    <n v="1"/>
    <n v="847"/>
    <n v="534"/>
    <n v="534"/>
    <n v="847"/>
    <n v="313"/>
    <s v="Product 3"/>
    <x v="50"/>
    <s v="Larry Castillo"/>
    <x v="768"/>
    <n v="2"/>
    <x v="1"/>
    <x v="6"/>
    <x v="6"/>
    <x v="2"/>
    <x v="2"/>
  </r>
  <r>
    <s v="AX13661"/>
    <s v="ENX2026"/>
    <s v="A130"/>
    <s v="EMP1008"/>
    <s v="C1086"/>
    <x v="185"/>
    <n v="4"/>
    <n v="947"/>
    <n v="786"/>
    <n v="3144"/>
    <n v="3788"/>
    <n v="644"/>
    <s v="Product 27"/>
    <x v="4"/>
    <s v="Carl Elliott"/>
    <x v="769"/>
    <n v="2"/>
    <x v="1"/>
    <x v="6"/>
    <x v="6"/>
    <x v="2"/>
    <x v="2"/>
  </r>
  <r>
    <s v="AX13953"/>
    <s v="ENX2049"/>
    <s v="A114"/>
    <s v="EMP1033"/>
    <s v="C1721"/>
    <x v="185"/>
    <n v="1"/>
    <n v="826"/>
    <n v="562"/>
    <n v="562"/>
    <n v="826"/>
    <n v="264"/>
    <s v="Product 50"/>
    <x v="28"/>
    <s v="Jerry Perry"/>
    <x v="678"/>
    <n v="2"/>
    <x v="1"/>
    <x v="6"/>
    <x v="6"/>
    <x v="2"/>
    <x v="2"/>
  </r>
  <r>
    <s v="AX14094"/>
    <s v="ENX2095"/>
    <s v="A143"/>
    <s v="EMP1000"/>
    <s v="C1123"/>
    <x v="183"/>
    <n v="1"/>
    <n v="1743"/>
    <n v="872"/>
    <n v="872"/>
    <n v="1743"/>
    <n v="871"/>
    <s v="Product 96"/>
    <x v="39"/>
    <s v="Fred Robertson"/>
    <x v="222"/>
    <n v="2"/>
    <x v="1"/>
    <x v="6"/>
    <x v="6"/>
    <x v="2"/>
    <x v="2"/>
  </r>
  <r>
    <s v="AX14127"/>
    <s v="ENX2071"/>
    <s v="A166"/>
    <s v="EMP1010"/>
    <s v="C1115"/>
    <x v="185"/>
    <n v="3"/>
    <n v="136"/>
    <n v="72"/>
    <n v="216"/>
    <n v="408"/>
    <n v="192"/>
    <s v="Product 72"/>
    <x v="70"/>
    <s v="Joshua Cook"/>
    <x v="338"/>
    <n v="2"/>
    <x v="1"/>
    <x v="6"/>
    <x v="6"/>
    <x v="2"/>
    <x v="2"/>
  </r>
  <r>
    <s v="AX14184"/>
    <s v="ENX2020"/>
    <s v="A171"/>
    <s v="EMP1024"/>
    <s v="C1281"/>
    <x v="184"/>
    <n v="4"/>
    <n v="2005"/>
    <n v="1223"/>
    <n v="4892"/>
    <n v="8020"/>
    <n v="3128"/>
    <s v="Product 21"/>
    <x v="0"/>
    <s v="Ernest Wheeler"/>
    <x v="216"/>
    <n v="2"/>
    <x v="1"/>
    <x v="6"/>
    <x v="6"/>
    <x v="2"/>
    <x v="2"/>
  </r>
  <r>
    <s v="AX14413"/>
    <s v="ENX2039"/>
    <s v="A154"/>
    <s v="EMP1033"/>
    <s v="C1563"/>
    <x v="185"/>
    <n v="3"/>
    <n v="817"/>
    <n v="409"/>
    <n v="1227"/>
    <n v="2451"/>
    <n v="1224"/>
    <s v="Product 40"/>
    <x v="24"/>
    <s v="Jerry Perry"/>
    <x v="130"/>
    <n v="2"/>
    <x v="1"/>
    <x v="6"/>
    <x v="6"/>
    <x v="2"/>
    <x v="2"/>
  </r>
  <r>
    <s v="AX14769"/>
    <s v="ENX2025"/>
    <s v="A126"/>
    <s v="EMP1004"/>
    <s v="C1361"/>
    <x v="185"/>
    <n v="1"/>
    <n v="667"/>
    <n v="387"/>
    <n v="387"/>
    <n v="667"/>
    <n v="280"/>
    <s v="Product 26"/>
    <x v="5"/>
    <s v="Kenneth Bradley"/>
    <x v="706"/>
    <n v="2"/>
    <x v="1"/>
    <x v="6"/>
    <x v="6"/>
    <x v="2"/>
    <x v="2"/>
  </r>
  <r>
    <s v="AX15089"/>
    <s v="ENX2008"/>
    <s v="A102"/>
    <s v="EMP1015"/>
    <s v="C1671"/>
    <x v="184"/>
    <n v="3"/>
    <n v="315"/>
    <n v="208"/>
    <n v="624"/>
    <n v="945"/>
    <n v="321"/>
    <s v="Product 9"/>
    <x v="44"/>
    <s v="Justin Lynch"/>
    <x v="248"/>
    <n v="2"/>
    <x v="1"/>
    <x v="6"/>
    <x v="6"/>
    <x v="2"/>
    <x v="2"/>
  </r>
  <r>
    <s v="AX15116"/>
    <s v="ENX2013"/>
    <s v="A106"/>
    <s v="EMP1016"/>
    <s v="C1514"/>
    <x v="183"/>
    <n v="1"/>
    <n v="368"/>
    <n v="269"/>
    <n v="269"/>
    <n v="368"/>
    <n v="99"/>
    <s v="Product 14"/>
    <x v="11"/>
    <s v="Henry Nelson"/>
    <x v="307"/>
    <n v="2"/>
    <x v="1"/>
    <x v="6"/>
    <x v="6"/>
    <x v="2"/>
    <x v="2"/>
  </r>
  <r>
    <s v="AX15273"/>
    <s v="ENX2098"/>
    <s v="A161"/>
    <s v="EMP1034"/>
    <s v="C1118"/>
    <x v="185"/>
    <n v="1"/>
    <n v="1178"/>
    <n v="683"/>
    <n v="683"/>
    <n v="1178"/>
    <n v="495"/>
    <s v="Product 99"/>
    <x v="6"/>
    <s v="Arthur Mccoy"/>
    <x v="633"/>
    <n v="2"/>
    <x v="1"/>
    <x v="6"/>
    <x v="6"/>
    <x v="2"/>
    <x v="2"/>
  </r>
  <r>
    <s v="AX15445"/>
    <s v="ENX2017"/>
    <s v="A133"/>
    <s v="EMP1008"/>
    <s v="C1594"/>
    <x v="185"/>
    <n v="3"/>
    <n v="35"/>
    <n v="22"/>
    <n v="66"/>
    <n v="105"/>
    <n v="39"/>
    <s v="Product 18"/>
    <x v="46"/>
    <s v="Carl Elliott"/>
    <x v="770"/>
    <n v="2"/>
    <x v="1"/>
    <x v="6"/>
    <x v="6"/>
    <x v="2"/>
    <x v="2"/>
  </r>
  <r>
    <s v="AX15555"/>
    <s v="ENX2081"/>
    <s v="A147"/>
    <s v="EMP1030"/>
    <s v="C1675"/>
    <x v="184"/>
    <n v="3"/>
    <n v="1566"/>
    <n v="1190"/>
    <n v="3570"/>
    <n v="4698"/>
    <n v="1128"/>
    <s v="Product 82"/>
    <x v="42"/>
    <s v="Bobby Russell"/>
    <x v="453"/>
    <n v="2"/>
    <x v="1"/>
    <x v="6"/>
    <x v="6"/>
    <x v="2"/>
    <x v="2"/>
  </r>
  <r>
    <s v="AX16372"/>
    <s v="ENX2036"/>
    <s v="A103"/>
    <s v="EMP1021"/>
    <s v="C1274"/>
    <x v="182"/>
    <n v="1"/>
    <n v="1582"/>
    <n v="1234"/>
    <n v="1234"/>
    <n v="1582"/>
    <n v="348"/>
    <s v="Product 37"/>
    <x v="61"/>
    <s v="Clarence Fox"/>
    <x v="173"/>
    <n v="2"/>
    <x v="1"/>
    <x v="6"/>
    <x v="6"/>
    <x v="2"/>
    <x v="2"/>
  </r>
  <r>
    <s v="AX16531"/>
    <s v="ENX2083"/>
    <s v="A139"/>
    <s v="EMP1016"/>
    <s v="C1531"/>
    <x v="183"/>
    <n v="1"/>
    <n v="2141"/>
    <n v="1777"/>
    <n v="1777"/>
    <n v="2141"/>
    <n v="364"/>
    <s v="Product 84"/>
    <x v="38"/>
    <s v="Henry Nelson"/>
    <x v="743"/>
    <n v="2"/>
    <x v="1"/>
    <x v="6"/>
    <x v="6"/>
    <x v="2"/>
    <x v="2"/>
  </r>
  <r>
    <s v="AX17130"/>
    <s v="ENX2001"/>
    <s v="A133"/>
    <s v="EMP1032"/>
    <s v="C1382"/>
    <x v="182"/>
    <n v="1"/>
    <n v="951"/>
    <n v="504"/>
    <n v="504"/>
    <n v="951"/>
    <n v="447"/>
    <s v="Product 2"/>
    <x v="46"/>
    <s v="Larry Castillo"/>
    <x v="334"/>
    <n v="2"/>
    <x v="1"/>
    <x v="6"/>
    <x v="6"/>
    <x v="2"/>
    <x v="2"/>
  </r>
  <r>
    <s v="AX17161"/>
    <s v="ENX2054"/>
    <s v="A128"/>
    <s v="EMP1039"/>
    <s v="C1437"/>
    <x v="182"/>
    <n v="3"/>
    <n v="127"/>
    <n v="79"/>
    <n v="237"/>
    <n v="381"/>
    <n v="144"/>
    <s v="Product 55"/>
    <x v="12"/>
    <s v="Eugene Holmes"/>
    <x v="640"/>
    <n v="2"/>
    <x v="1"/>
    <x v="6"/>
    <x v="6"/>
    <x v="2"/>
    <x v="2"/>
  </r>
  <r>
    <s v="AX17512"/>
    <s v="ENX2025"/>
    <s v="A121"/>
    <s v="EMP1011"/>
    <s v="C1219"/>
    <x v="182"/>
    <n v="1"/>
    <n v="667"/>
    <n v="387"/>
    <n v="387"/>
    <n v="667"/>
    <n v="280"/>
    <s v="Product 26"/>
    <x v="72"/>
    <s v="Larry Marshall"/>
    <x v="301"/>
    <n v="2"/>
    <x v="1"/>
    <x v="6"/>
    <x v="6"/>
    <x v="2"/>
    <x v="2"/>
  </r>
  <r>
    <s v="AX17622"/>
    <s v="ENX2010"/>
    <s v="A107"/>
    <s v="EMP1007"/>
    <s v="C1296"/>
    <x v="185"/>
    <n v="1"/>
    <n v="1812"/>
    <n v="1305"/>
    <n v="1305"/>
    <n v="1812"/>
    <n v="507"/>
    <s v="Product 11"/>
    <x v="21"/>
    <s v="Jeremy Mendoza"/>
    <x v="105"/>
    <n v="2"/>
    <x v="1"/>
    <x v="6"/>
    <x v="6"/>
    <x v="2"/>
    <x v="2"/>
  </r>
  <r>
    <s v="AX17631"/>
    <s v="ENX2037"/>
    <s v="A155"/>
    <s v="EMP1021"/>
    <s v="C1765"/>
    <x v="182"/>
    <n v="1"/>
    <n v="880"/>
    <n v="634"/>
    <n v="634"/>
    <n v="880"/>
    <n v="246"/>
    <s v="Product 38"/>
    <x v="53"/>
    <s v="Clarence Fox"/>
    <x v="470"/>
    <n v="2"/>
    <x v="1"/>
    <x v="6"/>
    <x v="6"/>
    <x v="2"/>
    <x v="2"/>
  </r>
  <r>
    <s v="AX18255"/>
    <s v="ENX2002"/>
    <s v="A158"/>
    <s v="EMP1004"/>
    <s v="C1210"/>
    <x v="181"/>
    <n v="3"/>
    <n v="847"/>
    <n v="534"/>
    <n v="1602"/>
    <n v="2541"/>
    <n v="939"/>
    <s v="Product 3"/>
    <x v="58"/>
    <s v="Kenneth Bradley"/>
    <x v="629"/>
    <n v="2"/>
    <x v="1"/>
    <x v="6"/>
    <x v="6"/>
    <x v="2"/>
    <x v="2"/>
  </r>
  <r>
    <s v="AX18530"/>
    <s v="ENX2038"/>
    <s v="A104"/>
    <s v="EMP1040"/>
    <s v="C1252"/>
    <x v="185"/>
    <n v="2"/>
    <n v="392"/>
    <n v="255"/>
    <n v="510"/>
    <n v="784"/>
    <n v="274"/>
    <s v="Product 39"/>
    <x v="50"/>
    <s v="Patrick Ruiz"/>
    <x v="358"/>
    <n v="2"/>
    <x v="1"/>
    <x v="6"/>
    <x v="6"/>
    <x v="2"/>
    <x v="2"/>
  </r>
  <r>
    <s v="AX18728"/>
    <s v="ENX2036"/>
    <s v="A134"/>
    <s v="EMP1041"/>
    <s v="C1433"/>
    <x v="182"/>
    <n v="3"/>
    <n v="1582"/>
    <n v="1234"/>
    <n v="3702"/>
    <n v="4746"/>
    <n v="1044"/>
    <s v="Product 37"/>
    <x v="41"/>
    <s v="Joe Sims"/>
    <x v="525"/>
    <n v="2"/>
    <x v="1"/>
    <x v="6"/>
    <x v="6"/>
    <x v="2"/>
    <x v="2"/>
  </r>
  <r>
    <s v="AX19217"/>
    <s v="ENX2021"/>
    <s v="A104"/>
    <s v="EMP1042"/>
    <s v="C1157"/>
    <x v="183"/>
    <n v="1"/>
    <n v="217"/>
    <n v="171"/>
    <n v="171"/>
    <n v="217"/>
    <n v="46"/>
    <s v="Product 22"/>
    <x v="50"/>
    <s v="Scott Clark"/>
    <x v="415"/>
    <n v="2"/>
    <x v="1"/>
    <x v="6"/>
    <x v="6"/>
    <x v="2"/>
    <x v="2"/>
  </r>
  <r>
    <s v="AX19432"/>
    <s v="ENX2040"/>
    <s v="A146"/>
    <s v="EMP1013"/>
    <s v="C1632"/>
    <x v="182"/>
    <n v="1"/>
    <n v="1889"/>
    <n v="945"/>
    <n v="945"/>
    <n v="1889"/>
    <n v="944"/>
    <s v="Product 41"/>
    <x v="27"/>
    <s v="Charles Harper"/>
    <x v="311"/>
    <n v="2"/>
    <x v="1"/>
    <x v="6"/>
    <x v="6"/>
    <x v="2"/>
    <x v="2"/>
  </r>
  <r>
    <s v="AX19541"/>
    <s v="ENX2029"/>
    <s v="A155"/>
    <s v="EMP1026"/>
    <s v="C1148"/>
    <x v="182"/>
    <n v="3"/>
    <n v="1848"/>
    <n v="1294"/>
    <n v="3882"/>
    <n v="5544"/>
    <n v="1662"/>
    <s v="Product 30"/>
    <x v="53"/>
    <s v="Martin Perry"/>
    <x v="55"/>
    <n v="2"/>
    <x v="1"/>
    <x v="6"/>
    <x v="6"/>
    <x v="2"/>
    <x v="2"/>
  </r>
  <r>
    <s v="AX19769"/>
    <s v="ENX2018"/>
    <s v="A128"/>
    <s v="EMP1042"/>
    <s v="C1423"/>
    <x v="182"/>
    <n v="1"/>
    <n v="1972"/>
    <n v="1321"/>
    <n v="1321"/>
    <n v="1972"/>
    <n v="651"/>
    <s v="Product 19"/>
    <x v="12"/>
    <s v="Scott Clark"/>
    <x v="182"/>
    <n v="2"/>
    <x v="1"/>
    <x v="6"/>
    <x v="6"/>
    <x v="2"/>
    <x v="2"/>
  </r>
  <r>
    <s v="AX20102"/>
    <s v="ENX2032"/>
    <s v="A141"/>
    <s v="EMP1006"/>
    <s v="C1650"/>
    <x v="182"/>
    <n v="1"/>
    <n v="1967"/>
    <n v="1397"/>
    <n v="1397"/>
    <n v="1967"/>
    <n v="570"/>
    <s v="Product 33"/>
    <x v="23"/>
    <s v="Sean Miller"/>
    <x v="645"/>
    <n v="2"/>
    <x v="1"/>
    <x v="6"/>
    <x v="6"/>
    <x v="2"/>
    <x v="2"/>
  </r>
  <r>
    <s v="AX20291"/>
    <s v="ENX2006"/>
    <s v="A122"/>
    <s v="EMP1029"/>
    <s v="C1402"/>
    <x v="181"/>
    <n v="2"/>
    <n v="1826"/>
    <n v="1443"/>
    <n v="2886"/>
    <n v="3652"/>
    <n v="766"/>
    <s v="Product 7"/>
    <x v="71"/>
    <s v="Howard Gardner"/>
    <x v="79"/>
    <n v="2"/>
    <x v="1"/>
    <x v="6"/>
    <x v="6"/>
    <x v="2"/>
    <x v="2"/>
  </r>
  <r>
    <s v="AX20384"/>
    <s v="ENX2014"/>
    <s v="A156"/>
    <s v="EMP1026"/>
    <s v="C1721"/>
    <x v="183"/>
    <n v="1"/>
    <n v="1809"/>
    <n v="1067"/>
    <n v="1067"/>
    <n v="1809"/>
    <n v="742"/>
    <s v="Product 15"/>
    <x v="14"/>
    <s v="Martin Perry"/>
    <x v="678"/>
    <n v="2"/>
    <x v="1"/>
    <x v="6"/>
    <x v="6"/>
    <x v="2"/>
    <x v="2"/>
  </r>
  <r>
    <s v="AX21015"/>
    <s v="ENX2083"/>
    <s v="A111"/>
    <s v="EMP1003"/>
    <s v="C1317"/>
    <x v="182"/>
    <n v="1"/>
    <n v="2141"/>
    <n v="1777"/>
    <n v="1777"/>
    <n v="2141"/>
    <n v="364"/>
    <s v="Product 84"/>
    <x v="54"/>
    <s v="Christopher Tucker"/>
    <x v="504"/>
    <n v="2"/>
    <x v="1"/>
    <x v="6"/>
    <x v="6"/>
    <x v="2"/>
    <x v="2"/>
  </r>
  <r>
    <s v="AX21183"/>
    <s v="ENX2039"/>
    <s v="A115"/>
    <s v="EMP1044"/>
    <s v="C1132"/>
    <x v="181"/>
    <n v="1"/>
    <n v="817"/>
    <n v="409"/>
    <n v="409"/>
    <n v="817"/>
    <n v="408"/>
    <s v="Product 40"/>
    <x v="33"/>
    <s v="Martin Carr"/>
    <x v="751"/>
    <n v="2"/>
    <x v="1"/>
    <x v="6"/>
    <x v="6"/>
    <x v="2"/>
    <x v="2"/>
  </r>
  <r>
    <s v="AX21235"/>
    <s v="ENX2061"/>
    <s v="A165"/>
    <s v="EMP1037"/>
    <s v="C1110"/>
    <x v="185"/>
    <n v="1"/>
    <n v="913"/>
    <n v="584"/>
    <n v="584"/>
    <n v="913"/>
    <n v="329"/>
    <s v="Product 62"/>
    <x v="55"/>
    <s v="Carl Hall"/>
    <x v="620"/>
    <n v="2"/>
    <x v="1"/>
    <x v="6"/>
    <x v="6"/>
    <x v="2"/>
    <x v="2"/>
  </r>
  <r>
    <s v="AX21355"/>
    <s v="ENX2086"/>
    <s v="A122"/>
    <s v="EMP1006"/>
    <s v="C1201"/>
    <x v="181"/>
    <n v="2"/>
    <n v="123"/>
    <n v="84"/>
    <n v="168"/>
    <n v="246"/>
    <n v="78"/>
    <s v="Product 87"/>
    <x v="71"/>
    <s v="Sean Miller"/>
    <x v="760"/>
    <n v="2"/>
    <x v="1"/>
    <x v="6"/>
    <x v="6"/>
    <x v="2"/>
    <x v="2"/>
  </r>
  <r>
    <s v="AX21518"/>
    <s v="ENX2076"/>
    <s v="A104"/>
    <s v="EMP1033"/>
    <s v="C1316"/>
    <x v="183"/>
    <n v="1"/>
    <n v="1522"/>
    <n v="791"/>
    <n v="791"/>
    <n v="1522"/>
    <n v="731"/>
    <s v="Product 77"/>
    <x v="50"/>
    <s v="Jerry Perry"/>
    <x v="771"/>
    <n v="2"/>
    <x v="1"/>
    <x v="6"/>
    <x v="6"/>
    <x v="2"/>
    <x v="2"/>
  </r>
  <r>
    <s v="AX21650"/>
    <s v="ENX2064"/>
    <s v="A120"/>
    <s v="EMP1004"/>
    <s v="C1001"/>
    <x v="182"/>
    <n v="2"/>
    <n v="1414"/>
    <n v="962"/>
    <n v="1924"/>
    <n v="2828"/>
    <n v="904"/>
    <s v="Product 65"/>
    <x v="20"/>
    <s v="Kenneth Bradley"/>
    <x v="725"/>
    <n v="2"/>
    <x v="1"/>
    <x v="6"/>
    <x v="6"/>
    <x v="2"/>
    <x v="2"/>
  </r>
  <r>
    <s v="AX21807"/>
    <s v="ENX2100"/>
    <s v="A141"/>
    <s v="EMP1033"/>
    <s v="C1702"/>
    <x v="182"/>
    <n v="1"/>
    <n v="799"/>
    <n v="455"/>
    <n v="455"/>
    <n v="799"/>
    <n v="344"/>
    <s v="Product 101"/>
    <x v="23"/>
    <s v="Jerry Perry"/>
    <x v="70"/>
    <n v="2"/>
    <x v="1"/>
    <x v="6"/>
    <x v="6"/>
    <x v="2"/>
    <x v="2"/>
  </r>
  <r>
    <s v="AX21983"/>
    <s v="ENX2075"/>
    <s v="A168"/>
    <s v="EMP1041"/>
    <s v="C1479"/>
    <x v="185"/>
    <n v="1"/>
    <n v="400"/>
    <n v="208"/>
    <n v="208"/>
    <n v="400"/>
    <n v="192"/>
    <s v="Product 76"/>
    <x v="40"/>
    <s v="Joe Sims"/>
    <x v="385"/>
    <n v="2"/>
    <x v="1"/>
    <x v="6"/>
    <x v="6"/>
    <x v="2"/>
    <x v="2"/>
  </r>
  <r>
    <s v="AX22008"/>
    <s v="ENX2053"/>
    <s v="A120"/>
    <s v="EMP1009"/>
    <s v="C1757"/>
    <x v="184"/>
    <n v="2"/>
    <n v="596"/>
    <n v="358"/>
    <n v="716"/>
    <n v="1192"/>
    <n v="476"/>
    <s v="Product 54"/>
    <x v="20"/>
    <s v="Kenneth Fields"/>
    <x v="376"/>
    <n v="2"/>
    <x v="1"/>
    <x v="6"/>
    <x v="6"/>
    <x v="2"/>
    <x v="2"/>
  </r>
  <r>
    <s v="AX22224"/>
    <s v="ENX2085"/>
    <s v="A125"/>
    <s v="EMP1026"/>
    <s v="C1181"/>
    <x v="181"/>
    <n v="1"/>
    <n v="1862"/>
    <n v="1173"/>
    <n v="1173"/>
    <n v="1862"/>
    <n v="689"/>
    <s v="Product 86"/>
    <x v="31"/>
    <s v="Martin Perry"/>
    <x v="449"/>
    <n v="2"/>
    <x v="1"/>
    <x v="6"/>
    <x v="6"/>
    <x v="2"/>
    <x v="2"/>
  </r>
  <r>
    <s v="AX22254"/>
    <s v="ENX2040"/>
    <s v="A147"/>
    <s v="EMP1008"/>
    <s v="C1326"/>
    <x v="183"/>
    <n v="1"/>
    <n v="1889"/>
    <n v="945"/>
    <n v="945"/>
    <n v="1889"/>
    <n v="944"/>
    <s v="Product 41"/>
    <x v="42"/>
    <s v="Carl Elliott"/>
    <x v="98"/>
    <n v="2"/>
    <x v="1"/>
    <x v="6"/>
    <x v="6"/>
    <x v="2"/>
    <x v="2"/>
  </r>
  <r>
    <s v="AX22350"/>
    <s v="ENX2051"/>
    <s v="A148"/>
    <s v="EMP1012"/>
    <s v="C1210"/>
    <x v="183"/>
    <n v="1"/>
    <n v="1077"/>
    <n v="732"/>
    <n v="732"/>
    <n v="1077"/>
    <n v="345"/>
    <s v="Product 52"/>
    <x v="62"/>
    <s v="John Reyes"/>
    <x v="629"/>
    <n v="2"/>
    <x v="1"/>
    <x v="6"/>
    <x v="6"/>
    <x v="2"/>
    <x v="2"/>
  </r>
  <r>
    <s v="AX22445"/>
    <s v="ENX2076"/>
    <s v="A131"/>
    <s v="EMP1038"/>
    <s v="C1011"/>
    <x v="184"/>
    <n v="1"/>
    <n v="1522"/>
    <n v="791"/>
    <n v="791"/>
    <n v="1522"/>
    <n v="731"/>
    <s v="Product 77"/>
    <x v="32"/>
    <s v="Scott Mason"/>
    <x v="275"/>
    <n v="2"/>
    <x v="1"/>
    <x v="6"/>
    <x v="6"/>
    <x v="2"/>
    <x v="2"/>
  </r>
  <r>
    <s v="AX22609"/>
    <s v="ENX2096"/>
    <s v="A133"/>
    <s v="EMP1002"/>
    <s v="C1451"/>
    <x v="181"/>
    <n v="2"/>
    <n v="1587"/>
    <n v="1301"/>
    <n v="2602"/>
    <n v="3174"/>
    <n v="572"/>
    <s v="Product 97"/>
    <x v="46"/>
    <s v="Andrew Bowman"/>
    <x v="80"/>
    <n v="2"/>
    <x v="1"/>
    <x v="6"/>
    <x v="6"/>
    <x v="2"/>
    <x v="2"/>
  </r>
  <r>
    <s v="AX23204"/>
    <s v="ENX2015"/>
    <s v="A113"/>
    <s v="EMP1031"/>
    <s v="C1532"/>
    <x v="182"/>
    <n v="3"/>
    <n v="637"/>
    <n v="389"/>
    <n v="1167"/>
    <n v="1911"/>
    <n v="744"/>
    <s v="Product 16"/>
    <x v="73"/>
    <s v="Brian Thomas"/>
    <x v="103"/>
    <n v="2"/>
    <x v="1"/>
    <x v="6"/>
    <x v="6"/>
    <x v="2"/>
    <x v="2"/>
  </r>
  <r>
    <s v="AX23244"/>
    <s v="ENX2039"/>
    <s v="A173"/>
    <s v="EMP1022"/>
    <s v="C1534"/>
    <x v="185"/>
    <n v="4"/>
    <n v="817"/>
    <n v="409"/>
    <n v="1636"/>
    <n v="3268"/>
    <n v="1632"/>
    <s v="Product 40"/>
    <x v="25"/>
    <s v="Walter Cook"/>
    <x v="273"/>
    <n v="2"/>
    <x v="1"/>
    <x v="6"/>
    <x v="6"/>
    <x v="2"/>
    <x v="2"/>
  </r>
  <r>
    <s v="AX23764"/>
    <s v="ENX2065"/>
    <s v="A153"/>
    <s v="EMP1026"/>
    <s v="C1246"/>
    <x v="182"/>
    <n v="4"/>
    <n v="2396"/>
    <n v="1965"/>
    <n v="7860"/>
    <n v="9584"/>
    <n v="1724"/>
    <s v="Product 66"/>
    <x v="8"/>
    <s v="Martin Perry"/>
    <x v="665"/>
    <n v="2"/>
    <x v="1"/>
    <x v="6"/>
    <x v="6"/>
    <x v="2"/>
    <x v="2"/>
  </r>
  <r>
    <s v="AX23975"/>
    <s v="ENX2028"/>
    <s v="A168"/>
    <s v="EMP1001"/>
    <s v="C1263"/>
    <x v="185"/>
    <n v="2"/>
    <n v="2283"/>
    <n v="1484"/>
    <n v="2968"/>
    <n v="4566"/>
    <n v="1598"/>
    <s v="Product 29"/>
    <x v="40"/>
    <s v="Kevin Butler"/>
    <x v="368"/>
    <n v="2"/>
    <x v="1"/>
    <x v="6"/>
    <x v="6"/>
    <x v="2"/>
    <x v="2"/>
  </r>
  <r>
    <s v="AX24511"/>
    <s v="ENX2028"/>
    <s v="A132"/>
    <s v="EMP1000"/>
    <s v="C1178"/>
    <x v="182"/>
    <n v="3"/>
    <n v="2283"/>
    <n v="1484"/>
    <n v="4452"/>
    <n v="6849"/>
    <n v="2397"/>
    <s v="Product 29"/>
    <x v="48"/>
    <s v="Fred Robertson"/>
    <x v="465"/>
    <n v="2"/>
    <x v="1"/>
    <x v="6"/>
    <x v="6"/>
    <x v="2"/>
    <x v="2"/>
  </r>
  <r>
    <s v="AX24947"/>
    <s v="ENX2072"/>
    <s v="A120"/>
    <s v="EMP1043"/>
    <s v="C1107"/>
    <x v="181"/>
    <n v="3"/>
    <n v="1887"/>
    <n v="1378"/>
    <n v="4134"/>
    <n v="5661"/>
    <n v="1527"/>
    <s v="Product 73"/>
    <x v="20"/>
    <s v="Joshua Taylor"/>
    <x v="278"/>
    <n v="2"/>
    <x v="1"/>
    <x v="6"/>
    <x v="6"/>
    <x v="2"/>
    <x v="2"/>
  </r>
  <r>
    <s v="AX10156"/>
    <s v="ENX2068"/>
    <s v="A169"/>
    <s v="EMP1006"/>
    <s v="C1529"/>
    <x v="186"/>
    <n v="3"/>
    <n v="1500"/>
    <n v="900"/>
    <n v="2700"/>
    <n v="4500"/>
    <n v="1800"/>
    <s v="Product 69"/>
    <x v="17"/>
    <s v="Sean Miller"/>
    <x v="247"/>
    <n v="2"/>
    <x v="1"/>
    <x v="7"/>
    <x v="7"/>
    <x v="2"/>
    <x v="0"/>
  </r>
  <r>
    <s v="AX10727"/>
    <s v="ENX2037"/>
    <s v="A158"/>
    <s v="EMP1041"/>
    <s v="C1143"/>
    <x v="187"/>
    <n v="3"/>
    <n v="880"/>
    <n v="634"/>
    <n v="1902"/>
    <n v="2640"/>
    <n v="738"/>
    <s v="Product 38"/>
    <x v="58"/>
    <s v="Joe Sims"/>
    <x v="557"/>
    <n v="2"/>
    <x v="1"/>
    <x v="7"/>
    <x v="7"/>
    <x v="2"/>
    <x v="0"/>
  </r>
  <r>
    <s v="AX10986"/>
    <s v="ENX2073"/>
    <s v="A161"/>
    <s v="EMP1006"/>
    <s v="C1158"/>
    <x v="188"/>
    <n v="2"/>
    <n v="95"/>
    <n v="61"/>
    <n v="122"/>
    <n v="190"/>
    <n v="68"/>
    <s v="Product 74"/>
    <x v="6"/>
    <s v="Sean Miller"/>
    <x v="541"/>
    <n v="2"/>
    <x v="1"/>
    <x v="7"/>
    <x v="7"/>
    <x v="2"/>
    <x v="0"/>
  </r>
  <r>
    <s v="AX11102"/>
    <s v="ENX2063"/>
    <s v="A113"/>
    <s v="EMP1003"/>
    <s v="C1076"/>
    <x v="187"/>
    <n v="3"/>
    <n v="1708"/>
    <n v="871"/>
    <n v="2613"/>
    <n v="5124"/>
    <n v="2511"/>
    <s v="Product 64"/>
    <x v="73"/>
    <s v="Christopher Tucker"/>
    <x v="772"/>
    <n v="2"/>
    <x v="1"/>
    <x v="7"/>
    <x v="7"/>
    <x v="2"/>
    <x v="0"/>
  </r>
  <r>
    <s v="AX11517"/>
    <s v="ENX2005"/>
    <s v="A150"/>
    <s v="EMP1043"/>
    <s v="C1630"/>
    <x v="188"/>
    <n v="4"/>
    <n v="684"/>
    <n v="561"/>
    <n v="2244"/>
    <n v="2736"/>
    <n v="492"/>
    <s v="Product 6"/>
    <x v="30"/>
    <s v="Joshua Taylor"/>
    <x v="154"/>
    <n v="2"/>
    <x v="1"/>
    <x v="7"/>
    <x v="7"/>
    <x v="2"/>
    <x v="0"/>
  </r>
  <r>
    <s v="AX11982"/>
    <s v="ENX2093"/>
    <s v="A153"/>
    <s v="EMP1016"/>
    <s v="C1244"/>
    <x v="186"/>
    <n v="1"/>
    <n v="112"/>
    <n v="90"/>
    <n v="90"/>
    <n v="112"/>
    <n v="22"/>
    <s v="Product 94"/>
    <x v="8"/>
    <s v="Henry Nelson"/>
    <x v="381"/>
    <n v="2"/>
    <x v="1"/>
    <x v="7"/>
    <x v="7"/>
    <x v="2"/>
    <x v="0"/>
  </r>
  <r>
    <s v="AX12431"/>
    <s v="ENX2038"/>
    <s v="A106"/>
    <s v="EMP1005"/>
    <s v="C1726"/>
    <x v="188"/>
    <n v="2"/>
    <n v="392"/>
    <n v="255"/>
    <n v="510"/>
    <n v="784"/>
    <n v="274"/>
    <s v="Product 39"/>
    <x v="11"/>
    <s v="Ryan Welch"/>
    <x v="755"/>
    <n v="2"/>
    <x v="1"/>
    <x v="7"/>
    <x v="7"/>
    <x v="2"/>
    <x v="0"/>
  </r>
  <r>
    <s v="AX12844"/>
    <s v="ENX2067"/>
    <s v="A117"/>
    <s v="EMP1040"/>
    <s v="C1009"/>
    <x v="186"/>
    <n v="3"/>
    <n v="1119"/>
    <n v="683"/>
    <n v="2049"/>
    <n v="3357"/>
    <n v="1308"/>
    <s v="Product 68"/>
    <x v="29"/>
    <s v="Patrick Ruiz"/>
    <x v="458"/>
    <n v="2"/>
    <x v="1"/>
    <x v="7"/>
    <x v="7"/>
    <x v="2"/>
    <x v="0"/>
  </r>
  <r>
    <s v="AX12860"/>
    <s v="ENX2048"/>
    <s v="A143"/>
    <s v="EMP1003"/>
    <s v="C1135"/>
    <x v="188"/>
    <n v="1"/>
    <n v="502"/>
    <n v="296"/>
    <n v="296"/>
    <n v="502"/>
    <n v="206"/>
    <s v="Product 49"/>
    <x v="39"/>
    <s v="Christopher Tucker"/>
    <x v="669"/>
    <n v="2"/>
    <x v="1"/>
    <x v="7"/>
    <x v="7"/>
    <x v="2"/>
    <x v="0"/>
  </r>
  <r>
    <s v="AX12889"/>
    <s v="ENX2012"/>
    <s v="A127"/>
    <s v="EMP1031"/>
    <s v="C1740"/>
    <x v="187"/>
    <n v="2"/>
    <n v="1353"/>
    <n v="947"/>
    <n v="1894"/>
    <n v="2706"/>
    <n v="812"/>
    <s v="Product 13"/>
    <x v="69"/>
    <s v="Brian Thomas"/>
    <x v="699"/>
    <n v="2"/>
    <x v="1"/>
    <x v="7"/>
    <x v="7"/>
    <x v="2"/>
    <x v="0"/>
  </r>
  <r>
    <s v="AX13353"/>
    <s v="ENX2093"/>
    <s v="A147"/>
    <s v="EMP1001"/>
    <s v="C1108"/>
    <x v="187"/>
    <n v="1"/>
    <n v="112"/>
    <n v="90"/>
    <n v="90"/>
    <n v="112"/>
    <n v="22"/>
    <s v="Product 94"/>
    <x v="42"/>
    <s v="Kevin Butler"/>
    <x v="656"/>
    <n v="2"/>
    <x v="1"/>
    <x v="7"/>
    <x v="7"/>
    <x v="2"/>
    <x v="0"/>
  </r>
  <r>
    <s v="AX13892"/>
    <s v="ENX2067"/>
    <s v="A109"/>
    <s v="EMP1043"/>
    <s v="C1470"/>
    <x v="189"/>
    <n v="3"/>
    <n v="1119"/>
    <n v="683"/>
    <n v="2049"/>
    <n v="3357"/>
    <n v="1308"/>
    <s v="Product 68"/>
    <x v="57"/>
    <s v="Joshua Taylor"/>
    <x v="621"/>
    <n v="2"/>
    <x v="1"/>
    <x v="7"/>
    <x v="7"/>
    <x v="2"/>
    <x v="0"/>
  </r>
  <r>
    <s v="AX13963"/>
    <s v="ENX2045"/>
    <s v="A164"/>
    <s v="EMP1044"/>
    <s v="C1656"/>
    <x v="189"/>
    <n v="3"/>
    <n v="556"/>
    <n v="395"/>
    <n v="1185"/>
    <n v="1668"/>
    <n v="483"/>
    <s v="Product 46"/>
    <x v="3"/>
    <s v="Martin Carr"/>
    <x v="115"/>
    <n v="2"/>
    <x v="1"/>
    <x v="7"/>
    <x v="7"/>
    <x v="2"/>
    <x v="0"/>
  </r>
  <r>
    <s v="AX14259"/>
    <s v="ENX2017"/>
    <s v="A150"/>
    <s v="EMP1040"/>
    <s v="C1740"/>
    <x v="186"/>
    <n v="2"/>
    <n v="35"/>
    <n v="22"/>
    <n v="44"/>
    <n v="70"/>
    <n v="26"/>
    <s v="Product 18"/>
    <x v="30"/>
    <s v="Patrick Ruiz"/>
    <x v="699"/>
    <n v="2"/>
    <x v="1"/>
    <x v="7"/>
    <x v="7"/>
    <x v="2"/>
    <x v="0"/>
  </r>
  <r>
    <s v="AX14290"/>
    <s v="ENX2058"/>
    <s v="A114"/>
    <s v="EMP1029"/>
    <s v="C1489"/>
    <x v="186"/>
    <n v="4"/>
    <n v="2257"/>
    <n v="1535"/>
    <n v="6140"/>
    <n v="9028"/>
    <n v="2888"/>
    <s v="Product 59"/>
    <x v="28"/>
    <s v="Howard Gardner"/>
    <x v="19"/>
    <n v="2"/>
    <x v="1"/>
    <x v="7"/>
    <x v="7"/>
    <x v="2"/>
    <x v="0"/>
  </r>
  <r>
    <s v="AX14430"/>
    <s v="ENX2018"/>
    <s v="A106"/>
    <s v="EMP1028"/>
    <s v="C1661"/>
    <x v="188"/>
    <n v="3"/>
    <n v="1972"/>
    <n v="1321"/>
    <n v="3963"/>
    <n v="5916"/>
    <n v="1953"/>
    <s v="Product 19"/>
    <x v="11"/>
    <s v="Howard Sims"/>
    <x v="767"/>
    <n v="2"/>
    <x v="1"/>
    <x v="7"/>
    <x v="7"/>
    <x v="2"/>
    <x v="0"/>
  </r>
  <r>
    <s v="AX14458"/>
    <s v="ENX2065"/>
    <s v="A128"/>
    <s v="EMP1010"/>
    <s v="C1400"/>
    <x v="188"/>
    <n v="1"/>
    <n v="2396"/>
    <n v="1965"/>
    <n v="1965"/>
    <n v="2396"/>
    <n v="431"/>
    <s v="Product 66"/>
    <x v="12"/>
    <s v="Joshua Cook"/>
    <x v="437"/>
    <n v="2"/>
    <x v="1"/>
    <x v="7"/>
    <x v="7"/>
    <x v="2"/>
    <x v="0"/>
  </r>
  <r>
    <s v="AX14590"/>
    <s v="ENX2056"/>
    <s v="A155"/>
    <s v="EMP1014"/>
    <s v="C1370"/>
    <x v="186"/>
    <n v="1"/>
    <n v="1635"/>
    <n v="1046"/>
    <n v="1046"/>
    <n v="1635"/>
    <n v="589"/>
    <s v="Product 57"/>
    <x v="53"/>
    <s v="Ronald Reed"/>
    <x v="341"/>
    <n v="2"/>
    <x v="1"/>
    <x v="7"/>
    <x v="7"/>
    <x v="2"/>
    <x v="0"/>
  </r>
  <r>
    <s v="AX14691"/>
    <s v="ENX2024"/>
    <s v="A169"/>
    <s v="EMP1035"/>
    <s v="C1003"/>
    <x v="187"/>
    <n v="3"/>
    <n v="356"/>
    <n v="292"/>
    <n v="876"/>
    <n v="1068"/>
    <n v="192"/>
    <s v="Product 25"/>
    <x v="17"/>
    <s v="Roger Ramos"/>
    <x v="494"/>
    <n v="2"/>
    <x v="1"/>
    <x v="7"/>
    <x v="7"/>
    <x v="2"/>
    <x v="0"/>
  </r>
  <r>
    <s v="AX14859"/>
    <s v="ENX2061"/>
    <s v="A140"/>
    <s v="EMP1003"/>
    <s v="C1105"/>
    <x v="188"/>
    <n v="3"/>
    <n v="913"/>
    <n v="584"/>
    <n v="1752"/>
    <n v="2739"/>
    <n v="987"/>
    <s v="Product 62"/>
    <x v="18"/>
    <s v="Christopher Tucker"/>
    <x v="15"/>
    <n v="2"/>
    <x v="1"/>
    <x v="7"/>
    <x v="7"/>
    <x v="2"/>
    <x v="0"/>
  </r>
  <r>
    <s v="AX15457"/>
    <s v="ENX2038"/>
    <s v="A158"/>
    <s v="EMP1040"/>
    <s v="C1158"/>
    <x v="188"/>
    <n v="2"/>
    <n v="392"/>
    <n v="255"/>
    <n v="510"/>
    <n v="784"/>
    <n v="274"/>
    <s v="Product 39"/>
    <x v="58"/>
    <s v="Patrick Ruiz"/>
    <x v="541"/>
    <n v="2"/>
    <x v="1"/>
    <x v="7"/>
    <x v="7"/>
    <x v="2"/>
    <x v="0"/>
  </r>
  <r>
    <s v="AX15695"/>
    <s v="ENX2020"/>
    <s v="A124"/>
    <s v="EMP1036"/>
    <s v="C1140"/>
    <x v="187"/>
    <n v="1"/>
    <n v="2005"/>
    <n v="1223"/>
    <n v="1223"/>
    <n v="2005"/>
    <n v="782"/>
    <s v="Product 21"/>
    <x v="67"/>
    <s v="Robert Reed"/>
    <x v="40"/>
    <n v="2"/>
    <x v="1"/>
    <x v="7"/>
    <x v="7"/>
    <x v="2"/>
    <x v="0"/>
  </r>
  <r>
    <s v="AX16040"/>
    <s v="ENX2069"/>
    <s v="A120"/>
    <s v="EMP1029"/>
    <s v="C1776"/>
    <x v="186"/>
    <n v="3"/>
    <n v="378"/>
    <n v="291"/>
    <n v="873"/>
    <n v="1134"/>
    <n v="261"/>
    <s v="Product 70"/>
    <x v="20"/>
    <s v="Howard Gardner"/>
    <x v="160"/>
    <n v="2"/>
    <x v="1"/>
    <x v="7"/>
    <x v="7"/>
    <x v="2"/>
    <x v="0"/>
  </r>
  <r>
    <s v="AX17002"/>
    <s v="ENX2073"/>
    <s v="A154"/>
    <s v="EMP1015"/>
    <s v="C1039"/>
    <x v="189"/>
    <n v="1"/>
    <n v="95"/>
    <n v="61"/>
    <n v="61"/>
    <n v="95"/>
    <n v="34"/>
    <s v="Product 74"/>
    <x v="24"/>
    <s v="Justin Lynch"/>
    <x v="574"/>
    <n v="2"/>
    <x v="1"/>
    <x v="7"/>
    <x v="7"/>
    <x v="2"/>
    <x v="0"/>
  </r>
  <r>
    <s v="AX17585"/>
    <s v="ENX2057"/>
    <s v="A167"/>
    <s v="EMP1030"/>
    <s v="C1246"/>
    <x v="187"/>
    <n v="1"/>
    <n v="181"/>
    <n v="130"/>
    <n v="130"/>
    <n v="181"/>
    <n v="51"/>
    <s v="Product 58"/>
    <x v="64"/>
    <s v="Bobby Russell"/>
    <x v="665"/>
    <n v="2"/>
    <x v="1"/>
    <x v="7"/>
    <x v="7"/>
    <x v="2"/>
    <x v="0"/>
  </r>
  <r>
    <s v="AX17666"/>
    <s v="ENX2016"/>
    <s v="A160"/>
    <s v="EMP1018"/>
    <s v="C1276"/>
    <x v="188"/>
    <n v="2"/>
    <n v="1351"/>
    <n v="1108"/>
    <n v="2216"/>
    <n v="2702"/>
    <n v="486"/>
    <s v="Product 17"/>
    <x v="9"/>
    <s v="Jimmy Young"/>
    <x v="773"/>
    <n v="2"/>
    <x v="1"/>
    <x v="7"/>
    <x v="7"/>
    <x v="2"/>
    <x v="0"/>
  </r>
  <r>
    <s v="AX18045"/>
    <s v="ENX2082"/>
    <s v="A121"/>
    <s v="EMP1037"/>
    <s v="C1264"/>
    <x v="189"/>
    <n v="1"/>
    <n v="1103"/>
    <n v="838"/>
    <n v="838"/>
    <n v="1103"/>
    <n v="265"/>
    <s v="Product 83"/>
    <x v="72"/>
    <s v="Carl Hall"/>
    <x v="206"/>
    <n v="2"/>
    <x v="1"/>
    <x v="7"/>
    <x v="7"/>
    <x v="2"/>
    <x v="0"/>
  </r>
  <r>
    <s v="AX18132"/>
    <s v="ENX2021"/>
    <s v="A106"/>
    <s v="EMP1021"/>
    <s v="C1154"/>
    <x v="189"/>
    <n v="4"/>
    <n v="217"/>
    <n v="171"/>
    <n v="684"/>
    <n v="868"/>
    <n v="184"/>
    <s v="Product 22"/>
    <x v="11"/>
    <s v="Clarence Fox"/>
    <x v="243"/>
    <n v="2"/>
    <x v="1"/>
    <x v="7"/>
    <x v="7"/>
    <x v="2"/>
    <x v="0"/>
  </r>
  <r>
    <s v="AX18385"/>
    <s v="ENX2059"/>
    <s v="A125"/>
    <s v="EMP1010"/>
    <s v="C1231"/>
    <x v="188"/>
    <n v="1"/>
    <n v="1494"/>
    <n v="971"/>
    <n v="971"/>
    <n v="1494"/>
    <n v="523"/>
    <s v="Product 60"/>
    <x v="31"/>
    <s v="Joshua Cook"/>
    <x v="94"/>
    <n v="2"/>
    <x v="1"/>
    <x v="7"/>
    <x v="7"/>
    <x v="2"/>
    <x v="0"/>
  </r>
  <r>
    <s v="AX18617"/>
    <s v="ENX2099"/>
    <s v="A101"/>
    <s v="EMP1007"/>
    <s v="C1596"/>
    <x v="188"/>
    <n v="1"/>
    <n v="1367"/>
    <n v="984"/>
    <n v="984"/>
    <n v="1367"/>
    <n v="383"/>
    <s v="Product 100"/>
    <x v="60"/>
    <s v="Jeremy Mendoza"/>
    <x v="217"/>
    <n v="2"/>
    <x v="1"/>
    <x v="7"/>
    <x v="7"/>
    <x v="2"/>
    <x v="0"/>
  </r>
  <r>
    <s v="AX18840"/>
    <s v="ENX2019"/>
    <s v="A136"/>
    <s v="EMP1005"/>
    <s v="C1750"/>
    <x v="187"/>
    <n v="1"/>
    <n v="800"/>
    <n v="536"/>
    <n v="536"/>
    <n v="800"/>
    <n v="264"/>
    <s v="Product 20"/>
    <x v="43"/>
    <s v="Ryan Welch"/>
    <x v="591"/>
    <n v="2"/>
    <x v="1"/>
    <x v="7"/>
    <x v="7"/>
    <x v="2"/>
    <x v="0"/>
  </r>
  <r>
    <s v="AX19046"/>
    <s v="ENX2074"/>
    <s v="A129"/>
    <s v="EMP1004"/>
    <s v="C1076"/>
    <x v="188"/>
    <n v="1"/>
    <n v="504"/>
    <n v="408"/>
    <n v="408"/>
    <n v="504"/>
    <n v="96"/>
    <s v="Product 75"/>
    <x v="22"/>
    <s v="Kenneth Bradley"/>
    <x v="772"/>
    <n v="2"/>
    <x v="1"/>
    <x v="7"/>
    <x v="7"/>
    <x v="2"/>
    <x v="0"/>
  </r>
  <r>
    <s v="AX19128"/>
    <s v="ENX2067"/>
    <s v="A155"/>
    <s v="EMP1030"/>
    <s v="C1532"/>
    <x v="187"/>
    <n v="4"/>
    <n v="1119"/>
    <n v="683"/>
    <n v="2732"/>
    <n v="4476"/>
    <n v="1744"/>
    <s v="Product 68"/>
    <x v="53"/>
    <s v="Bobby Russell"/>
    <x v="103"/>
    <n v="2"/>
    <x v="1"/>
    <x v="7"/>
    <x v="7"/>
    <x v="2"/>
    <x v="0"/>
  </r>
  <r>
    <s v="AX19712"/>
    <s v="ENX2090"/>
    <s v="A168"/>
    <s v="EMP1025"/>
    <s v="C1503"/>
    <x v="186"/>
    <n v="2"/>
    <n v="1338"/>
    <n v="682"/>
    <n v="1364"/>
    <n v="2676"/>
    <n v="1312"/>
    <s v="Product 91"/>
    <x v="40"/>
    <s v="Ernest Wagner"/>
    <x v="569"/>
    <n v="2"/>
    <x v="1"/>
    <x v="7"/>
    <x v="7"/>
    <x v="2"/>
    <x v="0"/>
  </r>
  <r>
    <s v="AX20064"/>
    <s v="ENX2093"/>
    <s v="A167"/>
    <s v="EMP1015"/>
    <s v="C1534"/>
    <x v="187"/>
    <n v="1"/>
    <n v="112"/>
    <n v="90"/>
    <n v="90"/>
    <n v="112"/>
    <n v="22"/>
    <s v="Product 94"/>
    <x v="64"/>
    <s v="Justin Lynch"/>
    <x v="273"/>
    <n v="2"/>
    <x v="1"/>
    <x v="7"/>
    <x v="7"/>
    <x v="2"/>
    <x v="0"/>
  </r>
  <r>
    <s v="AX20097"/>
    <s v="ENX2041"/>
    <s v="A139"/>
    <s v="EMP1043"/>
    <s v="C1091"/>
    <x v="187"/>
    <n v="1"/>
    <n v="1380"/>
    <n v="1090"/>
    <n v="1090"/>
    <n v="1380"/>
    <n v="290"/>
    <s v="Product 42"/>
    <x v="38"/>
    <s v="Joshua Taylor"/>
    <x v="513"/>
    <n v="2"/>
    <x v="1"/>
    <x v="7"/>
    <x v="7"/>
    <x v="2"/>
    <x v="0"/>
  </r>
  <r>
    <s v="AX20260"/>
    <s v="ENX2005"/>
    <s v="A110"/>
    <s v="EMP1025"/>
    <s v="C1158"/>
    <x v="186"/>
    <n v="3"/>
    <n v="684"/>
    <n v="561"/>
    <n v="1683"/>
    <n v="2052"/>
    <n v="369"/>
    <s v="Product 6"/>
    <x v="63"/>
    <s v="Ernest Wagner"/>
    <x v="541"/>
    <n v="2"/>
    <x v="1"/>
    <x v="7"/>
    <x v="7"/>
    <x v="2"/>
    <x v="0"/>
  </r>
  <r>
    <s v="AX20413"/>
    <s v="ENX2080"/>
    <s v="A108"/>
    <s v="EMP1012"/>
    <s v="C1004"/>
    <x v="188"/>
    <n v="1"/>
    <n v="2353"/>
    <n v="1788"/>
    <n v="1788"/>
    <n v="2353"/>
    <n v="565"/>
    <s v="Product 81"/>
    <x v="49"/>
    <s v="John Reyes"/>
    <x v="708"/>
    <n v="2"/>
    <x v="1"/>
    <x v="7"/>
    <x v="7"/>
    <x v="2"/>
    <x v="0"/>
  </r>
  <r>
    <s v="AX20780"/>
    <s v="ENX2078"/>
    <s v="A157"/>
    <s v="EMP1039"/>
    <s v="C1764"/>
    <x v="187"/>
    <n v="1"/>
    <n v="1798"/>
    <n v="971"/>
    <n v="971"/>
    <n v="1798"/>
    <n v="827"/>
    <s v="Product 79"/>
    <x v="7"/>
    <s v="Eugene Holmes"/>
    <x v="386"/>
    <n v="2"/>
    <x v="1"/>
    <x v="7"/>
    <x v="7"/>
    <x v="2"/>
    <x v="0"/>
  </r>
  <r>
    <s v="AX21398"/>
    <s v="ENX2020"/>
    <s v="A160"/>
    <s v="EMP1015"/>
    <s v="C1533"/>
    <x v="186"/>
    <n v="4"/>
    <n v="2005"/>
    <n v="1223"/>
    <n v="4892"/>
    <n v="8020"/>
    <n v="3128"/>
    <s v="Product 21"/>
    <x v="9"/>
    <s v="Justin Lynch"/>
    <x v="179"/>
    <n v="2"/>
    <x v="1"/>
    <x v="7"/>
    <x v="7"/>
    <x v="2"/>
    <x v="0"/>
  </r>
  <r>
    <s v="AX21473"/>
    <s v="ENX2073"/>
    <s v="A108"/>
    <s v="EMP1043"/>
    <s v="C1640"/>
    <x v="189"/>
    <n v="1"/>
    <n v="95"/>
    <n v="61"/>
    <n v="61"/>
    <n v="95"/>
    <n v="34"/>
    <s v="Product 74"/>
    <x v="49"/>
    <s v="Joshua Taylor"/>
    <x v="59"/>
    <n v="2"/>
    <x v="1"/>
    <x v="7"/>
    <x v="7"/>
    <x v="2"/>
    <x v="0"/>
  </r>
  <r>
    <s v="AX21594"/>
    <s v="ENX2020"/>
    <s v="A130"/>
    <s v="EMP1027"/>
    <s v="C1457"/>
    <x v="189"/>
    <n v="3"/>
    <n v="2005"/>
    <n v="1223"/>
    <n v="3669"/>
    <n v="6015"/>
    <n v="2346"/>
    <s v="Product 21"/>
    <x v="4"/>
    <s v="Gary Rodriguez"/>
    <x v="522"/>
    <n v="2"/>
    <x v="1"/>
    <x v="7"/>
    <x v="7"/>
    <x v="2"/>
    <x v="0"/>
  </r>
  <r>
    <s v="AX21671"/>
    <s v="ENX2092"/>
    <s v="A165"/>
    <s v="EMP1009"/>
    <s v="C1248"/>
    <x v="186"/>
    <n v="2"/>
    <n v="1639"/>
    <n v="1295"/>
    <n v="2590"/>
    <n v="3278"/>
    <n v="688"/>
    <s v="Product 93"/>
    <x v="55"/>
    <s v="Kenneth Fields"/>
    <x v="354"/>
    <n v="2"/>
    <x v="1"/>
    <x v="7"/>
    <x v="7"/>
    <x v="2"/>
    <x v="0"/>
  </r>
  <r>
    <s v="AX22051"/>
    <s v="ENX2023"/>
    <s v="A105"/>
    <s v="EMP1008"/>
    <s v="C1400"/>
    <x v="186"/>
    <n v="2"/>
    <n v="818"/>
    <n v="450"/>
    <n v="900"/>
    <n v="1636"/>
    <n v="736"/>
    <s v="Product 24"/>
    <x v="45"/>
    <s v="Carl Elliott"/>
    <x v="437"/>
    <n v="2"/>
    <x v="1"/>
    <x v="7"/>
    <x v="7"/>
    <x v="2"/>
    <x v="0"/>
  </r>
  <r>
    <s v="AX22108"/>
    <s v="ENX2064"/>
    <s v="A167"/>
    <s v="EMP1020"/>
    <s v="C1217"/>
    <x v="186"/>
    <n v="4"/>
    <n v="1414"/>
    <n v="962"/>
    <n v="3848"/>
    <n v="5656"/>
    <n v="1808"/>
    <s v="Product 65"/>
    <x v="64"/>
    <s v="Ryan Butler"/>
    <x v="619"/>
    <n v="2"/>
    <x v="1"/>
    <x v="7"/>
    <x v="7"/>
    <x v="2"/>
    <x v="0"/>
  </r>
  <r>
    <s v="AX22310"/>
    <s v="ENX2008"/>
    <s v="A160"/>
    <s v="EMP1034"/>
    <s v="C1674"/>
    <x v="188"/>
    <n v="1"/>
    <n v="315"/>
    <n v="208"/>
    <n v="208"/>
    <n v="315"/>
    <n v="107"/>
    <s v="Product 9"/>
    <x v="9"/>
    <s v="Arthur Mccoy"/>
    <x v="774"/>
    <n v="2"/>
    <x v="1"/>
    <x v="7"/>
    <x v="7"/>
    <x v="2"/>
    <x v="0"/>
  </r>
  <r>
    <s v="AX22540"/>
    <s v="ENX2022"/>
    <s v="A153"/>
    <s v="EMP1009"/>
    <s v="C1004"/>
    <x v="188"/>
    <n v="2"/>
    <n v="561"/>
    <n v="421"/>
    <n v="842"/>
    <n v="1122"/>
    <n v="280"/>
    <s v="Product 23"/>
    <x v="8"/>
    <s v="Kenneth Fields"/>
    <x v="708"/>
    <n v="2"/>
    <x v="1"/>
    <x v="7"/>
    <x v="7"/>
    <x v="2"/>
    <x v="0"/>
  </r>
  <r>
    <s v="AX22575"/>
    <s v="ENX2089"/>
    <s v="A149"/>
    <s v="EMP1015"/>
    <s v="C1609"/>
    <x v="186"/>
    <n v="1"/>
    <n v="2294"/>
    <n v="1399"/>
    <n v="1399"/>
    <n v="2294"/>
    <n v="895"/>
    <s v="Product 90"/>
    <x v="59"/>
    <s v="Justin Lynch"/>
    <x v="757"/>
    <n v="2"/>
    <x v="1"/>
    <x v="7"/>
    <x v="7"/>
    <x v="2"/>
    <x v="0"/>
  </r>
  <r>
    <s v="AX23277"/>
    <s v="ENX2071"/>
    <s v="A144"/>
    <s v="EMP1026"/>
    <s v="C1074"/>
    <x v="189"/>
    <n v="1"/>
    <n v="136"/>
    <n v="72"/>
    <n v="72"/>
    <n v="136"/>
    <n v="64"/>
    <s v="Product 72"/>
    <x v="65"/>
    <s v="Martin Perry"/>
    <x v="96"/>
    <n v="2"/>
    <x v="1"/>
    <x v="7"/>
    <x v="7"/>
    <x v="2"/>
    <x v="0"/>
  </r>
  <r>
    <s v="AX23556"/>
    <s v="ENX2006"/>
    <s v="A147"/>
    <s v="EMP1029"/>
    <s v="C1069"/>
    <x v="186"/>
    <n v="4"/>
    <n v="1826"/>
    <n v="1443"/>
    <n v="5772"/>
    <n v="7304"/>
    <n v="1532"/>
    <s v="Product 7"/>
    <x v="42"/>
    <s v="Howard Gardner"/>
    <x v="284"/>
    <n v="2"/>
    <x v="1"/>
    <x v="7"/>
    <x v="7"/>
    <x v="2"/>
    <x v="0"/>
  </r>
  <r>
    <s v="AX24715"/>
    <s v="ENX2088"/>
    <s v="A157"/>
    <s v="EMP1006"/>
    <s v="C1309"/>
    <x v="188"/>
    <n v="1"/>
    <n v="603"/>
    <n v="416"/>
    <n v="416"/>
    <n v="603"/>
    <n v="187"/>
    <s v="Product 89"/>
    <x v="7"/>
    <s v="Sean Miller"/>
    <x v="139"/>
    <n v="2"/>
    <x v="1"/>
    <x v="7"/>
    <x v="7"/>
    <x v="2"/>
    <x v="0"/>
  </r>
  <r>
    <s v="AX10060"/>
    <s v="ENX2065"/>
    <s v="A150"/>
    <s v="EMP1044"/>
    <s v="C1723"/>
    <x v="190"/>
    <n v="1"/>
    <n v="2396"/>
    <n v="1965"/>
    <n v="1965"/>
    <n v="2396"/>
    <n v="431"/>
    <s v="Product 66"/>
    <x v="30"/>
    <s v="Martin Carr"/>
    <x v="118"/>
    <n v="2"/>
    <x v="1"/>
    <x v="7"/>
    <x v="7"/>
    <x v="2"/>
    <x v="2"/>
  </r>
  <r>
    <s v="AX10193"/>
    <s v="ENX2054"/>
    <s v="A139"/>
    <s v="EMP1004"/>
    <s v="C1679"/>
    <x v="191"/>
    <n v="2"/>
    <n v="127"/>
    <n v="79"/>
    <n v="158"/>
    <n v="254"/>
    <n v="96"/>
    <s v="Product 55"/>
    <x v="38"/>
    <s v="Kenneth Bradley"/>
    <x v="664"/>
    <n v="2"/>
    <x v="1"/>
    <x v="7"/>
    <x v="7"/>
    <x v="2"/>
    <x v="2"/>
  </r>
  <r>
    <s v="AX10413"/>
    <s v="ENX2000"/>
    <s v="A109"/>
    <s v="EMP1017"/>
    <s v="C1345"/>
    <x v="192"/>
    <n v="1"/>
    <n v="2241"/>
    <n v="1367"/>
    <n v="1367"/>
    <n v="2241"/>
    <n v="874"/>
    <s v="Product 1"/>
    <x v="57"/>
    <s v="Brian Hansen"/>
    <x v="567"/>
    <n v="2"/>
    <x v="1"/>
    <x v="7"/>
    <x v="7"/>
    <x v="2"/>
    <x v="2"/>
  </r>
  <r>
    <s v="AX10787"/>
    <s v="ENX2051"/>
    <s v="A149"/>
    <s v="EMP1029"/>
    <s v="C1147"/>
    <x v="190"/>
    <n v="3"/>
    <n v="1077"/>
    <n v="732"/>
    <n v="2196"/>
    <n v="3231"/>
    <n v="1035"/>
    <s v="Product 52"/>
    <x v="59"/>
    <s v="Howard Gardner"/>
    <x v="427"/>
    <n v="2"/>
    <x v="1"/>
    <x v="7"/>
    <x v="7"/>
    <x v="2"/>
    <x v="2"/>
  </r>
  <r>
    <s v="AX11474"/>
    <s v="ENX2044"/>
    <s v="A154"/>
    <s v="EMP1005"/>
    <s v="C1321"/>
    <x v="193"/>
    <n v="1"/>
    <n v="886"/>
    <n v="478"/>
    <n v="478"/>
    <n v="886"/>
    <n v="408"/>
    <s v="Product 45"/>
    <x v="24"/>
    <s v="Ryan Welch"/>
    <x v="775"/>
    <n v="2"/>
    <x v="1"/>
    <x v="7"/>
    <x v="7"/>
    <x v="2"/>
    <x v="2"/>
  </r>
  <r>
    <s v="AX11551"/>
    <s v="ENX2011"/>
    <s v="A134"/>
    <s v="EMP1035"/>
    <s v="C1344"/>
    <x v="192"/>
    <n v="1"/>
    <n v="530"/>
    <n v="435"/>
    <n v="435"/>
    <n v="530"/>
    <n v="95"/>
    <s v="Product 12"/>
    <x v="41"/>
    <s v="Roger Ramos"/>
    <x v="22"/>
    <n v="2"/>
    <x v="1"/>
    <x v="7"/>
    <x v="7"/>
    <x v="2"/>
    <x v="2"/>
  </r>
  <r>
    <s v="AX12787"/>
    <s v="ENX2066"/>
    <s v="A167"/>
    <s v="EMP1015"/>
    <s v="C1373"/>
    <x v="191"/>
    <n v="1"/>
    <n v="2091"/>
    <n v="1485"/>
    <n v="1485"/>
    <n v="2091"/>
    <n v="606"/>
    <s v="Product 67"/>
    <x v="64"/>
    <s v="Justin Lynch"/>
    <x v="471"/>
    <n v="2"/>
    <x v="1"/>
    <x v="7"/>
    <x v="7"/>
    <x v="2"/>
    <x v="2"/>
  </r>
  <r>
    <s v="AX13437"/>
    <s v="ENX2093"/>
    <s v="A105"/>
    <s v="EMP1019"/>
    <s v="C1443"/>
    <x v="192"/>
    <n v="3"/>
    <n v="112"/>
    <n v="90"/>
    <n v="270"/>
    <n v="336"/>
    <n v="66"/>
    <s v="Product 94"/>
    <x v="45"/>
    <s v="Roger Robertson"/>
    <x v="683"/>
    <n v="2"/>
    <x v="1"/>
    <x v="7"/>
    <x v="7"/>
    <x v="2"/>
    <x v="2"/>
  </r>
  <r>
    <s v="AX13703"/>
    <s v="ENX2010"/>
    <s v="A104"/>
    <s v="EMP1023"/>
    <s v="C1072"/>
    <x v="190"/>
    <n v="1"/>
    <n v="1812"/>
    <n v="1305"/>
    <n v="1305"/>
    <n v="1812"/>
    <n v="507"/>
    <s v="Product 11"/>
    <x v="50"/>
    <s v="Brian Davis"/>
    <x v="529"/>
    <n v="2"/>
    <x v="1"/>
    <x v="7"/>
    <x v="7"/>
    <x v="2"/>
    <x v="2"/>
  </r>
  <r>
    <s v="AX13784"/>
    <s v="ENX2097"/>
    <s v="A143"/>
    <s v="EMP1017"/>
    <s v="C1545"/>
    <x v="190"/>
    <n v="1"/>
    <n v="1052"/>
    <n v="589"/>
    <n v="589"/>
    <n v="1052"/>
    <n v="463"/>
    <s v="Product 98"/>
    <x v="39"/>
    <s v="Brian Hansen"/>
    <x v="646"/>
    <n v="2"/>
    <x v="1"/>
    <x v="7"/>
    <x v="7"/>
    <x v="2"/>
    <x v="2"/>
  </r>
  <r>
    <s v="AX14560"/>
    <s v="ENX2085"/>
    <s v="A158"/>
    <s v="EMP1035"/>
    <s v="C1600"/>
    <x v="190"/>
    <n v="2"/>
    <n v="1862"/>
    <n v="1173"/>
    <n v="2346"/>
    <n v="3724"/>
    <n v="1378"/>
    <s v="Product 86"/>
    <x v="58"/>
    <s v="Roger Ramos"/>
    <x v="266"/>
    <n v="2"/>
    <x v="1"/>
    <x v="7"/>
    <x v="7"/>
    <x v="2"/>
    <x v="2"/>
  </r>
  <r>
    <s v="AX14577"/>
    <s v="ENX2045"/>
    <s v="A144"/>
    <s v="EMP1040"/>
    <s v="C1796"/>
    <x v="192"/>
    <n v="3"/>
    <n v="556"/>
    <n v="395"/>
    <n v="1185"/>
    <n v="1668"/>
    <n v="483"/>
    <s v="Product 46"/>
    <x v="65"/>
    <s v="Patrick Ruiz"/>
    <x v="630"/>
    <n v="2"/>
    <x v="1"/>
    <x v="7"/>
    <x v="7"/>
    <x v="2"/>
    <x v="2"/>
  </r>
  <r>
    <s v="AX16373"/>
    <s v="ENX2015"/>
    <s v="A163"/>
    <s v="EMP1005"/>
    <s v="C1231"/>
    <x v="191"/>
    <n v="2"/>
    <n v="637"/>
    <n v="389"/>
    <n v="778"/>
    <n v="1274"/>
    <n v="496"/>
    <s v="Product 16"/>
    <x v="51"/>
    <s v="Ryan Welch"/>
    <x v="94"/>
    <n v="2"/>
    <x v="1"/>
    <x v="7"/>
    <x v="7"/>
    <x v="2"/>
    <x v="2"/>
  </r>
  <r>
    <s v="AX16575"/>
    <s v="ENX2087"/>
    <s v="A150"/>
    <s v="EMP1011"/>
    <s v="C1287"/>
    <x v="191"/>
    <n v="1"/>
    <n v="1022"/>
    <n v="818"/>
    <n v="818"/>
    <n v="1022"/>
    <n v="204"/>
    <s v="Product 88"/>
    <x v="30"/>
    <s v="Larry Marshall"/>
    <x v="443"/>
    <n v="2"/>
    <x v="1"/>
    <x v="7"/>
    <x v="7"/>
    <x v="2"/>
    <x v="2"/>
  </r>
  <r>
    <s v="AX17460"/>
    <s v="ENX2066"/>
    <s v="A137"/>
    <s v="EMP1013"/>
    <s v="C1601"/>
    <x v="191"/>
    <n v="4"/>
    <n v="2091"/>
    <n v="1485"/>
    <n v="5940"/>
    <n v="8364"/>
    <n v="2424"/>
    <s v="Product 67"/>
    <x v="68"/>
    <s v="Charles Harper"/>
    <x v="324"/>
    <n v="2"/>
    <x v="1"/>
    <x v="7"/>
    <x v="7"/>
    <x v="2"/>
    <x v="2"/>
  </r>
  <r>
    <s v="AX18444"/>
    <s v="ENX2011"/>
    <s v="A153"/>
    <s v="EMP1017"/>
    <s v="C1737"/>
    <x v="193"/>
    <n v="1"/>
    <n v="530"/>
    <n v="435"/>
    <n v="435"/>
    <n v="530"/>
    <n v="95"/>
    <s v="Product 12"/>
    <x v="8"/>
    <s v="Brian Hansen"/>
    <x v="343"/>
    <n v="2"/>
    <x v="1"/>
    <x v="7"/>
    <x v="7"/>
    <x v="2"/>
    <x v="2"/>
  </r>
  <r>
    <s v="AX19464"/>
    <s v="ENX2034"/>
    <s v="A154"/>
    <s v="EMP1026"/>
    <s v="C1168"/>
    <x v="191"/>
    <n v="3"/>
    <n v="871"/>
    <n v="540"/>
    <n v="1620"/>
    <n v="2613"/>
    <n v="993"/>
    <s v="Product 35"/>
    <x v="24"/>
    <s v="Martin Perry"/>
    <x v="532"/>
    <n v="2"/>
    <x v="1"/>
    <x v="7"/>
    <x v="7"/>
    <x v="2"/>
    <x v="2"/>
  </r>
  <r>
    <s v="AX20188"/>
    <s v="ENX2042"/>
    <s v="A140"/>
    <s v="EMP1003"/>
    <s v="C1391"/>
    <x v="191"/>
    <n v="1"/>
    <n v="203"/>
    <n v="154"/>
    <n v="154"/>
    <n v="203"/>
    <n v="49"/>
    <s v="Product 43"/>
    <x v="18"/>
    <s v="Christopher Tucker"/>
    <x v="745"/>
    <n v="2"/>
    <x v="1"/>
    <x v="7"/>
    <x v="7"/>
    <x v="2"/>
    <x v="2"/>
  </r>
  <r>
    <s v="AX20444"/>
    <s v="ENX2074"/>
    <s v="A172"/>
    <s v="EMP1002"/>
    <s v="C1414"/>
    <x v="192"/>
    <n v="1"/>
    <n v="504"/>
    <n v="408"/>
    <n v="408"/>
    <n v="504"/>
    <n v="96"/>
    <s v="Product 75"/>
    <x v="36"/>
    <s v="Andrew Bowman"/>
    <x v="140"/>
    <n v="2"/>
    <x v="1"/>
    <x v="7"/>
    <x v="7"/>
    <x v="2"/>
    <x v="2"/>
  </r>
  <r>
    <s v="AX20583"/>
    <s v="ENX2087"/>
    <s v="A134"/>
    <s v="EMP1009"/>
    <s v="C1556"/>
    <x v="192"/>
    <n v="1"/>
    <n v="1022"/>
    <n v="818"/>
    <n v="818"/>
    <n v="1022"/>
    <n v="204"/>
    <s v="Product 88"/>
    <x v="41"/>
    <s v="Kenneth Fields"/>
    <x v="223"/>
    <n v="2"/>
    <x v="1"/>
    <x v="7"/>
    <x v="7"/>
    <x v="2"/>
    <x v="2"/>
  </r>
  <r>
    <s v="AX20664"/>
    <s v="ENX2048"/>
    <s v="A118"/>
    <s v="EMP1032"/>
    <s v="C1287"/>
    <x v="193"/>
    <n v="2"/>
    <n v="502"/>
    <n v="296"/>
    <n v="592"/>
    <n v="1004"/>
    <n v="412"/>
    <s v="Product 49"/>
    <x v="19"/>
    <s v="Larry Castillo"/>
    <x v="443"/>
    <n v="2"/>
    <x v="1"/>
    <x v="7"/>
    <x v="7"/>
    <x v="2"/>
    <x v="2"/>
  </r>
  <r>
    <s v="AX20732"/>
    <s v="ENX2069"/>
    <s v="A103"/>
    <s v="EMP1044"/>
    <s v="C1026"/>
    <x v="192"/>
    <n v="4"/>
    <n v="378"/>
    <n v="291"/>
    <n v="1164"/>
    <n v="1512"/>
    <n v="348"/>
    <s v="Product 70"/>
    <x v="61"/>
    <s v="Martin Carr"/>
    <x v="410"/>
    <n v="2"/>
    <x v="1"/>
    <x v="7"/>
    <x v="7"/>
    <x v="2"/>
    <x v="2"/>
  </r>
  <r>
    <s v="AX21157"/>
    <s v="ENX2030"/>
    <s v="A150"/>
    <s v="EMP1029"/>
    <s v="C1729"/>
    <x v="193"/>
    <n v="4"/>
    <n v="1899"/>
    <n v="1044"/>
    <n v="4176"/>
    <n v="7596"/>
    <n v="3420"/>
    <s v="Product 31"/>
    <x v="30"/>
    <s v="Howard Gardner"/>
    <x v="268"/>
    <n v="2"/>
    <x v="1"/>
    <x v="7"/>
    <x v="7"/>
    <x v="2"/>
    <x v="2"/>
  </r>
  <r>
    <s v="AX21212"/>
    <s v="ENX2064"/>
    <s v="A152"/>
    <s v="EMP1044"/>
    <s v="C1461"/>
    <x v="193"/>
    <n v="4"/>
    <n v="1414"/>
    <n v="962"/>
    <n v="3848"/>
    <n v="5656"/>
    <n v="1808"/>
    <s v="Product 65"/>
    <x v="26"/>
    <s v="Martin Carr"/>
    <x v="634"/>
    <n v="2"/>
    <x v="1"/>
    <x v="7"/>
    <x v="7"/>
    <x v="2"/>
    <x v="2"/>
  </r>
  <r>
    <s v="AX21284"/>
    <s v="ENX2080"/>
    <s v="A162"/>
    <s v="EMP1016"/>
    <s v="C1698"/>
    <x v="192"/>
    <n v="2"/>
    <n v="2353"/>
    <n v="1788"/>
    <n v="3576"/>
    <n v="4706"/>
    <n v="1130"/>
    <s v="Product 81"/>
    <x v="2"/>
    <s v="Henry Nelson"/>
    <x v="86"/>
    <n v="2"/>
    <x v="1"/>
    <x v="7"/>
    <x v="7"/>
    <x v="2"/>
    <x v="2"/>
  </r>
  <r>
    <s v="AX21486"/>
    <s v="ENX2051"/>
    <s v="A160"/>
    <s v="EMP1005"/>
    <s v="C1442"/>
    <x v="190"/>
    <n v="1"/>
    <n v="1077"/>
    <n v="732"/>
    <n v="732"/>
    <n v="1077"/>
    <n v="345"/>
    <s v="Product 52"/>
    <x v="9"/>
    <s v="Ryan Welch"/>
    <x v="299"/>
    <n v="2"/>
    <x v="1"/>
    <x v="7"/>
    <x v="7"/>
    <x v="2"/>
    <x v="2"/>
  </r>
  <r>
    <s v="AX21506"/>
    <s v="ENX2033"/>
    <s v="A156"/>
    <s v="EMP1021"/>
    <s v="C1370"/>
    <x v="190"/>
    <n v="1"/>
    <n v="2182"/>
    <n v="1200"/>
    <n v="1200"/>
    <n v="2182"/>
    <n v="982"/>
    <s v="Product 34"/>
    <x v="14"/>
    <s v="Clarence Fox"/>
    <x v="341"/>
    <n v="2"/>
    <x v="1"/>
    <x v="7"/>
    <x v="7"/>
    <x v="2"/>
    <x v="2"/>
  </r>
  <r>
    <s v="AX21611"/>
    <s v="ENX2080"/>
    <s v="A171"/>
    <s v="EMP1013"/>
    <s v="C1749"/>
    <x v="191"/>
    <n v="4"/>
    <n v="2353"/>
    <n v="1788"/>
    <n v="7152"/>
    <n v="9412"/>
    <n v="2260"/>
    <s v="Product 81"/>
    <x v="0"/>
    <s v="Charles Harper"/>
    <x v="393"/>
    <n v="2"/>
    <x v="1"/>
    <x v="7"/>
    <x v="7"/>
    <x v="2"/>
    <x v="2"/>
  </r>
  <r>
    <s v="AX21625"/>
    <s v="ENX2093"/>
    <s v="A143"/>
    <s v="EMP1034"/>
    <s v="C1565"/>
    <x v="192"/>
    <n v="1"/>
    <n v="112"/>
    <n v="90"/>
    <n v="90"/>
    <n v="112"/>
    <n v="22"/>
    <s v="Product 94"/>
    <x v="39"/>
    <s v="Arthur Mccoy"/>
    <x v="577"/>
    <n v="2"/>
    <x v="1"/>
    <x v="7"/>
    <x v="7"/>
    <x v="2"/>
    <x v="2"/>
  </r>
  <r>
    <s v="AX22234"/>
    <s v="ENX2023"/>
    <s v="A164"/>
    <s v="EMP1016"/>
    <s v="C1401"/>
    <x v="193"/>
    <n v="1"/>
    <n v="818"/>
    <n v="450"/>
    <n v="450"/>
    <n v="818"/>
    <n v="368"/>
    <s v="Product 24"/>
    <x v="3"/>
    <s v="Henry Nelson"/>
    <x v="36"/>
    <n v="2"/>
    <x v="1"/>
    <x v="7"/>
    <x v="7"/>
    <x v="2"/>
    <x v="2"/>
  </r>
  <r>
    <s v="AX22248"/>
    <s v="ENX2097"/>
    <s v="A158"/>
    <s v="EMP1007"/>
    <s v="C1401"/>
    <x v="192"/>
    <n v="1"/>
    <n v="1052"/>
    <n v="589"/>
    <n v="589"/>
    <n v="1052"/>
    <n v="463"/>
    <s v="Product 98"/>
    <x v="58"/>
    <s v="Jeremy Mendoza"/>
    <x v="36"/>
    <n v="2"/>
    <x v="1"/>
    <x v="7"/>
    <x v="7"/>
    <x v="2"/>
    <x v="2"/>
  </r>
  <r>
    <s v="AX22257"/>
    <s v="ENX2049"/>
    <s v="A113"/>
    <s v="EMP1009"/>
    <s v="C1172"/>
    <x v="190"/>
    <n v="1"/>
    <n v="826"/>
    <n v="562"/>
    <n v="562"/>
    <n v="826"/>
    <n v="264"/>
    <s v="Product 50"/>
    <x v="73"/>
    <s v="Kenneth Fields"/>
    <x v="63"/>
    <n v="2"/>
    <x v="1"/>
    <x v="7"/>
    <x v="7"/>
    <x v="2"/>
    <x v="2"/>
  </r>
  <r>
    <s v="AX22378"/>
    <s v="ENX2095"/>
    <s v="A114"/>
    <s v="EMP1002"/>
    <s v="C1010"/>
    <x v="191"/>
    <n v="1"/>
    <n v="1743"/>
    <n v="872"/>
    <n v="872"/>
    <n v="1743"/>
    <n v="871"/>
    <s v="Product 96"/>
    <x v="28"/>
    <s v="Andrew Bowman"/>
    <x v="399"/>
    <n v="2"/>
    <x v="1"/>
    <x v="7"/>
    <x v="7"/>
    <x v="2"/>
    <x v="2"/>
  </r>
  <r>
    <s v="AX22963"/>
    <s v="ENX2083"/>
    <s v="A166"/>
    <s v="EMP1011"/>
    <s v="C1602"/>
    <x v="191"/>
    <n v="1"/>
    <n v="2141"/>
    <n v="1777"/>
    <n v="1777"/>
    <n v="2141"/>
    <n v="364"/>
    <s v="Product 84"/>
    <x v="70"/>
    <s v="Larry Marshall"/>
    <x v="749"/>
    <n v="2"/>
    <x v="1"/>
    <x v="7"/>
    <x v="7"/>
    <x v="2"/>
    <x v="2"/>
  </r>
  <r>
    <s v="AX23183"/>
    <s v="ENX2071"/>
    <s v="A160"/>
    <s v="EMP1034"/>
    <s v="C1012"/>
    <x v="190"/>
    <n v="3"/>
    <n v="136"/>
    <n v="72"/>
    <n v="216"/>
    <n v="408"/>
    <n v="192"/>
    <s v="Product 72"/>
    <x v="9"/>
    <s v="Arthur Mccoy"/>
    <x v="738"/>
    <n v="2"/>
    <x v="1"/>
    <x v="7"/>
    <x v="7"/>
    <x v="2"/>
    <x v="2"/>
  </r>
  <r>
    <s v="AX23955"/>
    <s v="ENX2013"/>
    <s v="A141"/>
    <s v="EMP1015"/>
    <s v="C1555"/>
    <x v="190"/>
    <n v="2"/>
    <n v="368"/>
    <n v="269"/>
    <n v="538"/>
    <n v="736"/>
    <n v="198"/>
    <s v="Product 14"/>
    <x v="23"/>
    <s v="Justin Lynch"/>
    <x v="148"/>
    <n v="2"/>
    <x v="1"/>
    <x v="7"/>
    <x v="7"/>
    <x v="2"/>
    <x v="2"/>
  </r>
  <r>
    <s v="AX23985"/>
    <s v="ENX2036"/>
    <s v="A141"/>
    <s v="EMP1042"/>
    <s v="C1701"/>
    <x v="193"/>
    <n v="1"/>
    <n v="1582"/>
    <n v="1234"/>
    <n v="1234"/>
    <n v="1582"/>
    <n v="348"/>
    <s v="Product 37"/>
    <x v="23"/>
    <s v="Scott Clark"/>
    <x v="736"/>
    <n v="2"/>
    <x v="1"/>
    <x v="7"/>
    <x v="7"/>
    <x v="2"/>
    <x v="2"/>
  </r>
  <r>
    <s v="AX24081"/>
    <s v="ENX2021"/>
    <s v="A157"/>
    <s v="EMP1015"/>
    <s v="C1720"/>
    <x v="190"/>
    <n v="1"/>
    <n v="217"/>
    <n v="171"/>
    <n v="171"/>
    <n v="217"/>
    <n v="46"/>
    <s v="Product 22"/>
    <x v="7"/>
    <s v="Justin Lynch"/>
    <x v="152"/>
    <n v="2"/>
    <x v="1"/>
    <x v="7"/>
    <x v="7"/>
    <x v="2"/>
    <x v="2"/>
  </r>
  <r>
    <s v="AX24097"/>
    <s v="ENX2014"/>
    <s v="A134"/>
    <s v="EMP1030"/>
    <s v="C1720"/>
    <x v="193"/>
    <n v="3"/>
    <n v="1809"/>
    <n v="1067"/>
    <n v="3201"/>
    <n v="5427"/>
    <n v="2226"/>
    <s v="Product 15"/>
    <x v="41"/>
    <s v="Bobby Russell"/>
    <x v="152"/>
    <n v="2"/>
    <x v="1"/>
    <x v="7"/>
    <x v="7"/>
    <x v="2"/>
    <x v="2"/>
  </r>
  <r>
    <s v="AX24328"/>
    <s v="ENX2055"/>
    <s v="A106"/>
    <s v="EMP1031"/>
    <s v="C1137"/>
    <x v="193"/>
    <n v="1"/>
    <n v="2495"/>
    <n v="1896"/>
    <n v="1896"/>
    <n v="2495"/>
    <n v="599"/>
    <s v="Product 56"/>
    <x v="11"/>
    <s v="Brian Thomas"/>
    <x v="131"/>
    <n v="2"/>
    <x v="1"/>
    <x v="7"/>
    <x v="7"/>
    <x v="2"/>
    <x v="2"/>
  </r>
  <r>
    <s v="AX24584"/>
    <s v="ENX2092"/>
    <s v="A153"/>
    <s v="EMP1017"/>
    <s v="C1677"/>
    <x v="192"/>
    <n v="4"/>
    <n v="1639"/>
    <n v="1295"/>
    <n v="5180"/>
    <n v="6556"/>
    <n v="1376"/>
    <s v="Product 93"/>
    <x v="8"/>
    <s v="Brian Hansen"/>
    <x v="641"/>
    <n v="2"/>
    <x v="1"/>
    <x v="7"/>
    <x v="7"/>
    <x v="2"/>
    <x v="2"/>
  </r>
  <r>
    <s v="AX10073"/>
    <s v="ENX2079"/>
    <s v="A103"/>
    <s v="EMP1026"/>
    <s v="C1402"/>
    <x v="194"/>
    <n v="3"/>
    <n v="1725"/>
    <n v="1363"/>
    <n v="4089"/>
    <n v="5175"/>
    <n v="1086"/>
    <s v="Product 80"/>
    <x v="61"/>
    <s v="Martin Perry"/>
    <x v="79"/>
    <n v="2"/>
    <x v="1"/>
    <x v="8"/>
    <x v="8"/>
    <x v="2"/>
    <x v="0"/>
  </r>
  <r>
    <s v="AX10675"/>
    <s v="ENX2051"/>
    <s v="A151"/>
    <s v="EMP1007"/>
    <s v="C1525"/>
    <x v="195"/>
    <n v="3"/>
    <n v="1077"/>
    <n v="732"/>
    <n v="2196"/>
    <n v="3231"/>
    <n v="1035"/>
    <s v="Product 52"/>
    <x v="1"/>
    <s v="Jeremy Mendoza"/>
    <x v="360"/>
    <n v="2"/>
    <x v="1"/>
    <x v="8"/>
    <x v="8"/>
    <x v="2"/>
    <x v="0"/>
  </r>
  <r>
    <s v="AX11080"/>
    <s v="ENX2094"/>
    <s v="A143"/>
    <s v="EMP1042"/>
    <s v="C1354"/>
    <x v="196"/>
    <n v="2"/>
    <n v="771"/>
    <n v="648"/>
    <n v="1296"/>
    <n v="1542"/>
    <n v="246"/>
    <s v="Product 95"/>
    <x v="39"/>
    <s v="Scott Clark"/>
    <x v="133"/>
    <n v="2"/>
    <x v="1"/>
    <x v="8"/>
    <x v="8"/>
    <x v="2"/>
    <x v="0"/>
  </r>
  <r>
    <s v="AX11309"/>
    <s v="ENX2062"/>
    <s v="A131"/>
    <s v="EMP1021"/>
    <s v="C1448"/>
    <x v="196"/>
    <n v="1"/>
    <n v="2464"/>
    <n v="1774"/>
    <n v="1774"/>
    <n v="2464"/>
    <n v="690"/>
    <s v="Product 63"/>
    <x v="32"/>
    <s v="Clarence Fox"/>
    <x v="716"/>
    <n v="2"/>
    <x v="1"/>
    <x v="8"/>
    <x v="8"/>
    <x v="2"/>
    <x v="0"/>
  </r>
  <r>
    <s v="AX11734"/>
    <s v="ENX2022"/>
    <s v="A103"/>
    <s v="EMP1036"/>
    <s v="C1298"/>
    <x v="196"/>
    <n v="3"/>
    <n v="561"/>
    <n v="421"/>
    <n v="1263"/>
    <n v="1683"/>
    <n v="420"/>
    <s v="Product 23"/>
    <x v="61"/>
    <s v="Robert Reed"/>
    <x v="623"/>
    <n v="2"/>
    <x v="1"/>
    <x v="8"/>
    <x v="8"/>
    <x v="2"/>
    <x v="0"/>
  </r>
  <r>
    <s v="AX11838"/>
    <s v="ENX2077"/>
    <s v="A134"/>
    <s v="EMP1002"/>
    <s v="C1743"/>
    <x v="196"/>
    <n v="2"/>
    <n v="530"/>
    <n v="424"/>
    <n v="848"/>
    <n v="1060"/>
    <n v="212"/>
    <s v="Product 78"/>
    <x v="41"/>
    <s v="Andrew Bowman"/>
    <x v="276"/>
    <n v="2"/>
    <x v="1"/>
    <x v="8"/>
    <x v="8"/>
    <x v="2"/>
    <x v="0"/>
  </r>
  <r>
    <s v="AX11934"/>
    <s v="ENX2063"/>
    <s v="A100"/>
    <s v="EMP1036"/>
    <s v="C1379"/>
    <x v="196"/>
    <n v="1"/>
    <n v="1708"/>
    <n v="871"/>
    <n v="871"/>
    <n v="1708"/>
    <n v="837"/>
    <s v="Product 64"/>
    <x v="52"/>
    <s v="Robert Reed"/>
    <x v="549"/>
    <n v="2"/>
    <x v="1"/>
    <x v="8"/>
    <x v="8"/>
    <x v="2"/>
    <x v="0"/>
  </r>
  <r>
    <s v="AX12013"/>
    <s v="ENX2006"/>
    <s v="A133"/>
    <s v="EMP1011"/>
    <s v="C1199"/>
    <x v="197"/>
    <n v="1"/>
    <n v="1826"/>
    <n v="1443"/>
    <n v="1443"/>
    <n v="1826"/>
    <n v="383"/>
    <s v="Product 7"/>
    <x v="46"/>
    <s v="Larry Marshall"/>
    <x v="245"/>
    <n v="2"/>
    <x v="1"/>
    <x v="8"/>
    <x v="8"/>
    <x v="2"/>
    <x v="0"/>
  </r>
  <r>
    <s v="AX12028"/>
    <s v="ENX2009"/>
    <s v="A144"/>
    <s v="EMP1037"/>
    <s v="C1341"/>
    <x v="197"/>
    <n v="2"/>
    <n v="584"/>
    <n v="420"/>
    <n v="840"/>
    <n v="1168"/>
    <n v="328"/>
    <s v="Product 10"/>
    <x v="65"/>
    <s v="Carl Hall"/>
    <x v="750"/>
    <n v="2"/>
    <x v="1"/>
    <x v="8"/>
    <x v="8"/>
    <x v="2"/>
    <x v="0"/>
  </r>
  <r>
    <s v="AX12233"/>
    <s v="ENX2074"/>
    <s v="A123"/>
    <s v="EMP1041"/>
    <s v="C1314"/>
    <x v="195"/>
    <n v="2"/>
    <n v="504"/>
    <n v="408"/>
    <n v="816"/>
    <n v="1008"/>
    <n v="192"/>
    <s v="Product 75"/>
    <x v="34"/>
    <s v="Joe Sims"/>
    <x v="421"/>
    <n v="2"/>
    <x v="1"/>
    <x v="8"/>
    <x v="8"/>
    <x v="2"/>
    <x v="0"/>
  </r>
  <r>
    <s v="AX12687"/>
    <s v="ENX2039"/>
    <s v="A124"/>
    <s v="EMP1014"/>
    <s v="C1012"/>
    <x v="196"/>
    <n v="1"/>
    <n v="817"/>
    <n v="409"/>
    <n v="409"/>
    <n v="817"/>
    <n v="408"/>
    <s v="Product 40"/>
    <x v="67"/>
    <s v="Ronald Reed"/>
    <x v="738"/>
    <n v="2"/>
    <x v="1"/>
    <x v="8"/>
    <x v="8"/>
    <x v="2"/>
    <x v="0"/>
  </r>
  <r>
    <s v="AX13180"/>
    <s v="ENX2052"/>
    <s v="A166"/>
    <s v="EMP1026"/>
    <s v="C1438"/>
    <x v="198"/>
    <n v="1"/>
    <n v="1526"/>
    <n v="1251"/>
    <n v="1251"/>
    <n v="1526"/>
    <n v="275"/>
    <s v="Product 53"/>
    <x v="70"/>
    <s v="Martin Perry"/>
    <x v="670"/>
    <n v="2"/>
    <x v="1"/>
    <x v="8"/>
    <x v="8"/>
    <x v="2"/>
    <x v="0"/>
  </r>
  <r>
    <s v="AX13319"/>
    <s v="ENX2001"/>
    <s v="A150"/>
    <s v="EMP1020"/>
    <s v="C1175"/>
    <x v="194"/>
    <n v="3"/>
    <n v="951"/>
    <n v="504"/>
    <n v="1512"/>
    <n v="2853"/>
    <n v="1341"/>
    <s v="Product 2"/>
    <x v="30"/>
    <s v="Ryan Butler"/>
    <x v="89"/>
    <n v="2"/>
    <x v="1"/>
    <x v="8"/>
    <x v="8"/>
    <x v="2"/>
    <x v="0"/>
  </r>
  <r>
    <s v="AX13562"/>
    <s v="ENX2094"/>
    <s v="A171"/>
    <s v="EMP1044"/>
    <s v="C1128"/>
    <x v="196"/>
    <n v="1"/>
    <n v="771"/>
    <n v="648"/>
    <n v="648"/>
    <n v="771"/>
    <n v="123"/>
    <s v="Product 95"/>
    <x v="0"/>
    <s v="Martin Carr"/>
    <x v="553"/>
    <n v="2"/>
    <x v="1"/>
    <x v="8"/>
    <x v="8"/>
    <x v="2"/>
    <x v="0"/>
  </r>
  <r>
    <s v="AX13622"/>
    <s v="ENX2040"/>
    <s v="A157"/>
    <s v="EMP1034"/>
    <s v="C1435"/>
    <x v="194"/>
    <n v="1"/>
    <n v="1889"/>
    <n v="945"/>
    <n v="945"/>
    <n v="1889"/>
    <n v="944"/>
    <s v="Product 41"/>
    <x v="7"/>
    <s v="Arthur Mccoy"/>
    <x v="476"/>
    <n v="2"/>
    <x v="1"/>
    <x v="8"/>
    <x v="8"/>
    <x v="2"/>
    <x v="0"/>
  </r>
  <r>
    <s v="AX13987"/>
    <s v="ENX2096"/>
    <s v="A155"/>
    <s v="EMP1019"/>
    <s v="C1282"/>
    <x v="196"/>
    <n v="3"/>
    <n v="1587"/>
    <n v="1301"/>
    <n v="3903"/>
    <n v="4761"/>
    <n v="858"/>
    <s v="Product 97"/>
    <x v="53"/>
    <s v="Roger Robertson"/>
    <x v="520"/>
    <n v="2"/>
    <x v="1"/>
    <x v="8"/>
    <x v="8"/>
    <x v="2"/>
    <x v="0"/>
  </r>
  <r>
    <s v="AX13988"/>
    <s v="ENX2087"/>
    <s v="A164"/>
    <s v="EMP1040"/>
    <s v="C1794"/>
    <x v="197"/>
    <n v="1"/>
    <n v="1022"/>
    <n v="818"/>
    <n v="818"/>
    <n v="1022"/>
    <n v="204"/>
    <s v="Product 88"/>
    <x v="3"/>
    <s v="Patrick Ruiz"/>
    <x v="411"/>
    <n v="2"/>
    <x v="1"/>
    <x v="8"/>
    <x v="8"/>
    <x v="2"/>
    <x v="0"/>
  </r>
  <r>
    <s v="AX14046"/>
    <s v="ENX2056"/>
    <s v="A112"/>
    <s v="EMP1037"/>
    <s v="C1267"/>
    <x v="195"/>
    <n v="1"/>
    <n v="1635"/>
    <n v="1046"/>
    <n v="1046"/>
    <n v="1635"/>
    <n v="589"/>
    <s v="Product 57"/>
    <x v="66"/>
    <s v="Carl Hall"/>
    <x v="657"/>
    <n v="2"/>
    <x v="1"/>
    <x v="8"/>
    <x v="8"/>
    <x v="2"/>
    <x v="0"/>
  </r>
  <r>
    <s v="AX14113"/>
    <s v="ENX2047"/>
    <s v="A160"/>
    <s v="EMP1039"/>
    <s v="C1458"/>
    <x v="194"/>
    <n v="1"/>
    <n v="290"/>
    <n v="200"/>
    <n v="200"/>
    <n v="290"/>
    <n v="90"/>
    <s v="Product 48"/>
    <x v="9"/>
    <s v="Eugene Holmes"/>
    <x v="291"/>
    <n v="2"/>
    <x v="1"/>
    <x v="8"/>
    <x v="8"/>
    <x v="2"/>
    <x v="0"/>
  </r>
  <r>
    <s v="AX14596"/>
    <s v="ENX2083"/>
    <s v="A142"/>
    <s v="EMP1024"/>
    <s v="C1709"/>
    <x v="195"/>
    <n v="1"/>
    <n v="2141"/>
    <n v="1777"/>
    <n v="1777"/>
    <n v="2141"/>
    <n v="364"/>
    <s v="Product 84"/>
    <x v="56"/>
    <s v="Ernest Wheeler"/>
    <x v="203"/>
    <n v="2"/>
    <x v="1"/>
    <x v="8"/>
    <x v="8"/>
    <x v="2"/>
    <x v="0"/>
  </r>
  <r>
    <s v="AX14800"/>
    <s v="ENX2067"/>
    <s v="A166"/>
    <s v="EMP1040"/>
    <s v="C1235"/>
    <x v="194"/>
    <n v="1"/>
    <n v="1119"/>
    <n v="683"/>
    <n v="683"/>
    <n v="1119"/>
    <n v="436"/>
    <s v="Product 68"/>
    <x v="70"/>
    <s v="Patrick Ruiz"/>
    <x v="353"/>
    <n v="2"/>
    <x v="1"/>
    <x v="8"/>
    <x v="8"/>
    <x v="2"/>
    <x v="0"/>
  </r>
  <r>
    <s v="AX14865"/>
    <s v="ENX2002"/>
    <s v="A125"/>
    <s v="EMP1041"/>
    <s v="C1511"/>
    <x v="196"/>
    <n v="2"/>
    <n v="847"/>
    <n v="534"/>
    <n v="1068"/>
    <n v="1694"/>
    <n v="626"/>
    <s v="Product 3"/>
    <x v="31"/>
    <s v="Joe Sims"/>
    <x v="754"/>
    <n v="2"/>
    <x v="1"/>
    <x v="8"/>
    <x v="8"/>
    <x v="2"/>
    <x v="0"/>
  </r>
  <r>
    <s v="AX14987"/>
    <s v="ENX2067"/>
    <s v="A173"/>
    <s v="EMP1025"/>
    <s v="C1225"/>
    <x v="197"/>
    <n v="4"/>
    <n v="1119"/>
    <n v="683"/>
    <n v="2732"/>
    <n v="4476"/>
    <n v="1744"/>
    <s v="Product 68"/>
    <x v="25"/>
    <s v="Ernest Wagner"/>
    <x v="588"/>
    <n v="2"/>
    <x v="1"/>
    <x v="8"/>
    <x v="8"/>
    <x v="2"/>
    <x v="0"/>
  </r>
  <r>
    <s v="AX15014"/>
    <s v="ENX2061"/>
    <s v="A149"/>
    <s v="EMP1018"/>
    <s v="C1248"/>
    <x v="197"/>
    <n v="1"/>
    <n v="913"/>
    <n v="584"/>
    <n v="584"/>
    <n v="913"/>
    <n v="329"/>
    <s v="Product 62"/>
    <x v="59"/>
    <s v="Jimmy Young"/>
    <x v="354"/>
    <n v="2"/>
    <x v="1"/>
    <x v="8"/>
    <x v="8"/>
    <x v="2"/>
    <x v="0"/>
  </r>
  <r>
    <s v="AX15015"/>
    <s v="ENX2045"/>
    <s v="A165"/>
    <s v="EMP1001"/>
    <s v="C1280"/>
    <x v="194"/>
    <n v="2"/>
    <n v="556"/>
    <n v="395"/>
    <n v="790"/>
    <n v="1112"/>
    <n v="322"/>
    <s v="Product 46"/>
    <x v="55"/>
    <s v="Kevin Butler"/>
    <x v="349"/>
    <n v="2"/>
    <x v="1"/>
    <x v="8"/>
    <x v="8"/>
    <x v="2"/>
    <x v="0"/>
  </r>
  <r>
    <s v="AX15817"/>
    <s v="ENX2035"/>
    <s v="A102"/>
    <s v="EMP1042"/>
    <s v="C1012"/>
    <x v="197"/>
    <n v="1"/>
    <n v="458"/>
    <n v="376"/>
    <n v="376"/>
    <n v="458"/>
    <n v="82"/>
    <s v="Product 36"/>
    <x v="44"/>
    <s v="Scott Clark"/>
    <x v="738"/>
    <n v="2"/>
    <x v="1"/>
    <x v="8"/>
    <x v="8"/>
    <x v="2"/>
    <x v="0"/>
  </r>
  <r>
    <s v="AX15890"/>
    <s v="ENX2057"/>
    <s v="A150"/>
    <s v="EMP1026"/>
    <s v="C1691"/>
    <x v="197"/>
    <n v="1"/>
    <n v="181"/>
    <n v="130"/>
    <n v="130"/>
    <n v="181"/>
    <n v="51"/>
    <s v="Product 58"/>
    <x v="30"/>
    <s v="Martin Perry"/>
    <x v="157"/>
    <n v="2"/>
    <x v="1"/>
    <x v="8"/>
    <x v="8"/>
    <x v="2"/>
    <x v="0"/>
  </r>
  <r>
    <s v="AX16297"/>
    <s v="ENX2035"/>
    <s v="A140"/>
    <s v="EMP1040"/>
    <s v="C1104"/>
    <x v="198"/>
    <n v="4"/>
    <n v="458"/>
    <n v="376"/>
    <n v="1504"/>
    <n v="1832"/>
    <n v="328"/>
    <s v="Product 36"/>
    <x v="18"/>
    <s v="Patrick Ruiz"/>
    <x v="367"/>
    <n v="2"/>
    <x v="1"/>
    <x v="8"/>
    <x v="8"/>
    <x v="2"/>
    <x v="0"/>
  </r>
  <r>
    <s v="AX16845"/>
    <s v="ENX2009"/>
    <s v="A105"/>
    <s v="EMP1001"/>
    <s v="C1230"/>
    <x v="196"/>
    <n v="1"/>
    <n v="584"/>
    <n v="420"/>
    <n v="420"/>
    <n v="584"/>
    <n v="164"/>
    <s v="Product 10"/>
    <x v="45"/>
    <s v="Kevin Butler"/>
    <x v="578"/>
    <n v="2"/>
    <x v="1"/>
    <x v="8"/>
    <x v="8"/>
    <x v="2"/>
    <x v="0"/>
  </r>
  <r>
    <s v="AX17357"/>
    <s v="ENX2092"/>
    <s v="A115"/>
    <s v="EMP1043"/>
    <s v="C1799"/>
    <x v="196"/>
    <n v="1"/>
    <n v="1639"/>
    <n v="1295"/>
    <n v="1295"/>
    <n v="1639"/>
    <n v="344"/>
    <s v="Product 93"/>
    <x v="33"/>
    <s v="Joshua Taylor"/>
    <x v="390"/>
    <n v="2"/>
    <x v="1"/>
    <x v="8"/>
    <x v="8"/>
    <x v="2"/>
    <x v="0"/>
  </r>
  <r>
    <s v="AX17464"/>
    <s v="ENX2008"/>
    <s v="A169"/>
    <s v="EMP1035"/>
    <s v="C1553"/>
    <x v="195"/>
    <n v="1"/>
    <n v="315"/>
    <n v="208"/>
    <n v="208"/>
    <n v="315"/>
    <n v="107"/>
    <s v="Product 9"/>
    <x v="17"/>
    <s v="Roger Ramos"/>
    <x v="726"/>
    <n v="2"/>
    <x v="1"/>
    <x v="8"/>
    <x v="8"/>
    <x v="2"/>
    <x v="0"/>
  </r>
  <r>
    <s v="AX17510"/>
    <s v="ENX2077"/>
    <s v="A155"/>
    <s v="EMP1037"/>
    <s v="C1238"/>
    <x v="197"/>
    <n v="1"/>
    <n v="530"/>
    <n v="424"/>
    <n v="424"/>
    <n v="530"/>
    <n v="106"/>
    <s v="Product 78"/>
    <x v="53"/>
    <s v="Carl Hall"/>
    <x v="627"/>
    <n v="2"/>
    <x v="1"/>
    <x v="8"/>
    <x v="8"/>
    <x v="2"/>
    <x v="0"/>
  </r>
  <r>
    <s v="AX17587"/>
    <s v="ENX2013"/>
    <s v="A113"/>
    <s v="EMP1043"/>
    <s v="C1324"/>
    <x v="197"/>
    <n v="2"/>
    <n v="368"/>
    <n v="269"/>
    <n v="538"/>
    <n v="736"/>
    <n v="198"/>
    <s v="Product 14"/>
    <x v="73"/>
    <s v="Joshua Taylor"/>
    <x v="252"/>
    <n v="2"/>
    <x v="1"/>
    <x v="8"/>
    <x v="8"/>
    <x v="2"/>
    <x v="0"/>
  </r>
  <r>
    <s v="AX18315"/>
    <s v="ENX2051"/>
    <s v="A167"/>
    <s v="EMP1025"/>
    <s v="C1757"/>
    <x v="197"/>
    <n v="1"/>
    <n v="1077"/>
    <n v="732"/>
    <n v="732"/>
    <n v="1077"/>
    <n v="345"/>
    <s v="Product 52"/>
    <x v="64"/>
    <s v="Ernest Wagner"/>
    <x v="376"/>
    <n v="2"/>
    <x v="1"/>
    <x v="8"/>
    <x v="8"/>
    <x v="2"/>
    <x v="0"/>
  </r>
  <r>
    <s v="AX18629"/>
    <s v="ENX2001"/>
    <s v="A167"/>
    <s v="EMP1041"/>
    <s v="C1738"/>
    <x v="195"/>
    <n v="1"/>
    <n v="951"/>
    <n v="504"/>
    <n v="504"/>
    <n v="951"/>
    <n v="447"/>
    <s v="Product 2"/>
    <x v="64"/>
    <s v="Joe Sims"/>
    <x v="35"/>
    <n v="2"/>
    <x v="1"/>
    <x v="8"/>
    <x v="8"/>
    <x v="2"/>
    <x v="0"/>
  </r>
  <r>
    <s v="AX18695"/>
    <s v="ENX2039"/>
    <s v="A139"/>
    <s v="EMP1029"/>
    <s v="C1376"/>
    <x v="198"/>
    <n v="4"/>
    <n v="817"/>
    <n v="409"/>
    <n v="1636"/>
    <n v="3268"/>
    <n v="1632"/>
    <s v="Product 40"/>
    <x v="38"/>
    <s v="Howard Gardner"/>
    <x v="356"/>
    <n v="2"/>
    <x v="1"/>
    <x v="8"/>
    <x v="8"/>
    <x v="2"/>
    <x v="0"/>
  </r>
  <r>
    <s v="AX18855"/>
    <s v="ENX2072"/>
    <s v="A141"/>
    <s v="EMP1016"/>
    <s v="C1427"/>
    <x v="195"/>
    <n v="3"/>
    <n v="1887"/>
    <n v="1378"/>
    <n v="4134"/>
    <n v="5661"/>
    <n v="1527"/>
    <s v="Product 73"/>
    <x v="23"/>
    <s v="Henry Nelson"/>
    <x v="768"/>
    <n v="2"/>
    <x v="1"/>
    <x v="8"/>
    <x v="8"/>
    <x v="2"/>
    <x v="0"/>
  </r>
  <r>
    <s v="AX18889"/>
    <s v="ENX2074"/>
    <s v="A103"/>
    <s v="EMP1004"/>
    <s v="C1790"/>
    <x v="194"/>
    <n v="1"/>
    <n v="504"/>
    <n v="408"/>
    <n v="408"/>
    <n v="504"/>
    <n v="96"/>
    <s v="Product 75"/>
    <x v="61"/>
    <s v="Kenneth Bradley"/>
    <x v="428"/>
    <n v="2"/>
    <x v="1"/>
    <x v="8"/>
    <x v="8"/>
    <x v="2"/>
    <x v="0"/>
  </r>
  <r>
    <s v="AX19705"/>
    <s v="ENX2031"/>
    <s v="A101"/>
    <s v="EMP1014"/>
    <s v="C1523"/>
    <x v="196"/>
    <n v="3"/>
    <n v="1638"/>
    <n v="1261"/>
    <n v="3783"/>
    <n v="4914"/>
    <n v="1131"/>
    <s v="Product 32"/>
    <x v="60"/>
    <s v="Ronald Reed"/>
    <x v="543"/>
    <n v="2"/>
    <x v="1"/>
    <x v="8"/>
    <x v="8"/>
    <x v="2"/>
    <x v="0"/>
  </r>
  <r>
    <s v="AX19845"/>
    <s v="ENX2018"/>
    <s v="A117"/>
    <s v="EMP1016"/>
    <s v="C1566"/>
    <x v="198"/>
    <n v="2"/>
    <n v="1972"/>
    <n v="1321"/>
    <n v="2642"/>
    <n v="3944"/>
    <n v="1302"/>
    <s v="Product 19"/>
    <x v="29"/>
    <s v="Henry Nelson"/>
    <x v="45"/>
    <n v="2"/>
    <x v="1"/>
    <x v="8"/>
    <x v="8"/>
    <x v="2"/>
    <x v="0"/>
  </r>
  <r>
    <s v="AX20079"/>
    <s v="ENX2091"/>
    <s v="A156"/>
    <s v="EMP1005"/>
    <s v="C1750"/>
    <x v="194"/>
    <n v="1"/>
    <n v="368"/>
    <n v="294"/>
    <n v="294"/>
    <n v="368"/>
    <n v="74"/>
    <s v="Product 92"/>
    <x v="14"/>
    <s v="Ryan Welch"/>
    <x v="591"/>
    <n v="2"/>
    <x v="1"/>
    <x v="8"/>
    <x v="8"/>
    <x v="2"/>
    <x v="0"/>
  </r>
  <r>
    <s v="AX20217"/>
    <s v="ENX2066"/>
    <s v="A125"/>
    <s v="EMP1041"/>
    <s v="C1298"/>
    <x v="197"/>
    <n v="1"/>
    <n v="2091"/>
    <n v="1485"/>
    <n v="1485"/>
    <n v="2091"/>
    <n v="606"/>
    <s v="Product 67"/>
    <x v="31"/>
    <s v="Joe Sims"/>
    <x v="623"/>
    <n v="2"/>
    <x v="1"/>
    <x v="8"/>
    <x v="8"/>
    <x v="2"/>
    <x v="0"/>
  </r>
  <r>
    <s v="AX20377"/>
    <s v="ENX2023"/>
    <s v="A151"/>
    <s v="EMP1025"/>
    <s v="C1033"/>
    <x v="194"/>
    <n v="1"/>
    <n v="818"/>
    <n v="450"/>
    <n v="450"/>
    <n v="818"/>
    <n v="368"/>
    <s v="Product 24"/>
    <x v="1"/>
    <s v="Ernest Wagner"/>
    <x v="515"/>
    <n v="2"/>
    <x v="1"/>
    <x v="8"/>
    <x v="8"/>
    <x v="2"/>
    <x v="0"/>
  </r>
  <r>
    <s v="AX20606"/>
    <s v="ENX2070"/>
    <s v="A173"/>
    <s v="EMP1035"/>
    <s v="C1768"/>
    <x v="195"/>
    <n v="2"/>
    <n v="1671"/>
    <n v="1220"/>
    <n v="2440"/>
    <n v="3342"/>
    <n v="902"/>
    <s v="Product 71"/>
    <x v="25"/>
    <s v="Roger Ramos"/>
    <x v="496"/>
    <n v="2"/>
    <x v="1"/>
    <x v="8"/>
    <x v="8"/>
    <x v="2"/>
    <x v="0"/>
  </r>
  <r>
    <s v="AX21006"/>
    <s v="ENX2010"/>
    <s v="A109"/>
    <s v="EMP1039"/>
    <s v="C1115"/>
    <x v="197"/>
    <n v="1"/>
    <n v="1812"/>
    <n v="1305"/>
    <n v="1305"/>
    <n v="1812"/>
    <n v="507"/>
    <s v="Product 11"/>
    <x v="57"/>
    <s v="Eugene Holmes"/>
    <x v="338"/>
    <n v="2"/>
    <x v="1"/>
    <x v="8"/>
    <x v="8"/>
    <x v="2"/>
    <x v="0"/>
  </r>
  <r>
    <s v="AX21096"/>
    <s v="ENX2068"/>
    <s v="A145"/>
    <s v="EMP1036"/>
    <s v="C1058"/>
    <x v="196"/>
    <n v="4"/>
    <n v="1500"/>
    <n v="900"/>
    <n v="3600"/>
    <n v="6000"/>
    <n v="2400"/>
    <s v="Product 69"/>
    <x v="35"/>
    <s v="Robert Reed"/>
    <x v="611"/>
    <n v="2"/>
    <x v="1"/>
    <x v="8"/>
    <x v="8"/>
    <x v="2"/>
    <x v="0"/>
  </r>
  <r>
    <s v="AX21224"/>
    <s v="ENX2030"/>
    <s v="A140"/>
    <s v="EMP1034"/>
    <s v="C1701"/>
    <x v="197"/>
    <n v="1"/>
    <n v="1899"/>
    <n v="1044"/>
    <n v="1044"/>
    <n v="1899"/>
    <n v="855"/>
    <s v="Product 31"/>
    <x v="18"/>
    <s v="Arthur Mccoy"/>
    <x v="736"/>
    <n v="2"/>
    <x v="1"/>
    <x v="8"/>
    <x v="8"/>
    <x v="2"/>
    <x v="0"/>
  </r>
  <r>
    <s v="AX21823"/>
    <s v="ENX2074"/>
    <s v="A127"/>
    <s v="EMP1043"/>
    <s v="C1399"/>
    <x v="195"/>
    <n v="1"/>
    <n v="504"/>
    <n v="408"/>
    <n v="408"/>
    <n v="504"/>
    <n v="96"/>
    <s v="Product 75"/>
    <x v="69"/>
    <s v="Joshua Taylor"/>
    <x v="776"/>
    <n v="2"/>
    <x v="1"/>
    <x v="8"/>
    <x v="8"/>
    <x v="2"/>
    <x v="0"/>
  </r>
  <r>
    <s v="AX21986"/>
    <s v="ENX2069"/>
    <s v="A119"/>
    <s v="EMP1032"/>
    <s v="C1080"/>
    <x v="198"/>
    <n v="1"/>
    <n v="378"/>
    <n v="291"/>
    <n v="291"/>
    <n v="378"/>
    <n v="87"/>
    <s v="Product 70"/>
    <x v="16"/>
    <s v="Larry Castillo"/>
    <x v="720"/>
    <n v="2"/>
    <x v="1"/>
    <x v="8"/>
    <x v="8"/>
    <x v="2"/>
    <x v="0"/>
  </r>
  <r>
    <s v="AX22379"/>
    <s v="ENX2094"/>
    <s v="A134"/>
    <s v="EMP1003"/>
    <s v="C1264"/>
    <x v="195"/>
    <n v="1"/>
    <n v="771"/>
    <n v="648"/>
    <n v="648"/>
    <n v="771"/>
    <n v="123"/>
    <s v="Product 95"/>
    <x v="41"/>
    <s v="Christopher Tucker"/>
    <x v="206"/>
    <n v="2"/>
    <x v="1"/>
    <x v="8"/>
    <x v="8"/>
    <x v="2"/>
    <x v="0"/>
  </r>
  <r>
    <s v="AX22440"/>
    <s v="ENX2054"/>
    <s v="A166"/>
    <s v="EMP1007"/>
    <s v="C1169"/>
    <x v="196"/>
    <n v="2"/>
    <n v="127"/>
    <n v="79"/>
    <n v="158"/>
    <n v="254"/>
    <n v="96"/>
    <s v="Product 55"/>
    <x v="70"/>
    <s v="Jeremy Mendoza"/>
    <x v="293"/>
    <n v="2"/>
    <x v="1"/>
    <x v="8"/>
    <x v="8"/>
    <x v="2"/>
    <x v="0"/>
  </r>
  <r>
    <s v="AX22446"/>
    <s v="ENX2034"/>
    <s v="A132"/>
    <s v="EMP1029"/>
    <s v="C1032"/>
    <x v="197"/>
    <n v="2"/>
    <n v="871"/>
    <n v="540"/>
    <n v="1080"/>
    <n v="1742"/>
    <n v="662"/>
    <s v="Product 35"/>
    <x v="48"/>
    <s v="Howard Gardner"/>
    <x v="270"/>
    <n v="2"/>
    <x v="1"/>
    <x v="8"/>
    <x v="8"/>
    <x v="2"/>
    <x v="0"/>
  </r>
  <r>
    <s v="AX22544"/>
    <s v="ENX2088"/>
    <s v="A138"/>
    <s v="EMP1012"/>
    <s v="C1684"/>
    <x v="197"/>
    <n v="3"/>
    <n v="603"/>
    <n v="416"/>
    <n v="1248"/>
    <n v="1809"/>
    <n v="561"/>
    <s v="Product 89"/>
    <x v="37"/>
    <s v="John Reyes"/>
    <x v="258"/>
    <n v="2"/>
    <x v="1"/>
    <x v="8"/>
    <x v="8"/>
    <x v="2"/>
    <x v="0"/>
  </r>
  <r>
    <s v="AX23072"/>
    <s v="ENX2075"/>
    <s v="A131"/>
    <s v="EMP1002"/>
    <s v="C1749"/>
    <x v="196"/>
    <n v="1"/>
    <n v="400"/>
    <n v="208"/>
    <n v="208"/>
    <n v="400"/>
    <n v="192"/>
    <s v="Product 76"/>
    <x v="32"/>
    <s v="Andrew Bowman"/>
    <x v="393"/>
    <n v="2"/>
    <x v="1"/>
    <x v="8"/>
    <x v="8"/>
    <x v="2"/>
    <x v="0"/>
  </r>
  <r>
    <s v="AX23159"/>
    <s v="ENX2100"/>
    <s v="A125"/>
    <s v="EMP1000"/>
    <s v="C1383"/>
    <x v="194"/>
    <n v="4"/>
    <n v="799"/>
    <n v="455"/>
    <n v="1820"/>
    <n v="3196"/>
    <n v="1376"/>
    <s v="Product 101"/>
    <x v="31"/>
    <s v="Fred Robertson"/>
    <x v="508"/>
    <n v="2"/>
    <x v="1"/>
    <x v="8"/>
    <x v="8"/>
    <x v="2"/>
    <x v="0"/>
  </r>
  <r>
    <s v="AX23245"/>
    <s v="ENX2042"/>
    <s v="A117"/>
    <s v="EMP1005"/>
    <s v="C1730"/>
    <x v="196"/>
    <n v="1"/>
    <n v="203"/>
    <n v="154"/>
    <n v="154"/>
    <n v="203"/>
    <n v="49"/>
    <s v="Product 43"/>
    <x v="29"/>
    <s v="Ryan Welch"/>
    <x v="777"/>
    <n v="2"/>
    <x v="1"/>
    <x v="8"/>
    <x v="8"/>
    <x v="2"/>
    <x v="0"/>
  </r>
  <r>
    <s v="AX23335"/>
    <s v="ENX2045"/>
    <s v="A138"/>
    <s v="EMP1013"/>
    <s v="C1223"/>
    <x v="195"/>
    <n v="1"/>
    <n v="556"/>
    <n v="395"/>
    <n v="395"/>
    <n v="556"/>
    <n v="161"/>
    <s v="Product 46"/>
    <x v="37"/>
    <s v="Charles Harper"/>
    <x v="310"/>
    <n v="2"/>
    <x v="1"/>
    <x v="8"/>
    <x v="8"/>
    <x v="2"/>
    <x v="0"/>
  </r>
  <r>
    <s v="AX23572"/>
    <s v="ENX2069"/>
    <s v="A149"/>
    <s v="EMP1008"/>
    <s v="C1749"/>
    <x v="196"/>
    <n v="3"/>
    <n v="378"/>
    <n v="291"/>
    <n v="873"/>
    <n v="1134"/>
    <n v="261"/>
    <s v="Product 70"/>
    <x v="59"/>
    <s v="Carl Elliott"/>
    <x v="393"/>
    <n v="2"/>
    <x v="1"/>
    <x v="8"/>
    <x v="8"/>
    <x v="2"/>
    <x v="0"/>
  </r>
  <r>
    <s v="AX23626"/>
    <s v="ENX2013"/>
    <s v="A133"/>
    <s v="EMP1041"/>
    <s v="C1714"/>
    <x v="195"/>
    <n v="4"/>
    <n v="368"/>
    <n v="269"/>
    <n v="1076"/>
    <n v="1472"/>
    <n v="396"/>
    <s v="Product 14"/>
    <x v="46"/>
    <s v="Joe Sims"/>
    <x v="317"/>
    <n v="2"/>
    <x v="1"/>
    <x v="8"/>
    <x v="8"/>
    <x v="2"/>
    <x v="0"/>
  </r>
  <r>
    <s v="AX23668"/>
    <s v="ENX2088"/>
    <s v="A102"/>
    <s v="EMP1011"/>
    <s v="C1110"/>
    <x v="198"/>
    <n v="1"/>
    <n v="603"/>
    <n v="416"/>
    <n v="416"/>
    <n v="603"/>
    <n v="187"/>
    <s v="Product 89"/>
    <x v="44"/>
    <s v="Larry Marshall"/>
    <x v="620"/>
    <n v="2"/>
    <x v="1"/>
    <x v="8"/>
    <x v="8"/>
    <x v="2"/>
    <x v="0"/>
  </r>
  <r>
    <s v="AX23833"/>
    <s v="ENX2010"/>
    <s v="A162"/>
    <s v="EMP1004"/>
    <s v="C1047"/>
    <x v="195"/>
    <n v="1"/>
    <n v="1812"/>
    <n v="1305"/>
    <n v="1305"/>
    <n v="1812"/>
    <n v="507"/>
    <s v="Product 11"/>
    <x v="2"/>
    <s v="Kenneth Bradley"/>
    <x v="486"/>
    <n v="2"/>
    <x v="1"/>
    <x v="8"/>
    <x v="8"/>
    <x v="2"/>
    <x v="0"/>
  </r>
  <r>
    <s v="AX23891"/>
    <s v="ENX2086"/>
    <s v="A130"/>
    <s v="EMP1040"/>
    <s v="C1190"/>
    <x v="194"/>
    <n v="1"/>
    <n v="123"/>
    <n v="84"/>
    <n v="84"/>
    <n v="123"/>
    <n v="39"/>
    <s v="Product 87"/>
    <x v="4"/>
    <s v="Patrick Ruiz"/>
    <x v="1"/>
    <n v="2"/>
    <x v="1"/>
    <x v="8"/>
    <x v="8"/>
    <x v="2"/>
    <x v="0"/>
  </r>
  <r>
    <s v="AX24179"/>
    <s v="ENX2005"/>
    <s v="A124"/>
    <s v="EMP1033"/>
    <s v="C1493"/>
    <x v="198"/>
    <n v="2"/>
    <n v="684"/>
    <n v="561"/>
    <n v="1122"/>
    <n v="1368"/>
    <n v="246"/>
    <s v="Product 6"/>
    <x v="67"/>
    <s v="Jerry Perry"/>
    <x v="380"/>
    <n v="2"/>
    <x v="1"/>
    <x v="8"/>
    <x v="8"/>
    <x v="2"/>
    <x v="0"/>
  </r>
  <r>
    <s v="AX24182"/>
    <s v="ENX2051"/>
    <s v="A162"/>
    <s v="EMP1000"/>
    <s v="C1291"/>
    <x v="198"/>
    <n v="2"/>
    <n v="1077"/>
    <n v="732"/>
    <n v="1464"/>
    <n v="2154"/>
    <n v="690"/>
    <s v="Product 52"/>
    <x v="2"/>
    <s v="Fred Robertson"/>
    <x v="16"/>
    <n v="2"/>
    <x v="1"/>
    <x v="8"/>
    <x v="8"/>
    <x v="2"/>
    <x v="0"/>
  </r>
  <r>
    <s v="AX24220"/>
    <s v="ENX2062"/>
    <s v="A154"/>
    <s v="EMP1013"/>
    <s v="C1743"/>
    <x v="198"/>
    <n v="2"/>
    <n v="2464"/>
    <n v="1774"/>
    <n v="3548"/>
    <n v="4928"/>
    <n v="1380"/>
    <s v="Product 63"/>
    <x v="24"/>
    <s v="Charles Harper"/>
    <x v="276"/>
    <n v="2"/>
    <x v="1"/>
    <x v="8"/>
    <x v="8"/>
    <x v="2"/>
    <x v="0"/>
  </r>
  <r>
    <s v="AX24449"/>
    <s v="ENX2080"/>
    <s v="A108"/>
    <s v="EMP1011"/>
    <s v="C1768"/>
    <x v="194"/>
    <n v="4"/>
    <n v="2353"/>
    <n v="1788"/>
    <n v="7152"/>
    <n v="9412"/>
    <n v="2260"/>
    <s v="Product 81"/>
    <x v="49"/>
    <s v="Larry Marshall"/>
    <x v="496"/>
    <n v="2"/>
    <x v="1"/>
    <x v="8"/>
    <x v="8"/>
    <x v="2"/>
    <x v="0"/>
  </r>
  <r>
    <s v="AX24662"/>
    <s v="ENX2094"/>
    <s v="A103"/>
    <s v="EMP1043"/>
    <s v="C1794"/>
    <x v="196"/>
    <n v="1"/>
    <n v="771"/>
    <n v="648"/>
    <n v="648"/>
    <n v="771"/>
    <n v="123"/>
    <s v="Product 95"/>
    <x v="61"/>
    <s v="Joshua Taylor"/>
    <x v="411"/>
    <n v="2"/>
    <x v="1"/>
    <x v="8"/>
    <x v="8"/>
    <x v="2"/>
    <x v="0"/>
  </r>
  <r>
    <s v="AX24872"/>
    <s v="ENX2081"/>
    <s v="A145"/>
    <s v="EMP1037"/>
    <s v="C1611"/>
    <x v="194"/>
    <n v="3"/>
    <n v="1566"/>
    <n v="1190"/>
    <n v="3570"/>
    <n v="4698"/>
    <n v="1128"/>
    <s v="Product 82"/>
    <x v="35"/>
    <s v="Carl Hall"/>
    <x v="306"/>
    <n v="2"/>
    <x v="1"/>
    <x v="8"/>
    <x v="8"/>
    <x v="2"/>
    <x v="0"/>
  </r>
  <r>
    <s v="AX10022"/>
    <s v="ENX2077"/>
    <s v="A171"/>
    <s v="EMP1005"/>
    <s v="C1723"/>
    <x v="199"/>
    <n v="2"/>
    <n v="530"/>
    <n v="424"/>
    <n v="848"/>
    <n v="1060"/>
    <n v="212"/>
    <s v="Product 78"/>
    <x v="0"/>
    <s v="Ryan Welch"/>
    <x v="118"/>
    <n v="2"/>
    <x v="1"/>
    <x v="8"/>
    <x v="8"/>
    <x v="2"/>
    <x v="2"/>
  </r>
  <r>
    <s v="AX10851"/>
    <s v="ENX2051"/>
    <s v="A120"/>
    <s v="EMP1017"/>
    <s v="C1450"/>
    <x v="199"/>
    <n v="1"/>
    <n v="1077"/>
    <n v="732"/>
    <n v="732"/>
    <n v="1077"/>
    <n v="345"/>
    <s v="Product 52"/>
    <x v="20"/>
    <s v="Brian Hansen"/>
    <x v="13"/>
    <n v="2"/>
    <x v="1"/>
    <x v="8"/>
    <x v="8"/>
    <x v="2"/>
    <x v="2"/>
  </r>
  <r>
    <s v="AX11025"/>
    <s v="ENX2054"/>
    <s v="A116"/>
    <s v="EMP1008"/>
    <s v="C1105"/>
    <x v="200"/>
    <n v="4"/>
    <n v="127"/>
    <n v="79"/>
    <n v="316"/>
    <n v="508"/>
    <n v="192"/>
    <s v="Product 55"/>
    <x v="15"/>
    <s v="Carl Elliott"/>
    <x v="15"/>
    <n v="2"/>
    <x v="1"/>
    <x v="8"/>
    <x v="8"/>
    <x v="2"/>
    <x v="2"/>
  </r>
  <r>
    <s v="AX11431"/>
    <s v="ENX2066"/>
    <s v="A119"/>
    <s v="EMP1035"/>
    <s v="C1475"/>
    <x v="201"/>
    <n v="1"/>
    <n v="2091"/>
    <n v="1485"/>
    <n v="1485"/>
    <n v="2091"/>
    <n v="606"/>
    <s v="Product 67"/>
    <x v="16"/>
    <s v="Roger Ramos"/>
    <x v="527"/>
    <n v="2"/>
    <x v="1"/>
    <x v="8"/>
    <x v="8"/>
    <x v="2"/>
    <x v="2"/>
  </r>
  <r>
    <s v="AX11472"/>
    <s v="ENX2034"/>
    <s v="A123"/>
    <s v="EMP1024"/>
    <s v="C1661"/>
    <x v="200"/>
    <n v="1"/>
    <n v="871"/>
    <n v="540"/>
    <n v="540"/>
    <n v="871"/>
    <n v="331"/>
    <s v="Product 35"/>
    <x v="34"/>
    <s v="Ernest Wheeler"/>
    <x v="767"/>
    <n v="2"/>
    <x v="1"/>
    <x v="8"/>
    <x v="8"/>
    <x v="2"/>
    <x v="2"/>
  </r>
  <r>
    <s v="AX12076"/>
    <s v="ENX2091"/>
    <s v="A149"/>
    <s v="EMP1014"/>
    <s v="C1304"/>
    <x v="201"/>
    <n v="3"/>
    <n v="368"/>
    <n v="294"/>
    <n v="882"/>
    <n v="1104"/>
    <n v="222"/>
    <s v="Product 92"/>
    <x v="59"/>
    <s v="Ronald Reed"/>
    <x v="298"/>
    <n v="2"/>
    <x v="1"/>
    <x v="8"/>
    <x v="8"/>
    <x v="2"/>
    <x v="2"/>
  </r>
  <r>
    <s v="AX12146"/>
    <s v="ENX2046"/>
    <s v="A151"/>
    <s v="EMP1006"/>
    <s v="C1416"/>
    <x v="201"/>
    <n v="1"/>
    <n v="2410"/>
    <n v="1518"/>
    <n v="1518"/>
    <n v="2410"/>
    <n v="892"/>
    <s v="Product 47"/>
    <x v="1"/>
    <s v="Sean Miller"/>
    <x v="554"/>
    <n v="2"/>
    <x v="1"/>
    <x v="8"/>
    <x v="8"/>
    <x v="2"/>
    <x v="2"/>
  </r>
  <r>
    <s v="AX12453"/>
    <s v="ENX2072"/>
    <s v="A103"/>
    <s v="EMP1025"/>
    <s v="C1068"/>
    <x v="201"/>
    <n v="2"/>
    <n v="1887"/>
    <n v="1378"/>
    <n v="2756"/>
    <n v="3774"/>
    <n v="1018"/>
    <s v="Product 73"/>
    <x v="61"/>
    <s v="Ernest Wagner"/>
    <x v="288"/>
    <n v="2"/>
    <x v="1"/>
    <x v="8"/>
    <x v="8"/>
    <x v="2"/>
    <x v="2"/>
  </r>
  <r>
    <s v="AX12774"/>
    <s v="ENX2022"/>
    <s v="A115"/>
    <s v="EMP1015"/>
    <s v="C1074"/>
    <x v="199"/>
    <n v="1"/>
    <n v="561"/>
    <n v="421"/>
    <n v="421"/>
    <n v="561"/>
    <n v="140"/>
    <s v="Product 23"/>
    <x v="33"/>
    <s v="Justin Lynch"/>
    <x v="96"/>
    <n v="2"/>
    <x v="1"/>
    <x v="8"/>
    <x v="8"/>
    <x v="2"/>
    <x v="2"/>
  </r>
  <r>
    <s v="AX13392"/>
    <s v="ENX2031"/>
    <s v="A106"/>
    <s v="EMP1036"/>
    <s v="C1704"/>
    <x v="200"/>
    <n v="1"/>
    <n v="1638"/>
    <n v="1261"/>
    <n v="1261"/>
    <n v="1638"/>
    <n v="377"/>
    <s v="Product 32"/>
    <x v="11"/>
    <s v="Robert Reed"/>
    <x v="28"/>
    <n v="2"/>
    <x v="1"/>
    <x v="8"/>
    <x v="8"/>
    <x v="2"/>
    <x v="2"/>
  </r>
  <r>
    <s v="AX13674"/>
    <s v="ENX2008"/>
    <s v="A171"/>
    <s v="EMP1027"/>
    <s v="C1389"/>
    <x v="202"/>
    <n v="1"/>
    <n v="315"/>
    <n v="208"/>
    <n v="208"/>
    <n v="315"/>
    <n v="107"/>
    <s v="Product 9"/>
    <x v="0"/>
    <s v="Gary Rodriguez"/>
    <x v="38"/>
    <n v="2"/>
    <x v="1"/>
    <x v="8"/>
    <x v="8"/>
    <x v="2"/>
    <x v="2"/>
  </r>
  <r>
    <s v="AX13735"/>
    <s v="ENX2040"/>
    <s v="A143"/>
    <s v="EMP1043"/>
    <s v="C1791"/>
    <x v="201"/>
    <n v="4"/>
    <n v="1889"/>
    <n v="945"/>
    <n v="3780"/>
    <n v="7556"/>
    <n v="3776"/>
    <s v="Product 41"/>
    <x v="39"/>
    <s v="Joshua Taylor"/>
    <x v="193"/>
    <n v="2"/>
    <x v="1"/>
    <x v="8"/>
    <x v="8"/>
    <x v="2"/>
    <x v="2"/>
  </r>
  <r>
    <s v="AX13991"/>
    <s v="ENX2012"/>
    <s v="A149"/>
    <s v="EMP1013"/>
    <s v="C1143"/>
    <x v="199"/>
    <n v="2"/>
    <n v="1353"/>
    <n v="947"/>
    <n v="1894"/>
    <n v="2706"/>
    <n v="812"/>
    <s v="Product 13"/>
    <x v="59"/>
    <s v="Charles Harper"/>
    <x v="557"/>
    <n v="2"/>
    <x v="1"/>
    <x v="8"/>
    <x v="8"/>
    <x v="2"/>
    <x v="2"/>
  </r>
  <r>
    <s v="AX14164"/>
    <s v="ENX2004"/>
    <s v="A139"/>
    <s v="EMP1044"/>
    <s v="C1515"/>
    <x v="201"/>
    <n v="1"/>
    <n v="1278"/>
    <n v="665"/>
    <n v="665"/>
    <n v="1278"/>
    <n v="613"/>
    <s v="Product 5"/>
    <x v="38"/>
    <s v="Martin Carr"/>
    <x v="570"/>
    <n v="2"/>
    <x v="1"/>
    <x v="8"/>
    <x v="8"/>
    <x v="2"/>
    <x v="2"/>
  </r>
  <r>
    <s v="AX14332"/>
    <s v="ENX2034"/>
    <s v="A160"/>
    <s v="EMP1021"/>
    <s v="C1150"/>
    <x v="202"/>
    <n v="2"/>
    <n v="871"/>
    <n v="540"/>
    <n v="1080"/>
    <n v="1742"/>
    <n v="662"/>
    <s v="Product 35"/>
    <x v="9"/>
    <s v="Clarence Fox"/>
    <x v="456"/>
    <n v="2"/>
    <x v="1"/>
    <x v="8"/>
    <x v="8"/>
    <x v="2"/>
    <x v="2"/>
  </r>
  <r>
    <s v="AX14792"/>
    <s v="ENX2008"/>
    <s v="A172"/>
    <s v="EMP1027"/>
    <s v="C1191"/>
    <x v="200"/>
    <n v="2"/>
    <n v="315"/>
    <n v="208"/>
    <n v="416"/>
    <n v="630"/>
    <n v="214"/>
    <s v="Product 9"/>
    <x v="36"/>
    <s v="Gary Rodriguez"/>
    <x v="739"/>
    <n v="2"/>
    <x v="1"/>
    <x v="8"/>
    <x v="8"/>
    <x v="2"/>
    <x v="2"/>
  </r>
  <r>
    <s v="AX15208"/>
    <s v="ENX2027"/>
    <s v="A160"/>
    <s v="EMP1016"/>
    <s v="C1306"/>
    <x v="202"/>
    <n v="1"/>
    <n v="2497"/>
    <n v="1473"/>
    <n v="1473"/>
    <n v="2497"/>
    <n v="1024"/>
    <s v="Product 28"/>
    <x v="9"/>
    <s v="Henry Nelson"/>
    <x v="692"/>
    <n v="2"/>
    <x v="1"/>
    <x v="8"/>
    <x v="8"/>
    <x v="2"/>
    <x v="2"/>
  </r>
  <r>
    <s v="AX15256"/>
    <s v="ENX2047"/>
    <s v="A129"/>
    <s v="EMP1018"/>
    <s v="C1021"/>
    <x v="200"/>
    <n v="3"/>
    <n v="290"/>
    <n v="200"/>
    <n v="600"/>
    <n v="870"/>
    <n v="270"/>
    <s v="Product 48"/>
    <x v="22"/>
    <s v="Jimmy Young"/>
    <x v="246"/>
    <n v="2"/>
    <x v="1"/>
    <x v="8"/>
    <x v="8"/>
    <x v="2"/>
    <x v="2"/>
  </r>
  <r>
    <s v="AX15287"/>
    <s v="ENX2041"/>
    <s v="A137"/>
    <s v="EMP1007"/>
    <s v="C1063"/>
    <x v="201"/>
    <n v="3"/>
    <n v="1380"/>
    <n v="1090"/>
    <n v="3270"/>
    <n v="4140"/>
    <n v="870"/>
    <s v="Product 42"/>
    <x v="68"/>
    <s v="Jeremy Mendoza"/>
    <x v="296"/>
    <n v="2"/>
    <x v="1"/>
    <x v="8"/>
    <x v="8"/>
    <x v="2"/>
    <x v="2"/>
  </r>
  <r>
    <s v="AX15651"/>
    <s v="ENX2000"/>
    <s v="A167"/>
    <s v="EMP1025"/>
    <s v="C1565"/>
    <x v="200"/>
    <n v="4"/>
    <n v="2241"/>
    <n v="1367"/>
    <n v="5468"/>
    <n v="8964"/>
    <n v="3496"/>
    <s v="Product 1"/>
    <x v="64"/>
    <s v="Ernest Wagner"/>
    <x v="577"/>
    <n v="2"/>
    <x v="1"/>
    <x v="8"/>
    <x v="8"/>
    <x v="2"/>
    <x v="2"/>
  </r>
  <r>
    <s v="AX16329"/>
    <s v="ENX2025"/>
    <s v="A168"/>
    <s v="EMP1021"/>
    <s v="C1283"/>
    <x v="200"/>
    <n v="2"/>
    <n v="667"/>
    <n v="387"/>
    <n v="774"/>
    <n v="1334"/>
    <n v="560"/>
    <s v="Product 26"/>
    <x v="40"/>
    <s v="Clarence Fox"/>
    <x v="184"/>
    <n v="2"/>
    <x v="1"/>
    <x v="8"/>
    <x v="8"/>
    <x v="2"/>
    <x v="2"/>
  </r>
  <r>
    <s v="AX16832"/>
    <s v="ENX2040"/>
    <s v="A100"/>
    <s v="EMP1009"/>
    <s v="C1205"/>
    <x v="201"/>
    <n v="1"/>
    <n v="1889"/>
    <n v="945"/>
    <n v="945"/>
    <n v="1889"/>
    <n v="944"/>
    <s v="Product 41"/>
    <x v="52"/>
    <s v="Kenneth Fields"/>
    <x v="285"/>
    <n v="2"/>
    <x v="1"/>
    <x v="8"/>
    <x v="8"/>
    <x v="2"/>
    <x v="2"/>
  </r>
  <r>
    <s v="AX17321"/>
    <s v="ENX2098"/>
    <s v="A140"/>
    <s v="EMP1012"/>
    <s v="C1290"/>
    <x v="202"/>
    <n v="3"/>
    <n v="1178"/>
    <n v="683"/>
    <n v="2049"/>
    <n v="3534"/>
    <n v="1485"/>
    <s v="Product 99"/>
    <x v="18"/>
    <s v="John Reyes"/>
    <x v="675"/>
    <n v="2"/>
    <x v="1"/>
    <x v="8"/>
    <x v="8"/>
    <x v="2"/>
    <x v="2"/>
  </r>
  <r>
    <s v="AX17595"/>
    <s v="ENX2098"/>
    <s v="A142"/>
    <s v="EMP1014"/>
    <s v="C1780"/>
    <x v="201"/>
    <n v="1"/>
    <n v="1178"/>
    <n v="683"/>
    <n v="683"/>
    <n v="1178"/>
    <n v="495"/>
    <s v="Product 99"/>
    <x v="56"/>
    <s v="Ronald Reed"/>
    <x v="320"/>
    <n v="2"/>
    <x v="1"/>
    <x v="8"/>
    <x v="8"/>
    <x v="2"/>
    <x v="2"/>
  </r>
  <r>
    <s v="AX17712"/>
    <s v="ENX2053"/>
    <s v="A118"/>
    <s v="EMP1030"/>
    <s v="C1660"/>
    <x v="200"/>
    <n v="1"/>
    <n v="596"/>
    <n v="358"/>
    <n v="358"/>
    <n v="596"/>
    <n v="238"/>
    <s v="Product 54"/>
    <x v="19"/>
    <s v="Bobby Russell"/>
    <x v="146"/>
    <n v="2"/>
    <x v="1"/>
    <x v="8"/>
    <x v="8"/>
    <x v="2"/>
    <x v="2"/>
  </r>
  <r>
    <s v="AX17887"/>
    <s v="ENX2032"/>
    <s v="A148"/>
    <s v="EMP1014"/>
    <s v="C1035"/>
    <x v="202"/>
    <n v="1"/>
    <n v="1967"/>
    <n v="1397"/>
    <n v="1397"/>
    <n v="1967"/>
    <n v="570"/>
    <s v="Product 33"/>
    <x v="62"/>
    <s v="Ronald Reed"/>
    <x v="95"/>
    <n v="2"/>
    <x v="1"/>
    <x v="8"/>
    <x v="8"/>
    <x v="2"/>
    <x v="2"/>
  </r>
  <r>
    <s v="AX18269"/>
    <s v="ENX2014"/>
    <s v="A129"/>
    <s v="EMP1038"/>
    <s v="C1204"/>
    <x v="200"/>
    <n v="1"/>
    <n v="1809"/>
    <n v="1067"/>
    <n v="1067"/>
    <n v="1809"/>
    <n v="742"/>
    <s v="Product 15"/>
    <x v="22"/>
    <s v="Scott Mason"/>
    <x v="654"/>
    <n v="2"/>
    <x v="1"/>
    <x v="8"/>
    <x v="8"/>
    <x v="2"/>
    <x v="2"/>
  </r>
  <r>
    <s v="AX18473"/>
    <s v="ENX2044"/>
    <s v="A146"/>
    <s v="EMP1015"/>
    <s v="C1564"/>
    <x v="200"/>
    <n v="1"/>
    <n v="886"/>
    <n v="478"/>
    <n v="478"/>
    <n v="886"/>
    <n v="408"/>
    <s v="Product 45"/>
    <x v="27"/>
    <s v="Justin Lynch"/>
    <x v="302"/>
    <n v="2"/>
    <x v="1"/>
    <x v="8"/>
    <x v="8"/>
    <x v="2"/>
    <x v="2"/>
  </r>
  <r>
    <s v="AX18613"/>
    <s v="ENX2044"/>
    <s v="A161"/>
    <s v="EMP1034"/>
    <s v="C1099"/>
    <x v="200"/>
    <n v="1"/>
    <n v="886"/>
    <n v="478"/>
    <n v="478"/>
    <n v="886"/>
    <n v="408"/>
    <s v="Product 45"/>
    <x v="6"/>
    <s v="Arthur Mccoy"/>
    <x v="394"/>
    <n v="2"/>
    <x v="1"/>
    <x v="8"/>
    <x v="8"/>
    <x v="2"/>
    <x v="2"/>
  </r>
  <r>
    <s v="AX18781"/>
    <s v="ENX2033"/>
    <s v="A158"/>
    <s v="EMP1000"/>
    <s v="C1112"/>
    <x v="199"/>
    <n v="1"/>
    <n v="2182"/>
    <n v="1200"/>
    <n v="1200"/>
    <n v="2182"/>
    <n v="982"/>
    <s v="Product 34"/>
    <x v="58"/>
    <s v="Fred Robertson"/>
    <x v="590"/>
    <n v="2"/>
    <x v="1"/>
    <x v="8"/>
    <x v="8"/>
    <x v="2"/>
    <x v="2"/>
  </r>
  <r>
    <s v="AX19043"/>
    <s v="ENX2099"/>
    <s v="A164"/>
    <s v="EMP1031"/>
    <s v="C1443"/>
    <x v="202"/>
    <n v="3"/>
    <n v="1367"/>
    <n v="984"/>
    <n v="2952"/>
    <n v="4101"/>
    <n v="1149"/>
    <s v="Product 100"/>
    <x v="3"/>
    <s v="Brian Thomas"/>
    <x v="683"/>
    <n v="2"/>
    <x v="1"/>
    <x v="8"/>
    <x v="8"/>
    <x v="2"/>
    <x v="2"/>
  </r>
  <r>
    <s v="AX19402"/>
    <s v="ENX2042"/>
    <s v="A108"/>
    <s v="EMP1031"/>
    <s v="C1018"/>
    <x v="200"/>
    <n v="1"/>
    <n v="203"/>
    <n v="154"/>
    <n v="154"/>
    <n v="203"/>
    <n v="49"/>
    <s v="Product 43"/>
    <x v="49"/>
    <s v="Brian Thomas"/>
    <x v="138"/>
    <n v="2"/>
    <x v="1"/>
    <x v="8"/>
    <x v="8"/>
    <x v="2"/>
    <x v="2"/>
  </r>
  <r>
    <s v="AX19419"/>
    <s v="ENX2004"/>
    <s v="A144"/>
    <s v="EMP1027"/>
    <s v="C1703"/>
    <x v="202"/>
    <n v="3"/>
    <n v="1278"/>
    <n v="665"/>
    <n v="1995"/>
    <n v="3834"/>
    <n v="1839"/>
    <s v="Product 5"/>
    <x v="65"/>
    <s v="Gary Rodriguez"/>
    <x v="424"/>
    <n v="2"/>
    <x v="1"/>
    <x v="8"/>
    <x v="8"/>
    <x v="2"/>
    <x v="2"/>
  </r>
  <r>
    <s v="AX19897"/>
    <s v="ENX2084"/>
    <s v="A146"/>
    <s v="EMP1018"/>
    <s v="C1113"/>
    <x v="200"/>
    <n v="2"/>
    <n v="1783"/>
    <n v="1230"/>
    <n v="2460"/>
    <n v="3566"/>
    <n v="1106"/>
    <s v="Product 85"/>
    <x v="27"/>
    <s v="Jimmy Young"/>
    <x v="101"/>
    <n v="2"/>
    <x v="1"/>
    <x v="8"/>
    <x v="8"/>
    <x v="2"/>
    <x v="2"/>
  </r>
  <r>
    <s v="AX20001"/>
    <s v="ENX2079"/>
    <s v="A116"/>
    <s v="EMP1035"/>
    <s v="C1281"/>
    <x v="199"/>
    <n v="1"/>
    <n v="1725"/>
    <n v="1363"/>
    <n v="1363"/>
    <n v="1725"/>
    <n v="362"/>
    <s v="Product 80"/>
    <x v="15"/>
    <s v="Roger Ramos"/>
    <x v="216"/>
    <n v="2"/>
    <x v="1"/>
    <x v="8"/>
    <x v="8"/>
    <x v="2"/>
    <x v="2"/>
  </r>
  <r>
    <s v="AX20339"/>
    <s v="ENX2051"/>
    <s v="A152"/>
    <s v="EMP1020"/>
    <s v="C1209"/>
    <x v="201"/>
    <n v="4"/>
    <n v="1077"/>
    <n v="732"/>
    <n v="2928"/>
    <n v="4308"/>
    <n v="1380"/>
    <s v="Product 52"/>
    <x v="26"/>
    <s v="Ryan Butler"/>
    <x v="225"/>
    <n v="2"/>
    <x v="1"/>
    <x v="8"/>
    <x v="8"/>
    <x v="2"/>
    <x v="2"/>
  </r>
  <r>
    <s v="AX20558"/>
    <s v="ENX2072"/>
    <s v="A109"/>
    <s v="EMP1024"/>
    <s v="C1204"/>
    <x v="202"/>
    <n v="3"/>
    <n v="1887"/>
    <n v="1378"/>
    <n v="4134"/>
    <n v="5661"/>
    <n v="1527"/>
    <s v="Product 73"/>
    <x v="57"/>
    <s v="Ernest Wheeler"/>
    <x v="654"/>
    <n v="2"/>
    <x v="1"/>
    <x v="8"/>
    <x v="8"/>
    <x v="2"/>
    <x v="2"/>
  </r>
  <r>
    <s v="AX20563"/>
    <s v="ENX2022"/>
    <s v="A173"/>
    <s v="EMP1012"/>
    <s v="C1216"/>
    <x v="200"/>
    <n v="1"/>
    <n v="561"/>
    <n v="421"/>
    <n v="421"/>
    <n v="561"/>
    <n v="140"/>
    <s v="Product 23"/>
    <x v="25"/>
    <s v="John Reyes"/>
    <x v="580"/>
    <n v="2"/>
    <x v="1"/>
    <x v="8"/>
    <x v="8"/>
    <x v="2"/>
    <x v="2"/>
  </r>
  <r>
    <s v="AX20850"/>
    <s v="ENX2027"/>
    <s v="A123"/>
    <s v="EMP1010"/>
    <s v="C1022"/>
    <x v="199"/>
    <n v="4"/>
    <n v="2497"/>
    <n v="1473"/>
    <n v="5892"/>
    <n v="9988"/>
    <n v="4096"/>
    <s v="Product 28"/>
    <x v="34"/>
    <s v="Joshua Cook"/>
    <x v="249"/>
    <n v="2"/>
    <x v="1"/>
    <x v="8"/>
    <x v="8"/>
    <x v="2"/>
    <x v="2"/>
  </r>
  <r>
    <s v="AX20858"/>
    <s v="ENX2045"/>
    <s v="A114"/>
    <s v="EMP1020"/>
    <s v="C1404"/>
    <x v="201"/>
    <n v="1"/>
    <n v="556"/>
    <n v="395"/>
    <n v="395"/>
    <n v="556"/>
    <n v="161"/>
    <s v="Product 46"/>
    <x v="28"/>
    <s v="Ryan Butler"/>
    <x v="75"/>
    <n v="2"/>
    <x v="1"/>
    <x v="8"/>
    <x v="8"/>
    <x v="2"/>
    <x v="2"/>
  </r>
  <r>
    <s v="AX20918"/>
    <s v="ENX2055"/>
    <s v="A168"/>
    <s v="EMP1005"/>
    <s v="C1409"/>
    <x v="199"/>
    <n v="2"/>
    <n v="2495"/>
    <n v="1896"/>
    <n v="3792"/>
    <n v="4990"/>
    <n v="1198"/>
    <s v="Product 56"/>
    <x v="40"/>
    <s v="Ryan Welch"/>
    <x v="44"/>
    <n v="2"/>
    <x v="1"/>
    <x v="8"/>
    <x v="8"/>
    <x v="2"/>
    <x v="2"/>
  </r>
  <r>
    <s v="AX21152"/>
    <s v="ENX2078"/>
    <s v="A119"/>
    <s v="EMP1000"/>
    <s v="C1369"/>
    <x v="199"/>
    <n v="1"/>
    <n v="1798"/>
    <n v="971"/>
    <n v="971"/>
    <n v="1798"/>
    <n v="827"/>
    <s v="Product 79"/>
    <x v="16"/>
    <s v="Fred Robertson"/>
    <x v="126"/>
    <n v="2"/>
    <x v="1"/>
    <x v="8"/>
    <x v="8"/>
    <x v="2"/>
    <x v="2"/>
  </r>
  <r>
    <s v="AX21182"/>
    <s v="ENX2086"/>
    <s v="A104"/>
    <s v="EMP1009"/>
    <s v="C1540"/>
    <x v="202"/>
    <n v="1"/>
    <n v="123"/>
    <n v="84"/>
    <n v="84"/>
    <n v="123"/>
    <n v="39"/>
    <s v="Product 87"/>
    <x v="50"/>
    <s v="Kenneth Fields"/>
    <x v="493"/>
    <n v="2"/>
    <x v="1"/>
    <x v="8"/>
    <x v="8"/>
    <x v="2"/>
    <x v="2"/>
  </r>
  <r>
    <s v="AX21396"/>
    <s v="ENX2068"/>
    <s v="A107"/>
    <s v="EMP1023"/>
    <s v="C1617"/>
    <x v="201"/>
    <n v="2"/>
    <n v="1500"/>
    <n v="900"/>
    <n v="1800"/>
    <n v="3000"/>
    <n v="1200"/>
    <s v="Product 69"/>
    <x v="21"/>
    <s v="Brian Davis"/>
    <x v="195"/>
    <n v="2"/>
    <x v="1"/>
    <x v="8"/>
    <x v="8"/>
    <x v="2"/>
    <x v="2"/>
  </r>
  <r>
    <s v="AX21404"/>
    <s v="ENX2023"/>
    <s v="A113"/>
    <s v="EMP1035"/>
    <s v="C1028"/>
    <x v="201"/>
    <n v="3"/>
    <n v="818"/>
    <n v="450"/>
    <n v="1350"/>
    <n v="2454"/>
    <n v="1104"/>
    <s v="Product 24"/>
    <x v="73"/>
    <s v="Roger Ramos"/>
    <x v="135"/>
    <n v="2"/>
    <x v="1"/>
    <x v="8"/>
    <x v="8"/>
    <x v="2"/>
    <x v="2"/>
  </r>
  <r>
    <s v="AX21736"/>
    <s v="ENX2098"/>
    <s v="A116"/>
    <s v="EMP1014"/>
    <s v="C1426"/>
    <x v="202"/>
    <n v="4"/>
    <n v="1178"/>
    <n v="683"/>
    <n v="2732"/>
    <n v="4712"/>
    <n v="1980"/>
    <s v="Product 99"/>
    <x v="15"/>
    <s v="Ronald Reed"/>
    <x v="127"/>
    <n v="2"/>
    <x v="1"/>
    <x v="8"/>
    <x v="8"/>
    <x v="2"/>
    <x v="2"/>
  </r>
  <r>
    <s v="AX22027"/>
    <s v="ENX2061"/>
    <s v="A156"/>
    <s v="EMP1025"/>
    <s v="C1717"/>
    <x v="201"/>
    <n v="2"/>
    <n v="913"/>
    <n v="584"/>
    <n v="1168"/>
    <n v="1826"/>
    <n v="658"/>
    <s v="Product 62"/>
    <x v="14"/>
    <s v="Ernest Wagner"/>
    <x v="605"/>
    <n v="2"/>
    <x v="1"/>
    <x v="8"/>
    <x v="8"/>
    <x v="2"/>
    <x v="2"/>
  </r>
  <r>
    <s v="AX22420"/>
    <s v="ENX2100"/>
    <s v="A138"/>
    <s v="EMP1006"/>
    <s v="C1717"/>
    <x v="200"/>
    <n v="1"/>
    <n v="799"/>
    <n v="455"/>
    <n v="455"/>
    <n v="799"/>
    <n v="344"/>
    <s v="Product 101"/>
    <x v="37"/>
    <s v="Sean Miller"/>
    <x v="605"/>
    <n v="2"/>
    <x v="1"/>
    <x v="8"/>
    <x v="8"/>
    <x v="2"/>
    <x v="2"/>
  </r>
  <r>
    <s v="AX22931"/>
    <s v="ENX2060"/>
    <s v="A130"/>
    <s v="EMP1026"/>
    <s v="C1071"/>
    <x v="199"/>
    <n v="2"/>
    <n v="1467"/>
    <n v="807"/>
    <n v="1614"/>
    <n v="2934"/>
    <n v="1320"/>
    <s v="Product 61"/>
    <x v="4"/>
    <s v="Martin Perry"/>
    <x v="264"/>
    <n v="2"/>
    <x v="1"/>
    <x v="8"/>
    <x v="8"/>
    <x v="2"/>
    <x v="2"/>
  </r>
  <r>
    <s v="AX24330"/>
    <s v="ENX2055"/>
    <s v="A139"/>
    <s v="EMP1003"/>
    <s v="C1189"/>
    <x v="200"/>
    <n v="3"/>
    <n v="2495"/>
    <n v="1896"/>
    <n v="5688"/>
    <n v="7485"/>
    <n v="1797"/>
    <s v="Product 56"/>
    <x v="38"/>
    <s v="Christopher Tucker"/>
    <x v="752"/>
    <n v="2"/>
    <x v="1"/>
    <x v="8"/>
    <x v="8"/>
    <x v="2"/>
    <x v="2"/>
  </r>
  <r>
    <s v="AX24550"/>
    <s v="ENX2092"/>
    <s v="A135"/>
    <s v="EMP1027"/>
    <s v="C1775"/>
    <x v="201"/>
    <n v="3"/>
    <n v="1639"/>
    <n v="1295"/>
    <n v="3885"/>
    <n v="4917"/>
    <n v="1032"/>
    <s v="Product 93"/>
    <x v="10"/>
    <s v="Gary Rodriguez"/>
    <x v="69"/>
    <n v="2"/>
    <x v="1"/>
    <x v="8"/>
    <x v="8"/>
    <x v="2"/>
    <x v="2"/>
  </r>
  <r>
    <s v="AX24611"/>
    <s v="ENX2069"/>
    <s v="A130"/>
    <s v="EMP1026"/>
    <s v="C1542"/>
    <x v="199"/>
    <n v="1"/>
    <n v="378"/>
    <n v="291"/>
    <n v="291"/>
    <n v="378"/>
    <n v="87"/>
    <s v="Product 70"/>
    <x v="4"/>
    <s v="Martin Perry"/>
    <x v="712"/>
    <n v="2"/>
    <x v="1"/>
    <x v="8"/>
    <x v="8"/>
    <x v="2"/>
    <x v="2"/>
  </r>
  <r>
    <s v="AX10167"/>
    <s v="ENX2004"/>
    <s v="A144"/>
    <s v="EMP1043"/>
    <s v="C1286"/>
    <x v="203"/>
    <n v="1"/>
    <n v="1278"/>
    <n v="665"/>
    <n v="665"/>
    <n v="1278"/>
    <n v="613"/>
    <s v="Product 5"/>
    <x v="65"/>
    <s v="Joshua Taylor"/>
    <x v="308"/>
    <n v="2"/>
    <x v="1"/>
    <x v="9"/>
    <x v="9"/>
    <x v="3"/>
    <x v="0"/>
  </r>
  <r>
    <s v="AX10397"/>
    <s v="ENX2049"/>
    <s v="A124"/>
    <s v="EMP1036"/>
    <s v="C1082"/>
    <x v="204"/>
    <n v="2"/>
    <n v="826"/>
    <n v="562"/>
    <n v="1124"/>
    <n v="1652"/>
    <n v="528"/>
    <s v="Product 50"/>
    <x v="67"/>
    <s v="Robert Reed"/>
    <x v="145"/>
    <n v="2"/>
    <x v="1"/>
    <x v="9"/>
    <x v="9"/>
    <x v="3"/>
    <x v="0"/>
  </r>
  <r>
    <s v="AX10548"/>
    <s v="ENX2048"/>
    <s v="A173"/>
    <s v="EMP1007"/>
    <s v="C1154"/>
    <x v="204"/>
    <n v="3"/>
    <n v="502"/>
    <n v="296"/>
    <n v="888"/>
    <n v="1506"/>
    <n v="618"/>
    <s v="Product 49"/>
    <x v="25"/>
    <s v="Jeremy Mendoza"/>
    <x v="243"/>
    <n v="2"/>
    <x v="1"/>
    <x v="9"/>
    <x v="9"/>
    <x v="3"/>
    <x v="0"/>
  </r>
  <r>
    <s v="AX10571"/>
    <s v="ENX2032"/>
    <s v="A158"/>
    <s v="EMP1012"/>
    <s v="C1395"/>
    <x v="203"/>
    <n v="1"/>
    <n v="1967"/>
    <n v="1397"/>
    <n v="1397"/>
    <n v="1967"/>
    <n v="570"/>
    <s v="Product 33"/>
    <x v="58"/>
    <s v="John Reyes"/>
    <x v="202"/>
    <n v="2"/>
    <x v="1"/>
    <x v="9"/>
    <x v="9"/>
    <x v="3"/>
    <x v="0"/>
  </r>
  <r>
    <s v="AX10777"/>
    <s v="ENX2088"/>
    <s v="A160"/>
    <s v="EMP1009"/>
    <s v="C1200"/>
    <x v="204"/>
    <n v="1"/>
    <n v="603"/>
    <n v="416"/>
    <n v="416"/>
    <n v="603"/>
    <n v="187"/>
    <s v="Product 89"/>
    <x v="9"/>
    <s v="Kenneth Fields"/>
    <x v="778"/>
    <n v="2"/>
    <x v="1"/>
    <x v="9"/>
    <x v="9"/>
    <x v="3"/>
    <x v="0"/>
  </r>
  <r>
    <s v="AX10927"/>
    <s v="ENX2022"/>
    <s v="A103"/>
    <s v="EMP1010"/>
    <s v="C1037"/>
    <x v="205"/>
    <n v="1"/>
    <n v="561"/>
    <n v="421"/>
    <n v="421"/>
    <n v="561"/>
    <n v="140"/>
    <s v="Product 23"/>
    <x v="61"/>
    <s v="Joshua Cook"/>
    <x v="779"/>
    <n v="2"/>
    <x v="1"/>
    <x v="9"/>
    <x v="9"/>
    <x v="3"/>
    <x v="0"/>
  </r>
  <r>
    <s v="AX11100"/>
    <s v="ENX2029"/>
    <s v="A171"/>
    <s v="EMP1033"/>
    <s v="C1665"/>
    <x v="204"/>
    <n v="1"/>
    <n v="1848"/>
    <n v="1294"/>
    <n v="1294"/>
    <n v="1848"/>
    <n v="554"/>
    <s v="Product 30"/>
    <x v="0"/>
    <s v="Jerry Perry"/>
    <x v="615"/>
    <n v="2"/>
    <x v="1"/>
    <x v="9"/>
    <x v="9"/>
    <x v="3"/>
    <x v="0"/>
  </r>
  <r>
    <s v="AX11236"/>
    <s v="ENX2035"/>
    <s v="A170"/>
    <s v="EMP1042"/>
    <s v="C1289"/>
    <x v="204"/>
    <n v="1"/>
    <n v="458"/>
    <n v="376"/>
    <n v="376"/>
    <n v="458"/>
    <n v="82"/>
    <s v="Product 36"/>
    <x v="47"/>
    <s v="Scott Clark"/>
    <x v="328"/>
    <n v="2"/>
    <x v="1"/>
    <x v="9"/>
    <x v="9"/>
    <x v="3"/>
    <x v="0"/>
  </r>
  <r>
    <s v="AX11544"/>
    <s v="ENX2088"/>
    <s v="A107"/>
    <s v="EMP1020"/>
    <s v="C1217"/>
    <x v="206"/>
    <n v="1"/>
    <n v="603"/>
    <n v="416"/>
    <n v="416"/>
    <n v="603"/>
    <n v="187"/>
    <s v="Product 89"/>
    <x v="21"/>
    <s v="Ryan Butler"/>
    <x v="619"/>
    <n v="2"/>
    <x v="1"/>
    <x v="9"/>
    <x v="9"/>
    <x v="3"/>
    <x v="0"/>
  </r>
  <r>
    <s v="AX11853"/>
    <s v="ENX2068"/>
    <s v="A123"/>
    <s v="EMP1023"/>
    <s v="C1057"/>
    <x v="204"/>
    <n v="3"/>
    <n v="1500"/>
    <n v="900"/>
    <n v="2700"/>
    <n v="4500"/>
    <n v="1800"/>
    <s v="Product 69"/>
    <x v="34"/>
    <s v="Brian Davis"/>
    <x v="635"/>
    <n v="2"/>
    <x v="1"/>
    <x v="9"/>
    <x v="9"/>
    <x v="3"/>
    <x v="0"/>
  </r>
  <r>
    <s v="AX12091"/>
    <s v="ENX2100"/>
    <s v="A164"/>
    <s v="EMP1003"/>
    <s v="C1298"/>
    <x v="206"/>
    <n v="4"/>
    <n v="799"/>
    <n v="455"/>
    <n v="1820"/>
    <n v="3196"/>
    <n v="1376"/>
    <s v="Product 101"/>
    <x v="3"/>
    <s v="Christopher Tucker"/>
    <x v="623"/>
    <n v="2"/>
    <x v="1"/>
    <x v="9"/>
    <x v="9"/>
    <x v="3"/>
    <x v="0"/>
  </r>
  <r>
    <s v="AX12164"/>
    <s v="ENX2098"/>
    <s v="A143"/>
    <s v="EMP1044"/>
    <s v="C1082"/>
    <x v="206"/>
    <n v="1"/>
    <n v="1178"/>
    <n v="683"/>
    <n v="683"/>
    <n v="1178"/>
    <n v="495"/>
    <s v="Product 99"/>
    <x v="39"/>
    <s v="Martin Carr"/>
    <x v="145"/>
    <n v="2"/>
    <x v="1"/>
    <x v="9"/>
    <x v="9"/>
    <x v="3"/>
    <x v="0"/>
  </r>
  <r>
    <s v="AX12181"/>
    <s v="ENX2042"/>
    <s v="A165"/>
    <s v="EMP1043"/>
    <s v="C1453"/>
    <x v="205"/>
    <n v="1"/>
    <n v="203"/>
    <n v="154"/>
    <n v="154"/>
    <n v="203"/>
    <n v="49"/>
    <s v="Product 43"/>
    <x v="55"/>
    <s v="Joshua Taylor"/>
    <x v="194"/>
    <n v="2"/>
    <x v="1"/>
    <x v="9"/>
    <x v="9"/>
    <x v="3"/>
    <x v="0"/>
  </r>
  <r>
    <s v="AX12190"/>
    <s v="ENX2061"/>
    <s v="A162"/>
    <s v="EMP1003"/>
    <s v="C1628"/>
    <x v="205"/>
    <n v="1"/>
    <n v="913"/>
    <n v="584"/>
    <n v="584"/>
    <n v="913"/>
    <n v="329"/>
    <s v="Product 62"/>
    <x v="2"/>
    <s v="Christopher Tucker"/>
    <x v="161"/>
    <n v="2"/>
    <x v="1"/>
    <x v="9"/>
    <x v="9"/>
    <x v="3"/>
    <x v="0"/>
  </r>
  <r>
    <s v="AX12413"/>
    <s v="ENX2042"/>
    <s v="A110"/>
    <s v="EMP1021"/>
    <s v="C1321"/>
    <x v="203"/>
    <n v="3"/>
    <n v="203"/>
    <n v="154"/>
    <n v="462"/>
    <n v="609"/>
    <n v="147"/>
    <s v="Product 43"/>
    <x v="63"/>
    <s v="Clarence Fox"/>
    <x v="775"/>
    <n v="2"/>
    <x v="1"/>
    <x v="9"/>
    <x v="9"/>
    <x v="3"/>
    <x v="0"/>
  </r>
  <r>
    <s v="AX12768"/>
    <s v="ENX2025"/>
    <s v="A129"/>
    <s v="EMP1035"/>
    <s v="C1363"/>
    <x v="205"/>
    <n v="3"/>
    <n v="667"/>
    <n v="387"/>
    <n v="1161"/>
    <n v="2001"/>
    <n v="840"/>
    <s v="Product 26"/>
    <x v="22"/>
    <s v="Roger Ramos"/>
    <x v="505"/>
    <n v="2"/>
    <x v="1"/>
    <x v="9"/>
    <x v="9"/>
    <x v="3"/>
    <x v="0"/>
  </r>
  <r>
    <s v="AX12856"/>
    <s v="ENX2067"/>
    <s v="A135"/>
    <s v="EMP1028"/>
    <s v="C1099"/>
    <x v="204"/>
    <n v="2"/>
    <n v="1119"/>
    <n v="683"/>
    <n v="1366"/>
    <n v="2238"/>
    <n v="872"/>
    <s v="Product 68"/>
    <x v="10"/>
    <s v="Howard Sims"/>
    <x v="394"/>
    <n v="2"/>
    <x v="1"/>
    <x v="9"/>
    <x v="9"/>
    <x v="3"/>
    <x v="0"/>
  </r>
  <r>
    <s v="AX12894"/>
    <s v="ENX2006"/>
    <s v="A170"/>
    <s v="EMP1012"/>
    <s v="C1779"/>
    <x v="205"/>
    <n v="1"/>
    <n v="1826"/>
    <n v="1443"/>
    <n v="1443"/>
    <n v="1826"/>
    <n v="383"/>
    <s v="Product 7"/>
    <x v="47"/>
    <s v="John Reyes"/>
    <x v="648"/>
    <n v="2"/>
    <x v="1"/>
    <x v="9"/>
    <x v="9"/>
    <x v="3"/>
    <x v="0"/>
  </r>
  <r>
    <s v="AX13021"/>
    <s v="ENX2082"/>
    <s v="A152"/>
    <s v="EMP1007"/>
    <s v="C1485"/>
    <x v="205"/>
    <n v="2"/>
    <n v="1103"/>
    <n v="838"/>
    <n v="1676"/>
    <n v="2206"/>
    <n v="530"/>
    <s v="Product 83"/>
    <x v="26"/>
    <s v="Jeremy Mendoza"/>
    <x v="679"/>
    <n v="2"/>
    <x v="1"/>
    <x v="9"/>
    <x v="9"/>
    <x v="3"/>
    <x v="0"/>
  </r>
  <r>
    <s v="AX13118"/>
    <s v="ENX2041"/>
    <s v="A103"/>
    <s v="EMP1022"/>
    <s v="C1228"/>
    <x v="206"/>
    <n v="4"/>
    <n v="1380"/>
    <n v="1090"/>
    <n v="4360"/>
    <n v="5520"/>
    <n v="1160"/>
    <s v="Product 42"/>
    <x v="61"/>
    <s v="Walter Cook"/>
    <x v="530"/>
    <n v="2"/>
    <x v="1"/>
    <x v="9"/>
    <x v="9"/>
    <x v="3"/>
    <x v="0"/>
  </r>
  <r>
    <s v="AX13120"/>
    <s v="ENX2045"/>
    <s v="A101"/>
    <s v="EMP1016"/>
    <s v="C1763"/>
    <x v="203"/>
    <n v="1"/>
    <n v="556"/>
    <n v="395"/>
    <n v="395"/>
    <n v="556"/>
    <n v="161"/>
    <s v="Product 46"/>
    <x v="60"/>
    <s v="Henry Nelson"/>
    <x v="409"/>
    <n v="2"/>
    <x v="1"/>
    <x v="9"/>
    <x v="9"/>
    <x v="3"/>
    <x v="0"/>
  </r>
  <r>
    <s v="AX13224"/>
    <s v="ENX2046"/>
    <s v="A134"/>
    <s v="EMP1017"/>
    <s v="C1778"/>
    <x v="205"/>
    <n v="4"/>
    <n v="2410"/>
    <n v="1518"/>
    <n v="6072"/>
    <n v="9640"/>
    <n v="3568"/>
    <s v="Product 47"/>
    <x v="41"/>
    <s v="Brian Hansen"/>
    <x v="420"/>
    <n v="2"/>
    <x v="1"/>
    <x v="9"/>
    <x v="9"/>
    <x v="3"/>
    <x v="0"/>
  </r>
  <r>
    <s v="AX13491"/>
    <s v="ENX2095"/>
    <s v="A136"/>
    <s v="EMP1038"/>
    <s v="C1766"/>
    <x v="203"/>
    <n v="1"/>
    <n v="1743"/>
    <n v="872"/>
    <n v="872"/>
    <n v="1743"/>
    <n v="871"/>
    <s v="Product 96"/>
    <x v="43"/>
    <s v="Scott Mason"/>
    <x v="452"/>
    <n v="2"/>
    <x v="1"/>
    <x v="9"/>
    <x v="9"/>
    <x v="3"/>
    <x v="0"/>
  </r>
  <r>
    <s v="AX13517"/>
    <s v="ENX2074"/>
    <s v="A170"/>
    <s v="EMP1024"/>
    <s v="C1354"/>
    <x v="204"/>
    <n v="2"/>
    <n v="504"/>
    <n v="408"/>
    <n v="816"/>
    <n v="1008"/>
    <n v="192"/>
    <s v="Product 75"/>
    <x v="47"/>
    <s v="Ernest Wheeler"/>
    <x v="133"/>
    <n v="2"/>
    <x v="1"/>
    <x v="9"/>
    <x v="9"/>
    <x v="3"/>
    <x v="0"/>
  </r>
  <r>
    <s v="AX13873"/>
    <s v="ENX2000"/>
    <s v="A135"/>
    <s v="EMP1030"/>
    <s v="C1267"/>
    <x v="206"/>
    <n v="4"/>
    <n v="2241"/>
    <n v="1367"/>
    <n v="5468"/>
    <n v="8964"/>
    <n v="3496"/>
    <s v="Product 1"/>
    <x v="10"/>
    <s v="Bobby Russell"/>
    <x v="657"/>
    <n v="2"/>
    <x v="1"/>
    <x v="9"/>
    <x v="9"/>
    <x v="3"/>
    <x v="0"/>
  </r>
  <r>
    <s v="AX14313"/>
    <s v="ENX2035"/>
    <s v="A111"/>
    <s v="EMP1026"/>
    <s v="C1569"/>
    <x v="205"/>
    <n v="4"/>
    <n v="458"/>
    <n v="376"/>
    <n v="1504"/>
    <n v="1832"/>
    <n v="328"/>
    <s v="Product 36"/>
    <x v="54"/>
    <s v="Martin Perry"/>
    <x v="485"/>
    <n v="2"/>
    <x v="1"/>
    <x v="9"/>
    <x v="9"/>
    <x v="3"/>
    <x v="0"/>
  </r>
  <r>
    <s v="AX14417"/>
    <s v="ENX2066"/>
    <s v="A115"/>
    <s v="EMP1029"/>
    <s v="C1700"/>
    <x v="203"/>
    <n v="2"/>
    <n v="2091"/>
    <n v="1485"/>
    <n v="2970"/>
    <n v="4182"/>
    <n v="1212"/>
    <s v="Product 67"/>
    <x v="33"/>
    <s v="Howard Gardner"/>
    <x v="271"/>
    <n v="2"/>
    <x v="1"/>
    <x v="9"/>
    <x v="9"/>
    <x v="3"/>
    <x v="0"/>
  </r>
  <r>
    <s v="AX14424"/>
    <s v="ENX2064"/>
    <s v="A156"/>
    <s v="EMP1002"/>
    <s v="C1750"/>
    <x v="204"/>
    <n v="2"/>
    <n v="1414"/>
    <n v="962"/>
    <n v="1924"/>
    <n v="2828"/>
    <n v="904"/>
    <s v="Product 65"/>
    <x v="14"/>
    <s v="Andrew Bowman"/>
    <x v="591"/>
    <n v="2"/>
    <x v="1"/>
    <x v="9"/>
    <x v="9"/>
    <x v="3"/>
    <x v="0"/>
  </r>
  <r>
    <s v="AX14644"/>
    <s v="ENX2079"/>
    <s v="A114"/>
    <s v="EMP1031"/>
    <s v="C1578"/>
    <x v="206"/>
    <n v="3"/>
    <n v="1725"/>
    <n v="1363"/>
    <n v="4089"/>
    <n v="5175"/>
    <n v="1086"/>
    <s v="Product 80"/>
    <x v="28"/>
    <s v="Brian Thomas"/>
    <x v="17"/>
    <n v="2"/>
    <x v="1"/>
    <x v="9"/>
    <x v="9"/>
    <x v="3"/>
    <x v="0"/>
  </r>
  <r>
    <s v="AX15547"/>
    <s v="ENX2047"/>
    <s v="A140"/>
    <s v="EMP1027"/>
    <s v="C1171"/>
    <x v="203"/>
    <n v="1"/>
    <n v="290"/>
    <n v="200"/>
    <n v="200"/>
    <n v="290"/>
    <n v="90"/>
    <s v="Product 48"/>
    <x v="18"/>
    <s v="Gary Rodriguez"/>
    <x v="150"/>
    <n v="2"/>
    <x v="1"/>
    <x v="9"/>
    <x v="9"/>
    <x v="3"/>
    <x v="0"/>
  </r>
  <r>
    <s v="AX15619"/>
    <s v="ENX2070"/>
    <s v="A114"/>
    <s v="EMP1005"/>
    <s v="C1495"/>
    <x v="203"/>
    <n v="1"/>
    <n v="1671"/>
    <n v="1220"/>
    <n v="1220"/>
    <n v="1671"/>
    <n v="451"/>
    <s v="Product 71"/>
    <x v="28"/>
    <s v="Ryan Welch"/>
    <x v="780"/>
    <n v="2"/>
    <x v="1"/>
    <x v="9"/>
    <x v="9"/>
    <x v="3"/>
    <x v="0"/>
  </r>
  <r>
    <s v="AX15667"/>
    <s v="ENX2056"/>
    <s v="A121"/>
    <s v="EMP1023"/>
    <s v="C1746"/>
    <x v="205"/>
    <n v="2"/>
    <n v="1635"/>
    <n v="1046"/>
    <n v="2092"/>
    <n v="3270"/>
    <n v="1178"/>
    <s v="Product 57"/>
    <x v="72"/>
    <s v="Brian Davis"/>
    <x v="693"/>
    <n v="2"/>
    <x v="1"/>
    <x v="9"/>
    <x v="9"/>
    <x v="3"/>
    <x v="0"/>
  </r>
  <r>
    <s v="AX16192"/>
    <s v="ENX2036"/>
    <s v="A116"/>
    <s v="EMP1039"/>
    <s v="C1246"/>
    <x v="205"/>
    <n v="3"/>
    <n v="1582"/>
    <n v="1234"/>
    <n v="3702"/>
    <n v="4746"/>
    <n v="1044"/>
    <s v="Product 37"/>
    <x v="15"/>
    <s v="Eugene Holmes"/>
    <x v="665"/>
    <n v="2"/>
    <x v="1"/>
    <x v="9"/>
    <x v="9"/>
    <x v="3"/>
    <x v="0"/>
  </r>
  <r>
    <s v="AX16270"/>
    <s v="ENX2081"/>
    <s v="A126"/>
    <s v="EMP1015"/>
    <s v="C1697"/>
    <x v="204"/>
    <n v="1"/>
    <n v="1566"/>
    <n v="1190"/>
    <n v="1190"/>
    <n v="1566"/>
    <n v="376"/>
    <s v="Product 82"/>
    <x v="5"/>
    <s v="Justin Lynch"/>
    <x v="589"/>
    <n v="2"/>
    <x v="1"/>
    <x v="9"/>
    <x v="9"/>
    <x v="3"/>
    <x v="0"/>
  </r>
  <r>
    <s v="AX16356"/>
    <s v="ENX2074"/>
    <s v="A168"/>
    <s v="EMP1028"/>
    <s v="C1728"/>
    <x v="203"/>
    <n v="1"/>
    <n v="504"/>
    <n v="408"/>
    <n v="408"/>
    <n v="504"/>
    <n v="96"/>
    <s v="Product 75"/>
    <x v="40"/>
    <s v="Howard Sims"/>
    <x v="446"/>
    <n v="2"/>
    <x v="1"/>
    <x v="9"/>
    <x v="9"/>
    <x v="3"/>
    <x v="0"/>
  </r>
  <r>
    <s v="AX16787"/>
    <s v="ENX2061"/>
    <s v="A115"/>
    <s v="EMP1009"/>
    <s v="C1571"/>
    <x v="204"/>
    <n v="1"/>
    <n v="913"/>
    <n v="584"/>
    <n v="584"/>
    <n v="913"/>
    <n v="329"/>
    <s v="Product 62"/>
    <x v="33"/>
    <s v="Kenneth Fields"/>
    <x v="316"/>
    <n v="2"/>
    <x v="1"/>
    <x v="9"/>
    <x v="9"/>
    <x v="3"/>
    <x v="0"/>
  </r>
  <r>
    <s v="AX16804"/>
    <s v="ENX2087"/>
    <s v="A100"/>
    <s v="EMP1002"/>
    <s v="C1242"/>
    <x v="203"/>
    <n v="1"/>
    <n v="1022"/>
    <n v="818"/>
    <n v="818"/>
    <n v="1022"/>
    <n v="204"/>
    <s v="Product 88"/>
    <x v="52"/>
    <s v="Andrew Bowman"/>
    <x v="781"/>
    <n v="2"/>
    <x v="1"/>
    <x v="9"/>
    <x v="9"/>
    <x v="3"/>
    <x v="0"/>
  </r>
  <r>
    <s v="AX16964"/>
    <s v="ENX2045"/>
    <s v="A138"/>
    <s v="EMP1019"/>
    <s v="C1735"/>
    <x v="205"/>
    <n v="1"/>
    <n v="556"/>
    <n v="395"/>
    <n v="395"/>
    <n v="556"/>
    <n v="161"/>
    <s v="Product 46"/>
    <x v="37"/>
    <s v="Roger Robertson"/>
    <x v="8"/>
    <n v="2"/>
    <x v="1"/>
    <x v="9"/>
    <x v="9"/>
    <x v="3"/>
    <x v="0"/>
  </r>
  <r>
    <s v="AX17250"/>
    <s v="ENX2051"/>
    <s v="A116"/>
    <s v="EMP1004"/>
    <s v="C1554"/>
    <x v="204"/>
    <n v="4"/>
    <n v="1077"/>
    <n v="732"/>
    <n v="2928"/>
    <n v="4308"/>
    <n v="1380"/>
    <s v="Product 52"/>
    <x v="15"/>
    <s v="Kenneth Bradley"/>
    <x v="516"/>
    <n v="2"/>
    <x v="1"/>
    <x v="9"/>
    <x v="9"/>
    <x v="3"/>
    <x v="0"/>
  </r>
  <r>
    <s v="AX17471"/>
    <s v="ENX2023"/>
    <s v="A145"/>
    <s v="EMP1035"/>
    <s v="C1630"/>
    <x v="204"/>
    <n v="1"/>
    <n v="818"/>
    <n v="450"/>
    <n v="450"/>
    <n v="818"/>
    <n v="368"/>
    <s v="Product 24"/>
    <x v="35"/>
    <s v="Roger Ramos"/>
    <x v="154"/>
    <n v="2"/>
    <x v="1"/>
    <x v="9"/>
    <x v="9"/>
    <x v="3"/>
    <x v="0"/>
  </r>
  <r>
    <s v="AX17532"/>
    <s v="ENX2000"/>
    <s v="A129"/>
    <s v="EMP1015"/>
    <s v="C1030"/>
    <x v="204"/>
    <n v="1"/>
    <n v="2241"/>
    <n v="1367"/>
    <n v="1367"/>
    <n v="2241"/>
    <n v="874"/>
    <s v="Product 1"/>
    <x v="22"/>
    <s v="Justin Lynch"/>
    <x v="106"/>
    <n v="2"/>
    <x v="1"/>
    <x v="9"/>
    <x v="9"/>
    <x v="3"/>
    <x v="0"/>
  </r>
  <r>
    <s v="AX18740"/>
    <s v="ENX2009"/>
    <s v="A116"/>
    <s v="EMP1010"/>
    <s v="C1201"/>
    <x v="205"/>
    <n v="3"/>
    <n v="584"/>
    <n v="420"/>
    <n v="1260"/>
    <n v="1752"/>
    <n v="492"/>
    <s v="Product 10"/>
    <x v="15"/>
    <s v="Joshua Cook"/>
    <x v="760"/>
    <n v="2"/>
    <x v="1"/>
    <x v="9"/>
    <x v="9"/>
    <x v="3"/>
    <x v="0"/>
  </r>
  <r>
    <s v="AX19014"/>
    <s v="ENX2003"/>
    <s v="A131"/>
    <s v="EMP1027"/>
    <s v="C1220"/>
    <x v="203"/>
    <n v="2"/>
    <n v="1783"/>
    <n v="1516"/>
    <n v="3032"/>
    <n v="3566"/>
    <n v="534"/>
    <s v="Product 4"/>
    <x v="32"/>
    <s v="Gary Rodriguez"/>
    <x v="204"/>
    <n v="2"/>
    <x v="1"/>
    <x v="9"/>
    <x v="9"/>
    <x v="3"/>
    <x v="0"/>
  </r>
  <r>
    <s v="AX19401"/>
    <s v="ENX2001"/>
    <s v="A167"/>
    <s v="EMP1001"/>
    <s v="C1561"/>
    <x v="203"/>
    <n v="2"/>
    <n v="951"/>
    <n v="504"/>
    <n v="1008"/>
    <n v="1902"/>
    <n v="894"/>
    <s v="Product 2"/>
    <x v="64"/>
    <s v="Kevin Butler"/>
    <x v="114"/>
    <n v="2"/>
    <x v="1"/>
    <x v="9"/>
    <x v="9"/>
    <x v="3"/>
    <x v="0"/>
  </r>
  <r>
    <s v="AX19576"/>
    <s v="ENX2014"/>
    <s v="A128"/>
    <s v="EMP1012"/>
    <s v="C1632"/>
    <x v="205"/>
    <n v="1"/>
    <n v="1809"/>
    <n v="1067"/>
    <n v="1067"/>
    <n v="1809"/>
    <n v="742"/>
    <s v="Product 15"/>
    <x v="12"/>
    <s v="John Reyes"/>
    <x v="311"/>
    <n v="2"/>
    <x v="1"/>
    <x v="9"/>
    <x v="9"/>
    <x v="3"/>
    <x v="0"/>
  </r>
  <r>
    <s v="AX19820"/>
    <s v="ENX2033"/>
    <s v="A137"/>
    <s v="EMP1039"/>
    <s v="C1699"/>
    <x v="204"/>
    <n v="1"/>
    <n v="2182"/>
    <n v="1200"/>
    <n v="1200"/>
    <n v="2182"/>
    <n v="982"/>
    <s v="Product 34"/>
    <x v="68"/>
    <s v="Eugene Holmes"/>
    <x v="672"/>
    <n v="2"/>
    <x v="1"/>
    <x v="9"/>
    <x v="9"/>
    <x v="3"/>
    <x v="0"/>
  </r>
  <r>
    <s v="AX19883"/>
    <s v="ENX2069"/>
    <s v="A168"/>
    <s v="EMP1026"/>
    <s v="C1320"/>
    <x v="204"/>
    <n v="1"/>
    <n v="378"/>
    <n v="291"/>
    <n v="291"/>
    <n v="378"/>
    <n v="87"/>
    <s v="Product 70"/>
    <x v="40"/>
    <s v="Martin Perry"/>
    <x v="480"/>
    <n v="2"/>
    <x v="1"/>
    <x v="9"/>
    <x v="9"/>
    <x v="3"/>
    <x v="0"/>
  </r>
  <r>
    <s v="AX19987"/>
    <s v="ENX2010"/>
    <s v="A142"/>
    <s v="EMP1025"/>
    <s v="C1383"/>
    <x v="206"/>
    <n v="1"/>
    <n v="1812"/>
    <n v="1305"/>
    <n v="1305"/>
    <n v="1812"/>
    <n v="507"/>
    <s v="Product 11"/>
    <x v="56"/>
    <s v="Ernest Wagner"/>
    <x v="508"/>
    <n v="2"/>
    <x v="1"/>
    <x v="9"/>
    <x v="9"/>
    <x v="3"/>
    <x v="0"/>
  </r>
  <r>
    <s v="AX20225"/>
    <s v="ENX2009"/>
    <s v="A126"/>
    <s v="EMP1020"/>
    <s v="C1096"/>
    <x v="205"/>
    <n v="3"/>
    <n v="584"/>
    <n v="420"/>
    <n v="1260"/>
    <n v="1752"/>
    <n v="492"/>
    <s v="Product 10"/>
    <x v="5"/>
    <s v="Ryan Butler"/>
    <x v="91"/>
    <n v="2"/>
    <x v="1"/>
    <x v="9"/>
    <x v="9"/>
    <x v="3"/>
    <x v="0"/>
  </r>
  <r>
    <s v="AX20577"/>
    <s v="ENX2040"/>
    <s v="A107"/>
    <s v="EMP1016"/>
    <s v="C1168"/>
    <x v="205"/>
    <n v="1"/>
    <n v="1889"/>
    <n v="945"/>
    <n v="945"/>
    <n v="1889"/>
    <n v="944"/>
    <s v="Product 41"/>
    <x v="21"/>
    <s v="Henry Nelson"/>
    <x v="532"/>
    <n v="2"/>
    <x v="1"/>
    <x v="9"/>
    <x v="9"/>
    <x v="3"/>
    <x v="0"/>
  </r>
  <r>
    <s v="AX20887"/>
    <s v="ENX2083"/>
    <s v="A116"/>
    <s v="EMP1028"/>
    <s v="C1546"/>
    <x v="204"/>
    <n v="1"/>
    <n v="2141"/>
    <n v="1777"/>
    <n v="1777"/>
    <n v="2141"/>
    <n v="364"/>
    <s v="Product 84"/>
    <x v="15"/>
    <s v="Howard Sims"/>
    <x v="119"/>
    <n v="2"/>
    <x v="1"/>
    <x v="9"/>
    <x v="9"/>
    <x v="3"/>
    <x v="0"/>
  </r>
  <r>
    <s v="AX21011"/>
    <s v="ENX2068"/>
    <s v="A110"/>
    <s v="EMP1016"/>
    <s v="C1091"/>
    <x v="203"/>
    <n v="1"/>
    <n v="1500"/>
    <n v="900"/>
    <n v="900"/>
    <n v="1500"/>
    <n v="600"/>
    <s v="Product 69"/>
    <x v="63"/>
    <s v="Henry Nelson"/>
    <x v="513"/>
    <n v="2"/>
    <x v="1"/>
    <x v="9"/>
    <x v="9"/>
    <x v="3"/>
    <x v="0"/>
  </r>
  <r>
    <s v="AX21263"/>
    <s v="ENX2098"/>
    <s v="A111"/>
    <s v="EMP1007"/>
    <s v="C1564"/>
    <x v="203"/>
    <n v="3"/>
    <n v="1178"/>
    <n v="683"/>
    <n v="2049"/>
    <n v="3534"/>
    <n v="1485"/>
    <s v="Product 99"/>
    <x v="54"/>
    <s v="Jeremy Mendoza"/>
    <x v="302"/>
    <n v="2"/>
    <x v="1"/>
    <x v="9"/>
    <x v="9"/>
    <x v="3"/>
    <x v="0"/>
  </r>
  <r>
    <s v="AX21314"/>
    <s v="ENX2050"/>
    <s v="A120"/>
    <s v="EMP1034"/>
    <s v="C1289"/>
    <x v="203"/>
    <n v="1"/>
    <n v="2391"/>
    <n v="1291"/>
    <n v="1291"/>
    <n v="2391"/>
    <n v="1100"/>
    <s v="Product 51"/>
    <x v="20"/>
    <s v="Arthur Mccoy"/>
    <x v="328"/>
    <n v="2"/>
    <x v="1"/>
    <x v="9"/>
    <x v="9"/>
    <x v="3"/>
    <x v="0"/>
  </r>
  <r>
    <s v="AX21806"/>
    <s v="ENX2029"/>
    <s v="A122"/>
    <s v="EMP1013"/>
    <s v="C1222"/>
    <x v="203"/>
    <n v="1"/>
    <n v="1848"/>
    <n v="1294"/>
    <n v="1294"/>
    <n v="1848"/>
    <n v="554"/>
    <s v="Product 30"/>
    <x v="71"/>
    <s v="Charles Harper"/>
    <x v="691"/>
    <n v="2"/>
    <x v="1"/>
    <x v="9"/>
    <x v="9"/>
    <x v="3"/>
    <x v="0"/>
  </r>
  <r>
    <s v="AX21903"/>
    <s v="ENX2025"/>
    <s v="A143"/>
    <s v="EMP1014"/>
    <s v="C1444"/>
    <x v="206"/>
    <n v="1"/>
    <n v="667"/>
    <n v="387"/>
    <n v="387"/>
    <n v="667"/>
    <n v="280"/>
    <s v="Product 26"/>
    <x v="39"/>
    <s v="Ronald Reed"/>
    <x v="454"/>
    <n v="2"/>
    <x v="1"/>
    <x v="9"/>
    <x v="9"/>
    <x v="3"/>
    <x v="0"/>
  </r>
  <r>
    <s v="AX22783"/>
    <s v="ENX2034"/>
    <s v="A109"/>
    <s v="EMP1037"/>
    <s v="C1606"/>
    <x v="205"/>
    <n v="2"/>
    <n v="871"/>
    <n v="540"/>
    <n v="1080"/>
    <n v="1742"/>
    <n v="662"/>
    <s v="Product 35"/>
    <x v="57"/>
    <s v="Carl Hall"/>
    <x v="250"/>
    <n v="2"/>
    <x v="1"/>
    <x v="9"/>
    <x v="9"/>
    <x v="3"/>
    <x v="0"/>
  </r>
  <r>
    <s v="AX22836"/>
    <s v="ENX2039"/>
    <s v="A109"/>
    <s v="EMP1035"/>
    <s v="C1626"/>
    <x v="203"/>
    <n v="3"/>
    <n v="817"/>
    <n v="409"/>
    <n v="1227"/>
    <n v="2451"/>
    <n v="1224"/>
    <s v="Product 40"/>
    <x v="57"/>
    <s v="Roger Ramos"/>
    <x v="153"/>
    <n v="2"/>
    <x v="1"/>
    <x v="9"/>
    <x v="9"/>
    <x v="3"/>
    <x v="0"/>
  </r>
  <r>
    <s v="AX22940"/>
    <s v="ENX2089"/>
    <s v="A113"/>
    <s v="EMP1043"/>
    <s v="C1590"/>
    <x v="206"/>
    <n v="4"/>
    <n v="2294"/>
    <n v="1399"/>
    <n v="5596"/>
    <n v="9176"/>
    <n v="3580"/>
    <s v="Product 90"/>
    <x v="73"/>
    <s v="Joshua Taylor"/>
    <x v="735"/>
    <n v="2"/>
    <x v="1"/>
    <x v="9"/>
    <x v="9"/>
    <x v="3"/>
    <x v="0"/>
  </r>
  <r>
    <s v="AX23198"/>
    <s v="ENX2038"/>
    <s v="A109"/>
    <s v="EMP1010"/>
    <s v="C1619"/>
    <x v="205"/>
    <n v="4"/>
    <n v="392"/>
    <n v="255"/>
    <n v="1020"/>
    <n v="1568"/>
    <n v="548"/>
    <s v="Product 39"/>
    <x v="57"/>
    <s v="Joshua Cook"/>
    <x v="77"/>
    <n v="2"/>
    <x v="1"/>
    <x v="9"/>
    <x v="9"/>
    <x v="3"/>
    <x v="0"/>
  </r>
  <r>
    <s v="AX23770"/>
    <s v="ENX2013"/>
    <s v="A162"/>
    <s v="EMP1032"/>
    <s v="C1571"/>
    <x v="204"/>
    <n v="4"/>
    <n v="368"/>
    <n v="269"/>
    <n v="1076"/>
    <n v="1472"/>
    <n v="396"/>
    <s v="Product 14"/>
    <x v="2"/>
    <s v="Larry Castillo"/>
    <x v="316"/>
    <n v="2"/>
    <x v="1"/>
    <x v="9"/>
    <x v="9"/>
    <x v="3"/>
    <x v="0"/>
  </r>
  <r>
    <s v="AX23845"/>
    <s v="ENX2085"/>
    <s v="A104"/>
    <s v="EMP1038"/>
    <s v="C1742"/>
    <x v="206"/>
    <n v="3"/>
    <n v="1862"/>
    <n v="1173"/>
    <n v="3519"/>
    <n v="5586"/>
    <n v="2067"/>
    <s v="Product 86"/>
    <x v="50"/>
    <s v="Scott Mason"/>
    <x v="434"/>
    <n v="2"/>
    <x v="1"/>
    <x v="9"/>
    <x v="9"/>
    <x v="3"/>
    <x v="0"/>
  </r>
  <r>
    <s v="AX24555"/>
    <s v="ENX2041"/>
    <s v="A129"/>
    <s v="EMP1044"/>
    <s v="C1700"/>
    <x v="203"/>
    <n v="4"/>
    <n v="1380"/>
    <n v="1090"/>
    <n v="4360"/>
    <n v="5520"/>
    <n v="1160"/>
    <s v="Product 42"/>
    <x v="22"/>
    <s v="Martin Carr"/>
    <x v="271"/>
    <n v="2"/>
    <x v="1"/>
    <x v="9"/>
    <x v="9"/>
    <x v="3"/>
    <x v="0"/>
  </r>
  <r>
    <s v="AX24645"/>
    <s v="ENX2055"/>
    <s v="A163"/>
    <s v="EMP1026"/>
    <s v="C1150"/>
    <x v="203"/>
    <n v="1"/>
    <n v="2495"/>
    <n v="1896"/>
    <n v="1896"/>
    <n v="2495"/>
    <n v="599"/>
    <s v="Product 56"/>
    <x v="51"/>
    <s v="Martin Perry"/>
    <x v="456"/>
    <n v="2"/>
    <x v="1"/>
    <x v="9"/>
    <x v="9"/>
    <x v="3"/>
    <x v="0"/>
  </r>
  <r>
    <s v="AX10094"/>
    <s v="ENX2040"/>
    <s v="A143"/>
    <s v="EMP1016"/>
    <s v="C1780"/>
    <x v="207"/>
    <n v="4"/>
    <n v="1889"/>
    <n v="945"/>
    <n v="3780"/>
    <n v="7556"/>
    <n v="3776"/>
    <s v="Product 41"/>
    <x v="39"/>
    <s v="Henry Nelson"/>
    <x v="320"/>
    <n v="2"/>
    <x v="1"/>
    <x v="9"/>
    <x v="9"/>
    <x v="3"/>
    <x v="2"/>
  </r>
  <r>
    <s v="AX10474"/>
    <s v="ENX2040"/>
    <s v="A160"/>
    <s v="EMP1043"/>
    <s v="C1031"/>
    <x v="208"/>
    <n v="1"/>
    <n v="1889"/>
    <n v="945"/>
    <n v="945"/>
    <n v="1889"/>
    <n v="944"/>
    <s v="Product 41"/>
    <x v="9"/>
    <s v="Joshua Taylor"/>
    <x v="782"/>
    <n v="2"/>
    <x v="1"/>
    <x v="9"/>
    <x v="9"/>
    <x v="3"/>
    <x v="2"/>
  </r>
  <r>
    <s v="AX10678"/>
    <s v="ENX2041"/>
    <s v="A130"/>
    <s v="EMP1010"/>
    <s v="C1227"/>
    <x v="209"/>
    <n v="3"/>
    <n v="1380"/>
    <n v="1090"/>
    <n v="3270"/>
    <n v="4140"/>
    <n v="870"/>
    <s v="Product 42"/>
    <x v="4"/>
    <s v="Joshua Cook"/>
    <x v="765"/>
    <n v="2"/>
    <x v="1"/>
    <x v="9"/>
    <x v="9"/>
    <x v="3"/>
    <x v="2"/>
  </r>
  <r>
    <s v="AX10746"/>
    <s v="ENX2053"/>
    <s v="A102"/>
    <s v="EMP1013"/>
    <s v="C1061"/>
    <x v="210"/>
    <n v="3"/>
    <n v="596"/>
    <n v="358"/>
    <n v="1074"/>
    <n v="1788"/>
    <n v="714"/>
    <s v="Product 54"/>
    <x v="44"/>
    <s v="Charles Harper"/>
    <x v="228"/>
    <n v="2"/>
    <x v="1"/>
    <x v="9"/>
    <x v="9"/>
    <x v="3"/>
    <x v="2"/>
  </r>
  <r>
    <s v="AX10890"/>
    <s v="ENX2012"/>
    <s v="A119"/>
    <s v="EMP1003"/>
    <s v="C1579"/>
    <x v="208"/>
    <n v="1"/>
    <n v="1353"/>
    <n v="947"/>
    <n v="947"/>
    <n v="1353"/>
    <n v="406"/>
    <s v="Product 13"/>
    <x v="16"/>
    <s v="Christopher Tucker"/>
    <x v="422"/>
    <n v="2"/>
    <x v="1"/>
    <x v="9"/>
    <x v="9"/>
    <x v="3"/>
    <x v="2"/>
  </r>
  <r>
    <s v="AX11033"/>
    <s v="ENX2008"/>
    <s v="A148"/>
    <s v="EMP1042"/>
    <s v="C1171"/>
    <x v="211"/>
    <n v="2"/>
    <n v="315"/>
    <n v="208"/>
    <n v="416"/>
    <n v="630"/>
    <n v="214"/>
    <s v="Product 9"/>
    <x v="62"/>
    <s v="Scott Clark"/>
    <x v="150"/>
    <n v="2"/>
    <x v="1"/>
    <x v="9"/>
    <x v="9"/>
    <x v="3"/>
    <x v="2"/>
  </r>
  <r>
    <s v="AX11363"/>
    <s v="ENX2020"/>
    <s v="A161"/>
    <s v="EMP1025"/>
    <s v="C1675"/>
    <x v="208"/>
    <n v="4"/>
    <n v="2005"/>
    <n v="1223"/>
    <n v="4892"/>
    <n v="8020"/>
    <n v="3128"/>
    <s v="Product 21"/>
    <x v="6"/>
    <s v="Ernest Wagner"/>
    <x v="453"/>
    <n v="2"/>
    <x v="1"/>
    <x v="9"/>
    <x v="9"/>
    <x v="3"/>
    <x v="2"/>
  </r>
  <r>
    <s v="AX11639"/>
    <s v="ENX2030"/>
    <s v="A128"/>
    <s v="EMP1030"/>
    <s v="C1693"/>
    <x v="208"/>
    <n v="3"/>
    <n v="1899"/>
    <n v="1044"/>
    <n v="3132"/>
    <n v="5697"/>
    <n v="2565"/>
    <s v="Product 31"/>
    <x v="12"/>
    <s v="Bobby Russell"/>
    <x v="724"/>
    <n v="2"/>
    <x v="1"/>
    <x v="9"/>
    <x v="9"/>
    <x v="3"/>
    <x v="2"/>
  </r>
  <r>
    <s v="AX11686"/>
    <s v="ENX2091"/>
    <s v="A128"/>
    <s v="EMP1044"/>
    <s v="C1082"/>
    <x v="209"/>
    <n v="1"/>
    <n v="368"/>
    <n v="294"/>
    <n v="294"/>
    <n v="368"/>
    <n v="74"/>
    <s v="Product 92"/>
    <x v="12"/>
    <s v="Martin Carr"/>
    <x v="145"/>
    <n v="2"/>
    <x v="1"/>
    <x v="9"/>
    <x v="9"/>
    <x v="3"/>
    <x v="2"/>
  </r>
  <r>
    <s v="AX12125"/>
    <s v="ENX2076"/>
    <s v="A128"/>
    <s v="EMP1034"/>
    <s v="C1414"/>
    <x v="207"/>
    <n v="1"/>
    <n v="1522"/>
    <n v="791"/>
    <n v="791"/>
    <n v="1522"/>
    <n v="731"/>
    <s v="Product 77"/>
    <x v="12"/>
    <s v="Arthur Mccoy"/>
    <x v="140"/>
    <n v="2"/>
    <x v="1"/>
    <x v="9"/>
    <x v="9"/>
    <x v="3"/>
    <x v="2"/>
  </r>
  <r>
    <s v="AX12393"/>
    <s v="ENX2096"/>
    <s v="A135"/>
    <s v="EMP1017"/>
    <s v="C1536"/>
    <x v="210"/>
    <n v="1"/>
    <n v="1587"/>
    <n v="1301"/>
    <n v="1301"/>
    <n v="1587"/>
    <n v="286"/>
    <s v="Product 97"/>
    <x v="10"/>
    <s v="Brian Hansen"/>
    <x v="74"/>
    <n v="2"/>
    <x v="1"/>
    <x v="9"/>
    <x v="9"/>
    <x v="3"/>
    <x v="2"/>
  </r>
  <r>
    <s v="AX13156"/>
    <s v="ENX2080"/>
    <s v="A112"/>
    <s v="EMP1011"/>
    <s v="C1449"/>
    <x v="209"/>
    <n v="1"/>
    <n v="2353"/>
    <n v="1788"/>
    <n v="1788"/>
    <n v="2353"/>
    <n v="565"/>
    <s v="Product 81"/>
    <x v="66"/>
    <s v="Larry Marshall"/>
    <x v="230"/>
    <n v="2"/>
    <x v="1"/>
    <x v="9"/>
    <x v="9"/>
    <x v="3"/>
    <x v="2"/>
  </r>
  <r>
    <s v="AX13246"/>
    <s v="ENX2036"/>
    <s v="A107"/>
    <s v="EMP1007"/>
    <s v="C1796"/>
    <x v="208"/>
    <n v="2"/>
    <n v="1582"/>
    <n v="1234"/>
    <n v="2468"/>
    <n v="3164"/>
    <n v="696"/>
    <s v="Product 37"/>
    <x v="21"/>
    <s v="Jeremy Mendoza"/>
    <x v="630"/>
    <n v="2"/>
    <x v="1"/>
    <x v="9"/>
    <x v="9"/>
    <x v="3"/>
    <x v="2"/>
  </r>
  <r>
    <s v="AX13506"/>
    <s v="ENX2021"/>
    <s v="A126"/>
    <s v="EMP1031"/>
    <s v="C1047"/>
    <x v="208"/>
    <n v="1"/>
    <n v="217"/>
    <n v="171"/>
    <n v="171"/>
    <n v="217"/>
    <n v="46"/>
    <s v="Product 22"/>
    <x v="5"/>
    <s v="Brian Thomas"/>
    <x v="486"/>
    <n v="2"/>
    <x v="1"/>
    <x v="9"/>
    <x v="9"/>
    <x v="3"/>
    <x v="2"/>
  </r>
  <r>
    <s v="AX13688"/>
    <s v="ENX2069"/>
    <s v="A139"/>
    <s v="EMP1021"/>
    <s v="C1064"/>
    <x v="209"/>
    <n v="1"/>
    <n v="378"/>
    <n v="291"/>
    <n v="291"/>
    <n v="378"/>
    <n v="87"/>
    <s v="Product 70"/>
    <x v="38"/>
    <s v="Clarence Fox"/>
    <x v="597"/>
    <n v="2"/>
    <x v="1"/>
    <x v="9"/>
    <x v="9"/>
    <x v="3"/>
    <x v="2"/>
  </r>
  <r>
    <s v="AX13934"/>
    <s v="ENX2045"/>
    <s v="A129"/>
    <s v="EMP1035"/>
    <s v="C1056"/>
    <x v="209"/>
    <n v="2"/>
    <n v="556"/>
    <n v="395"/>
    <n v="790"/>
    <n v="1112"/>
    <n v="322"/>
    <s v="Product 46"/>
    <x v="22"/>
    <s v="Roger Ramos"/>
    <x v="260"/>
    <n v="2"/>
    <x v="1"/>
    <x v="9"/>
    <x v="9"/>
    <x v="3"/>
    <x v="2"/>
  </r>
  <r>
    <s v="AX14023"/>
    <s v="ENX2086"/>
    <s v="A136"/>
    <s v="EMP1001"/>
    <s v="C1539"/>
    <x v="209"/>
    <n v="4"/>
    <n v="123"/>
    <n v="84"/>
    <n v="336"/>
    <n v="492"/>
    <n v="156"/>
    <s v="Product 87"/>
    <x v="43"/>
    <s v="Kevin Butler"/>
    <x v="280"/>
    <n v="2"/>
    <x v="1"/>
    <x v="9"/>
    <x v="9"/>
    <x v="3"/>
    <x v="2"/>
  </r>
  <r>
    <s v="AX14358"/>
    <s v="ENX2088"/>
    <s v="A134"/>
    <s v="EMP1041"/>
    <s v="C1687"/>
    <x v="207"/>
    <n v="2"/>
    <n v="603"/>
    <n v="416"/>
    <n v="832"/>
    <n v="1206"/>
    <n v="374"/>
    <s v="Product 89"/>
    <x v="41"/>
    <s v="Joe Sims"/>
    <x v="389"/>
    <n v="2"/>
    <x v="1"/>
    <x v="9"/>
    <x v="9"/>
    <x v="3"/>
    <x v="2"/>
  </r>
  <r>
    <s v="AX14383"/>
    <s v="ENX2064"/>
    <s v="A173"/>
    <s v="EMP1033"/>
    <s v="C1197"/>
    <x v="210"/>
    <n v="1"/>
    <n v="1414"/>
    <n v="962"/>
    <n v="962"/>
    <n v="1414"/>
    <n v="452"/>
    <s v="Product 65"/>
    <x v="25"/>
    <s v="Jerry Perry"/>
    <x v="718"/>
    <n v="2"/>
    <x v="1"/>
    <x v="9"/>
    <x v="9"/>
    <x v="3"/>
    <x v="2"/>
  </r>
  <r>
    <s v="AX14445"/>
    <s v="ENX2037"/>
    <s v="A127"/>
    <s v="EMP1032"/>
    <s v="C1629"/>
    <x v="208"/>
    <n v="1"/>
    <n v="880"/>
    <n v="634"/>
    <n v="634"/>
    <n v="880"/>
    <n v="246"/>
    <s v="Product 38"/>
    <x v="69"/>
    <s v="Larry Castillo"/>
    <x v="734"/>
    <n v="2"/>
    <x v="1"/>
    <x v="9"/>
    <x v="9"/>
    <x v="3"/>
    <x v="2"/>
  </r>
  <r>
    <s v="AX14565"/>
    <s v="ENX2057"/>
    <s v="A119"/>
    <s v="EMP1017"/>
    <s v="C1002"/>
    <x v="209"/>
    <n v="1"/>
    <n v="181"/>
    <n v="130"/>
    <n v="130"/>
    <n v="181"/>
    <n v="51"/>
    <s v="Product 58"/>
    <x v="16"/>
    <s v="Brian Hansen"/>
    <x v="49"/>
    <n v="2"/>
    <x v="1"/>
    <x v="9"/>
    <x v="9"/>
    <x v="3"/>
    <x v="2"/>
  </r>
  <r>
    <s v="AX14674"/>
    <s v="ENX2086"/>
    <s v="A134"/>
    <s v="EMP1029"/>
    <s v="C1103"/>
    <x v="210"/>
    <n v="3"/>
    <n v="123"/>
    <n v="84"/>
    <n v="252"/>
    <n v="369"/>
    <n v="117"/>
    <s v="Product 87"/>
    <x v="41"/>
    <s v="Howard Gardner"/>
    <x v="336"/>
    <n v="2"/>
    <x v="1"/>
    <x v="9"/>
    <x v="9"/>
    <x v="3"/>
    <x v="2"/>
  </r>
  <r>
    <s v="AX14979"/>
    <s v="ENX2022"/>
    <s v="A148"/>
    <s v="EMP1010"/>
    <s v="C1046"/>
    <x v="210"/>
    <n v="1"/>
    <n v="561"/>
    <n v="421"/>
    <n v="421"/>
    <n v="561"/>
    <n v="140"/>
    <s v="Product 23"/>
    <x v="62"/>
    <s v="Joshua Cook"/>
    <x v="719"/>
    <n v="2"/>
    <x v="1"/>
    <x v="9"/>
    <x v="9"/>
    <x v="3"/>
    <x v="2"/>
  </r>
  <r>
    <s v="AX15156"/>
    <s v="ENX2086"/>
    <s v="A138"/>
    <s v="EMP1008"/>
    <s v="C1256"/>
    <x v="211"/>
    <n v="2"/>
    <n v="123"/>
    <n v="84"/>
    <n v="168"/>
    <n v="246"/>
    <n v="78"/>
    <s v="Product 87"/>
    <x v="37"/>
    <s v="Carl Elliott"/>
    <x v="524"/>
    <n v="2"/>
    <x v="1"/>
    <x v="9"/>
    <x v="9"/>
    <x v="3"/>
    <x v="2"/>
  </r>
  <r>
    <s v="AX15249"/>
    <s v="ENX2015"/>
    <s v="A159"/>
    <s v="EMP1027"/>
    <s v="C1572"/>
    <x v="210"/>
    <n v="1"/>
    <n v="637"/>
    <n v="389"/>
    <n v="389"/>
    <n v="637"/>
    <n v="248"/>
    <s v="Product 16"/>
    <x v="13"/>
    <s v="Gary Rodriguez"/>
    <x v="717"/>
    <n v="2"/>
    <x v="1"/>
    <x v="9"/>
    <x v="9"/>
    <x v="3"/>
    <x v="2"/>
  </r>
  <r>
    <s v="AX15308"/>
    <s v="ENX2075"/>
    <s v="A137"/>
    <s v="EMP1039"/>
    <s v="C1406"/>
    <x v="208"/>
    <n v="1"/>
    <n v="400"/>
    <n v="208"/>
    <n v="208"/>
    <n v="400"/>
    <n v="192"/>
    <s v="Product 76"/>
    <x v="68"/>
    <s v="Eugene Holmes"/>
    <x v="783"/>
    <n v="2"/>
    <x v="1"/>
    <x v="9"/>
    <x v="9"/>
    <x v="3"/>
    <x v="2"/>
  </r>
  <r>
    <s v="AX15363"/>
    <s v="ENX2067"/>
    <s v="A119"/>
    <s v="EMP1021"/>
    <s v="C1381"/>
    <x v="209"/>
    <n v="2"/>
    <n v="1119"/>
    <n v="683"/>
    <n v="1366"/>
    <n v="2238"/>
    <n v="872"/>
    <s v="Product 68"/>
    <x v="16"/>
    <s v="Clarence Fox"/>
    <x v="714"/>
    <n v="2"/>
    <x v="1"/>
    <x v="9"/>
    <x v="9"/>
    <x v="3"/>
    <x v="2"/>
  </r>
  <r>
    <s v="AX15544"/>
    <s v="ENX2071"/>
    <s v="A104"/>
    <s v="EMP1021"/>
    <s v="C1519"/>
    <x v="208"/>
    <n v="4"/>
    <n v="136"/>
    <n v="72"/>
    <n v="288"/>
    <n v="544"/>
    <n v="256"/>
    <s v="Product 72"/>
    <x v="50"/>
    <s v="Clarence Fox"/>
    <x v="426"/>
    <n v="2"/>
    <x v="1"/>
    <x v="9"/>
    <x v="9"/>
    <x v="3"/>
    <x v="2"/>
  </r>
  <r>
    <s v="AX15574"/>
    <s v="ENX2035"/>
    <s v="A172"/>
    <s v="EMP1038"/>
    <s v="C1077"/>
    <x v="211"/>
    <n v="1"/>
    <n v="458"/>
    <n v="376"/>
    <n v="376"/>
    <n v="458"/>
    <n v="82"/>
    <s v="Product 36"/>
    <x v="36"/>
    <s v="Scott Mason"/>
    <x v="315"/>
    <n v="2"/>
    <x v="1"/>
    <x v="9"/>
    <x v="9"/>
    <x v="3"/>
    <x v="2"/>
  </r>
  <r>
    <s v="AX15781"/>
    <s v="ENX2026"/>
    <s v="A164"/>
    <s v="EMP1023"/>
    <s v="C1639"/>
    <x v="210"/>
    <n v="1"/>
    <n v="947"/>
    <n v="786"/>
    <n v="786"/>
    <n v="947"/>
    <n v="161"/>
    <s v="Product 27"/>
    <x v="3"/>
    <s v="Brian Davis"/>
    <x v="30"/>
    <n v="2"/>
    <x v="1"/>
    <x v="9"/>
    <x v="9"/>
    <x v="3"/>
    <x v="2"/>
  </r>
  <r>
    <s v="AX16009"/>
    <s v="ENX2086"/>
    <s v="A103"/>
    <s v="EMP1001"/>
    <s v="C1114"/>
    <x v="207"/>
    <n v="4"/>
    <n v="123"/>
    <n v="84"/>
    <n v="336"/>
    <n v="492"/>
    <n v="156"/>
    <s v="Product 87"/>
    <x v="61"/>
    <s v="Kevin Butler"/>
    <x v="405"/>
    <n v="2"/>
    <x v="1"/>
    <x v="9"/>
    <x v="9"/>
    <x v="3"/>
    <x v="2"/>
  </r>
  <r>
    <s v="AX16026"/>
    <s v="ENX2007"/>
    <s v="A113"/>
    <s v="EMP1043"/>
    <s v="C1616"/>
    <x v="211"/>
    <n v="1"/>
    <n v="1405"/>
    <n v="1054"/>
    <n v="1054"/>
    <n v="1405"/>
    <n v="351"/>
    <s v="Product 8"/>
    <x v="73"/>
    <s v="Joshua Taylor"/>
    <x v="253"/>
    <n v="2"/>
    <x v="1"/>
    <x v="9"/>
    <x v="9"/>
    <x v="3"/>
    <x v="2"/>
  </r>
  <r>
    <s v="AX16477"/>
    <s v="ENX2098"/>
    <s v="A137"/>
    <s v="EMP1012"/>
    <s v="C1722"/>
    <x v="209"/>
    <n v="1"/>
    <n v="1178"/>
    <n v="683"/>
    <n v="683"/>
    <n v="1178"/>
    <n v="495"/>
    <s v="Product 99"/>
    <x v="68"/>
    <s v="John Reyes"/>
    <x v="257"/>
    <n v="2"/>
    <x v="1"/>
    <x v="9"/>
    <x v="9"/>
    <x v="3"/>
    <x v="2"/>
  </r>
  <r>
    <s v="AX16980"/>
    <s v="ENX2096"/>
    <s v="A122"/>
    <s v="EMP1033"/>
    <s v="C1724"/>
    <x v="207"/>
    <n v="1"/>
    <n v="1587"/>
    <n v="1301"/>
    <n v="1301"/>
    <n v="1587"/>
    <n v="286"/>
    <s v="Product 97"/>
    <x v="71"/>
    <s v="Jerry Perry"/>
    <x v="378"/>
    <n v="2"/>
    <x v="1"/>
    <x v="9"/>
    <x v="9"/>
    <x v="3"/>
    <x v="2"/>
  </r>
  <r>
    <s v="AX17325"/>
    <s v="ENX2009"/>
    <s v="A168"/>
    <s v="EMP1030"/>
    <s v="C1609"/>
    <x v="207"/>
    <n v="3"/>
    <n v="584"/>
    <n v="420"/>
    <n v="1260"/>
    <n v="1752"/>
    <n v="492"/>
    <s v="Product 10"/>
    <x v="40"/>
    <s v="Bobby Russell"/>
    <x v="757"/>
    <n v="2"/>
    <x v="1"/>
    <x v="9"/>
    <x v="9"/>
    <x v="3"/>
    <x v="2"/>
  </r>
  <r>
    <s v="AX17376"/>
    <s v="ENX2001"/>
    <s v="A138"/>
    <s v="EMP1032"/>
    <s v="C1417"/>
    <x v="211"/>
    <n v="2"/>
    <n v="951"/>
    <n v="504"/>
    <n v="1008"/>
    <n v="1902"/>
    <n v="894"/>
    <s v="Product 2"/>
    <x v="37"/>
    <s v="Larry Castillo"/>
    <x v="147"/>
    <n v="2"/>
    <x v="1"/>
    <x v="9"/>
    <x v="9"/>
    <x v="3"/>
    <x v="2"/>
  </r>
  <r>
    <s v="AX17701"/>
    <s v="ENX2086"/>
    <s v="A159"/>
    <s v="EMP1041"/>
    <s v="C1567"/>
    <x v="207"/>
    <n v="3"/>
    <n v="123"/>
    <n v="84"/>
    <n v="252"/>
    <n v="369"/>
    <n v="117"/>
    <s v="Product 87"/>
    <x v="13"/>
    <s v="Joe Sims"/>
    <x v="251"/>
    <n v="2"/>
    <x v="1"/>
    <x v="9"/>
    <x v="9"/>
    <x v="3"/>
    <x v="2"/>
  </r>
  <r>
    <s v="AX17968"/>
    <s v="ENX2001"/>
    <s v="A104"/>
    <s v="EMP1019"/>
    <s v="C1252"/>
    <x v="211"/>
    <n v="1"/>
    <n v="951"/>
    <n v="504"/>
    <n v="504"/>
    <n v="951"/>
    <n v="447"/>
    <s v="Product 2"/>
    <x v="50"/>
    <s v="Roger Robertson"/>
    <x v="358"/>
    <n v="2"/>
    <x v="1"/>
    <x v="9"/>
    <x v="9"/>
    <x v="3"/>
    <x v="2"/>
  </r>
  <r>
    <s v="AX18211"/>
    <s v="ENX2080"/>
    <s v="A108"/>
    <s v="EMP1014"/>
    <s v="C1181"/>
    <x v="210"/>
    <n v="3"/>
    <n v="2353"/>
    <n v="1788"/>
    <n v="5364"/>
    <n v="7059"/>
    <n v="1695"/>
    <s v="Product 81"/>
    <x v="49"/>
    <s v="Ronald Reed"/>
    <x v="449"/>
    <n v="2"/>
    <x v="1"/>
    <x v="9"/>
    <x v="9"/>
    <x v="3"/>
    <x v="2"/>
  </r>
  <r>
    <s v="AX18358"/>
    <s v="ENX2004"/>
    <s v="A134"/>
    <s v="EMP1019"/>
    <s v="C1589"/>
    <x v="207"/>
    <n v="3"/>
    <n v="1278"/>
    <n v="665"/>
    <n v="1995"/>
    <n v="3834"/>
    <n v="1839"/>
    <s v="Product 5"/>
    <x v="41"/>
    <s v="Roger Robertson"/>
    <x v="39"/>
    <n v="2"/>
    <x v="1"/>
    <x v="9"/>
    <x v="9"/>
    <x v="3"/>
    <x v="2"/>
  </r>
  <r>
    <s v="AX18429"/>
    <s v="ENX2062"/>
    <s v="A114"/>
    <s v="EMP1036"/>
    <s v="C1549"/>
    <x v="211"/>
    <n v="1"/>
    <n v="2464"/>
    <n v="1774"/>
    <n v="1774"/>
    <n v="2464"/>
    <n v="690"/>
    <s v="Product 63"/>
    <x v="28"/>
    <s v="Robert Reed"/>
    <x v="174"/>
    <n v="2"/>
    <x v="1"/>
    <x v="9"/>
    <x v="9"/>
    <x v="3"/>
    <x v="2"/>
  </r>
  <r>
    <s v="AX18461"/>
    <s v="ENX2083"/>
    <s v="A173"/>
    <s v="EMP1033"/>
    <s v="C1527"/>
    <x v="208"/>
    <n v="1"/>
    <n v="2141"/>
    <n v="1777"/>
    <n v="1777"/>
    <n v="2141"/>
    <n v="364"/>
    <s v="Product 84"/>
    <x v="25"/>
    <s v="Jerry Perry"/>
    <x v="375"/>
    <n v="2"/>
    <x v="1"/>
    <x v="9"/>
    <x v="9"/>
    <x v="3"/>
    <x v="2"/>
  </r>
  <r>
    <s v="AX18484"/>
    <s v="ENX2055"/>
    <s v="A125"/>
    <s v="EMP1044"/>
    <s v="C1557"/>
    <x v="210"/>
    <n v="2"/>
    <n v="2495"/>
    <n v="1896"/>
    <n v="3792"/>
    <n v="4990"/>
    <n v="1198"/>
    <s v="Product 56"/>
    <x v="31"/>
    <s v="Martin Carr"/>
    <x v="729"/>
    <n v="2"/>
    <x v="1"/>
    <x v="9"/>
    <x v="9"/>
    <x v="3"/>
    <x v="2"/>
  </r>
  <r>
    <s v="AX18663"/>
    <s v="ENX2054"/>
    <s v="A172"/>
    <s v="EMP1003"/>
    <s v="C1423"/>
    <x v="211"/>
    <n v="3"/>
    <n v="127"/>
    <n v="79"/>
    <n v="237"/>
    <n v="381"/>
    <n v="144"/>
    <s v="Product 55"/>
    <x v="36"/>
    <s v="Christopher Tucker"/>
    <x v="182"/>
    <n v="2"/>
    <x v="1"/>
    <x v="9"/>
    <x v="9"/>
    <x v="3"/>
    <x v="2"/>
  </r>
  <r>
    <s v="AX19115"/>
    <s v="ENX2034"/>
    <s v="A100"/>
    <s v="EMP1015"/>
    <s v="C1745"/>
    <x v="208"/>
    <n v="1"/>
    <n v="871"/>
    <n v="540"/>
    <n v="540"/>
    <n v="871"/>
    <n v="331"/>
    <s v="Product 35"/>
    <x v="52"/>
    <s v="Justin Lynch"/>
    <x v="784"/>
    <n v="2"/>
    <x v="1"/>
    <x v="9"/>
    <x v="9"/>
    <x v="3"/>
    <x v="2"/>
  </r>
  <r>
    <s v="AX19237"/>
    <s v="ENX2000"/>
    <s v="A151"/>
    <s v="EMP1036"/>
    <s v="C1135"/>
    <x v="208"/>
    <n v="1"/>
    <n v="2241"/>
    <n v="1367"/>
    <n v="1367"/>
    <n v="2241"/>
    <n v="874"/>
    <s v="Product 1"/>
    <x v="1"/>
    <s v="Robert Reed"/>
    <x v="669"/>
    <n v="2"/>
    <x v="1"/>
    <x v="9"/>
    <x v="9"/>
    <x v="3"/>
    <x v="2"/>
  </r>
  <r>
    <s v="AX19406"/>
    <s v="ENX2070"/>
    <s v="A159"/>
    <s v="EMP1014"/>
    <s v="C1709"/>
    <x v="208"/>
    <n v="1"/>
    <n v="1671"/>
    <n v="1220"/>
    <n v="1220"/>
    <n v="1671"/>
    <n v="451"/>
    <s v="Product 71"/>
    <x v="13"/>
    <s v="Ronald Reed"/>
    <x v="203"/>
    <n v="2"/>
    <x v="1"/>
    <x v="9"/>
    <x v="9"/>
    <x v="3"/>
    <x v="2"/>
  </r>
  <r>
    <s v="AX19555"/>
    <s v="ENX2068"/>
    <s v="A128"/>
    <s v="EMP1039"/>
    <s v="C1668"/>
    <x v="210"/>
    <n v="2"/>
    <n v="1500"/>
    <n v="900"/>
    <n v="1800"/>
    <n v="3000"/>
    <n v="1200"/>
    <s v="Product 69"/>
    <x v="12"/>
    <s v="Eugene Holmes"/>
    <x v="727"/>
    <n v="2"/>
    <x v="1"/>
    <x v="9"/>
    <x v="9"/>
    <x v="3"/>
    <x v="2"/>
  </r>
  <r>
    <s v="AX19736"/>
    <s v="ENX2065"/>
    <s v="A117"/>
    <s v="EMP1008"/>
    <s v="C1596"/>
    <x v="207"/>
    <n v="2"/>
    <n v="2396"/>
    <n v="1965"/>
    <n v="3930"/>
    <n v="4792"/>
    <n v="862"/>
    <s v="Product 66"/>
    <x v="29"/>
    <s v="Carl Elliott"/>
    <x v="217"/>
    <n v="2"/>
    <x v="1"/>
    <x v="9"/>
    <x v="9"/>
    <x v="3"/>
    <x v="2"/>
  </r>
  <r>
    <s v="AX20110"/>
    <s v="ENX2063"/>
    <s v="A165"/>
    <s v="EMP1008"/>
    <s v="C1553"/>
    <x v="208"/>
    <n v="1"/>
    <n v="1708"/>
    <n v="871"/>
    <n v="871"/>
    <n v="1708"/>
    <n v="837"/>
    <s v="Product 64"/>
    <x v="55"/>
    <s v="Carl Elliott"/>
    <x v="726"/>
    <n v="2"/>
    <x v="1"/>
    <x v="9"/>
    <x v="9"/>
    <x v="3"/>
    <x v="2"/>
  </r>
  <r>
    <s v="AX20125"/>
    <s v="ENX2050"/>
    <s v="A122"/>
    <s v="EMP1037"/>
    <s v="C1069"/>
    <x v="207"/>
    <n v="1"/>
    <n v="2391"/>
    <n v="1291"/>
    <n v="1291"/>
    <n v="2391"/>
    <n v="1100"/>
    <s v="Product 51"/>
    <x v="71"/>
    <s v="Carl Hall"/>
    <x v="284"/>
    <n v="2"/>
    <x v="1"/>
    <x v="9"/>
    <x v="9"/>
    <x v="3"/>
    <x v="2"/>
  </r>
  <r>
    <s v="AX20294"/>
    <s v="ENX2065"/>
    <s v="A165"/>
    <s v="EMP1011"/>
    <s v="C1143"/>
    <x v="208"/>
    <n v="3"/>
    <n v="2396"/>
    <n v="1965"/>
    <n v="5895"/>
    <n v="7188"/>
    <n v="1293"/>
    <s v="Product 66"/>
    <x v="55"/>
    <s v="Larry Marshall"/>
    <x v="557"/>
    <n v="2"/>
    <x v="1"/>
    <x v="9"/>
    <x v="9"/>
    <x v="3"/>
    <x v="2"/>
  </r>
  <r>
    <s v="AX20373"/>
    <s v="ENX2029"/>
    <s v="A169"/>
    <s v="EMP1019"/>
    <s v="C1060"/>
    <x v="211"/>
    <n v="1"/>
    <n v="1848"/>
    <n v="1294"/>
    <n v="1294"/>
    <n v="1848"/>
    <n v="554"/>
    <s v="Product 30"/>
    <x v="17"/>
    <s v="Roger Robertson"/>
    <x v="603"/>
    <n v="2"/>
    <x v="1"/>
    <x v="9"/>
    <x v="9"/>
    <x v="3"/>
    <x v="2"/>
  </r>
  <r>
    <s v="AX20948"/>
    <s v="ENX2033"/>
    <s v="A156"/>
    <s v="EMP1042"/>
    <s v="C1719"/>
    <x v="208"/>
    <n v="1"/>
    <n v="2182"/>
    <n v="1200"/>
    <n v="1200"/>
    <n v="2182"/>
    <n v="982"/>
    <s v="Product 34"/>
    <x v="14"/>
    <s v="Scott Clark"/>
    <x v="666"/>
    <n v="2"/>
    <x v="1"/>
    <x v="9"/>
    <x v="9"/>
    <x v="3"/>
    <x v="2"/>
  </r>
  <r>
    <s v="AX21138"/>
    <s v="ENX2098"/>
    <s v="A102"/>
    <s v="EMP1006"/>
    <s v="C1274"/>
    <x v="211"/>
    <n v="3"/>
    <n v="1178"/>
    <n v="683"/>
    <n v="2049"/>
    <n v="3534"/>
    <n v="1485"/>
    <s v="Product 99"/>
    <x v="44"/>
    <s v="Sean Miller"/>
    <x v="173"/>
    <n v="2"/>
    <x v="1"/>
    <x v="9"/>
    <x v="9"/>
    <x v="3"/>
    <x v="2"/>
  </r>
  <r>
    <s v="AX21348"/>
    <s v="ENX2037"/>
    <s v="A135"/>
    <s v="EMP1013"/>
    <s v="C1471"/>
    <x v="208"/>
    <n v="1"/>
    <n v="880"/>
    <n v="634"/>
    <n v="634"/>
    <n v="880"/>
    <n v="246"/>
    <s v="Product 38"/>
    <x v="10"/>
    <s v="Charles Harper"/>
    <x v="586"/>
    <n v="2"/>
    <x v="1"/>
    <x v="9"/>
    <x v="9"/>
    <x v="3"/>
    <x v="2"/>
  </r>
  <r>
    <s v="AX21358"/>
    <s v="ENX2036"/>
    <s v="A137"/>
    <s v="EMP1010"/>
    <s v="C1279"/>
    <x v="211"/>
    <n v="1"/>
    <n v="1582"/>
    <n v="1234"/>
    <n v="1234"/>
    <n v="1582"/>
    <n v="348"/>
    <s v="Product 37"/>
    <x v="68"/>
    <s v="Joshua Cook"/>
    <x v="210"/>
    <n v="2"/>
    <x v="1"/>
    <x v="9"/>
    <x v="9"/>
    <x v="3"/>
    <x v="2"/>
  </r>
  <r>
    <s v="AX21533"/>
    <s v="ENX2003"/>
    <s v="A108"/>
    <s v="EMP1036"/>
    <s v="C1434"/>
    <x v="208"/>
    <n v="3"/>
    <n v="1783"/>
    <n v="1516"/>
    <n v="4548"/>
    <n v="5349"/>
    <n v="801"/>
    <s v="Product 4"/>
    <x v="49"/>
    <s v="Robert Reed"/>
    <x v="722"/>
    <n v="2"/>
    <x v="1"/>
    <x v="9"/>
    <x v="9"/>
    <x v="3"/>
    <x v="2"/>
  </r>
  <r>
    <s v="AX21546"/>
    <s v="ENX2002"/>
    <s v="A143"/>
    <s v="EMP1038"/>
    <s v="C1057"/>
    <x v="209"/>
    <n v="1"/>
    <n v="847"/>
    <n v="534"/>
    <n v="534"/>
    <n v="847"/>
    <n v="313"/>
    <s v="Product 3"/>
    <x v="39"/>
    <s v="Scott Mason"/>
    <x v="635"/>
    <n v="2"/>
    <x v="1"/>
    <x v="9"/>
    <x v="9"/>
    <x v="3"/>
    <x v="2"/>
  </r>
  <r>
    <s v="AX21652"/>
    <s v="ENX2051"/>
    <s v="A129"/>
    <s v="EMP1007"/>
    <s v="C1648"/>
    <x v="211"/>
    <n v="2"/>
    <n v="1077"/>
    <n v="732"/>
    <n v="1464"/>
    <n v="2154"/>
    <n v="690"/>
    <s v="Product 52"/>
    <x v="22"/>
    <s v="Jeremy Mendoza"/>
    <x v="430"/>
    <n v="2"/>
    <x v="1"/>
    <x v="9"/>
    <x v="9"/>
    <x v="3"/>
    <x v="2"/>
  </r>
  <r>
    <s v="AX22043"/>
    <s v="ENX2044"/>
    <s v="A161"/>
    <s v="EMP1013"/>
    <s v="C1507"/>
    <x v="207"/>
    <n v="1"/>
    <n v="886"/>
    <n v="478"/>
    <n v="478"/>
    <n v="886"/>
    <n v="408"/>
    <s v="Product 45"/>
    <x v="6"/>
    <s v="Charles Harper"/>
    <x v="227"/>
    <n v="2"/>
    <x v="1"/>
    <x v="9"/>
    <x v="9"/>
    <x v="3"/>
    <x v="2"/>
  </r>
  <r>
    <s v="AX22174"/>
    <s v="ENX2025"/>
    <s v="A126"/>
    <s v="EMP1042"/>
    <s v="C1252"/>
    <x v="208"/>
    <n v="1"/>
    <n v="667"/>
    <n v="387"/>
    <n v="387"/>
    <n v="667"/>
    <n v="280"/>
    <s v="Product 26"/>
    <x v="5"/>
    <s v="Scott Clark"/>
    <x v="358"/>
    <n v="2"/>
    <x v="1"/>
    <x v="9"/>
    <x v="9"/>
    <x v="3"/>
    <x v="2"/>
  </r>
  <r>
    <s v="AX22315"/>
    <s v="ENX2036"/>
    <s v="A106"/>
    <s v="EMP1001"/>
    <s v="C1063"/>
    <x v="210"/>
    <n v="2"/>
    <n v="1582"/>
    <n v="1234"/>
    <n v="2468"/>
    <n v="3164"/>
    <n v="696"/>
    <s v="Product 37"/>
    <x v="11"/>
    <s v="Kevin Butler"/>
    <x v="296"/>
    <n v="2"/>
    <x v="1"/>
    <x v="9"/>
    <x v="9"/>
    <x v="3"/>
    <x v="2"/>
  </r>
  <r>
    <s v="AX22851"/>
    <s v="ENX2066"/>
    <s v="A108"/>
    <s v="EMP1042"/>
    <s v="C1760"/>
    <x v="210"/>
    <n v="3"/>
    <n v="2091"/>
    <n v="1485"/>
    <n v="4455"/>
    <n v="6273"/>
    <n v="1818"/>
    <s v="Product 67"/>
    <x v="49"/>
    <s v="Scott Clark"/>
    <x v="502"/>
    <n v="2"/>
    <x v="1"/>
    <x v="9"/>
    <x v="9"/>
    <x v="3"/>
    <x v="2"/>
  </r>
  <r>
    <s v="AX23109"/>
    <s v="ENX2079"/>
    <s v="A126"/>
    <s v="EMP1038"/>
    <s v="C1197"/>
    <x v="210"/>
    <n v="1"/>
    <n v="1725"/>
    <n v="1363"/>
    <n v="1363"/>
    <n v="1725"/>
    <n v="362"/>
    <s v="Product 80"/>
    <x v="5"/>
    <s v="Scott Mason"/>
    <x v="718"/>
    <n v="2"/>
    <x v="1"/>
    <x v="9"/>
    <x v="9"/>
    <x v="3"/>
    <x v="2"/>
  </r>
  <r>
    <s v="AX23134"/>
    <s v="ENX2065"/>
    <s v="A109"/>
    <s v="EMP1017"/>
    <s v="C1627"/>
    <x v="208"/>
    <n v="3"/>
    <n v="2396"/>
    <n v="1965"/>
    <n v="5895"/>
    <n v="7188"/>
    <n v="1293"/>
    <s v="Product 66"/>
    <x v="57"/>
    <s v="Brian Hansen"/>
    <x v="785"/>
    <n v="2"/>
    <x v="1"/>
    <x v="9"/>
    <x v="9"/>
    <x v="3"/>
    <x v="2"/>
  </r>
  <r>
    <s v="AX23348"/>
    <s v="ENX2046"/>
    <s v="A114"/>
    <s v="EMP1011"/>
    <s v="C1303"/>
    <x v="210"/>
    <n v="2"/>
    <n v="2410"/>
    <n v="1518"/>
    <n v="3036"/>
    <n v="4820"/>
    <n v="1784"/>
    <s v="Product 47"/>
    <x v="28"/>
    <s v="Larry Marshall"/>
    <x v="531"/>
    <n v="2"/>
    <x v="1"/>
    <x v="9"/>
    <x v="9"/>
    <x v="3"/>
    <x v="2"/>
  </r>
  <r>
    <s v="AX23798"/>
    <s v="ENX2093"/>
    <s v="A136"/>
    <s v="EMP1020"/>
    <s v="C1675"/>
    <x v="209"/>
    <n v="1"/>
    <n v="112"/>
    <n v="90"/>
    <n v="90"/>
    <n v="112"/>
    <n v="22"/>
    <s v="Product 94"/>
    <x v="43"/>
    <s v="Ryan Butler"/>
    <x v="453"/>
    <n v="2"/>
    <x v="1"/>
    <x v="9"/>
    <x v="9"/>
    <x v="3"/>
    <x v="2"/>
  </r>
  <r>
    <s v="AX23831"/>
    <s v="ENX2058"/>
    <s v="A119"/>
    <s v="EMP1030"/>
    <s v="C1005"/>
    <x v="208"/>
    <n v="1"/>
    <n v="2257"/>
    <n v="1535"/>
    <n v="1535"/>
    <n v="2257"/>
    <n v="722"/>
    <s v="Product 59"/>
    <x v="16"/>
    <s v="Bobby Russell"/>
    <x v="304"/>
    <n v="2"/>
    <x v="1"/>
    <x v="9"/>
    <x v="9"/>
    <x v="3"/>
    <x v="2"/>
  </r>
  <r>
    <s v="AX23880"/>
    <s v="ENX2002"/>
    <s v="A119"/>
    <s v="EMP1004"/>
    <s v="C1356"/>
    <x v="210"/>
    <n v="1"/>
    <n v="847"/>
    <n v="534"/>
    <n v="534"/>
    <n v="847"/>
    <n v="313"/>
    <s v="Product 3"/>
    <x v="16"/>
    <s v="Kenneth Bradley"/>
    <x v="238"/>
    <n v="2"/>
    <x v="1"/>
    <x v="9"/>
    <x v="9"/>
    <x v="3"/>
    <x v="2"/>
  </r>
  <r>
    <s v="AX23963"/>
    <s v="ENX2043"/>
    <s v="A151"/>
    <s v="EMP1016"/>
    <s v="C1363"/>
    <x v="208"/>
    <n v="1"/>
    <n v="545"/>
    <n v="425"/>
    <n v="425"/>
    <n v="545"/>
    <n v="120"/>
    <s v="Product 44"/>
    <x v="1"/>
    <s v="Henry Nelson"/>
    <x v="505"/>
    <n v="2"/>
    <x v="1"/>
    <x v="9"/>
    <x v="9"/>
    <x v="3"/>
    <x v="2"/>
  </r>
  <r>
    <s v="AX24365"/>
    <s v="ENX2075"/>
    <s v="A145"/>
    <s v="EMP1023"/>
    <s v="C1227"/>
    <x v="211"/>
    <n v="2"/>
    <n v="400"/>
    <n v="208"/>
    <n v="416"/>
    <n v="800"/>
    <n v="384"/>
    <s v="Product 76"/>
    <x v="35"/>
    <s v="Brian Davis"/>
    <x v="765"/>
    <n v="2"/>
    <x v="1"/>
    <x v="9"/>
    <x v="9"/>
    <x v="3"/>
    <x v="2"/>
  </r>
  <r>
    <s v="AX24509"/>
    <s v="ENX2015"/>
    <s v="A126"/>
    <s v="EMP1018"/>
    <s v="C1740"/>
    <x v="207"/>
    <n v="2"/>
    <n v="637"/>
    <n v="389"/>
    <n v="778"/>
    <n v="1274"/>
    <n v="496"/>
    <s v="Product 16"/>
    <x v="5"/>
    <s v="Jimmy Young"/>
    <x v="699"/>
    <n v="2"/>
    <x v="1"/>
    <x v="9"/>
    <x v="9"/>
    <x v="3"/>
    <x v="2"/>
  </r>
  <r>
    <s v="AX24538"/>
    <s v="ENX2057"/>
    <s v="A103"/>
    <s v="EMP1017"/>
    <s v="C1450"/>
    <x v="210"/>
    <n v="1"/>
    <n v="181"/>
    <n v="130"/>
    <n v="130"/>
    <n v="181"/>
    <n v="51"/>
    <s v="Product 58"/>
    <x v="61"/>
    <s v="Brian Hansen"/>
    <x v="13"/>
    <n v="2"/>
    <x v="1"/>
    <x v="9"/>
    <x v="9"/>
    <x v="3"/>
    <x v="2"/>
  </r>
  <r>
    <s v="AX24551"/>
    <s v="ENX2004"/>
    <s v="A157"/>
    <s v="EMP1033"/>
    <s v="C1016"/>
    <x v="209"/>
    <n v="1"/>
    <n v="1278"/>
    <n v="665"/>
    <n v="665"/>
    <n v="1278"/>
    <n v="613"/>
    <s v="Product 5"/>
    <x v="7"/>
    <s v="Jerry Perry"/>
    <x v="335"/>
    <n v="2"/>
    <x v="1"/>
    <x v="9"/>
    <x v="9"/>
    <x v="3"/>
    <x v="2"/>
  </r>
  <r>
    <s v="AX24790"/>
    <s v="ENX2062"/>
    <s v="A135"/>
    <s v="EMP1005"/>
    <s v="C1162"/>
    <x v="208"/>
    <n v="1"/>
    <n v="2464"/>
    <n v="1774"/>
    <n v="1774"/>
    <n v="2464"/>
    <n v="690"/>
    <s v="Product 63"/>
    <x v="10"/>
    <s v="Ryan Welch"/>
    <x v="177"/>
    <n v="2"/>
    <x v="1"/>
    <x v="9"/>
    <x v="9"/>
    <x v="3"/>
    <x v="2"/>
  </r>
  <r>
    <s v="AX24873"/>
    <s v="ENX2049"/>
    <s v="A159"/>
    <s v="EMP1041"/>
    <s v="C1665"/>
    <x v="210"/>
    <n v="3"/>
    <n v="826"/>
    <n v="562"/>
    <n v="1686"/>
    <n v="2478"/>
    <n v="792"/>
    <s v="Product 50"/>
    <x v="13"/>
    <s v="Joe Sims"/>
    <x v="615"/>
    <n v="2"/>
    <x v="1"/>
    <x v="9"/>
    <x v="9"/>
    <x v="3"/>
    <x v="2"/>
  </r>
  <r>
    <s v="AX10144"/>
    <s v="ENX2020"/>
    <s v="A136"/>
    <s v="EMP1042"/>
    <s v="C1770"/>
    <x v="212"/>
    <n v="3"/>
    <n v="2005"/>
    <n v="1223"/>
    <n v="3669"/>
    <n v="6015"/>
    <n v="2346"/>
    <s v="Product 21"/>
    <x v="43"/>
    <s v="Scott Clark"/>
    <x v="758"/>
    <n v="2"/>
    <x v="1"/>
    <x v="10"/>
    <x v="10"/>
    <x v="3"/>
    <x v="0"/>
  </r>
  <r>
    <s v="AX10632"/>
    <s v="ENX2036"/>
    <s v="A153"/>
    <s v="EMP1043"/>
    <s v="C1559"/>
    <x v="212"/>
    <n v="4"/>
    <n v="1582"/>
    <n v="1234"/>
    <n v="4936"/>
    <n v="6328"/>
    <n v="1392"/>
    <s v="Product 37"/>
    <x v="8"/>
    <s v="Joshua Taylor"/>
    <x v="43"/>
    <n v="2"/>
    <x v="1"/>
    <x v="10"/>
    <x v="10"/>
    <x v="3"/>
    <x v="0"/>
  </r>
  <r>
    <s v="AX10792"/>
    <s v="ENX2097"/>
    <s v="A161"/>
    <s v="EMP1010"/>
    <s v="C1251"/>
    <x v="213"/>
    <n v="1"/>
    <n v="1052"/>
    <n v="589"/>
    <n v="589"/>
    <n v="1052"/>
    <n v="463"/>
    <s v="Product 98"/>
    <x v="6"/>
    <s v="Joshua Cook"/>
    <x v="199"/>
    <n v="2"/>
    <x v="1"/>
    <x v="10"/>
    <x v="10"/>
    <x v="3"/>
    <x v="0"/>
  </r>
  <r>
    <s v="AX10834"/>
    <s v="ENX2041"/>
    <s v="A157"/>
    <s v="EMP1033"/>
    <s v="C1711"/>
    <x v="214"/>
    <n v="4"/>
    <n v="1380"/>
    <n v="1090"/>
    <n v="4360"/>
    <n v="5520"/>
    <n v="1160"/>
    <s v="Product 42"/>
    <x v="7"/>
    <s v="Jerry Perry"/>
    <x v="66"/>
    <n v="2"/>
    <x v="1"/>
    <x v="10"/>
    <x v="10"/>
    <x v="3"/>
    <x v="0"/>
  </r>
  <r>
    <s v="AX11136"/>
    <s v="ENX2027"/>
    <s v="A137"/>
    <s v="EMP1023"/>
    <s v="C1596"/>
    <x v="212"/>
    <n v="4"/>
    <n v="2497"/>
    <n v="1473"/>
    <n v="5892"/>
    <n v="9988"/>
    <n v="4096"/>
    <s v="Product 28"/>
    <x v="68"/>
    <s v="Brian Davis"/>
    <x v="217"/>
    <n v="2"/>
    <x v="1"/>
    <x v="10"/>
    <x v="10"/>
    <x v="3"/>
    <x v="0"/>
  </r>
  <r>
    <s v="AX11708"/>
    <s v="ENX2052"/>
    <s v="A111"/>
    <s v="EMP1029"/>
    <s v="C1665"/>
    <x v="215"/>
    <n v="1"/>
    <n v="1526"/>
    <n v="1251"/>
    <n v="1251"/>
    <n v="1526"/>
    <n v="275"/>
    <s v="Product 53"/>
    <x v="54"/>
    <s v="Howard Gardner"/>
    <x v="615"/>
    <n v="2"/>
    <x v="1"/>
    <x v="10"/>
    <x v="10"/>
    <x v="3"/>
    <x v="0"/>
  </r>
  <r>
    <s v="AX11831"/>
    <s v="ENX2028"/>
    <s v="A127"/>
    <s v="EMP1038"/>
    <s v="C1338"/>
    <x v="213"/>
    <n v="1"/>
    <n v="2283"/>
    <n v="1484"/>
    <n v="1484"/>
    <n v="2283"/>
    <n v="799"/>
    <s v="Product 29"/>
    <x v="69"/>
    <s v="Scott Mason"/>
    <x v="542"/>
    <n v="2"/>
    <x v="1"/>
    <x v="10"/>
    <x v="10"/>
    <x v="3"/>
    <x v="0"/>
  </r>
  <r>
    <s v="AX12210"/>
    <s v="ENX2018"/>
    <s v="A140"/>
    <s v="EMP1018"/>
    <s v="C1394"/>
    <x v="212"/>
    <n v="1"/>
    <n v="1972"/>
    <n v="1321"/>
    <n v="1321"/>
    <n v="1972"/>
    <n v="651"/>
    <s v="Product 19"/>
    <x v="18"/>
    <s v="Jimmy Young"/>
    <x v="116"/>
    <n v="2"/>
    <x v="1"/>
    <x v="10"/>
    <x v="10"/>
    <x v="3"/>
    <x v="0"/>
  </r>
  <r>
    <s v="AX12227"/>
    <s v="ENX2088"/>
    <s v="A117"/>
    <s v="EMP1019"/>
    <s v="C1485"/>
    <x v="214"/>
    <n v="2"/>
    <n v="603"/>
    <n v="416"/>
    <n v="832"/>
    <n v="1206"/>
    <n v="374"/>
    <s v="Product 89"/>
    <x v="29"/>
    <s v="Roger Robertson"/>
    <x v="679"/>
    <n v="2"/>
    <x v="1"/>
    <x v="10"/>
    <x v="10"/>
    <x v="3"/>
    <x v="0"/>
  </r>
  <r>
    <s v="AX13311"/>
    <s v="ENX2100"/>
    <s v="A145"/>
    <s v="EMP1015"/>
    <s v="C1730"/>
    <x v="214"/>
    <n v="1"/>
    <n v="799"/>
    <n v="455"/>
    <n v="455"/>
    <n v="799"/>
    <n v="344"/>
    <s v="Product 101"/>
    <x v="35"/>
    <s v="Justin Lynch"/>
    <x v="777"/>
    <n v="2"/>
    <x v="1"/>
    <x v="10"/>
    <x v="10"/>
    <x v="3"/>
    <x v="0"/>
  </r>
  <r>
    <s v="AX13398"/>
    <s v="ENX2089"/>
    <s v="A146"/>
    <s v="EMP1016"/>
    <s v="C1465"/>
    <x v="215"/>
    <n v="4"/>
    <n v="2294"/>
    <n v="1399"/>
    <n v="5596"/>
    <n v="9176"/>
    <n v="3580"/>
    <s v="Product 90"/>
    <x v="27"/>
    <s v="Henry Nelson"/>
    <x v="88"/>
    <n v="2"/>
    <x v="1"/>
    <x v="10"/>
    <x v="10"/>
    <x v="3"/>
    <x v="0"/>
  </r>
  <r>
    <s v="AX13400"/>
    <s v="ENX2040"/>
    <s v="A124"/>
    <s v="EMP1036"/>
    <s v="C1690"/>
    <x v="215"/>
    <n v="1"/>
    <n v="1889"/>
    <n v="945"/>
    <n v="945"/>
    <n v="1889"/>
    <n v="944"/>
    <s v="Product 41"/>
    <x v="67"/>
    <s v="Robert Reed"/>
    <x v="185"/>
    <n v="2"/>
    <x v="1"/>
    <x v="10"/>
    <x v="10"/>
    <x v="3"/>
    <x v="0"/>
  </r>
  <r>
    <s v="AX13985"/>
    <s v="ENX2020"/>
    <s v="A122"/>
    <s v="EMP1016"/>
    <s v="C1264"/>
    <x v="215"/>
    <n v="2"/>
    <n v="2005"/>
    <n v="1223"/>
    <n v="2446"/>
    <n v="4010"/>
    <n v="1564"/>
    <s v="Product 21"/>
    <x v="71"/>
    <s v="Henry Nelson"/>
    <x v="206"/>
    <n v="2"/>
    <x v="1"/>
    <x v="10"/>
    <x v="10"/>
    <x v="3"/>
    <x v="0"/>
  </r>
  <r>
    <s v="AX14405"/>
    <s v="ENX2078"/>
    <s v="A159"/>
    <s v="EMP1026"/>
    <s v="C1696"/>
    <x v="215"/>
    <n v="2"/>
    <n v="1798"/>
    <n v="971"/>
    <n v="1942"/>
    <n v="3596"/>
    <n v="1654"/>
    <s v="Product 79"/>
    <x v="13"/>
    <s v="Martin Perry"/>
    <x v="436"/>
    <n v="2"/>
    <x v="1"/>
    <x v="10"/>
    <x v="10"/>
    <x v="3"/>
    <x v="0"/>
  </r>
  <r>
    <s v="AX14487"/>
    <s v="ENX2082"/>
    <s v="A151"/>
    <s v="EMP1042"/>
    <s v="C1632"/>
    <x v="215"/>
    <n v="3"/>
    <n v="1103"/>
    <n v="838"/>
    <n v="2514"/>
    <n v="3309"/>
    <n v="795"/>
    <s v="Product 83"/>
    <x v="1"/>
    <s v="Scott Clark"/>
    <x v="311"/>
    <n v="2"/>
    <x v="1"/>
    <x v="10"/>
    <x v="10"/>
    <x v="3"/>
    <x v="0"/>
  </r>
  <r>
    <s v="AX14670"/>
    <s v="ENX2010"/>
    <s v="A130"/>
    <s v="EMP1016"/>
    <s v="C1104"/>
    <x v="215"/>
    <n v="3"/>
    <n v="1812"/>
    <n v="1305"/>
    <n v="3915"/>
    <n v="5436"/>
    <n v="1521"/>
    <s v="Product 11"/>
    <x v="4"/>
    <s v="Henry Nelson"/>
    <x v="367"/>
    <n v="2"/>
    <x v="1"/>
    <x v="10"/>
    <x v="10"/>
    <x v="3"/>
    <x v="0"/>
  </r>
  <r>
    <s v="AX14997"/>
    <s v="ENX2000"/>
    <s v="A139"/>
    <s v="EMP1012"/>
    <s v="C1399"/>
    <x v="215"/>
    <n v="2"/>
    <n v="2241"/>
    <n v="1367"/>
    <n v="2734"/>
    <n v="4482"/>
    <n v="1748"/>
    <s v="Product 1"/>
    <x v="38"/>
    <s v="John Reyes"/>
    <x v="776"/>
    <n v="2"/>
    <x v="1"/>
    <x v="10"/>
    <x v="10"/>
    <x v="3"/>
    <x v="0"/>
  </r>
  <r>
    <s v="AX15546"/>
    <s v="ENX2068"/>
    <s v="A136"/>
    <s v="EMP1038"/>
    <s v="C1313"/>
    <x v="212"/>
    <n v="4"/>
    <n v="1500"/>
    <n v="900"/>
    <n v="3600"/>
    <n v="6000"/>
    <n v="2400"/>
    <s v="Product 69"/>
    <x v="43"/>
    <s v="Scott Mason"/>
    <x v="728"/>
    <n v="2"/>
    <x v="1"/>
    <x v="10"/>
    <x v="10"/>
    <x v="3"/>
    <x v="0"/>
  </r>
  <r>
    <s v="AX15798"/>
    <s v="ENX2086"/>
    <s v="A161"/>
    <s v="EMP1002"/>
    <s v="C1218"/>
    <x v="212"/>
    <n v="2"/>
    <n v="123"/>
    <n v="84"/>
    <n v="168"/>
    <n v="246"/>
    <n v="78"/>
    <s v="Product 87"/>
    <x v="6"/>
    <s v="Andrew Bowman"/>
    <x v="786"/>
    <n v="2"/>
    <x v="1"/>
    <x v="10"/>
    <x v="10"/>
    <x v="3"/>
    <x v="0"/>
  </r>
  <r>
    <s v="AX15807"/>
    <s v="ENX2071"/>
    <s v="A112"/>
    <s v="EMP1002"/>
    <s v="C1190"/>
    <x v="213"/>
    <n v="2"/>
    <n v="136"/>
    <n v="72"/>
    <n v="144"/>
    <n v="272"/>
    <n v="128"/>
    <s v="Product 72"/>
    <x v="66"/>
    <s v="Andrew Bowman"/>
    <x v="1"/>
    <n v="2"/>
    <x v="1"/>
    <x v="10"/>
    <x v="10"/>
    <x v="3"/>
    <x v="0"/>
  </r>
  <r>
    <s v="AX16007"/>
    <s v="ENX2089"/>
    <s v="A119"/>
    <s v="EMP1039"/>
    <s v="C1574"/>
    <x v="212"/>
    <n v="1"/>
    <n v="2294"/>
    <n v="1399"/>
    <n v="1399"/>
    <n v="2294"/>
    <n v="895"/>
    <s v="Product 90"/>
    <x v="16"/>
    <s v="Eugene Holmes"/>
    <x v="521"/>
    <n v="2"/>
    <x v="1"/>
    <x v="10"/>
    <x v="10"/>
    <x v="3"/>
    <x v="0"/>
  </r>
  <r>
    <s v="AX16021"/>
    <s v="ENX2005"/>
    <s v="A167"/>
    <s v="EMP1017"/>
    <s v="C1100"/>
    <x v="213"/>
    <n v="1"/>
    <n v="684"/>
    <n v="561"/>
    <n v="561"/>
    <n v="684"/>
    <n v="123"/>
    <s v="Product 6"/>
    <x v="64"/>
    <s v="Brian Hansen"/>
    <x v="110"/>
    <n v="2"/>
    <x v="1"/>
    <x v="10"/>
    <x v="10"/>
    <x v="3"/>
    <x v="0"/>
  </r>
  <r>
    <s v="AX16467"/>
    <s v="ENX2038"/>
    <s v="A157"/>
    <s v="EMP1022"/>
    <s v="C1132"/>
    <x v="212"/>
    <n v="1"/>
    <n v="392"/>
    <n v="255"/>
    <n v="255"/>
    <n v="392"/>
    <n v="137"/>
    <s v="Product 39"/>
    <x v="7"/>
    <s v="Walter Cook"/>
    <x v="751"/>
    <n v="2"/>
    <x v="1"/>
    <x v="10"/>
    <x v="10"/>
    <x v="3"/>
    <x v="0"/>
  </r>
  <r>
    <s v="AX17088"/>
    <s v="ENX2017"/>
    <s v="A139"/>
    <s v="EMP1043"/>
    <s v="C1058"/>
    <x v="215"/>
    <n v="1"/>
    <n v="35"/>
    <n v="22"/>
    <n v="22"/>
    <n v="35"/>
    <n v="13"/>
    <s v="Product 18"/>
    <x v="38"/>
    <s v="Joshua Taylor"/>
    <x v="611"/>
    <n v="2"/>
    <x v="1"/>
    <x v="10"/>
    <x v="10"/>
    <x v="3"/>
    <x v="0"/>
  </r>
  <r>
    <s v="AX17156"/>
    <s v="ENX2081"/>
    <s v="A166"/>
    <s v="EMP1041"/>
    <s v="C1056"/>
    <x v="212"/>
    <n v="3"/>
    <n v="1566"/>
    <n v="1190"/>
    <n v="3570"/>
    <n v="4698"/>
    <n v="1128"/>
    <s v="Product 82"/>
    <x v="70"/>
    <s v="Joe Sims"/>
    <x v="260"/>
    <n v="2"/>
    <x v="1"/>
    <x v="10"/>
    <x v="10"/>
    <x v="3"/>
    <x v="0"/>
  </r>
  <r>
    <s v="AX17318"/>
    <s v="ENX2042"/>
    <s v="A166"/>
    <s v="EMP1018"/>
    <s v="C1589"/>
    <x v="214"/>
    <n v="1"/>
    <n v="203"/>
    <n v="154"/>
    <n v="154"/>
    <n v="203"/>
    <n v="49"/>
    <s v="Product 43"/>
    <x v="70"/>
    <s v="Jimmy Young"/>
    <x v="39"/>
    <n v="2"/>
    <x v="1"/>
    <x v="10"/>
    <x v="10"/>
    <x v="3"/>
    <x v="0"/>
  </r>
  <r>
    <s v="AX17620"/>
    <s v="ENX2014"/>
    <s v="A153"/>
    <s v="EMP1011"/>
    <s v="C1774"/>
    <x v="212"/>
    <n v="4"/>
    <n v="1809"/>
    <n v="1067"/>
    <n v="4268"/>
    <n v="7236"/>
    <n v="2968"/>
    <s v="Product 15"/>
    <x v="8"/>
    <s v="Larry Marshall"/>
    <x v="232"/>
    <n v="2"/>
    <x v="1"/>
    <x v="10"/>
    <x v="10"/>
    <x v="3"/>
    <x v="0"/>
  </r>
  <r>
    <s v="AX17869"/>
    <s v="ENX2081"/>
    <s v="A106"/>
    <s v="EMP1042"/>
    <s v="C1617"/>
    <x v="213"/>
    <n v="4"/>
    <n v="1566"/>
    <n v="1190"/>
    <n v="4760"/>
    <n v="6264"/>
    <n v="1504"/>
    <s v="Product 82"/>
    <x v="11"/>
    <s v="Scott Clark"/>
    <x v="195"/>
    <n v="2"/>
    <x v="1"/>
    <x v="10"/>
    <x v="10"/>
    <x v="3"/>
    <x v="0"/>
  </r>
  <r>
    <s v="AX18680"/>
    <s v="ENX2074"/>
    <s v="A155"/>
    <s v="EMP1036"/>
    <s v="C1298"/>
    <x v="215"/>
    <n v="2"/>
    <n v="504"/>
    <n v="408"/>
    <n v="816"/>
    <n v="1008"/>
    <n v="192"/>
    <s v="Product 75"/>
    <x v="53"/>
    <s v="Robert Reed"/>
    <x v="623"/>
    <n v="2"/>
    <x v="1"/>
    <x v="10"/>
    <x v="10"/>
    <x v="3"/>
    <x v="0"/>
  </r>
  <r>
    <s v="AX18687"/>
    <s v="ENX2089"/>
    <s v="A156"/>
    <s v="EMP1009"/>
    <s v="C1137"/>
    <x v="213"/>
    <n v="3"/>
    <n v="2294"/>
    <n v="1399"/>
    <n v="4197"/>
    <n v="6882"/>
    <n v="2685"/>
    <s v="Product 90"/>
    <x v="14"/>
    <s v="Kenneth Fields"/>
    <x v="131"/>
    <n v="2"/>
    <x v="1"/>
    <x v="10"/>
    <x v="10"/>
    <x v="3"/>
    <x v="0"/>
  </r>
  <r>
    <s v="AX18820"/>
    <s v="ENX2022"/>
    <s v="A169"/>
    <s v="EMP1039"/>
    <s v="C1629"/>
    <x v="215"/>
    <n v="2"/>
    <n v="561"/>
    <n v="421"/>
    <n v="842"/>
    <n v="1122"/>
    <n v="280"/>
    <s v="Product 23"/>
    <x v="17"/>
    <s v="Eugene Holmes"/>
    <x v="734"/>
    <n v="2"/>
    <x v="1"/>
    <x v="10"/>
    <x v="10"/>
    <x v="3"/>
    <x v="0"/>
  </r>
  <r>
    <s v="AX19117"/>
    <s v="ENX2071"/>
    <s v="A149"/>
    <s v="EMP1001"/>
    <s v="C1431"/>
    <x v="212"/>
    <n v="3"/>
    <n v="136"/>
    <n v="72"/>
    <n v="216"/>
    <n v="408"/>
    <n v="192"/>
    <s v="Product 72"/>
    <x v="59"/>
    <s v="Kevin Butler"/>
    <x v="587"/>
    <n v="2"/>
    <x v="1"/>
    <x v="10"/>
    <x v="10"/>
    <x v="3"/>
    <x v="0"/>
  </r>
  <r>
    <s v="AX19407"/>
    <s v="ENX2005"/>
    <s v="A155"/>
    <s v="EMP1012"/>
    <s v="C1702"/>
    <x v="215"/>
    <n v="3"/>
    <n v="684"/>
    <n v="561"/>
    <n v="1683"/>
    <n v="2052"/>
    <n v="369"/>
    <s v="Product 6"/>
    <x v="53"/>
    <s v="John Reyes"/>
    <x v="70"/>
    <n v="2"/>
    <x v="1"/>
    <x v="10"/>
    <x v="10"/>
    <x v="3"/>
    <x v="0"/>
  </r>
  <r>
    <s v="AX20087"/>
    <s v="ENX2083"/>
    <s v="A157"/>
    <s v="EMP1015"/>
    <s v="C1324"/>
    <x v="213"/>
    <n v="4"/>
    <n v="2141"/>
    <n v="1777"/>
    <n v="7108"/>
    <n v="8564"/>
    <n v="1456"/>
    <s v="Product 84"/>
    <x v="7"/>
    <s v="Justin Lynch"/>
    <x v="252"/>
    <n v="2"/>
    <x v="1"/>
    <x v="10"/>
    <x v="10"/>
    <x v="3"/>
    <x v="0"/>
  </r>
  <r>
    <s v="AX20500"/>
    <s v="ENX2077"/>
    <s v="A143"/>
    <s v="EMP1014"/>
    <s v="C1475"/>
    <x v="214"/>
    <n v="2"/>
    <n v="530"/>
    <n v="424"/>
    <n v="848"/>
    <n v="1060"/>
    <n v="212"/>
    <s v="Product 78"/>
    <x v="39"/>
    <s v="Ronald Reed"/>
    <x v="527"/>
    <n v="2"/>
    <x v="1"/>
    <x v="10"/>
    <x v="10"/>
    <x v="3"/>
    <x v="0"/>
  </r>
  <r>
    <s v="AX20729"/>
    <s v="ENX2007"/>
    <s v="A127"/>
    <s v="EMP1026"/>
    <s v="C1124"/>
    <x v="214"/>
    <n v="1"/>
    <n v="1405"/>
    <n v="1054"/>
    <n v="1054"/>
    <n v="1405"/>
    <n v="351"/>
    <s v="Product 8"/>
    <x v="69"/>
    <s v="Martin Perry"/>
    <x v="102"/>
    <n v="2"/>
    <x v="1"/>
    <x v="10"/>
    <x v="10"/>
    <x v="3"/>
    <x v="0"/>
  </r>
  <r>
    <s v="AX20913"/>
    <s v="ENX2074"/>
    <s v="A125"/>
    <s v="EMP1018"/>
    <s v="C1388"/>
    <x v="214"/>
    <n v="4"/>
    <n v="504"/>
    <n v="408"/>
    <n v="1632"/>
    <n v="2016"/>
    <n v="384"/>
    <s v="Product 75"/>
    <x v="31"/>
    <s v="Jimmy Young"/>
    <x v="120"/>
    <n v="2"/>
    <x v="1"/>
    <x v="10"/>
    <x v="10"/>
    <x v="3"/>
    <x v="0"/>
  </r>
  <r>
    <s v="AX21005"/>
    <s v="ENX2084"/>
    <s v="A115"/>
    <s v="EMP1036"/>
    <s v="C1434"/>
    <x v="213"/>
    <n v="1"/>
    <n v="1783"/>
    <n v="1230"/>
    <n v="1230"/>
    <n v="1783"/>
    <n v="553"/>
    <s v="Product 85"/>
    <x v="33"/>
    <s v="Robert Reed"/>
    <x v="722"/>
    <n v="2"/>
    <x v="1"/>
    <x v="10"/>
    <x v="10"/>
    <x v="3"/>
    <x v="0"/>
  </r>
  <r>
    <s v="AX21978"/>
    <s v="ENX2003"/>
    <s v="A150"/>
    <s v="EMP1020"/>
    <s v="C1141"/>
    <x v="214"/>
    <n v="1"/>
    <n v="1783"/>
    <n v="1516"/>
    <n v="1516"/>
    <n v="1783"/>
    <n v="267"/>
    <s v="Product 4"/>
    <x v="30"/>
    <s v="Ryan Butler"/>
    <x v="166"/>
    <n v="2"/>
    <x v="1"/>
    <x v="10"/>
    <x v="10"/>
    <x v="3"/>
    <x v="0"/>
  </r>
  <r>
    <s v="AX22197"/>
    <s v="ENX2016"/>
    <s v="A108"/>
    <s v="EMP1044"/>
    <s v="C1200"/>
    <x v="215"/>
    <n v="4"/>
    <n v="1351"/>
    <n v="1108"/>
    <n v="4432"/>
    <n v="5404"/>
    <n v="972"/>
    <s v="Product 17"/>
    <x v="49"/>
    <s v="Martin Carr"/>
    <x v="778"/>
    <n v="2"/>
    <x v="1"/>
    <x v="10"/>
    <x v="10"/>
    <x v="3"/>
    <x v="0"/>
  </r>
  <r>
    <s v="AX22376"/>
    <s v="ENX2076"/>
    <s v="A156"/>
    <s v="EMP1002"/>
    <s v="C1484"/>
    <x v="213"/>
    <n v="1"/>
    <n v="1522"/>
    <n v="791"/>
    <n v="791"/>
    <n v="1522"/>
    <n v="731"/>
    <s v="Product 77"/>
    <x v="14"/>
    <s v="Andrew Bowman"/>
    <x v="466"/>
    <n v="2"/>
    <x v="1"/>
    <x v="10"/>
    <x v="10"/>
    <x v="3"/>
    <x v="0"/>
  </r>
  <r>
    <s v="AX23576"/>
    <s v="ENX2023"/>
    <s v="A129"/>
    <s v="EMP1011"/>
    <s v="C1079"/>
    <x v="212"/>
    <n v="2"/>
    <n v="818"/>
    <n v="450"/>
    <n v="900"/>
    <n v="1636"/>
    <n v="736"/>
    <s v="Product 24"/>
    <x v="22"/>
    <s v="Larry Marshall"/>
    <x v="370"/>
    <n v="2"/>
    <x v="1"/>
    <x v="10"/>
    <x v="10"/>
    <x v="3"/>
    <x v="0"/>
  </r>
  <r>
    <s v="AX23843"/>
    <s v="ENX2086"/>
    <s v="A133"/>
    <s v="EMP1011"/>
    <s v="C1057"/>
    <x v="214"/>
    <n v="4"/>
    <n v="123"/>
    <n v="84"/>
    <n v="336"/>
    <n v="492"/>
    <n v="156"/>
    <s v="Product 87"/>
    <x v="46"/>
    <s v="Larry Marshall"/>
    <x v="635"/>
    <n v="2"/>
    <x v="1"/>
    <x v="10"/>
    <x v="10"/>
    <x v="3"/>
    <x v="0"/>
  </r>
  <r>
    <s v="AX23855"/>
    <s v="ENX2018"/>
    <s v="A172"/>
    <s v="EMP1022"/>
    <s v="C1304"/>
    <x v="212"/>
    <n v="1"/>
    <n v="1972"/>
    <n v="1321"/>
    <n v="1321"/>
    <n v="1972"/>
    <n v="651"/>
    <s v="Product 19"/>
    <x v="36"/>
    <s v="Walter Cook"/>
    <x v="298"/>
    <n v="2"/>
    <x v="1"/>
    <x v="10"/>
    <x v="10"/>
    <x v="3"/>
    <x v="0"/>
  </r>
  <r>
    <s v="AX24295"/>
    <s v="ENX2089"/>
    <s v="A173"/>
    <s v="EMP1010"/>
    <s v="C1222"/>
    <x v="214"/>
    <n v="2"/>
    <n v="2294"/>
    <n v="1399"/>
    <n v="2798"/>
    <n v="4588"/>
    <n v="1790"/>
    <s v="Product 90"/>
    <x v="25"/>
    <s v="Joshua Cook"/>
    <x v="691"/>
    <n v="2"/>
    <x v="1"/>
    <x v="10"/>
    <x v="10"/>
    <x v="3"/>
    <x v="0"/>
  </r>
  <r>
    <s v="AX24346"/>
    <s v="ENX2034"/>
    <s v="A173"/>
    <s v="EMP1025"/>
    <s v="C1042"/>
    <x v="212"/>
    <n v="4"/>
    <n v="871"/>
    <n v="540"/>
    <n v="2160"/>
    <n v="3484"/>
    <n v="1324"/>
    <s v="Product 35"/>
    <x v="25"/>
    <s v="Ernest Wagner"/>
    <x v="459"/>
    <n v="2"/>
    <x v="1"/>
    <x v="10"/>
    <x v="10"/>
    <x v="3"/>
    <x v="0"/>
  </r>
  <r>
    <s v="AX24936"/>
    <s v="ENX2078"/>
    <s v="A149"/>
    <s v="EMP1020"/>
    <s v="C1022"/>
    <x v="214"/>
    <n v="3"/>
    <n v="1798"/>
    <n v="971"/>
    <n v="2913"/>
    <n v="5394"/>
    <n v="2481"/>
    <s v="Product 79"/>
    <x v="59"/>
    <s v="Ryan Butler"/>
    <x v="249"/>
    <n v="2"/>
    <x v="1"/>
    <x v="10"/>
    <x v="10"/>
    <x v="3"/>
    <x v="0"/>
  </r>
  <r>
    <s v="AX10203"/>
    <s v="ENX2070"/>
    <s v="A143"/>
    <s v="EMP1014"/>
    <s v="C1112"/>
    <x v="216"/>
    <n v="1"/>
    <n v="1671"/>
    <n v="1220"/>
    <n v="1220"/>
    <n v="1671"/>
    <n v="451"/>
    <s v="Product 71"/>
    <x v="39"/>
    <s v="Ronald Reed"/>
    <x v="590"/>
    <n v="2"/>
    <x v="1"/>
    <x v="10"/>
    <x v="10"/>
    <x v="3"/>
    <x v="2"/>
  </r>
  <r>
    <s v="AX10336"/>
    <s v="ENX2088"/>
    <s v="A155"/>
    <s v="EMP1012"/>
    <s v="C1654"/>
    <x v="217"/>
    <n v="4"/>
    <n v="603"/>
    <n v="416"/>
    <n v="1664"/>
    <n v="2412"/>
    <n v="748"/>
    <s v="Product 89"/>
    <x v="53"/>
    <s v="John Reyes"/>
    <x v="351"/>
    <n v="2"/>
    <x v="1"/>
    <x v="10"/>
    <x v="10"/>
    <x v="3"/>
    <x v="2"/>
  </r>
  <r>
    <s v="AX10383"/>
    <s v="ENX2040"/>
    <s v="A141"/>
    <s v="EMP1024"/>
    <s v="C1085"/>
    <x v="216"/>
    <n v="2"/>
    <n v="1889"/>
    <n v="945"/>
    <n v="1890"/>
    <n v="3778"/>
    <n v="1888"/>
    <s v="Product 41"/>
    <x v="23"/>
    <s v="Ernest Wheeler"/>
    <x v="412"/>
    <n v="2"/>
    <x v="1"/>
    <x v="10"/>
    <x v="10"/>
    <x v="3"/>
    <x v="2"/>
  </r>
  <r>
    <s v="AX10514"/>
    <s v="ENX2053"/>
    <s v="A120"/>
    <s v="EMP1020"/>
    <s v="C1750"/>
    <x v="218"/>
    <n v="1"/>
    <n v="596"/>
    <n v="358"/>
    <n v="358"/>
    <n v="596"/>
    <n v="238"/>
    <s v="Product 54"/>
    <x v="20"/>
    <s v="Ryan Butler"/>
    <x v="591"/>
    <n v="2"/>
    <x v="1"/>
    <x v="10"/>
    <x v="10"/>
    <x v="3"/>
    <x v="2"/>
  </r>
  <r>
    <s v="AX10564"/>
    <s v="ENX2005"/>
    <s v="A143"/>
    <s v="EMP1035"/>
    <s v="C1507"/>
    <x v="216"/>
    <n v="1"/>
    <n v="684"/>
    <n v="561"/>
    <n v="561"/>
    <n v="684"/>
    <n v="123"/>
    <s v="Product 6"/>
    <x v="39"/>
    <s v="Roger Ramos"/>
    <x v="227"/>
    <n v="2"/>
    <x v="1"/>
    <x v="10"/>
    <x v="10"/>
    <x v="3"/>
    <x v="2"/>
  </r>
  <r>
    <s v="AX10912"/>
    <s v="ENX2047"/>
    <s v="A114"/>
    <s v="EMP1044"/>
    <s v="C1117"/>
    <x v="219"/>
    <n v="1"/>
    <n v="290"/>
    <n v="200"/>
    <n v="200"/>
    <n v="290"/>
    <n v="90"/>
    <s v="Product 48"/>
    <x v="28"/>
    <s v="Martin Carr"/>
    <x v="519"/>
    <n v="2"/>
    <x v="1"/>
    <x v="10"/>
    <x v="10"/>
    <x v="3"/>
    <x v="2"/>
  </r>
  <r>
    <s v="AX11028"/>
    <s v="ENX2020"/>
    <s v="A171"/>
    <s v="EMP1029"/>
    <s v="C1653"/>
    <x v="217"/>
    <n v="1"/>
    <n v="2005"/>
    <n v="1223"/>
    <n v="1223"/>
    <n v="2005"/>
    <n v="782"/>
    <s v="Product 21"/>
    <x v="0"/>
    <s v="Howard Gardner"/>
    <x v="187"/>
    <n v="2"/>
    <x v="1"/>
    <x v="10"/>
    <x v="10"/>
    <x v="3"/>
    <x v="2"/>
  </r>
  <r>
    <s v="AX11337"/>
    <s v="ENX2016"/>
    <s v="A171"/>
    <s v="EMP1015"/>
    <s v="C1697"/>
    <x v="219"/>
    <n v="1"/>
    <n v="1351"/>
    <n v="1108"/>
    <n v="1108"/>
    <n v="1351"/>
    <n v="243"/>
    <s v="Product 17"/>
    <x v="0"/>
    <s v="Justin Lynch"/>
    <x v="589"/>
    <n v="2"/>
    <x v="1"/>
    <x v="10"/>
    <x v="10"/>
    <x v="3"/>
    <x v="2"/>
  </r>
  <r>
    <s v="AX11419"/>
    <s v="ENX2078"/>
    <s v="A104"/>
    <s v="EMP1019"/>
    <s v="C1249"/>
    <x v="218"/>
    <n v="1"/>
    <n v="1798"/>
    <n v="971"/>
    <n v="971"/>
    <n v="1798"/>
    <n v="827"/>
    <s v="Product 79"/>
    <x v="50"/>
    <s v="Roger Robertson"/>
    <x v="709"/>
    <n v="2"/>
    <x v="1"/>
    <x v="10"/>
    <x v="10"/>
    <x v="3"/>
    <x v="2"/>
  </r>
  <r>
    <s v="AX11453"/>
    <s v="ENX2017"/>
    <s v="A141"/>
    <s v="EMP1031"/>
    <s v="C1502"/>
    <x v="218"/>
    <n v="1"/>
    <n v="35"/>
    <n v="22"/>
    <n v="22"/>
    <n v="35"/>
    <n v="13"/>
    <s v="Product 18"/>
    <x v="23"/>
    <s v="Brian Thomas"/>
    <x v="364"/>
    <n v="2"/>
    <x v="1"/>
    <x v="10"/>
    <x v="10"/>
    <x v="3"/>
    <x v="2"/>
  </r>
  <r>
    <s v="AX12231"/>
    <s v="ENX2001"/>
    <s v="A133"/>
    <s v="EMP1037"/>
    <s v="C1331"/>
    <x v="217"/>
    <n v="1"/>
    <n v="951"/>
    <n v="504"/>
    <n v="504"/>
    <n v="951"/>
    <n v="447"/>
    <s v="Product 2"/>
    <x v="46"/>
    <s v="Carl Hall"/>
    <x v="482"/>
    <n v="2"/>
    <x v="1"/>
    <x v="10"/>
    <x v="10"/>
    <x v="3"/>
    <x v="2"/>
  </r>
  <r>
    <s v="AX12316"/>
    <s v="ENX2040"/>
    <s v="A141"/>
    <s v="EMP1040"/>
    <s v="C1689"/>
    <x v="217"/>
    <n v="1"/>
    <n v="1889"/>
    <n v="945"/>
    <n v="945"/>
    <n v="1889"/>
    <n v="944"/>
    <s v="Product 41"/>
    <x v="23"/>
    <s v="Patrick Ruiz"/>
    <x v="181"/>
    <n v="2"/>
    <x v="1"/>
    <x v="10"/>
    <x v="10"/>
    <x v="3"/>
    <x v="2"/>
  </r>
  <r>
    <s v="AX13054"/>
    <s v="ENX2087"/>
    <s v="A145"/>
    <s v="EMP1006"/>
    <s v="C1128"/>
    <x v="216"/>
    <n v="1"/>
    <n v="1022"/>
    <n v="818"/>
    <n v="818"/>
    <n v="1022"/>
    <n v="204"/>
    <s v="Product 88"/>
    <x v="35"/>
    <s v="Sean Miller"/>
    <x v="553"/>
    <n v="2"/>
    <x v="1"/>
    <x v="10"/>
    <x v="10"/>
    <x v="3"/>
    <x v="2"/>
  </r>
  <r>
    <s v="AX13121"/>
    <s v="ENX2001"/>
    <s v="A125"/>
    <s v="EMP1032"/>
    <s v="C1671"/>
    <x v="218"/>
    <n v="1"/>
    <n v="951"/>
    <n v="504"/>
    <n v="504"/>
    <n v="951"/>
    <n v="447"/>
    <s v="Product 2"/>
    <x v="31"/>
    <s v="Larry Castillo"/>
    <x v="248"/>
    <n v="2"/>
    <x v="1"/>
    <x v="10"/>
    <x v="10"/>
    <x v="3"/>
    <x v="2"/>
  </r>
  <r>
    <s v="AX13328"/>
    <s v="ENX2013"/>
    <s v="A126"/>
    <s v="EMP1042"/>
    <s v="C1103"/>
    <x v="218"/>
    <n v="4"/>
    <n v="368"/>
    <n v="269"/>
    <n v="1076"/>
    <n v="1472"/>
    <n v="396"/>
    <s v="Product 14"/>
    <x v="5"/>
    <s v="Scott Clark"/>
    <x v="336"/>
    <n v="2"/>
    <x v="1"/>
    <x v="10"/>
    <x v="10"/>
    <x v="3"/>
    <x v="2"/>
  </r>
  <r>
    <s v="AX13378"/>
    <s v="ENX2052"/>
    <s v="A106"/>
    <s v="EMP1012"/>
    <s v="C1514"/>
    <x v="216"/>
    <n v="2"/>
    <n v="1526"/>
    <n v="1251"/>
    <n v="2502"/>
    <n v="3052"/>
    <n v="550"/>
    <s v="Product 53"/>
    <x v="11"/>
    <s v="John Reyes"/>
    <x v="307"/>
    <n v="2"/>
    <x v="1"/>
    <x v="10"/>
    <x v="10"/>
    <x v="3"/>
    <x v="2"/>
  </r>
  <r>
    <s v="AX14154"/>
    <s v="ENX2023"/>
    <s v="A158"/>
    <s v="EMP1024"/>
    <s v="C1316"/>
    <x v="219"/>
    <n v="1"/>
    <n v="818"/>
    <n v="450"/>
    <n v="450"/>
    <n v="818"/>
    <n v="368"/>
    <s v="Product 24"/>
    <x v="58"/>
    <s v="Ernest Wheeler"/>
    <x v="771"/>
    <n v="2"/>
    <x v="1"/>
    <x v="10"/>
    <x v="10"/>
    <x v="3"/>
    <x v="2"/>
  </r>
  <r>
    <s v="AX14221"/>
    <s v="ENX2081"/>
    <s v="A100"/>
    <s v="EMP1043"/>
    <s v="C1439"/>
    <x v="218"/>
    <n v="1"/>
    <n v="1566"/>
    <n v="1190"/>
    <n v="1190"/>
    <n v="1566"/>
    <n v="376"/>
    <s v="Product 82"/>
    <x v="52"/>
    <s v="Joshua Taylor"/>
    <x v="172"/>
    <n v="2"/>
    <x v="1"/>
    <x v="10"/>
    <x v="10"/>
    <x v="3"/>
    <x v="2"/>
  </r>
  <r>
    <s v="AX14319"/>
    <s v="ENX2093"/>
    <s v="A158"/>
    <s v="EMP1044"/>
    <s v="C1304"/>
    <x v="216"/>
    <n v="3"/>
    <n v="112"/>
    <n v="90"/>
    <n v="270"/>
    <n v="336"/>
    <n v="66"/>
    <s v="Product 94"/>
    <x v="58"/>
    <s v="Martin Carr"/>
    <x v="298"/>
    <n v="2"/>
    <x v="1"/>
    <x v="10"/>
    <x v="10"/>
    <x v="3"/>
    <x v="2"/>
  </r>
  <r>
    <s v="AX14378"/>
    <s v="ENX2030"/>
    <s v="A129"/>
    <s v="EMP1004"/>
    <s v="C1142"/>
    <x v="219"/>
    <n v="1"/>
    <n v="1899"/>
    <n v="1044"/>
    <n v="1044"/>
    <n v="1899"/>
    <n v="855"/>
    <s v="Product 31"/>
    <x v="22"/>
    <s v="Kenneth Bradley"/>
    <x v="731"/>
    <n v="2"/>
    <x v="1"/>
    <x v="10"/>
    <x v="10"/>
    <x v="3"/>
    <x v="2"/>
  </r>
  <r>
    <s v="AX14386"/>
    <s v="ENX2030"/>
    <s v="A126"/>
    <s v="EMP1038"/>
    <s v="C1530"/>
    <x v="216"/>
    <n v="3"/>
    <n v="1899"/>
    <n v="1044"/>
    <n v="3132"/>
    <n v="5697"/>
    <n v="2565"/>
    <s v="Product 31"/>
    <x v="5"/>
    <s v="Scott Mason"/>
    <x v="224"/>
    <n v="2"/>
    <x v="1"/>
    <x v="10"/>
    <x v="10"/>
    <x v="3"/>
    <x v="2"/>
  </r>
  <r>
    <s v="AX14452"/>
    <s v="ENX2017"/>
    <s v="A152"/>
    <s v="EMP1012"/>
    <s v="C1344"/>
    <x v="218"/>
    <n v="4"/>
    <n v="35"/>
    <n v="22"/>
    <n v="88"/>
    <n v="140"/>
    <n v="52"/>
    <s v="Product 18"/>
    <x v="26"/>
    <s v="John Reyes"/>
    <x v="22"/>
    <n v="2"/>
    <x v="1"/>
    <x v="10"/>
    <x v="10"/>
    <x v="3"/>
    <x v="2"/>
  </r>
  <r>
    <s v="AX14847"/>
    <s v="ENX2035"/>
    <s v="A147"/>
    <s v="EMP1011"/>
    <s v="C1355"/>
    <x v="218"/>
    <n v="1"/>
    <n v="458"/>
    <n v="376"/>
    <n v="376"/>
    <n v="458"/>
    <n v="82"/>
    <s v="Product 36"/>
    <x v="42"/>
    <s v="Larry Marshall"/>
    <x v="710"/>
    <n v="2"/>
    <x v="1"/>
    <x v="10"/>
    <x v="10"/>
    <x v="3"/>
    <x v="2"/>
  </r>
  <r>
    <s v="AX14876"/>
    <s v="ENX2090"/>
    <s v="A136"/>
    <s v="EMP1026"/>
    <s v="C1220"/>
    <x v="218"/>
    <n v="1"/>
    <n v="1338"/>
    <n v="682"/>
    <n v="682"/>
    <n v="1338"/>
    <n v="656"/>
    <s v="Product 91"/>
    <x v="43"/>
    <s v="Martin Perry"/>
    <x v="204"/>
    <n v="2"/>
    <x v="1"/>
    <x v="10"/>
    <x v="10"/>
    <x v="3"/>
    <x v="2"/>
  </r>
  <r>
    <s v="AX15243"/>
    <s v="ENX2070"/>
    <s v="A167"/>
    <s v="EMP1030"/>
    <s v="C1299"/>
    <x v="218"/>
    <n v="1"/>
    <n v="1671"/>
    <n v="1220"/>
    <n v="1220"/>
    <n v="1671"/>
    <n v="451"/>
    <s v="Product 71"/>
    <x v="64"/>
    <s v="Bobby Russell"/>
    <x v="655"/>
    <n v="2"/>
    <x v="1"/>
    <x v="10"/>
    <x v="10"/>
    <x v="3"/>
    <x v="2"/>
  </r>
  <r>
    <s v="AX15246"/>
    <s v="ENX2047"/>
    <s v="A111"/>
    <s v="EMP1027"/>
    <s v="C1270"/>
    <x v="218"/>
    <n v="1"/>
    <n v="290"/>
    <n v="200"/>
    <n v="200"/>
    <n v="290"/>
    <n v="90"/>
    <s v="Product 48"/>
    <x v="54"/>
    <s v="Gary Rodriguez"/>
    <x v="517"/>
    <n v="2"/>
    <x v="1"/>
    <x v="10"/>
    <x v="10"/>
    <x v="3"/>
    <x v="2"/>
  </r>
  <r>
    <s v="AX15879"/>
    <s v="ENX2048"/>
    <s v="A108"/>
    <s v="EMP1010"/>
    <s v="C1140"/>
    <x v="219"/>
    <n v="3"/>
    <n v="502"/>
    <n v="296"/>
    <n v="888"/>
    <n v="1506"/>
    <n v="618"/>
    <s v="Product 49"/>
    <x v="49"/>
    <s v="Joshua Cook"/>
    <x v="40"/>
    <n v="2"/>
    <x v="1"/>
    <x v="10"/>
    <x v="10"/>
    <x v="3"/>
    <x v="2"/>
  </r>
  <r>
    <s v="AX15946"/>
    <s v="ENX2030"/>
    <s v="A120"/>
    <s v="EMP1021"/>
    <s v="C1757"/>
    <x v="218"/>
    <n v="1"/>
    <n v="1899"/>
    <n v="1044"/>
    <n v="1044"/>
    <n v="1899"/>
    <n v="855"/>
    <s v="Product 31"/>
    <x v="20"/>
    <s v="Clarence Fox"/>
    <x v="376"/>
    <n v="2"/>
    <x v="1"/>
    <x v="10"/>
    <x v="10"/>
    <x v="3"/>
    <x v="2"/>
  </r>
  <r>
    <s v="AX16153"/>
    <s v="ENX2020"/>
    <s v="A151"/>
    <s v="EMP1005"/>
    <s v="C1211"/>
    <x v="218"/>
    <n v="3"/>
    <n v="2005"/>
    <n v="1223"/>
    <n v="3669"/>
    <n v="6015"/>
    <n v="2346"/>
    <s v="Product 21"/>
    <x v="1"/>
    <s v="Ryan Welch"/>
    <x v="137"/>
    <n v="2"/>
    <x v="1"/>
    <x v="10"/>
    <x v="10"/>
    <x v="3"/>
    <x v="2"/>
  </r>
  <r>
    <s v="AX16176"/>
    <s v="ENX2077"/>
    <s v="A125"/>
    <s v="EMP1010"/>
    <s v="C1416"/>
    <x v="217"/>
    <n v="1"/>
    <n v="530"/>
    <n v="424"/>
    <n v="424"/>
    <n v="530"/>
    <n v="106"/>
    <s v="Product 78"/>
    <x v="31"/>
    <s v="Joshua Cook"/>
    <x v="554"/>
    <n v="2"/>
    <x v="1"/>
    <x v="10"/>
    <x v="10"/>
    <x v="3"/>
    <x v="2"/>
  </r>
  <r>
    <s v="AX16201"/>
    <s v="ENX2087"/>
    <s v="A101"/>
    <s v="EMP1024"/>
    <s v="C1536"/>
    <x v="219"/>
    <n v="3"/>
    <n v="1022"/>
    <n v="818"/>
    <n v="2454"/>
    <n v="3066"/>
    <n v="612"/>
    <s v="Product 88"/>
    <x v="60"/>
    <s v="Ernest Wheeler"/>
    <x v="74"/>
    <n v="2"/>
    <x v="1"/>
    <x v="10"/>
    <x v="10"/>
    <x v="3"/>
    <x v="2"/>
  </r>
  <r>
    <s v="AX16346"/>
    <s v="ENX2077"/>
    <s v="A103"/>
    <s v="EMP1038"/>
    <s v="C1343"/>
    <x v="217"/>
    <n v="1"/>
    <n v="530"/>
    <n v="424"/>
    <n v="424"/>
    <n v="530"/>
    <n v="106"/>
    <s v="Product 78"/>
    <x v="61"/>
    <s v="Scott Mason"/>
    <x v="175"/>
    <n v="2"/>
    <x v="1"/>
    <x v="10"/>
    <x v="10"/>
    <x v="3"/>
    <x v="2"/>
  </r>
  <r>
    <s v="AX16454"/>
    <s v="ENX2080"/>
    <s v="A113"/>
    <s v="EMP1013"/>
    <s v="C1761"/>
    <x v="216"/>
    <n v="2"/>
    <n v="2353"/>
    <n v="1788"/>
    <n v="3576"/>
    <n v="4706"/>
    <n v="1130"/>
    <s v="Product 81"/>
    <x v="73"/>
    <s v="Charles Harper"/>
    <x v="618"/>
    <n v="2"/>
    <x v="1"/>
    <x v="10"/>
    <x v="10"/>
    <x v="3"/>
    <x v="2"/>
  </r>
  <r>
    <s v="AX16608"/>
    <s v="ENX2021"/>
    <s v="A144"/>
    <s v="EMP1040"/>
    <s v="C1736"/>
    <x v="217"/>
    <n v="1"/>
    <n v="217"/>
    <n v="171"/>
    <n v="171"/>
    <n v="217"/>
    <n v="46"/>
    <s v="Product 22"/>
    <x v="65"/>
    <s v="Patrick Ruiz"/>
    <x v="472"/>
    <n v="2"/>
    <x v="1"/>
    <x v="10"/>
    <x v="10"/>
    <x v="3"/>
    <x v="2"/>
  </r>
  <r>
    <s v="AX16856"/>
    <s v="ENX2084"/>
    <s v="A134"/>
    <s v="EMP1010"/>
    <s v="C1049"/>
    <x v="216"/>
    <n v="2"/>
    <n v="1783"/>
    <n v="1230"/>
    <n v="2460"/>
    <n v="3566"/>
    <n v="1106"/>
    <s v="Product 85"/>
    <x v="41"/>
    <s v="Joshua Cook"/>
    <x v="305"/>
    <n v="2"/>
    <x v="1"/>
    <x v="10"/>
    <x v="10"/>
    <x v="3"/>
    <x v="2"/>
  </r>
  <r>
    <s v="AX17612"/>
    <s v="ENX2055"/>
    <s v="A157"/>
    <s v="EMP1000"/>
    <s v="C1585"/>
    <x v="218"/>
    <n v="1"/>
    <n v="2495"/>
    <n v="1896"/>
    <n v="1896"/>
    <n v="2495"/>
    <n v="599"/>
    <s v="Product 56"/>
    <x v="7"/>
    <s v="Fred Robertson"/>
    <x v="400"/>
    <n v="2"/>
    <x v="1"/>
    <x v="10"/>
    <x v="10"/>
    <x v="3"/>
    <x v="2"/>
  </r>
  <r>
    <s v="AX17687"/>
    <s v="ENX2014"/>
    <s v="A118"/>
    <s v="EMP1010"/>
    <s v="C1199"/>
    <x v="217"/>
    <n v="1"/>
    <n v="1809"/>
    <n v="1067"/>
    <n v="1067"/>
    <n v="1809"/>
    <n v="742"/>
    <s v="Product 15"/>
    <x v="19"/>
    <s v="Joshua Cook"/>
    <x v="245"/>
    <n v="2"/>
    <x v="1"/>
    <x v="10"/>
    <x v="10"/>
    <x v="3"/>
    <x v="2"/>
  </r>
  <r>
    <s v="AX18495"/>
    <s v="ENX2004"/>
    <s v="A164"/>
    <s v="EMP1029"/>
    <s v="C1710"/>
    <x v="219"/>
    <n v="1"/>
    <n v="1278"/>
    <n v="665"/>
    <n v="665"/>
    <n v="1278"/>
    <n v="613"/>
    <s v="Product 5"/>
    <x v="3"/>
    <s v="Howard Gardner"/>
    <x v="197"/>
    <n v="2"/>
    <x v="1"/>
    <x v="10"/>
    <x v="10"/>
    <x v="3"/>
    <x v="2"/>
  </r>
  <r>
    <s v="AX19124"/>
    <s v="ENX2020"/>
    <s v="A172"/>
    <s v="EMP1001"/>
    <s v="C1262"/>
    <x v="219"/>
    <n v="1"/>
    <n v="2005"/>
    <n v="1223"/>
    <n v="1223"/>
    <n v="2005"/>
    <n v="782"/>
    <s v="Product 21"/>
    <x v="36"/>
    <s v="Kevin Butler"/>
    <x v="363"/>
    <n v="2"/>
    <x v="1"/>
    <x v="10"/>
    <x v="10"/>
    <x v="3"/>
    <x v="2"/>
  </r>
  <r>
    <s v="AX19156"/>
    <s v="ENX2030"/>
    <s v="A119"/>
    <s v="EMP1038"/>
    <s v="C1466"/>
    <x v="218"/>
    <n v="4"/>
    <n v="1899"/>
    <n v="1044"/>
    <n v="4176"/>
    <n v="7596"/>
    <n v="3420"/>
    <s v="Product 31"/>
    <x v="16"/>
    <s v="Scott Mason"/>
    <x v="132"/>
    <n v="2"/>
    <x v="1"/>
    <x v="10"/>
    <x v="10"/>
    <x v="3"/>
    <x v="2"/>
  </r>
  <r>
    <s v="AX19369"/>
    <s v="ENX2097"/>
    <s v="A116"/>
    <s v="EMP1035"/>
    <s v="C1463"/>
    <x v="218"/>
    <n v="1"/>
    <n v="1052"/>
    <n v="589"/>
    <n v="589"/>
    <n v="1052"/>
    <n v="463"/>
    <s v="Product 98"/>
    <x v="15"/>
    <s v="Roger Ramos"/>
    <x v="535"/>
    <n v="2"/>
    <x v="1"/>
    <x v="10"/>
    <x v="10"/>
    <x v="3"/>
    <x v="2"/>
  </r>
  <r>
    <s v="AX19632"/>
    <s v="ENX2026"/>
    <s v="A133"/>
    <s v="EMP1005"/>
    <s v="C1629"/>
    <x v="217"/>
    <n v="4"/>
    <n v="947"/>
    <n v="786"/>
    <n v="3144"/>
    <n v="3788"/>
    <n v="644"/>
    <s v="Product 27"/>
    <x v="46"/>
    <s v="Ryan Welch"/>
    <x v="734"/>
    <n v="2"/>
    <x v="1"/>
    <x v="10"/>
    <x v="10"/>
    <x v="3"/>
    <x v="2"/>
  </r>
  <r>
    <s v="AX19723"/>
    <s v="ENX2050"/>
    <s v="A147"/>
    <s v="EMP1007"/>
    <s v="C1773"/>
    <x v="218"/>
    <n v="3"/>
    <n v="2391"/>
    <n v="1291"/>
    <n v="3873"/>
    <n v="7173"/>
    <n v="3300"/>
    <s v="Product 51"/>
    <x v="42"/>
    <s v="Jeremy Mendoza"/>
    <x v="723"/>
    <n v="2"/>
    <x v="1"/>
    <x v="10"/>
    <x v="10"/>
    <x v="3"/>
    <x v="2"/>
  </r>
  <r>
    <s v="AX19947"/>
    <s v="ENX2052"/>
    <s v="A154"/>
    <s v="EMP1011"/>
    <s v="C1378"/>
    <x v="216"/>
    <n v="1"/>
    <n v="1526"/>
    <n v="1251"/>
    <n v="1251"/>
    <n v="1526"/>
    <n v="275"/>
    <s v="Product 53"/>
    <x v="24"/>
    <s v="Larry Marshall"/>
    <x v="787"/>
    <n v="2"/>
    <x v="1"/>
    <x v="10"/>
    <x v="10"/>
    <x v="3"/>
    <x v="2"/>
  </r>
  <r>
    <s v="AX20047"/>
    <s v="ENX2066"/>
    <s v="A168"/>
    <s v="EMP1039"/>
    <s v="C1192"/>
    <x v="217"/>
    <n v="3"/>
    <n v="2091"/>
    <n v="1485"/>
    <n v="4455"/>
    <n v="6273"/>
    <n v="1818"/>
    <s v="Product 67"/>
    <x v="40"/>
    <s v="Eugene Holmes"/>
    <x v="746"/>
    <n v="2"/>
    <x v="1"/>
    <x v="10"/>
    <x v="10"/>
    <x v="3"/>
    <x v="2"/>
  </r>
  <r>
    <s v="AX20194"/>
    <s v="ENX2050"/>
    <s v="A167"/>
    <s v="EMP1042"/>
    <s v="C1083"/>
    <x v="216"/>
    <n v="1"/>
    <n v="2391"/>
    <n v="1291"/>
    <n v="1291"/>
    <n v="2391"/>
    <n v="1100"/>
    <s v="Product 51"/>
    <x v="64"/>
    <s v="Scott Clark"/>
    <x v="550"/>
    <n v="2"/>
    <x v="1"/>
    <x v="10"/>
    <x v="10"/>
    <x v="3"/>
    <x v="2"/>
  </r>
  <r>
    <s v="AX20682"/>
    <s v="ENX2074"/>
    <s v="A108"/>
    <s v="EMP1012"/>
    <s v="C1691"/>
    <x v="217"/>
    <n v="1"/>
    <n v="504"/>
    <n v="408"/>
    <n v="408"/>
    <n v="504"/>
    <n v="96"/>
    <s v="Product 75"/>
    <x v="49"/>
    <s v="John Reyes"/>
    <x v="157"/>
    <n v="2"/>
    <x v="1"/>
    <x v="10"/>
    <x v="10"/>
    <x v="3"/>
    <x v="2"/>
  </r>
  <r>
    <s v="AX20717"/>
    <s v="ENX2059"/>
    <s v="A130"/>
    <s v="EMP1009"/>
    <s v="C1342"/>
    <x v="218"/>
    <n v="3"/>
    <n v="1494"/>
    <n v="971"/>
    <n v="2913"/>
    <n v="4482"/>
    <n v="1569"/>
    <s v="Product 60"/>
    <x v="4"/>
    <s v="Kenneth Fields"/>
    <x v="62"/>
    <n v="2"/>
    <x v="1"/>
    <x v="10"/>
    <x v="10"/>
    <x v="3"/>
    <x v="2"/>
  </r>
  <r>
    <s v="AX21017"/>
    <s v="ENX2074"/>
    <s v="A118"/>
    <s v="EMP1008"/>
    <s v="C1782"/>
    <x v="217"/>
    <n v="1"/>
    <n v="504"/>
    <n v="408"/>
    <n v="408"/>
    <n v="504"/>
    <n v="96"/>
    <s v="Product 75"/>
    <x v="19"/>
    <s v="Carl Elliott"/>
    <x v="607"/>
    <n v="2"/>
    <x v="1"/>
    <x v="10"/>
    <x v="10"/>
    <x v="3"/>
    <x v="2"/>
  </r>
  <r>
    <s v="AX21328"/>
    <s v="ENX2010"/>
    <s v="A170"/>
    <s v="EMP1041"/>
    <s v="C1243"/>
    <x v="219"/>
    <n v="1"/>
    <n v="1812"/>
    <n v="1305"/>
    <n v="1305"/>
    <n v="1812"/>
    <n v="507"/>
    <s v="Product 11"/>
    <x v="47"/>
    <s v="Joe Sims"/>
    <x v="129"/>
    <n v="2"/>
    <x v="1"/>
    <x v="10"/>
    <x v="10"/>
    <x v="3"/>
    <x v="2"/>
  </r>
  <r>
    <s v="AX22017"/>
    <s v="ENX2045"/>
    <s v="A106"/>
    <s v="EMP1033"/>
    <s v="C1446"/>
    <x v="218"/>
    <n v="3"/>
    <n v="556"/>
    <n v="395"/>
    <n v="1185"/>
    <n v="1668"/>
    <n v="483"/>
    <s v="Product 46"/>
    <x v="11"/>
    <s v="Jerry Perry"/>
    <x v="345"/>
    <n v="2"/>
    <x v="1"/>
    <x v="10"/>
    <x v="10"/>
    <x v="3"/>
    <x v="2"/>
  </r>
  <r>
    <s v="AX22522"/>
    <s v="ENX2089"/>
    <s v="A122"/>
    <s v="EMP1000"/>
    <s v="C1024"/>
    <x v="219"/>
    <n v="1"/>
    <n v="2294"/>
    <n v="1399"/>
    <n v="1399"/>
    <n v="2294"/>
    <n v="895"/>
    <s v="Product 90"/>
    <x v="71"/>
    <s v="Fred Robertson"/>
    <x v="599"/>
    <n v="2"/>
    <x v="1"/>
    <x v="10"/>
    <x v="10"/>
    <x v="3"/>
    <x v="2"/>
  </r>
  <r>
    <s v="AX22691"/>
    <s v="ENX2031"/>
    <s v="A120"/>
    <s v="EMP1027"/>
    <s v="C1055"/>
    <x v="217"/>
    <n v="2"/>
    <n v="1638"/>
    <n v="1261"/>
    <n v="2522"/>
    <n v="3276"/>
    <n v="754"/>
    <s v="Product 32"/>
    <x v="20"/>
    <s v="Gary Rodriguez"/>
    <x v="593"/>
    <n v="2"/>
    <x v="1"/>
    <x v="10"/>
    <x v="10"/>
    <x v="3"/>
    <x v="2"/>
  </r>
  <r>
    <s v="AX23036"/>
    <s v="ENX2034"/>
    <s v="A153"/>
    <s v="EMP1001"/>
    <s v="C1160"/>
    <x v="216"/>
    <n v="1"/>
    <n v="871"/>
    <n v="540"/>
    <n v="540"/>
    <n v="871"/>
    <n v="331"/>
    <s v="Product 35"/>
    <x v="8"/>
    <s v="Kevin Butler"/>
    <x v="566"/>
    <n v="2"/>
    <x v="1"/>
    <x v="10"/>
    <x v="10"/>
    <x v="3"/>
    <x v="2"/>
  </r>
  <r>
    <s v="AX23081"/>
    <s v="ENX2085"/>
    <s v="A134"/>
    <s v="EMP1030"/>
    <s v="C1690"/>
    <x v="217"/>
    <n v="4"/>
    <n v="1862"/>
    <n v="1173"/>
    <n v="4692"/>
    <n v="7448"/>
    <n v="2756"/>
    <s v="Product 86"/>
    <x v="41"/>
    <s v="Bobby Russell"/>
    <x v="185"/>
    <n v="2"/>
    <x v="1"/>
    <x v="10"/>
    <x v="10"/>
    <x v="3"/>
    <x v="2"/>
  </r>
  <r>
    <s v="AX23332"/>
    <s v="ENX2003"/>
    <s v="A148"/>
    <s v="EMP1032"/>
    <s v="C1779"/>
    <x v="217"/>
    <n v="4"/>
    <n v="1783"/>
    <n v="1516"/>
    <n v="6064"/>
    <n v="7132"/>
    <n v="1068"/>
    <s v="Product 4"/>
    <x v="62"/>
    <s v="Larry Castillo"/>
    <x v="648"/>
    <n v="2"/>
    <x v="1"/>
    <x v="10"/>
    <x v="10"/>
    <x v="3"/>
    <x v="2"/>
  </r>
  <r>
    <s v="AX23455"/>
    <s v="ENX2079"/>
    <s v="A146"/>
    <s v="EMP1006"/>
    <s v="C1035"/>
    <x v="219"/>
    <n v="1"/>
    <n v="1725"/>
    <n v="1363"/>
    <n v="1363"/>
    <n v="1725"/>
    <n v="362"/>
    <s v="Product 80"/>
    <x v="27"/>
    <s v="Sean Miller"/>
    <x v="95"/>
    <n v="2"/>
    <x v="1"/>
    <x v="10"/>
    <x v="10"/>
    <x v="3"/>
    <x v="2"/>
  </r>
  <r>
    <s v="AX24068"/>
    <s v="ENX2060"/>
    <s v="A105"/>
    <s v="EMP1021"/>
    <s v="C1374"/>
    <x v="218"/>
    <n v="1"/>
    <n v="1467"/>
    <n v="807"/>
    <n v="807"/>
    <n v="1467"/>
    <n v="660"/>
    <s v="Product 61"/>
    <x v="45"/>
    <s v="Clarence Fox"/>
    <x v="189"/>
    <n v="2"/>
    <x v="1"/>
    <x v="10"/>
    <x v="10"/>
    <x v="3"/>
    <x v="2"/>
  </r>
  <r>
    <s v="AX24102"/>
    <s v="ENX2028"/>
    <s v="A128"/>
    <s v="EMP1017"/>
    <s v="C1164"/>
    <x v="217"/>
    <n v="1"/>
    <n v="2283"/>
    <n v="1484"/>
    <n v="1484"/>
    <n v="2283"/>
    <n v="799"/>
    <s v="Product 29"/>
    <x v="12"/>
    <s v="Brian Hansen"/>
    <x v="149"/>
    <n v="2"/>
    <x v="1"/>
    <x v="10"/>
    <x v="10"/>
    <x v="3"/>
    <x v="2"/>
  </r>
  <r>
    <s v="AX24901"/>
    <s v="ENX2031"/>
    <s v="A132"/>
    <s v="EMP1031"/>
    <s v="C1453"/>
    <x v="217"/>
    <n v="3"/>
    <n v="1638"/>
    <n v="1261"/>
    <n v="3783"/>
    <n v="4914"/>
    <n v="1131"/>
    <s v="Product 32"/>
    <x v="48"/>
    <s v="Brian Thomas"/>
    <x v="194"/>
    <n v="2"/>
    <x v="1"/>
    <x v="10"/>
    <x v="10"/>
    <x v="3"/>
    <x v="2"/>
  </r>
  <r>
    <s v="AX10240"/>
    <s v="ENX2012"/>
    <s v="A130"/>
    <s v="EMP1010"/>
    <s v="C1670"/>
    <x v="220"/>
    <n v="1"/>
    <n v="1353"/>
    <n v="947"/>
    <n v="947"/>
    <n v="1353"/>
    <n v="406"/>
    <s v="Product 13"/>
    <x v="4"/>
    <s v="Joshua Cook"/>
    <x v="663"/>
    <n v="2"/>
    <x v="1"/>
    <x v="11"/>
    <x v="11"/>
    <x v="3"/>
    <x v="0"/>
  </r>
  <r>
    <s v="AX10379"/>
    <s v="ENX2044"/>
    <s v="A137"/>
    <s v="EMP1032"/>
    <s v="C1338"/>
    <x v="221"/>
    <n v="1"/>
    <n v="886"/>
    <n v="478"/>
    <n v="478"/>
    <n v="886"/>
    <n v="408"/>
    <s v="Product 45"/>
    <x v="68"/>
    <s v="Larry Castillo"/>
    <x v="542"/>
    <n v="2"/>
    <x v="1"/>
    <x v="11"/>
    <x v="11"/>
    <x v="3"/>
    <x v="0"/>
  </r>
  <r>
    <s v="AX10617"/>
    <s v="ENX2018"/>
    <s v="A108"/>
    <s v="EMP1023"/>
    <s v="C1446"/>
    <x v="221"/>
    <n v="1"/>
    <n v="1972"/>
    <n v="1321"/>
    <n v="1321"/>
    <n v="1972"/>
    <n v="651"/>
    <s v="Product 19"/>
    <x v="49"/>
    <s v="Brian Davis"/>
    <x v="345"/>
    <n v="2"/>
    <x v="1"/>
    <x v="11"/>
    <x v="11"/>
    <x v="3"/>
    <x v="0"/>
  </r>
  <r>
    <s v="AX10961"/>
    <s v="ENX2036"/>
    <s v="A147"/>
    <s v="EMP1023"/>
    <s v="C1243"/>
    <x v="222"/>
    <n v="1"/>
    <n v="1582"/>
    <n v="1234"/>
    <n v="1234"/>
    <n v="1582"/>
    <n v="348"/>
    <s v="Product 37"/>
    <x v="42"/>
    <s v="Brian Davis"/>
    <x v="129"/>
    <n v="2"/>
    <x v="1"/>
    <x v="11"/>
    <x v="11"/>
    <x v="3"/>
    <x v="0"/>
  </r>
  <r>
    <s v="AX11087"/>
    <s v="ENX2038"/>
    <s v="A173"/>
    <s v="EMP1041"/>
    <s v="C1206"/>
    <x v="223"/>
    <n v="2"/>
    <n v="392"/>
    <n v="255"/>
    <n v="510"/>
    <n v="784"/>
    <n v="274"/>
    <s v="Product 39"/>
    <x v="25"/>
    <s v="Joe Sims"/>
    <x v="518"/>
    <n v="2"/>
    <x v="1"/>
    <x v="11"/>
    <x v="11"/>
    <x v="3"/>
    <x v="0"/>
  </r>
  <r>
    <s v="AX11168"/>
    <s v="ENX2037"/>
    <s v="A172"/>
    <s v="EMP1021"/>
    <s v="C1024"/>
    <x v="220"/>
    <n v="2"/>
    <n v="880"/>
    <n v="634"/>
    <n v="1268"/>
    <n v="1760"/>
    <n v="492"/>
    <s v="Product 38"/>
    <x v="36"/>
    <s v="Clarence Fox"/>
    <x v="599"/>
    <n v="2"/>
    <x v="1"/>
    <x v="11"/>
    <x v="11"/>
    <x v="3"/>
    <x v="0"/>
  </r>
  <r>
    <s v="AX11527"/>
    <s v="ENX2000"/>
    <s v="A111"/>
    <s v="EMP1038"/>
    <s v="C1733"/>
    <x v="221"/>
    <n v="2"/>
    <n v="2241"/>
    <n v="1367"/>
    <n v="2734"/>
    <n v="4482"/>
    <n v="1748"/>
    <s v="Product 1"/>
    <x v="54"/>
    <s v="Scott Mason"/>
    <x v="32"/>
    <n v="2"/>
    <x v="1"/>
    <x v="11"/>
    <x v="11"/>
    <x v="3"/>
    <x v="0"/>
  </r>
  <r>
    <s v="AX11823"/>
    <s v="ENX2060"/>
    <s v="A151"/>
    <s v="EMP1043"/>
    <s v="C1043"/>
    <x v="222"/>
    <n v="1"/>
    <n v="1467"/>
    <n v="807"/>
    <n v="807"/>
    <n v="1467"/>
    <n v="660"/>
    <s v="Product 61"/>
    <x v="1"/>
    <s v="Joshua Taylor"/>
    <x v="546"/>
    <n v="2"/>
    <x v="1"/>
    <x v="11"/>
    <x v="11"/>
    <x v="3"/>
    <x v="0"/>
  </r>
  <r>
    <s v="AX11868"/>
    <s v="ENX2077"/>
    <s v="A157"/>
    <s v="EMP1033"/>
    <s v="C1568"/>
    <x v="221"/>
    <n v="2"/>
    <n v="530"/>
    <n v="424"/>
    <n v="848"/>
    <n v="1060"/>
    <n v="212"/>
    <s v="Product 78"/>
    <x v="7"/>
    <s v="Jerry Perry"/>
    <x v="551"/>
    <n v="2"/>
    <x v="1"/>
    <x v="11"/>
    <x v="11"/>
    <x v="3"/>
    <x v="0"/>
  </r>
  <r>
    <s v="AX11931"/>
    <s v="ENX2008"/>
    <s v="A157"/>
    <s v="EMP1035"/>
    <s v="C1048"/>
    <x v="223"/>
    <n v="1"/>
    <n v="315"/>
    <n v="208"/>
    <n v="208"/>
    <n v="315"/>
    <n v="107"/>
    <s v="Product 9"/>
    <x v="7"/>
    <s v="Roger Ramos"/>
    <x v="391"/>
    <n v="2"/>
    <x v="1"/>
    <x v="11"/>
    <x v="11"/>
    <x v="3"/>
    <x v="0"/>
  </r>
  <r>
    <s v="AX12061"/>
    <s v="ENX2096"/>
    <s v="A134"/>
    <s v="EMP1020"/>
    <s v="C1366"/>
    <x v="224"/>
    <n v="3"/>
    <n v="1587"/>
    <n v="1301"/>
    <n v="3903"/>
    <n v="4761"/>
    <n v="858"/>
    <s v="Product 97"/>
    <x v="41"/>
    <s v="Ryan Butler"/>
    <x v="205"/>
    <n v="2"/>
    <x v="1"/>
    <x v="11"/>
    <x v="11"/>
    <x v="3"/>
    <x v="0"/>
  </r>
  <r>
    <s v="AX12722"/>
    <s v="ENX2069"/>
    <s v="A154"/>
    <s v="EMP1043"/>
    <s v="C1087"/>
    <x v="223"/>
    <n v="1"/>
    <n v="378"/>
    <n v="291"/>
    <n v="291"/>
    <n v="378"/>
    <n v="87"/>
    <s v="Product 70"/>
    <x v="24"/>
    <s v="Joshua Taylor"/>
    <x v="156"/>
    <n v="2"/>
    <x v="1"/>
    <x v="11"/>
    <x v="11"/>
    <x v="3"/>
    <x v="0"/>
  </r>
  <r>
    <s v="AX12805"/>
    <s v="ENX2034"/>
    <s v="A110"/>
    <s v="EMP1019"/>
    <s v="C1588"/>
    <x v="223"/>
    <n v="2"/>
    <n v="871"/>
    <n v="540"/>
    <n v="1080"/>
    <n v="1742"/>
    <n v="662"/>
    <s v="Product 35"/>
    <x v="63"/>
    <s v="Roger Robertson"/>
    <x v="653"/>
    <n v="2"/>
    <x v="1"/>
    <x v="11"/>
    <x v="11"/>
    <x v="3"/>
    <x v="0"/>
  </r>
  <r>
    <s v="AX12921"/>
    <s v="ENX2027"/>
    <s v="A105"/>
    <s v="EMP1034"/>
    <s v="C1237"/>
    <x v="223"/>
    <n v="3"/>
    <n v="2497"/>
    <n v="1473"/>
    <n v="4419"/>
    <n v="7491"/>
    <n v="3072"/>
    <s v="Product 28"/>
    <x v="45"/>
    <s v="Arthur Mccoy"/>
    <x v="484"/>
    <n v="2"/>
    <x v="1"/>
    <x v="11"/>
    <x v="11"/>
    <x v="3"/>
    <x v="0"/>
  </r>
  <r>
    <s v="AX13218"/>
    <s v="ENX2027"/>
    <s v="A130"/>
    <s v="EMP1027"/>
    <s v="C1220"/>
    <x v="220"/>
    <n v="3"/>
    <n v="2497"/>
    <n v="1473"/>
    <n v="4419"/>
    <n v="7491"/>
    <n v="3072"/>
    <s v="Product 28"/>
    <x v="4"/>
    <s v="Gary Rodriguez"/>
    <x v="204"/>
    <n v="2"/>
    <x v="1"/>
    <x v="11"/>
    <x v="11"/>
    <x v="3"/>
    <x v="0"/>
  </r>
  <r>
    <s v="AX13284"/>
    <s v="ENX2055"/>
    <s v="A152"/>
    <s v="EMP1011"/>
    <s v="C1345"/>
    <x v="222"/>
    <n v="1"/>
    <n v="2495"/>
    <n v="1896"/>
    <n v="1896"/>
    <n v="2495"/>
    <n v="599"/>
    <s v="Product 56"/>
    <x v="26"/>
    <s v="Larry Marshall"/>
    <x v="567"/>
    <n v="2"/>
    <x v="1"/>
    <x v="11"/>
    <x v="11"/>
    <x v="3"/>
    <x v="0"/>
  </r>
  <r>
    <s v="AX13534"/>
    <s v="ENX2023"/>
    <s v="A127"/>
    <s v="EMP1019"/>
    <s v="C1477"/>
    <x v="224"/>
    <n v="3"/>
    <n v="818"/>
    <n v="450"/>
    <n v="1350"/>
    <n v="2454"/>
    <n v="1104"/>
    <s v="Product 24"/>
    <x v="69"/>
    <s v="Roger Robertson"/>
    <x v="408"/>
    <n v="2"/>
    <x v="1"/>
    <x v="11"/>
    <x v="11"/>
    <x v="3"/>
    <x v="0"/>
  </r>
  <r>
    <s v="AX13786"/>
    <s v="ENX2023"/>
    <s v="A127"/>
    <s v="EMP1041"/>
    <s v="C1034"/>
    <x v="220"/>
    <n v="3"/>
    <n v="818"/>
    <n v="450"/>
    <n v="1350"/>
    <n v="2454"/>
    <n v="1104"/>
    <s v="Product 24"/>
    <x v="69"/>
    <s v="Joe Sims"/>
    <x v="704"/>
    <n v="2"/>
    <x v="1"/>
    <x v="11"/>
    <x v="11"/>
    <x v="3"/>
    <x v="0"/>
  </r>
  <r>
    <s v="AX14019"/>
    <s v="ENX2056"/>
    <s v="A113"/>
    <s v="EMP1009"/>
    <s v="C1147"/>
    <x v="223"/>
    <n v="1"/>
    <n v="1635"/>
    <n v="1046"/>
    <n v="1046"/>
    <n v="1635"/>
    <n v="589"/>
    <s v="Product 57"/>
    <x v="73"/>
    <s v="Kenneth Fields"/>
    <x v="427"/>
    <n v="2"/>
    <x v="1"/>
    <x v="11"/>
    <x v="11"/>
    <x v="3"/>
    <x v="0"/>
  </r>
  <r>
    <s v="AX14049"/>
    <s v="ENX2055"/>
    <s v="A107"/>
    <s v="EMP1027"/>
    <s v="C1667"/>
    <x v="223"/>
    <n v="4"/>
    <n v="2495"/>
    <n v="1896"/>
    <n v="7584"/>
    <n v="9980"/>
    <n v="2396"/>
    <s v="Product 56"/>
    <x v="21"/>
    <s v="Gary Rodriguez"/>
    <x v="462"/>
    <n v="2"/>
    <x v="1"/>
    <x v="11"/>
    <x v="11"/>
    <x v="3"/>
    <x v="0"/>
  </r>
  <r>
    <s v="AX14323"/>
    <s v="ENX2018"/>
    <s v="A110"/>
    <s v="EMP1044"/>
    <s v="C1577"/>
    <x v="222"/>
    <n v="1"/>
    <n v="1972"/>
    <n v="1321"/>
    <n v="1321"/>
    <n v="1972"/>
    <n v="651"/>
    <s v="Product 19"/>
    <x v="63"/>
    <s v="Martin Carr"/>
    <x v="50"/>
    <n v="2"/>
    <x v="1"/>
    <x v="11"/>
    <x v="11"/>
    <x v="3"/>
    <x v="0"/>
  </r>
  <r>
    <s v="AX14808"/>
    <s v="ENX2067"/>
    <s v="A114"/>
    <s v="EMP1003"/>
    <s v="C1179"/>
    <x v="224"/>
    <n v="3"/>
    <n v="1119"/>
    <n v="683"/>
    <n v="2049"/>
    <n v="3357"/>
    <n v="1308"/>
    <s v="Product 68"/>
    <x v="28"/>
    <s v="Christopher Tucker"/>
    <x v="788"/>
    <n v="2"/>
    <x v="1"/>
    <x v="11"/>
    <x v="11"/>
    <x v="3"/>
    <x v="0"/>
  </r>
  <r>
    <s v="AX15125"/>
    <s v="ENX2094"/>
    <s v="A133"/>
    <s v="EMP1003"/>
    <s v="C1651"/>
    <x v="221"/>
    <n v="3"/>
    <n v="771"/>
    <n v="648"/>
    <n v="1944"/>
    <n v="2313"/>
    <n v="369"/>
    <s v="Product 95"/>
    <x v="46"/>
    <s v="Christopher Tucker"/>
    <x v="660"/>
    <n v="2"/>
    <x v="1"/>
    <x v="11"/>
    <x v="11"/>
    <x v="3"/>
    <x v="0"/>
  </r>
  <r>
    <s v="AX15437"/>
    <s v="ENX2051"/>
    <s v="A161"/>
    <s v="EMP1002"/>
    <s v="C1475"/>
    <x v="223"/>
    <n v="1"/>
    <n v="1077"/>
    <n v="732"/>
    <n v="732"/>
    <n v="1077"/>
    <n v="345"/>
    <s v="Product 52"/>
    <x v="6"/>
    <s v="Andrew Bowman"/>
    <x v="527"/>
    <n v="2"/>
    <x v="1"/>
    <x v="11"/>
    <x v="11"/>
    <x v="3"/>
    <x v="0"/>
  </r>
  <r>
    <s v="AX15554"/>
    <s v="ENX2007"/>
    <s v="A159"/>
    <s v="EMP1010"/>
    <s v="C1502"/>
    <x v="220"/>
    <n v="4"/>
    <n v="1405"/>
    <n v="1054"/>
    <n v="4216"/>
    <n v="5620"/>
    <n v="1404"/>
    <s v="Product 8"/>
    <x v="13"/>
    <s v="Joshua Cook"/>
    <x v="364"/>
    <n v="2"/>
    <x v="1"/>
    <x v="11"/>
    <x v="11"/>
    <x v="3"/>
    <x v="0"/>
  </r>
  <r>
    <s v="AX15711"/>
    <s v="ENX2068"/>
    <s v="A147"/>
    <s v="EMP1012"/>
    <s v="C1364"/>
    <x v="220"/>
    <n v="4"/>
    <n v="1500"/>
    <n v="900"/>
    <n v="3600"/>
    <n v="6000"/>
    <n v="2400"/>
    <s v="Product 69"/>
    <x v="42"/>
    <s v="John Reyes"/>
    <x v="477"/>
    <n v="2"/>
    <x v="1"/>
    <x v="11"/>
    <x v="11"/>
    <x v="3"/>
    <x v="0"/>
  </r>
  <r>
    <s v="AX15845"/>
    <s v="ENX2067"/>
    <s v="A113"/>
    <s v="EMP1000"/>
    <s v="C1780"/>
    <x v="222"/>
    <n v="3"/>
    <n v="1119"/>
    <n v="683"/>
    <n v="2049"/>
    <n v="3357"/>
    <n v="1308"/>
    <s v="Product 68"/>
    <x v="73"/>
    <s v="Fred Robertson"/>
    <x v="320"/>
    <n v="2"/>
    <x v="1"/>
    <x v="11"/>
    <x v="11"/>
    <x v="3"/>
    <x v="0"/>
  </r>
  <r>
    <s v="AX16068"/>
    <s v="ENX2036"/>
    <s v="A145"/>
    <s v="EMP1015"/>
    <s v="C1186"/>
    <x v="223"/>
    <n v="1"/>
    <n v="1582"/>
    <n v="1234"/>
    <n v="1234"/>
    <n v="1582"/>
    <n v="348"/>
    <s v="Product 37"/>
    <x v="35"/>
    <s v="Justin Lynch"/>
    <x v="467"/>
    <n v="2"/>
    <x v="1"/>
    <x v="11"/>
    <x v="11"/>
    <x v="3"/>
    <x v="0"/>
  </r>
  <r>
    <s v="AX16100"/>
    <s v="ENX2075"/>
    <s v="A154"/>
    <s v="EMP1039"/>
    <s v="C1653"/>
    <x v="223"/>
    <n v="1"/>
    <n v="400"/>
    <n v="208"/>
    <n v="208"/>
    <n v="400"/>
    <n v="192"/>
    <s v="Product 76"/>
    <x v="24"/>
    <s v="Eugene Holmes"/>
    <x v="187"/>
    <n v="2"/>
    <x v="1"/>
    <x v="11"/>
    <x v="11"/>
    <x v="3"/>
    <x v="0"/>
  </r>
  <r>
    <s v="AX16484"/>
    <s v="ENX2092"/>
    <s v="A155"/>
    <s v="EMP1036"/>
    <s v="C1264"/>
    <x v="224"/>
    <n v="1"/>
    <n v="1639"/>
    <n v="1295"/>
    <n v="1295"/>
    <n v="1639"/>
    <n v="344"/>
    <s v="Product 93"/>
    <x v="53"/>
    <s v="Robert Reed"/>
    <x v="206"/>
    <n v="2"/>
    <x v="1"/>
    <x v="11"/>
    <x v="11"/>
    <x v="3"/>
    <x v="0"/>
  </r>
  <r>
    <s v="AX16514"/>
    <s v="ENX2098"/>
    <s v="A130"/>
    <s v="EMP1012"/>
    <s v="C1408"/>
    <x v="221"/>
    <n v="1"/>
    <n v="1178"/>
    <n v="683"/>
    <n v="683"/>
    <n v="1178"/>
    <n v="495"/>
    <s v="Product 99"/>
    <x v="4"/>
    <s v="John Reyes"/>
    <x v="647"/>
    <n v="2"/>
    <x v="1"/>
    <x v="11"/>
    <x v="11"/>
    <x v="3"/>
    <x v="0"/>
  </r>
  <r>
    <s v="AX16573"/>
    <s v="ENX2004"/>
    <s v="A157"/>
    <s v="EMP1037"/>
    <s v="C1171"/>
    <x v="220"/>
    <n v="1"/>
    <n v="1278"/>
    <n v="665"/>
    <n v="665"/>
    <n v="1278"/>
    <n v="613"/>
    <s v="Product 5"/>
    <x v="7"/>
    <s v="Carl Hall"/>
    <x v="150"/>
    <n v="2"/>
    <x v="1"/>
    <x v="11"/>
    <x v="11"/>
    <x v="3"/>
    <x v="0"/>
  </r>
  <r>
    <s v="AX17231"/>
    <s v="ENX2061"/>
    <s v="A139"/>
    <s v="EMP1040"/>
    <s v="C1753"/>
    <x v="222"/>
    <n v="3"/>
    <n v="913"/>
    <n v="584"/>
    <n v="1752"/>
    <n v="2739"/>
    <n v="987"/>
    <s v="Product 62"/>
    <x v="38"/>
    <s v="Patrick Ruiz"/>
    <x v="696"/>
    <n v="2"/>
    <x v="1"/>
    <x v="11"/>
    <x v="11"/>
    <x v="3"/>
    <x v="0"/>
  </r>
  <r>
    <s v="AX17272"/>
    <s v="ENX2022"/>
    <s v="A144"/>
    <s v="EMP1033"/>
    <s v="C1734"/>
    <x v="223"/>
    <n v="1"/>
    <n v="561"/>
    <n v="421"/>
    <n v="421"/>
    <n v="561"/>
    <n v="140"/>
    <s v="Product 23"/>
    <x v="65"/>
    <s v="Jerry Perry"/>
    <x v="658"/>
    <n v="2"/>
    <x v="1"/>
    <x v="11"/>
    <x v="11"/>
    <x v="3"/>
    <x v="0"/>
  </r>
  <r>
    <s v="AX17845"/>
    <s v="ENX2022"/>
    <s v="A116"/>
    <s v="EMP1016"/>
    <s v="C1626"/>
    <x v="221"/>
    <n v="4"/>
    <n v="561"/>
    <n v="421"/>
    <n v="1684"/>
    <n v="2244"/>
    <n v="560"/>
    <s v="Product 23"/>
    <x v="15"/>
    <s v="Henry Nelson"/>
    <x v="153"/>
    <n v="2"/>
    <x v="1"/>
    <x v="11"/>
    <x v="11"/>
    <x v="3"/>
    <x v="0"/>
  </r>
  <r>
    <s v="AX17882"/>
    <s v="ENX2064"/>
    <s v="A160"/>
    <s v="EMP1008"/>
    <s v="C1488"/>
    <x v="223"/>
    <n v="1"/>
    <n v="1414"/>
    <n v="962"/>
    <n v="962"/>
    <n v="1414"/>
    <n v="452"/>
    <s v="Product 65"/>
    <x v="9"/>
    <s v="Carl Elliott"/>
    <x v="763"/>
    <n v="2"/>
    <x v="1"/>
    <x v="11"/>
    <x v="11"/>
    <x v="3"/>
    <x v="0"/>
  </r>
  <r>
    <s v="AX18002"/>
    <s v="ENX2082"/>
    <s v="A158"/>
    <s v="EMP1012"/>
    <s v="C1512"/>
    <x v="220"/>
    <n v="4"/>
    <n v="1103"/>
    <n v="838"/>
    <n v="3352"/>
    <n v="4412"/>
    <n v="1060"/>
    <s v="Product 83"/>
    <x v="58"/>
    <s v="John Reyes"/>
    <x v="671"/>
    <n v="2"/>
    <x v="1"/>
    <x v="11"/>
    <x v="11"/>
    <x v="3"/>
    <x v="0"/>
  </r>
  <r>
    <s v="AX18167"/>
    <s v="ENX2007"/>
    <s v="A160"/>
    <s v="EMP1012"/>
    <s v="C1213"/>
    <x v="224"/>
    <n v="1"/>
    <n v="1405"/>
    <n v="1054"/>
    <n v="1054"/>
    <n v="1405"/>
    <n v="351"/>
    <s v="Product 8"/>
    <x v="9"/>
    <s v="John Reyes"/>
    <x v="487"/>
    <n v="2"/>
    <x v="1"/>
    <x v="11"/>
    <x v="11"/>
    <x v="3"/>
    <x v="0"/>
  </r>
  <r>
    <s v="AX18651"/>
    <s v="ENX2076"/>
    <s v="A137"/>
    <s v="EMP1044"/>
    <s v="C1251"/>
    <x v="224"/>
    <n v="3"/>
    <n v="1522"/>
    <n v="791"/>
    <n v="2373"/>
    <n v="4566"/>
    <n v="2193"/>
    <s v="Product 77"/>
    <x v="68"/>
    <s v="Martin Carr"/>
    <x v="199"/>
    <n v="2"/>
    <x v="1"/>
    <x v="11"/>
    <x v="11"/>
    <x v="3"/>
    <x v="0"/>
  </r>
  <r>
    <s v="AX19174"/>
    <s v="ENX2081"/>
    <s v="A128"/>
    <s v="EMP1043"/>
    <s v="C1368"/>
    <x v="223"/>
    <n v="4"/>
    <n v="1566"/>
    <n v="1190"/>
    <n v="4760"/>
    <n v="6264"/>
    <n v="1504"/>
    <s v="Product 82"/>
    <x v="12"/>
    <s v="Joshua Taylor"/>
    <x v="200"/>
    <n v="2"/>
    <x v="1"/>
    <x v="11"/>
    <x v="11"/>
    <x v="3"/>
    <x v="0"/>
  </r>
  <r>
    <s v="AX19280"/>
    <s v="ENX2072"/>
    <s v="A125"/>
    <s v="EMP1012"/>
    <s v="C1290"/>
    <x v="221"/>
    <n v="3"/>
    <n v="1887"/>
    <n v="1378"/>
    <n v="4134"/>
    <n v="5661"/>
    <n v="1527"/>
    <s v="Product 73"/>
    <x v="31"/>
    <s v="John Reyes"/>
    <x v="675"/>
    <n v="2"/>
    <x v="1"/>
    <x v="11"/>
    <x v="11"/>
    <x v="3"/>
    <x v="0"/>
  </r>
  <r>
    <s v="AX19481"/>
    <s v="ENX2076"/>
    <s v="A115"/>
    <s v="EMP1009"/>
    <s v="C1019"/>
    <x v="224"/>
    <n v="3"/>
    <n v="1522"/>
    <n v="791"/>
    <n v="2373"/>
    <n v="4566"/>
    <n v="2193"/>
    <s v="Product 77"/>
    <x v="33"/>
    <s v="Kenneth Fields"/>
    <x v="503"/>
    <n v="2"/>
    <x v="1"/>
    <x v="11"/>
    <x v="11"/>
    <x v="3"/>
    <x v="0"/>
  </r>
  <r>
    <s v="AX19847"/>
    <s v="ENX2051"/>
    <s v="A171"/>
    <s v="EMP1019"/>
    <s v="C1059"/>
    <x v="223"/>
    <n v="1"/>
    <n v="1077"/>
    <n v="732"/>
    <n v="732"/>
    <n v="1077"/>
    <n v="345"/>
    <s v="Product 52"/>
    <x v="0"/>
    <s v="Roger Robertson"/>
    <x v="297"/>
    <n v="2"/>
    <x v="1"/>
    <x v="11"/>
    <x v="11"/>
    <x v="3"/>
    <x v="0"/>
  </r>
  <r>
    <s v="AX19948"/>
    <s v="ENX2063"/>
    <s v="A151"/>
    <s v="EMP1021"/>
    <s v="C1589"/>
    <x v="222"/>
    <n v="1"/>
    <n v="1708"/>
    <n v="871"/>
    <n v="871"/>
    <n v="1708"/>
    <n v="837"/>
    <s v="Product 64"/>
    <x v="1"/>
    <s v="Clarence Fox"/>
    <x v="39"/>
    <n v="2"/>
    <x v="1"/>
    <x v="11"/>
    <x v="11"/>
    <x v="3"/>
    <x v="0"/>
  </r>
  <r>
    <s v="AX20142"/>
    <s v="ENX2046"/>
    <s v="A169"/>
    <s v="EMP1044"/>
    <s v="C1321"/>
    <x v="224"/>
    <n v="1"/>
    <n v="2410"/>
    <n v="1518"/>
    <n v="1518"/>
    <n v="2410"/>
    <n v="892"/>
    <s v="Product 47"/>
    <x v="17"/>
    <s v="Martin Carr"/>
    <x v="775"/>
    <n v="2"/>
    <x v="1"/>
    <x v="11"/>
    <x v="11"/>
    <x v="3"/>
    <x v="0"/>
  </r>
  <r>
    <s v="AX20357"/>
    <s v="ENX2090"/>
    <s v="A134"/>
    <s v="EMP1010"/>
    <s v="C1315"/>
    <x v="222"/>
    <n v="1"/>
    <n v="1338"/>
    <n v="682"/>
    <n v="682"/>
    <n v="1338"/>
    <n v="656"/>
    <s v="Product 91"/>
    <x v="41"/>
    <s v="Joshua Cook"/>
    <x v="388"/>
    <n v="2"/>
    <x v="1"/>
    <x v="11"/>
    <x v="11"/>
    <x v="3"/>
    <x v="0"/>
  </r>
  <r>
    <s v="AX20455"/>
    <s v="ENX2043"/>
    <s v="A143"/>
    <s v="EMP1020"/>
    <s v="C1016"/>
    <x v="222"/>
    <n v="1"/>
    <n v="545"/>
    <n v="425"/>
    <n v="425"/>
    <n v="545"/>
    <n v="120"/>
    <s v="Product 44"/>
    <x v="39"/>
    <s v="Ryan Butler"/>
    <x v="335"/>
    <n v="2"/>
    <x v="1"/>
    <x v="11"/>
    <x v="11"/>
    <x v="3"/>
    <x v="0"/>
  </r>
  <r>
    <s v="AX20456"/>
    <s v="ENX2088"/>
    <s v="A166"/>
    <s v="EMP1023"/>
    <s v="C1182"/>
    <x v="222"/>
    <n v="1"/>
    <n v="603"/>
    <n v="416"/>
    <n v="416"/>
    <n v="603"/>
    <n v="187"/>
    <s v="Product 89"/>
    <x v="70"/>
    <s v="Brian Davis"/>
    <x v="759"/>
    <n v="2"/>
    <x v="1"/>
    <x v="11"/>
    <x v="11"/>
    <x v="3"/>
    <x v="0"/>
  </r>
  <r>
    <s v="AX20545"/>
    <s v="ENX2026"/>
    <s v="A112"/>
    <s v="EMP1012"/>
    <s v="C1054"/>
    <x v="222"/>
    <n v="1"/>
    <n v="947"/>
    <n v="786"/>
    <n v="786"/>
    <n v="947"/>
    <n v="161"/>
    <s v="Product 27"/>
    <x v="66"/>
    <s v="John Reyes"/>
    <x v="58"/>
    <n v="2"/>
    <x v="1"/>
    <x v="11"/>
    <x v="11"/>
    <x v="3"/>
    <x v="0"/>
  </r>
  <r>
    <s v="AX20551"/>
    <s v="ENX2002"/>
    <s v="A133"/>
    <s v="EMP1024"/>
    <s v="C1012"/>
    <x v="220"/>
    <n v="1"/>
    <n v="847"/>
    <n v="534"/>
    <n v="534"/>
    <n v="847"/>
    <n v="313"/>
    <s v="Product 3"/>
    <x v="46"/>
    <s v="Ernest Wheeler"/>
    <x v="738"/>
    <n v="2"/>
    <x v="1"/>
    <x v="11"/>
    <x v="11"/>
    <x v="3"/>
    <x v="0"/>
  </r>
  <r>
    <s v="AX21170"/>
    <s v="ENX2028"/>
    <s v="A150"/>
    <s v="EMP1013"/>
    <s v="C1673"/>
    <x v="222"/>
    <n v="4"/>
    <n v="2283"/>
    <n v="1484"/>
    <n v="5936"/>
    <n v="9132"/>
    <n v="3196"/>
    <s v="Product 29"/>
    <x v="30"/>
    <s v="Charles Harper"/>
    <x v="87"/>
    <n v="2"/>
    <x v="1"/>
    <x v="11"/>
    <x v="11"/>
    <x v="3"/>
    <x v="0"/>
  </r>
  <r>
    <s v="AX21257"/>
    <s v="ENX2088"/>
    <s v="A111"/>
    <s v="EMP1011"/>
    <s v="C1257"/>
    <x v="224"/>
    <n v="3"/>
    <n v="603"/>
    <n v="416"/>
    <n v="1248"/>
    <n v="1809"/>
    <n v="561"/>
    <s v="Product 89"/>
    <x v="54"/>
    <s v="Larry Marshall"/>
    <x v="287"/>
    <n v="2"/>
    <x v="1"/>
    <x v="11"/>
    <x v="11"/>
    <x v="3"/>
    <x v="0"/>
  </r>
  <r>
    <s v="AX21575"/>
    <s v="ENX2052"/>
    <s v="A145"/>
    <s v="EMP1043"/>
    <s v="C1481"/>
    <x v="224"/>
    <n v="3"/>
    <n v="1526"/>
    <n v="1251"/>
    <n v="3753"/>
    <n v="4578"/>
    <n v="825"/>
    <s v="Product 53"/>
    <x v="35"/>
    <s v="Joshua Taylor"/>
    <x v="764"/>
    <n v="2"/>
    <x v="1"/>
    <x v="11"/>
    <x v="11"/>
    <x v="3"/>
    <x v="0"/>
  </r>
  <r>
    <s v="AX21599"/>
    <s v="ENX2099"/>
    <s v="A107"/>
    <s v="EMP1020"/>
    <s v="C1064"/>
    <x v="222"/>
    <n v="1"/>
    <n v="1367"/>
    <n v="984"/>
    <n v="984"/>
    <n v="1367"/>
    <n v="383"/>
    <s v="Product 100"/>
    <x v="21"/>
    <s v="Ryan Butler"/>
    <x v="597"/>
    <n v="2"/>
    <x v="1"/>
    <x v="11"/>
    <x v="11"/>
    <x v="3"/>
    <x v="0"/>
  </r>
  <r>
    <s v="AX22178"/>
    <s v="ENX2052"/>
    <s v="A127"/>
    <s v="EMP1026"/>
    <s v="C1543"/>
    <x v="223"/>
    <n v="1"/>
    <n v="1526"/>
    <n v="1251"/>
    <n v="1251"/>
    <n v="1526"/>
    <n v="275"/>
    <s v="Product 53"/>
    <x v="69"/>
    <s v="Martin Perry"/>
    <x v="337"/>
    <n v="2"/>
    <x v="1"/>
    <x v="11"/>
    <x v="11"/>
    <x v="3"/>
    <x v="0"/>
  </r>
  <r>
    <s v="AX22449"/>
    <s v="ENX2027"/>
    <s v="A138"/>
    <s v="EMP1040"/>
    <s v="C1720"/>
    <x v="223"/>
    <n v="3"/>
    <n v="2497"/>
    <n v="1473"/>
    <n v="4419"/>
    <n v="7491"/>
    <n v="3072"/>
    <s v="Product 28"/>
    <x v="37"/>
    <s v="Patrick Ruiz"/>
    <x v="152"/>
    <n v="2"/>
    <x v="1"/>
    <x v="11"/>
    <x v="11"/>
    <x v="3"/>
    <x v="0"/>
  </r>
  <r>
    <s v="AX22663"/>
    <s v="ENX2064"/>
    <s v="A152"/>
    <s v="EMP1026"/>
    <s v="C1676"/>
    <x v="220"/>
    <n v="2"/>
    <n v="1414"/>
    <n v="962"/>
    <n v="1924"/>
    <n v="2828"/>
    <n v="904"/>
    <s v="Product 65"/>
    <x v="26"/>
    <s v="Martin Perry"/>
    <x v="497"/>
    <n v="2"/>
    <x v="1"/>
    <x v="11"/>
    <x v="11"/>
    <x v="3"/>
    <x v="0"/>
  </r>
  <r>
    <s v="AX23366"/>
    <s v="ENX2053"/>
    <s v="A122"/>
    <s v="EMP1010"/>
    <s v="C1776"/>
    <x v="223"/>
    <n v="3"/>
    <n v="596"/>
    <n v="358"/>
    <n v="1074"/>
    <n v="1788"/>
    <n v="714"/>
    <s v="Product 54"/>
    <x v="71"/>
    <s v="Joshua Cook"/>
    <x v="160"/>
    <n v="2"/>
    <x v="1"/>
    <x v="11"/>
    <x v="11"/>
    <x v="3"/>
    <x v="0"/>
  </r>
  <r>
    <s v="AX23375"/>
    <s v="ENX2085"/>
    <s v="A157"/>
    <s v="EMP1040"/>
    <s v="C1498"/>
    <x v="224"/>
    <n v="1"/>
    <n v="1862"/>
    <n v="1173"/>
    <n v="1173"/>
    <n v="1862"/>
    <n v="689"/>
    <s v="Product 86"/>
    <x v="7"/>
    <s v="Patrick Ruiz"/>
    <x v="10"/>
    <n v="2"/>
    <x v="1"/>
    <x v="11"/>
    <x v="11"/>
    <x v="3"/>
    <x v="0"/>
  </r>
  <r>
    <s v="AX23705"/>
    <s v="ENX2000"/>
    <s v="A153"/>
    <s v="EMP1016"/>
    <s v="C1222"/>
    <x v="223"/>
    <n v="1"/>
    <n v="2241"/>
    <n v="1367"/>
    <n v="1367"/>
    <n v="2241"/>
    <n v="874"/>
    <s v="Product 1"/>
    <x v="8"/>
    <s v="Henry Nelson"/>
    <x v="691"/>
    <n v="2"/>
    <x v="1"/>
    <x v="11"/>
    <x v="11"/>
    <x v="3"/>
    <x v="0"/>
  </r>
  <r>
    <s v="AX24285"/>
    <s v="ENX2030"/>
    <s v="A115"/>
    <s v="EMP1003"/>
    <s v="C1326"/>
    <x v="220"/>
    <n v="1"/>
    <n v="1899"/>
    <n v="1044"/>
    <n v="1044"/>
    <n v="1899"/>
    <n v="855"/>
    <s v="Product 31"/>
    <x v="33"/>
    <s v="Christopher Tucker"/>
    <x v="98"/>
    <n v="2"/>
    <x v="1"/>
    <x v="11"/>
    <x v="11"/>
    <x v="3"/>
    <x v="0"/>
  </r>
  <r>
    <s v="AX10179"/>
    <s v="ENX2097"/>
    <s v="A139"/>
    <s v="EMP1025"/>
    <s v="C1650"/>
    <x v="225"/>
    <n v="4"/>
    <n v="1052"/>
    <n v="589"/>
    <n v="2356"/>
    <n v="4208"/>
    <n v="1852"/>
    <s v="Product 98"/>
    <x v="38"/>
    <s v="Ernest Wagner"/>
    <x v="645"/>
    <n v="2"/>
    <x v="1"/>
    <x v="11"/>
    <x v="11"/>
    <x v="3"/>
    <x v="2"/>
  </r>
  <r>
    <s v="AX10283"/>
    <s v="ENX2039"/>
    <s v="A137"/>
    <s v="EMP1012"/>
    <s v="C1175"/>
    <x v="226"/>
    <n v="1"/>
    <n v="817"/>
    <n v="409"/>
    <n v="409"/>
    <n v="817"/>
    <n v="408"/>
    <s v="Product 40"/>
    <x v="68"/>
    <s v="John Reyes"/>
    <x v="89"/>
    <n v="2"/>
    <x v="1"/>
    <x v="11"/>
    <x v="11"/>
    <x v="3"/>
    <x v="2"/>
  </r>
  <r>
    <s v="AX10445"/>
    <s v="ENX2053"/>
    <s v="A165"/>
    <s v="EMP1033"/>
    <s v="C1743"/>
    <x v="226"/>
    <n v="4"/>
    <n v="596"/>
    <n v="358"/>
    <n v="1432"/>
    <n v="2384"/>
    <n v="952"/>
    <s v="Product 54"/>
    <x v="55"/>
    <s v="Jerry Perry"/>
    <x v="276"/>
    <n v="2"/>
    <x v="1"/>
    <x v="11"/>
    <x v="11"/>
    <x v="3"/>
    <x v="2"/>
  </r>
  <r>
    <s v="AX11426"/>
    <s v="ENX2028"/>
    <s v="A110"/>
    <s v="EMP1012"/>
    <s v="C1284"/>
    <x v="225"/>
    <n v="1"/>
    <n v="2283"/>
    <n v="1484"/>
    <n v="1484"/>
    <n v="2283"/>
    <n v="799"/>
    <s v="Product 29"/>
    <x v="63"/>
    <s v="John Reyes"/>
    <x v="713"/>
    <n v="2"/>
    <x v="1"/>
    <x v="11"/>
    <x v="11"/>
    <x v="3"/>
    <x v="2"/>
  </r>
  <r>
    <s v="AX12100"/>
    <s v="ENX2095"/>
    <s v="A170"/>
    <s v="EMP1000"/>
    <s v="C1639"/>
    <x v="225"/>
    <n v="3"/>
    <n v="1743"/>
    <n v="872"/>
    <n v="2616"/>
    <n v="5229"/>
    <n v="2613"/>
    <s v="Product 96"/>
    <x v="47"/>
    <s v="Fred Robertson"/>
    <x v="30"/>
    <n v="2"/>
    <x v="1"/>
    <x v="11"/>
    <x v="11"/>
    <x v="3"/>
    <x v="2"/>
  </r>
  <r>
    <s v="AX12421"/>
    <s v="ENX2018"/>
    <s v="A144"/>
    <s v="EMP1000"/>
    <s v="C1625"/>
    <x v="226"/>
    <n v="3"/>
    <n v="1972"/>
    <n v="1321"/>
    <n v="3963"/>
    <n v="5916"/>
    <n v="1953"/>
    <s v="Product 19"/>
    <x v="65"/>
    <s v="Fred Robertson"/>
    <x v="575"/>
    <n v="2"/>
    <x v="1"/>
    <x v="11"/>
    <x v="11"/>
    <x v="3"/>
    <x v="2"/>
  </r>
  <r>
    <s v="AX12569"/>
    <s v="ENX2047"/>
    <s v="A136"/>
    <s v="EMP1015"/>
    <s v="C1458"/>
    <x v="227"/>
    <n v="1"/>
    <n v="290"/>
    <n v="200"/>
    <n v="200"/>
    <n v="290"/>
    <n v="90"/>
    <s v="Product 48"/>
    <x v="43"/>
    <s v="Justin Lynch"/>
    <x v="291"/>
    <n v="2"/>
    <x v="1"/>
    <x v="11"/>
    <x v="11"/>
    <x v="3"/>
    <x v="2"/>
  </r>
  <r>
    <s v="AX12611"/>
    <s v="ENX2064"/>
    <s v="A126"/>
    <s v="EMP1005"/>
    <s v="C1431"/>
    <x v="226"/>
    <n v="3"/>
    <n v="1414"/>
    <n v="962"/>
    <n v="2886"/>
    <n v="4242"/>
    <n v="1356"/>
    <s v="Product 65"/>
    <x v="5"/>
    <s v="Ryan Welch"/>
    <x v="587"/>
    <n v="2"/>
    <x v="1"/>
    <x v="11"/>
    <x v="11"/>
    <x v="3"/>
    <x v="2"/>
  </r>
  <r>
    <s v="AX12672"/>
    <s v="ENX2094"/>
    <s v="A100"/>
    <s v="EMP1021"/>
    <s v="C1306"/>
    <x v="226"/>
    <n v="3"/>
    <n v="771"/>
    <n v="648"/>
    <n v="1944"/>
    <n v="2313"/>
    <n v="369"/>
    <s v="Product 95"/>
    <x v="52"/>
    <s v="Clarence Fox"/>
    <x v="692"/>
    <n v="2"/>
    <x v="1"/>
    <x v="11"/>
    <x v="11"/>
    <x v="3"/>
    <x v="2"/>
  </r>
  <r>
    <s v="AX12705"/>
    <s v="ENX2095"/>
    <s v="A143"/>
    <s v="EMP1044"/>
    <s v="C1552"/>
    <x v="226"/>
    <n v="1"/>
    <n v="1743"/>
    <n v="872"/>
    <n v="872"/>
    <n v="1743"/>
    <n v="871"/>
    <s v="Product 96"/>
    <x v="39"/>
    <s v="Martin Carr"/>
    <x v="92"/>
    <n v="2"/>
    <x v="1"/>
    <x v="11"/>
    <x v="11"/>
    <x v="3"/>
    <x v="2"/>
  </r>
  <r>
    <s v="AX12928"/>
    <s v="ENX2057"/>
    <s v="A109"/>
    <s v="EMP1015"/>
    <s v="C1744"/>
    <x v="227"/>
    <n v="4"/>
    <n v="181"/>
    <n v="130"/>
    <n v="520"/>
    <n v="724"/>
    <n v="204"/>
    <s v="Product 58"/>
    <x v="57"/>
    <s v="Justin Lynch"/>
    <x v="500"/>
    <n v="2"/>
    <x v="1"/>
    <x v="11"/>
    <x v="11"/>
    <x v="3"/>
    <x v="2"/>
  </r>
  <r>
    <s v="AX13023"/>
    <s v="ENX2020"/>
    <s v="A149"/>
    <s v="EMP1017"/>
    <s v="C1716"/>
    <x v="228"/>
    <n v="3"/>
    <n v="2005"/>
    <n v="1223"/>
    <n v="3669"/>
    <n v="6015"/>
    <n v="2346"/>
    <s v="Product 21"/>
    <x v="59"/>
    <s v="Brian Hansen"/>
    <x v="24"/>
    <n v="2"/>
    <x v="1"/>
    <x v="11"/>
    <x v="11"/>
    <x v="3"/>
    <x v="2"/>
  </r>
  <r>
    <s v="AX13143"/>
    <s v="ENX2029"/>
    <s v="A112"/>
    <s v="EMP1034"/>
    <s v="C1395"/>
    <x v="225"/>
    <n v="1"/>
    <n v="1848"/>
    <n v="1294"/>
    <n v="1294"/>
    <n v="1848"/>
    <n v="554"/>
    <s v="Product 30"/>
    <x v="66"/>
    <s v="Arthur Mccoy"/>
    <x v="202"/>
    <n v="2"/>
    <x v="1"/>
    <x v="11"/>
    <x v="11"/>
    <x v="3"/>
    <x v="2"/>
  </r>
  <r>
    <s v="AX13144"/>
    <s v="ENX2053"/>
    <s v="A158"/>
    <s v="EMP1031"/>
    <s v="C1631"/>
    <x v="228"/>
    <n v="2"/>
    <n v="596"/>
    <n v="358"/>
    <n v="716"/>
    <n v="1192"/>
    <n v="476"/>
    <s v="Product 54"/>
    <x v="58"/>
    <s v="Brian Thomas"/>
    <x v="659"/>
    <n v="2"/>
    <x v="1"/>
    <x v="11"/>
    <x v="11"/>
    <x v="3"/>
    <x v="2"/>
  </r>
  <r>
    <s v="AX13425"/>
    <s v="ENX2041"/>
    <s v="A140"/>
    <s v="EMP1006"/>
    <s v="C1034"/>
    <x v="227"/>
    <n v="1"/>
    <n v="1380"/>
    <n v="1090"/>
    <n v="1090"/>
    <n v="1380"/>
    <n v="290"/>
    <s v="Product 42"/>
    <x v="18"/>
    <s v="Sean Miller"/>
    <x v="704"/>
    <n v="2"/>
    <x v="1"/>
    <x v="11"/>
    <x v="11"/>
    <x v="3"/>
    <x v="2"/>
  </r>
  <r>
    <s v="AX13578"/>
    <s v="ENX2077"/>
    <s v="A114"/>
    <s v="EMP1024"/>
    <s v="C1270"/>
    <x v="228"/>
    <n v="3"/>
    <n v="530"/>
    <n v="424"/>
    <n v="1272"/>
    <n v="1590"/>
    <n v="318"/>
    <s v="Product 78"/>
    <x v="28"/>
    <s v="Ernest Wheeler"/>
    <x v="517"/>
    <n v="2"/>
    <x v="1"/>
    <x v="11"/>
    <x v="11"/>
    <x v="3"/>
    <x v="2"/>
  </r>
  <r>
    <s v="AX13951"/>
    <s v="ENX2002"/>
    <s v="A119"/>
    <s v="EMP1040"/>
    <s v="C1197"/>
    <x v="229"/>
    <n v="1"/>
    <n v="847"/>
    <n v="534"/>
    <n v="534"/>
    <n v="847"/>
    <n v="313"/>
    <s v="Product 3"/>
    <x v="16"/>
    <s v="Patrick Ruiz"/>
    <x v="718"/>
    <n v="2"/>
    <x v="1"/>
    <x v="11"/>
    <x v="11"/>
    <x v="3"/>
    <x v="2"/>
  </r>
  <r>
    <s v="AX14118"/>
    <s v="ENX2054"/>
    <s v="A168"/>
    <s v="EMP1000"/>
    <s v="C1173"/>
    <x v="229"/>
    <n v="1"/>
    <n v="127"/>
    <n v="79"/>
    <n v="79"/>
    <n v="127"/>
    <n v="48"/>
    <s v="Product 55"/>
    <x v="40"/>
    <s v="Fred Robertson"/>
    <x v="167"/>
    <n v="2"/>
    <x v="1"/>
    <x v="11"/>
    <x v="11"/>
    <x v="3"/>
    <x v="2"/>
  </r>
  <r>
    <s v="AX14372"/>
    <s v="ENX2015"/>
    <s v="A150"/>
    <s v="EMP1037"/>
    <s v="C1758"/>
    <x v="229"/>
    <n v="1"/>
    <n v="637"/>
    <n v="389"/>
    <n v="389"/>
    <n v="637"/>
    <n v="248"/>
    <s v="Product 16"/>
    <x v="30"/>
    <s v="Carl Hall"/>
    <x v="329"/>
    <n v="2"/>
    <x v="1"/>
    <x v="11"/>
    <x v="11"/>
    <x v="3"/>
    <x v="2"/>
  </r>
  <r>
    <s v="AX14916"/>
    <s v="ENX2001"/>
    <s v="A142"/>
    <s v="EMP1039"/>
    <s v="C1091"/>
    <x v="227"/>
    <n v="1"/>
    <n v="951"/>
    <n v="504"/>
    <n v="504"/>
    <n v="951"/>
    <n v="447"/>
    <s v="Product 2"/>
    <x v="56"/>
    <s v="Eugene Holmes"/>
    <x v="513"/>
    <n v="2"/>
    <x v="1"/>
    <x v="11"/>
    <x v="11"/>
    <x v="3"/>
    <x v="2"/>
  </r>
  <r>
    <s v="AX14962"/>
    <s v="ENX2047"/>
    <s v="A161"/>
    <s v="EMP1007"/>
    <s v="C1026"/>
    <x v="227"/>
    <n v="2"/>
    <n v="290"/>
    <n v="200"/>
    <n v="400"/>
    <n v="580"/>
    <n v="180"/>
    <s v="Product 48"/>
    <x v="6"/>
    <s v="Jeremy Mendoza"/>
    <x v="410"/>
    <n v="2"/>
    <x v="1"/>
    <x v="11"/>
    <x v="11"/>
    <x v="3"/>
    <x v="2"/>
  </r>
  <r>
    <s v="AX15392"/>
    <s v="ENX2047"/>
    <s v="A129"/>
    <s v="EMP1044"/>
    <s v="C1323"/>
    <x v="228"/>
    <n v="1"/>
    <n v="290"/>
    <n v="200"/>
    <n v="200"/>
    <n v="290"/>
    <n v="90"/>
    <s v="Product 48"/>
    <x v="22"/>
    <s v="Martin Carr"/>
    <x v="83"/>
    <n v="2"/>
    <x v="1"/>
    <x v="11"/>
    <x v="11"/>
    <x v="3"/>
    <x v="2"/>
  </r>
  <r>
    <s v="AX15745"/>
    <s v="ENX2079"/>
    <s v="A164"/>
    <s v="EMP1020"/>
    <s v="C1427"/>
    <x v="227"/>
    <n v="1"/>
    <n v="1725"/>
    <n v="1363"/>
    <n v="1363"/>
    <n v="1725"/>
    <n v="362"/>
    <s v="Product 80"/>
    <x v="3"/>
    <s v="Ryan Butler"/>
    <x v="768"/>
    <n v="2"/>
    <x v="1"/>
    <x v="11"/>
    <x v="11"/>
    <x v="3"/>
    <x v="2"/>
  </r>
  <r>
    <s v="AX15875"/>
    <s v="ENX2012"/>
    <s v="A124"/>
    <s v="EMP1007"/>
    <s v="C1521"/>
    <x v="229"/>
    <n v="3"/>
    <n v="1353"/>
    <n v="947"/>
    <n v="2841"/>
    <n v="4059"/>
    <n v="1218"/>
    <s v="Product 13"/>
    <x v="67"/>
    <s v="Jeremy Mendoza"/>
    <x v="697"/>
    <n v="2"/>
    <x v="1"/>
    <x v="11"/>
    <x v="11"/>
    <x v="3"/>
    <x v="2"/>
  </r>
  <r>
    <s v="AX16523"/>
    <s v="ENX2019"/>
    <s v="A165"/>
    <s v="EMP1028"/>
    <s v="C1554"/>
    <x v="225"/>
    <n v="4"/>
    <n v="800"/>
    <n v="536"/>
    <n v="2144"/>
    <n v="3200"/>
    <n v="1056"/>
    <s v="Product 20"/>
    <x v="55"/>
    <s v="Howard Sims"/>
    <x v="516"/>
    <n v="2"/>
    <x v="1"/>
    <x v="11"/>
    <x v="11"/>
    <x v="3"/>
    <x v="2"/>
  </r>
  <r>
    <s v="AX17470"/>
    <s v="ENX2063"/>
    <s v="A108"/>
    <s v="EMP1022"/>
    <s v="C1347"/>
    <x v="228"/>
    <n v="3"/>
    <n v="1708"/>
    <n v="871"/>
    <n v="2613"/>
    <n v="5124"/>
    <n v="2511"/>
    <s v="Product 64"/>
    <x v="49"/>
    <s v="Walter Cook"/>
    <x v="686"/>
    <n v="2"/>
    <x v="1"/>
    <x v="11"/>
    <x v="11"/>
    <x v="3"/>
    <x v="2"/>
  </r>
  <r>
    <s v="AX17502"/>
    <s v="ENX2036"/>
    <s v="A121"/>
    <s v="EMP1012"/>
    <s v="C1375"/>
    <x v="229"/>
    <n v="1"/>
    <n v="1582"/>
    <n v="1234"/>
    <n v="1234"/>
    <n v="1582"/>
    <n v="348"/>
    <s v="Product 37"/>
    <x v="72"/>
    <s v="John Reyes"/>
    <x v="9"/>
    <n v="2"/>
    <x v="1"/>
    <x v="11"/>
    <x v="11"/>
    <x v="3"/>
    <x v="2"/>
  </r>
  <r>
    <s v="AX17562"/>
    <s v="ENX2017"/>
    <s v="A114"/>
    <s v="EMP1000"/>
    <s v="C1342"/>
    <x v="228"/>
    <n v="1"/>
    <n v="35"/>
    <n v="22"/>
    <n v="22"/>
    <n v="35"/>
    <n v="13"/>
    <s v="Product 18"/>
    <x v="28"/>
    <s v="Fred Robertson"/>
    <x v="62"/>
    <n v="2"/>
    <x v="1"/>
    <x v="11"/>
    <x v="11"/>
    <x v="3"/>
    <x v="2"/>
  </r>
  <r>
    <s v="AX17699"/>
    <s v="ENX2072"/>
    <s v="A100"/>
    <s v="EMP1010"/>
    <s v="C1639"/>
    <x v="226"/>
    <n v="4"/>
    <n v="1887"/>
    <n v="1378"/>
    <n v="5512"/>
    <n v="7548"/>
    <n v="2036"/>
    <s v="Product 73"/>
    <x v="52"/>
    <s v="Joshua Cook"/>
    <x v="30"/>
    <n v="2"/>
    <x v="1"/>
    <x v="11"/>
    <x v="11"/>
    <x v="3"/>
    <x v="2"/>
  </r>
  <r>
    <s v="AX18411"/>
    <s v="ENX2001"/>
    <s v="A169"/>
    <s v="EMP1020"/>
    <s v="C1371"/>
    <x v="227"/>
    <n v="1"/>
    <n v="951"/>
    <n v="504"/>
    <n v="504"/>
    <n v="951"/>
    <n v="447"/>
    <s v="Product 2"/>
    <x v="17"/>
    <s v="Ryan Butler"/>
    <x v="180"/>
    <n v="2"/>
    <x v="1"/>
    <x v="11"/>
    <x v="11"/>
    <x v="3"/>
    <x v="2"/>
  </r>
  <r>
    <s v="AX18647"/>
    <s v="ENX2086"/>
    <s v="A124"/>
    <s v="EMP1029"/>
    <s v="C1598"/>
    <x v="228"/>
    <n v="2"/>
    <n v="123"/>
    <n v="84"/>
    <n v="168"/>
    <n v="246"/>
    <n v="78"/>
    <s v="Product 87"/>
    <x v="67"/>
    <s v="Howard Gardner"/>
    <x v="125"/>
    <n v="2"/>
    <x v="1"/>
    <x v="11"/>
    <x v="11"/>
    <x v="3"/>
    <x v="2"/>
  </r>
  <r>
    <s v="AX18690"/>
    <s v="ENX2068"/>
    <s v="A160"/>
    <s v="EMP1034"/>
    <s v="C1566"/>
    <x v="227"/>
    <n v="3"/>
    <n v="1500"/>
    <n v="900"/>
    <n v="2700"/>
    <n v="4500"/>
    <n v="1800"/>
    <s v="Product 69"/>
    <x v="9"/>
    <s v="Arthur Mccoy"/>
    <x v="45"/>
    <n v="2"/>
    <x v="1"/>
    <x v="11"/>
    <x v="11"/>
    <x v="3"/>
    <x v="2"/>
  </r>
  <r>
    <s v="AX18693"/>
    <s v="ENX2038"/>
    <s v="A171"/>
    <s v="EMP1037"/>
    <s v="C1013"/>
    <x v="226"/>
    <n v="1"/>
    <n v="392"/>
    <n v="255"/>
    <n v="255"/>
    <n v="392"/>
    <n v="137"/>
    <s v="Product 39"/>
    <x v="0"/>
    <s v="Carl Hall"/>
    <x v="431"/>
    <n v="2"/>
    <x v="1"/>
    <x v="11"/>
    <x v="11"/>
    <x v="3"/>
    <x v="2"/>
  </r>
  <r>
    <s v="AX18751"/>
    <s v="ENX2010"/>
    <s v="A103"/>
    <s v="EMP1009"/>
    <s v="C1010"/>
    <x v="227"/>
    <n v="2"/>
    <n v="1812"/>
    <n v="1305"/>
    <n v="2610"/>
    <n v="3624"/>
    <n v="1014"/>
    <s v="Product 11"/>
    <x v="61"/>
    <s v="Kenneth Fields"/>
    <x v="399"/>
    <n v="2"/>
    <x v="1"/>
    <x v="11"/>
    <x v="11"/>
    <x v="3"/>
    <x v="2"/>
  </r>
  <r>
    <s v="AX18968"/>
    <s v="ENX2023"/>
    <s v="A138"/>
    <s v="EMP1012"/>
    <s v="C1066"/>
    <x v="227"/>
    <n v="1"/>
    <n v="818"/>
    <n v="450"/>
    <n v="450"/>
    <n v="818"/>
    <n v="368"/>
    <s v="Product 24"/>
    <x v="37"/>
    <s v="John Reyes"/>
    <x v="124"/>
    <n v="2"/>
    <x v="1"/>
    <x v="11"/>
    <x v="11"/>
    <x v="3"/>
    <x v="2"/>
  </r>
  <r>
    <s v="AX19315"/>
    <s v="ENX2054"/>
    <s v="A105"/>
    <s v="EMP1034"/>
    <s v="C1382"/>
    <x v="226"/>
    <n v="2"/>
    <n v="127"/>
    <n v="79"/>
    <n v="158"/>
    <n v="254"/>
    <n v="96"/>
    <s v="Product 55"/>
    <x v="45"/>
    <s v="Arthur Mccoy"/>
    <x v="334"/>
    <n v="2"/>
    <x v="1"/>
    <x v="11"/>
    <x v="11"/>
    <x v="3"/>
    <x v="2"/>
  </r>
  <r>
    <s v="AX19364"/>
    <s v="ENX2027"/>
    <s v="A135"/>
    <s v="EMP1027"/>
    <s v="C1030"/>
    <x v="229"/>
    <n v="4"/>
    <n v="2497"/>
    <n v="1473"/>
    <n v="5892"/>
    <n v="9988"/>
    <n v="4096"/>
    <s v="Product 28"/>
    <x v="10"/>
    <s v="Gary Rodriguez"/>
    <x v="106"/>
    <n v="2"/>
    <x v="1"/>
    <x v="11"/>
    <x v="11"/>
    <x v="3"/>
    <x v="2"/>
  </r>
  <r>
    <s v="AX19425"/>
    <s v="ENX2033"/>
    <s v="A117"/>
    <s v="EMP1035"/>
    <s v="C1646"/>
    <x v="225"/>
    <n v="4"/>
    <n v="2182"/>
    <n v="1200"/>
    <n v="4800"/>
    <n v="8728"/>
    <n v="3928"/>
    <s v="Product 34"/>
    <x v="29"/>
    <s v="Roger Ramos"/>
    <x v="789"/>
    <n v="2"/>
    <x v="1"/>
    <x v="11"/>
    <x v="11"/>
    <x v="3"/>
    <x v="2"/>
  </r>
  <r>
    <s v="AX20340"/>
    <s v="ENX2018"/>
    <s v="A105"/>
    <s v="EMP1030"/>
    <s v="C1106"/>
    <x v="227"/>
    <n v="1"/>
    <n v="1972"/>
    <n v="1321"/>
    <n v="1321"/>
    <n v="1972"/>
    <n v="651"/>
    <s v="Product 19"/>
    <x v="45"/>
    <s v="Bobby Russell"/>
    <x v="377"/>
    <n v="2"/>
    <x v="1"/>
    <x v="11"/>
    <x v="11"/>
    <x v="3"/>
    <x v="2"/>
  </r>
  <r>
    <s v="AX20519"/>
    <s v="ENX2044"/>
    <s v="A120"/>
    <s v="EMP1006"/>
    <s v="C1758"/>
    <x v="228"/>
    <n v="3"/>
    <n v="886"/>
    <n v="478"/>
    <n v="1434"/>
    <n v="2658"/>
    <n v="1224"/>
    <s v="Product 45"/>
    <x v="20"/>
    <s v="Sean Miller"/>
    <x v="329"/>
    <n v="2"/>
    <x v="1"/>
    <x v="11"/>
    <x v="11"/>
    <x v="3"/>
    <x v="2"/>
  </r>
  <r>
    <s v="AX20520"/>
    <s v="ENX2025"/>
    <s v="A166"/>
    <s v="EMP1027"/>
    <s v="C1800"/>
    <x v="227"/>
    <n v="2"/>
    <n v="667"/>
    <n v="387"/>
    <n v="774"/>
    <n v="1334"/>
    <n v="560"/>
    <s v="Product 26"/>
    <x v="70"/>
    <s v="Gary Rodriguez"/>
    <x v="319"/>
    <n v="2"/>
    <x v="1"/>
    <x v="11"/>
    <x v="11"/>
    <x v="3"/>
    <x v="2"/>
  </r>
  <r>
    <s v="AX20783"/>
    <s v="ENX2078"/>
    <s v="A169"/>
    <s v="EMP1010"/>
    <s v="C1800"/>
    <x v="226"/>
    <n v="4"/>
    <n v="1798"/>
    <n v="971"/>
    <n v="3884"/>
    <n v="7192"/>
    <n v="3308"/>
    <s v="Product 79"/>
    <x v="17"/>
    <s v="Joshua Cook"/>
    <x v="319"/>
    <n v="2"/>
    <x v="1"/>
    <x v="11"/>
    <x v="11"/>
    <x v="3"/>
    <x v="2"/>
  </r>
  <r>
    <s v="AX20787"/>
    <s v="ENX2058"/>
    <s v="A129"/>
    <s v="EMP1009"/>
    <s v="C1419"/>
    <x v="229"/>
    <n v="1"/>
    <n v="2257"/>
    <n v="1535"/>
    <n v="1535"/>
    <n v="2257"/>
    <n v="722"/>
    <s v="Product 59"/>
    <x v="22"/>
    <s v="Kenneth Fields"/>
    <x v="163"/>
    <n v="2"/>
    <x v="1"/>
    <x v="11"/>
    <x v="11"/>
    <x v="3"/>
    <x v="2"/>
  </r>
  <r>
    <s v="AX21180"/>
    <s v="ENX2096"/>
    <s v="A148"/>
    <s v="EMP1001"/>
    <s v="C1392"/>
    <x v="229"/>
    <n v="1"/>
    <n v="1587"/>
    <n v="1301"/>
    <n v="1301"/>
    <n v="1587"/>
    <n v="286"/>
    <s v="Product 97"/>
    <x v="62"/>
    <s v="Kevin Butler"/>
    <x v="78"/>
    <n v="2"/>
    <x v="1"/>
    <x v="11"/>
    <x v="11"/>
    <x v="3"/>
    <x v="2"/>
  </r>
  <r>
    <s v="AX22126"/>
    <s v="ENX2083"/>
    <s v="A132"/>
    <s v="EMP1017"/>
    <s v="C1019"/>
    <x v="227"/>
    <n v="4"/>
    <n v="2141"/>
    <n v="1777"/>
    <n v="7108"/>
    <n v="8564"/>
    <n v="1456"/>
    <s v="Product 84"/>
    <x v="48"/>
    <s v="Brian Hansen"/>
    <x v="503"/>
    <n v="2"/>
    <x v="1"/>
    <x v="11"/>
    <x v="11"/>
    <x v="3"/>
    <x v="2"/>
  </r>
  <r>
    <s v="AX22243"/>
    <s v="ENX2054"/>
    <s v="A173"/>
    <s v="EMP1019"/>
    <s v="C1104"/>
    <x v="228"/>
    <n v="4"/>
    <n v="127"/>
    <n v="79"/>
    <n v="316"/>
    <n v="508"/>
    <n v="192"/>
    <s v="Product 55"/>
    <x v="25"/>
    <s v="Roger Robertson"/>
    <x v="367"/>
    <n v="2"/>
    <x v="1"/>
    <x v="11"/>
    <x v="11"/>
    <x v="3"/>
    <x v="2"/>
  </r>
  <r>
    <s v="AX22256"/>
    <s v="ENX2032"/>
    <s v="A102"/>
    <s v="EMP1029"/>
    <s v="C1546"/>
    <x v="228"/>
    <n v="2"/>
    <n v="1967"/>
    <n v="1397"/>
    <n v="2794"/>
    <n v="3934"/>
    <n v="1140"/>
    <s v="Product 33"/>
    <x v="44"/>
    <s v="Howard Gardner"/>
    <x v="119"/>
    <n v="2"/>
    <x v="1"/>
    <x v="11"/>
    <x v="11"/>
    <x v="3"/>
    <x v="2"/>
  </r>
  <r>
    <s v="AX22348"/>
    <s v="ENX2015"/>
    <s v="A138"/>
    <s v="EMP1031"/>
    <s v="C1275"/>
    <x v="229"/>
    <n v="1"/>
    <n v="637"/>
    <n v="389"/>
    <n v="389"/>
    <n v="637"/>
    <n v="248"/>
    <s v="Product 16"/>
    <x v="37"/>
    <s v="Brian Thomas"/>
    <x v="144"/>
    <n v="2"/>
    <x v="1"/>
    <x v="11"/>
    <x v="11"/>
    <x v="3"/>
    <x v="2"/>
  </r>
  <r>
    <s v="AX22504"/>
    <s v="ENX2057"/>
    <s v="A151"/>
    <s v="EMP1032"/>
    <s v="C1683"/>
    <x v="225"/>
    <n v="2"/>
    <n v="181"/>
    <n v="130"/>
    <n v="260"/>
    <n v="362"/>
    <n v="102"/>
    <s v="Product 58"/>
    <x v="1"/>
    <s v="Larry Castillo"/>
    <x v="379"/>
    <n v="2"/>
    <x v="1"/>
    <x v="11"/>
    <x v="11"/>
    <x v="3"/>
    <x v="2"/>
  </r>
  <r>
    <s v="AX22672"/>
    <s v="ENX2057"/>
    <s v="A130"/>
    <s v="EMP1024"/>
    <s v="C1362"/>
    <x v="229"/>
    <n v="1"/>
    <n v="181"/>
    <n v="130"/>
    <n v="130"/>
    <n v="181"/>
    <n v="51"/>
    <s v="Product 58"/>
    <x v="4"/>
    <s v="Ernest Wheeler"/>
    <x v="41"/>
    <n v="2"/>
    <x v="1"/>
    <x v="11"/>
    <x v="11"/>
    <x v="3"/>
    <x v="2"/>
  </r>
  <r>
    <s v="AX22719"/>
    <s v="ENX2070"/>
    <s v="A154"/>
    <s v="EMP1015"/>
    <s v="C1715"/>
    <x v="227"/>
    <n v="2"/>
    <n v="1671"/>
    <n v="1220"/>
    <n v="2440"/>
    <n v="3342"/>
    <n v="902"/>
    <s v="Product 71"/>
    <x v="24"/>
    <s v="Justin Lynch"/>
    <x v="342"/>
    <n v="2"/>
    <x v="1"/>
    <x v="11"/>
    <x v="11"/>
    <x v="3"/>
    <x v="2"/>
  </r>
  <r>
    <s v="AX22880"/>
    <s v="ENX2032"/>
    <s v="A119"/>
    <s v="EMP1000"/>
    <s v="C1733"/>
    <x v="225"/>
    <n v="4"/>
    <n v="1967"/>
    <n v="1397"/>
    <n v="5588"/>
    <n v="7868"/>
    <n v="2280"/>
    <s v="Product 33"/>
    <x v="16"/>
    <s v="Fred Robertson"/>
    <x v="32"/>
    <n v="2"/>
    <x v="1"/>
    <x v="11"/>
    <x v="11"/>
    <x v="3"/>
    <x v="2"/>
  </r>
  <r>
    <s v="AX23184"/>
    <s v="ENX2077"/>
    <s v="A107"/>
    <s v="EMP1024"/>
    <s v="C1432"/>
    <x v="226"/>
    <n v="1"/>
    <n v="530"/>
    <n v="424"/>
    <n v="424"/>
    <n v="530"/>
    <n v="106"/>
    <s v="Product 78"/>
    <x v="21"/>
    <s v="Ernest Wheeler"/>
    <x v="186"/>
    <n v="2"/>
    <x v="1"/>
    <x v="11"/>
    <x v="11"/>
    <x v="3"/>
    <x v="2"/>
  </r>
  <r>
    <s v="AX24170"/>
    <s v="ENX2025"/>
    <s v="A143"/>
    <s v="EMP1039"/>
    <s v="C1192"/>
    <x v="229"/>
    <n v="1"/>
    <n v="667"/>
    <n v="387"/>
    <n v="387"/>
    <n v="667"/>
    <n v="280"/>
    <s v="Product 26"/>
    <x v="39"/>
    <s v="Eugene Holmes"/>
    <x v="746"/>
    <n v="2"/>
    <x v="1"/>
    <x v="11"/>
    <x v="11"/>
    <x v="3"/>
    <x v="2"/>
  </r>
  <r>
    <s v="AX24171"/>
    <s v="ENX2011"/>
    <s v="A150"/>
    <s v="EMP1033"/>
    <s v="C1206"/>
    <x v="227"/>
    <n v="1"/>
    <n v="530"/>
    <n v="435"/>
    <n v="435"/>
    <n v="530"/>
    <n v="95"/>
    <s v="Product 12"/>
    <x v="30"/>
    <s v="Jerry Perry"/>
    <x v="518"/>
    <n v="2"/>
    <x v="1"/>
    <x v="11"/>
    <x v="11"/>
    <x v="3"/>
    <x v="2"/>
  </r>
  <r>
    <s v="AX24343"/>
    <s v="ENX2078"/>
    <s v="A114"/>
    <s v="EMP1008"/>
    <s v="C1247"/>
    <x v="229"/>
    <n v="2"/>
    <n v="1798"/>
    <n v="971"/>
    <n v="1942"/>
    <n v="3596"/>
    <n v="1654"/>
    <s v="Product 79"/>
    <x v="28"/>
    <s v="Carl Elliott"/>
    <x v="552"/>
    <n v="2"/>
    <x v="1"/>
    <x v="11"/>
    <x v="11"/>
    <x v="3"/>
    <x v="2"/>
  </r>
  <r>
    <s v="AX24477"/>
    <s v="ENX2051"/>
    <s v="A112"/>
    <s v="EMP1039"/>
    <s v="C1318"/>
    <x v="229"/>
    <n v="2"/>
    <n v="1077"/>
    <n v="732"/>
    <n v="1464"/>
    <n v="2154"/>
    <n v="690"/>
    <s v="Product 52"/>
    <x v="66"/>
    <s v="Eugene Holmes"/>
    <x v="730"/>
    <n v="2"/>
    <x v="1"/>
    <x v="11"/>
    <x v="11"/>
    <x v="3"/>
    <x v="2"/>
  </r>
  <r>
    <s v="AX24614"/>
    <s v="ENX2012"/>
    <s v="A106"/>
    <s v="EMP1022"/>
    <s v="C1596"/>
    <x v="228"/>
    <n v="3"/>
    <n v="1353"/>
    <n v="947"/>
    <n v="2841"/>
    <n v="4059"/>
    <n v="1218"/>
    <s v="Product 13"/>
    <x v="11"/>
    <s v="Walter Cook"/>
    <x v="217"/>
    <n v="2"/>
    <x v="1"/>
    <x v="11"/>
    <x v="11"/>
    <x v="3"/>
    <x v="2"/>
  </r>
  <r>
    <s v="AX10030"/>
    <s v="ENX2028"/>
    <s v="A138"/>
    <s v="EMP1017"/>
    <s v="C1495"/>
    <x v="230"/>
    <n v="1"/>
    <n v="2283"/>
    <n v="1484"/>
    <n v="1484"/>
    <n v="2283"/>
    <n v="799"/>
    <s v="Product 29"/>
    <x v="37"/>
    <s v="Brian Hansen"/>
    <x v="780"/>
    <n v="3"/>
    <x v="2"/>
    <x v="0"/>
    <x v="0"/>
    <x v="0"/>
    <x v="0"/>
  </r>
  <r>
    <s v="AX10119"/>
    <s v="ENX2001"/>
    <s v="A167"/>
    <s v="EMP1010"/>
    <s v="C1339"/>
    <x v="231"/>
    <n v="1"/>
    <n v="951"/>
    <n v="504"/>
    <n v="504"/>
    <n v="951"/>
    <n v="447"/>
    <s v="Product 2"/>
    <x v="64"/>
    <s v="Joshua Cook"/>
    <x v="401"/>
    <n v="3"/>
    <x v="2"/>
    <x v="0"/>
    <x v="0"/>
    <x v="0"/>
    <x v="0"/>
  </r>
  <r>
    <s v="AX10412"/>
    <s v="ENX2047"/>
    <s v="A130"/>
    <s v="EMP1002"/>
    <s v="C1666"/>
    <x v="232"/>
    <n v="1"/>
    <n v="290"/>
    <n v="200"/>
    <n v="200"/>
    <n v="290"/>
    <n v="90"/>
    <s v="Product 48"/>
    <x v="4"/>
    <s v="Andrew Bowman"/>
    <x v="473"/>
    <n v="3"/>
    <x v="2"/>
    <x v="0"/>
    <x v="0"/>
    <x v="0"/>
    <x v="0"/>
  </r>
  <r>
    <s v="AX10556"/>
    <s v="ENX2097"/>
    <s v="A113"/>
    <s v="EMP1017"/>
    <s v="C1010"/>
    <x v="233"/>
    <n v="1"/>
    <n v="1052"/>
    <n v="589"/>
    <n v="589"/>
    <n v="1052"/>
    <n v="463"/>
    <s v="Product 98"/>
    <x v="73"/>
    <s v="Brian Hansen"/>
    <x v="399"/>
    <n v="3"/>
    <x v="2"/>
    <x v="0"/>
    <x v="0"/>
    <x v="0"/>
    <x v="0"/>
  </r>
  <r>
    <s v="AX10769"/>
    <s v="ENX2043"/>
    <s v="A154"/>
    <s v="EMP1035"/>
    <s v="C1285"/>
    <x v="233"/>
    <n v="1"/>
    <n v="545"/>
    <n v="425"/>
    <n v="425"/>
    <n v="545"/>
    <n v="120"/>
    <s v="Product 44"/>
    <x v="24"/>
    <s v="Roger Ramos"/>
    <x v="440"/>
    <n v="3"/>
    <x v="2"/>
    <x v="0"/>
    <x v="0"/>
    <x v="0"/>
    <x v="0"/>
  </r>
  <r>
    <s v="AX10819"/>
    <s v="ENX2050"/>
    <s v="A128"/>
    <s v="EMP1017"/>
    <s v="C1600"/>
    <x v="232"/>
    <n v="1"/>
    <n v="2391"/>
    <n v="1291"/>
    <n v="1291"/>
    <n v="2391"/>
    <n v="1100"/>
    <s v="Product 51"/>
    <x v="12"/>
    <s v="Brian Hansen"/>
    <x v="266"/>
    <n v="3"/>
    <x v="2"/>
    <x v="0"/>
    <x v="0"/>
    <x v="0"/>
    <x v="0"/>
  </r>
  <r>
    <s v="AX10881"/>
    <s v="ENX2040"/>
    <s v="A144"/>
    <s v="EMP1022"/>
    <s v="C1536"/>
    <x v="232"/>
    <n v="3"/>
    <n v="1889"/>
    <n v="945"/>
    <n v="2835"/>
    <n v="5667"/>
    <n v="2832"/>
    <s v="Product 41"/>
    <x v="65"/>
    <s v="Walter Cook"/>
    <x v="74"/>
    <n v="3"/>
    <x v="2"/>
    <x v="0"/>
    <x v="0"/>
    <x v="0"/>
    <x v="0"/>
  </r>
  <r>
    <s v="AX10899"/>
    <s v="ENX2042"/>
    <s v="A125"/>
    <s v="EMP1031"/>
    <s v="C1723"/>
    <x v="231"/>
    <n v="1"/>
    <n v="203"/>
    <n v="154"/>
    <n v="154"/>
    <n v="203"/>
    <n v="49"/>
    <s v="Product 43"/>
    <x v="31"/>
    <s v="Brian Thomas"/>
    <x v="118"/>
    <n v="3"/>
    <x v="2"/>
    <x v="0"/>
    <x v="0"/>
    <x v="0"/>
    <x v="0"/>
  </r>
  <r>
    <s v="AX11241"/>
    <s v="ENX2019"/>
    <s v="A165"/>
    <s v="EMP1005"/>
    <s v="C1172"/>
    <x v="230"/>
    <n v="4"/>
    <n v="800"/>
    <n v="536"/>
    <n v="2144"/>
    <n v="3200"/>
    <n v="1056"/>
    <s v="Product 20"/>
    <x v="55"/>
    <s v="Ryan Welch"/>
    <x v="63"/>
    <n v="3"/>
    <x v="2"/>
    <x v="0"/>
    <x v="0"/>
    <x v="0"/>
    <x v="0"/>
  </r>
  <r>
    <s v="AX11656"/>
    <s v="ENX2059"/>
    <s v="A104"/>
    <s v="EMP1020"/>
    <s v="C1115"/>
    <x v="234"/>
    <n v="4"/>
    <n v="1494"/>
    <n v="971"/>
    <n v="3884"/>
    <n v="5976"/>
    <n v="2092"/>
    <s v="Product 60"/>
    <x v="50"/>
    <s v="Ryan Butler"/>
    <x v="338"/>
    <n v="3"/>
    <x v="2"/>
    <x v="0"/>
    <x v="0"/>
    <x v="0"/>
    <x v="0"/>
  </r>
  <r>
    <s v="AX11933"/>
    <s v="ENX2036"/>
    <s v="A133"/>
    <s v="EMP1004"/>
    <s v="C1649"/>
    <x v="232"/>
    <n v="2"/>
    <n v="1582"/>
    <n v="1234"/>
    <n v="2468"/>
    <n v="3164"/>
    <n v="696"/>
    <s v="Product 37"/>
    <x v="46"/>
    <s v="Kenneth Bradley"/>
    <x v="790"/>
    <n v="3"/>
    <x v="2"/>
    <x v="0"/>
    <x v="0"/>
    <x v="0"/>
    <x v="0"/>
  </r>
  <r>
    <s v="AX12536"/>
    <s v="ENX2090"/>
    <s v="A158"/>
    <s v="EMP1044"/>
    <s v="C1001"/>
    <x v="233"/>
    <n v="1"/>
    <n v="1338"/>
    <n v="682"/>
    <n v="682"/>
    <n v="1338"/>
    <n v="656"/>
    <s v="Product 91"/>
    <x v="58"/>
    <s v="Martin Carr"/>
    <x v="725"/>
    <n v="3"/>
    <x v="2"/>
    <x v="0"/>
    <x v="0"/>
    <x v="0"/>
    <x v="0"/>
  </r>
  <r>
    <s v="AX12761"/>
    <s v="ENX2089"/>
    <s v="A156"/>
    <s v="EMP1021"/>
    <s v="C1357"/>
    <x v="234"/>
    <n v="4"/>
    <n v="2294"/>
    <n v="1399"/>
    <n v="5596"/>
    <n v="9176"/>
    <n v="3580"/>
    <s v="Product 90"/>
    <x v="14"/>
    <s v="Clarence Fox"/>
    <x v="327"/>
    <n v="3"/>
    <x v="2"/>
    <x v="0"/>
    <x v="0"/>
    <x v="0"/>
    <x v="0"/>
  </r>
  <r>
    <s v="AX13101"/>
    <s v="ENX2017"/>
    <s v="A118"/>
    <s v="EMP1011"/>
    <s v="C1014"/>
    <x v="232"/>
    <n v="3"/>
    <n v="35"/>
    <n v="22"/>
    <n v="66"/>
    <n v="105"/>
    <n v="39"/>
    <s v="Product 18"/>
    <x v="19"/>
    <s v="Larry Marshall"/>
    <x v="26"/>
    <n v="3"/>
    <x v="2"/>
    <x v="0"/>
    <x v="0"/>
    <x v="0"/>
    <x v="0"/>
  </r>
  <r>
    <s v="AX13752"/>
    <s v="ENX2047"/>
    <s v="A104"/>
    <s v="EMP1028"/>
    <s v="C1507"/>
    <x v="232"/>
    <n v="4"/>
    <n v="290"/>
    <n v="200"/>
    <n v="800"/>
    <n v="1160"/>
    <n v="360"/>
    <s v="Product 48"/>
    <x v="50"/>
    <s v="Howard Sims"/>
    <x v="227"/>
    <n v="3"/>
    <x v="2"/>
    <x v="0"/>
    <x v="0"/>
    <x v="0"/>
    <x v="0"/>
  </r>
  <r>
    <s v="AX14169"/>
    <s v="ENX2044"/>
    <s v="A159"/>
    <s v="EMP1013"/>
    <s v="C1083"/>
    <x v="232"/>
    <n v="1"/>
    <n v="886"/>
    <n v="478"/>
    <n v="478"/>
    <n v="886"/>
    <n v="408"/>
    <s v="Product 45"/>
    <x v="13"/>
    <s v="Charles Harper"/>
    <x v="550"/>
    <n v="3"/>
    <x v="2"/>
    <x v="0"/>
    <x v="0"/>
    <x v="0"/>
    <x v="0"/>
  </r>
  <r>
    <s v="AX14314"/>
    <s v="ENX2040"/>
    <s v="A139"/>
    <s v="EMP1017"/>
    <s v="C1428"/>
    <x v="231"/>
    <n v="1"/>
    <n v="1889"/>
    <n v="945"/>
    <n v="945"/>
    <n v="1889"/>
    <n v="944"/>
    <s v="Product 41"/>
    <x v="38"/>
    <s v="Brian Hansen"/>
    <x v="509"/>
    <n v="3"/>
    <x v="2"/>
    <x v="0"/>
    <x v="0"/>
    <x v="0"/>
    <x v="0"/>
  </r>
  <r>
    <s v="AX14750"/>
    <s v="ENX2083"/>
    <s v="A149"/>
    <s v="EMP1007"/>
    <s v="C1646"/>
    <x v="230"/>
    <n v="2"/>
    <n v="2141"/>
    <n v="1777"/>
    <n v="3554"/>
    <n v="4282"/>
    <n v="728"/>
    <s v="Product 84"/>
    <x v="59"/>
    <s v="Jeremy Mendoza"/>
    <x v="789"/>
    <n v="3"/>
    <x v="2"/>
    <x v="0"/>
    <x v="0"/>
    <x v="0"/>
    <x v="0"/>
  </r>
  <r>
    <s v="AX14764"/>
    <s v="ENX2023"/>
    <s v="A147"/>
    <s v="EMP1029"/>
    <s v="C1357"/>
    <x v="230"/>
    <n v="4"/>
    <n v="818"/>
    <n v="450"/>
    <n v="1800"/>
    <n v="3272"/>
    <n v="1472"/>
    <s v="Product 24"/>
    <x v="42"/>
    <s v="Howard Gardner"/>
    <x v="327"/>
    <n v="3"/>
    <x v="2"/>
    <x v="0"/>
    <x v="0"/>
    <x v="0"/>
    <x v="0"/>
  </r>
  <r>
    <s v="AX14795"/>
    <s v="ENX2070"/>
    <s v="A144"/>
    <s v="EMP1038"/>
    <s v="C1425"/>
    <x v="234"/>
    <n v="1"/>
    <n v="1671"/>
    <n v="1220"/>
    <n v="1220"/>
    <n v="1671"/>
    <n v="451"/>
    <s v="Product 71"/>
    <x v="65"/>
    <s v="Scott Mason"/>
    <x v="474"/>
    <n v="3"/>
    <x v="2"/>
    <x v="0"/>
    <x v="0"/>
    <x v="0"/>
    <x v="0"/>
  </r>
  <r>
    <s v="AX15175"/>
    <s v="ENX2062"/>
    <s v="A168"/>
    <s v="EMP1025"/>
    <s v="C1083"/>
    <x v="232"/>
    <n v="1"/>
    <n v="2464"/>
    <n v="1774"/>
    <n v="1774"/>
    <n v="2464"/>
    <n v="690"/>
    <s v="Product 63"/>
    <x v="40"/>
    <s v="Ernest Wagner"/>
    <x v="550"/>
    <n v="3"/>
    <x v="2"/>
    <x v="0"/>
    <x v="0"/>
    <x v="0"/>
    <x v="0"/>
  </r>
  <r>
    <s v="AX15443"/>
    <s v="ENX2054"/>
    <s v="A156"/>
    <s v="EMP1019"/>
    <s v="C1612"/>
    <x v="234"/>
    <n v="1"/>
    <n v="127"/>
    <n v="79"/>
    <n v="79"/>
    <n v="127"/>
    <n v="48"/>
    <s v="Product 55"/>
    <x v="14"/>
    <s v="Roger Robertson"/>
    <x v="46"/>
    <n v="3"/>
    <x v="2"/>
    <x v="0"/>
    <x v="0"/>
    <x v="0"/>
    <x v="0"/>
  </r>
  <r>
    <s v="AX15765"/>
    <s v="ENX2027"/>
    <s v="A117"/>
    <s v="EMP1003"/>
    <s v="C1356"/>
    <x v="232"/>
    <n v="1"/>
    <n v="2497"/>
    <n v="1473"/>
    <n v="1473"/>
    <n v="2497"/>
    <n v="1024"/>
    <s v="Product 28"/>
    <x v="29"/>
    <s v="Christopher Tucker"/>
    <x v="238"/>
    <n v="3"/>
    <x v="2"/>
    <x v="0"/>
    <x v="0"/>
    <x v="0"/>
    <x v="0"/>
  </r>
  <r>
    <s v="AX15777"/>
    <s v="ENX2074"/>
    <s v="A166"/>
    <s v="EMP1020"/>
    <s v="C1306"/>
    <x v="231"/>
    <n v="1"/>
    <n v="504"/>
    <n v="408"/>
    <n v="408"/>
    <n v="504"/>
    <n v="96"/>
    <s v="Product 75"/>
    <x v="70"/>
    <s v="Ryan Butler"/>
    <x v="692"/>
    <n v="3"/>
    <x v="2"/>
    <x v="0"/>
    <x v="0"/>
    <x v="0"/>
    <x v="0"/>
  </r>
  <r>
    <s v="AX15785"/>
    <s v="ENX2064"/>
    <s v="A129"/>
    <s v="EMP1013"/>
    <s v="C1486"/>
    <x v="233"/>
    <n v="1"/>
    <n v="1414"/>
    <n v="962"/>
    <n v="962"/>
    <n v="1414"/>
    <n v="452"/>
    <s v="Product 65"/>
    <x v="22"/>
    <s v="Charles Harper"/>
    <x v="357"/>
    <n v="3"/>
    <x v="2"/>
    <x v="0"/>
    <x v="0"/>
    <x v="0"/>
    <x v="0"/>
  </r>
  <r>
    <s v="AX15801"/>
    <s v="ENX2008"/>
    <s v="A143"/>
    <s v="EMP1027"/>
    <s v="C1357"/>
    <x v="234"/>
    <n v="3"/>
    <n v="315"/>
    <n v="208"/>
    <n v="624"/>
    <n v="945"/>
    <n v="321"/>
    <s v="Product 9"/>
    <x v="39"/>
    <s v="Gary Rodriguez"/>
    <x v="327"/>
    <n v="3"/>
    <x v="2"/>
    <x v="0"/>
    <x v="0"/>
    <x v="0"/>
    <x v="0"/>
  </r>
  <r>
    <s v="AX16340"/>
    <s v="ENX2096"/>
    <s v="A107"/>
    <s v="EMP1007"/>
    <s v="C1114"/>
    <x v="233"/>
    <n v="1"/>
    <n v="1587"/>
    <n v="1301"/>
    <n v="1301"/>
    <n v="1587"/>
    <n v="286"/>
    <s v="Product 97"/>
    <x v="21"/>
    <s v="Jeremy Mendoza"/>
    <x v="405"/>
    <n v="3"/>
    <x v="2"/>
    <x v="0"/>
    <x v="0"/>
    <x v="0"/>
    <x v="0"/>
  </r>
  <r>
    <s v="AX16445"/>
    <s v="ENX2050"/>
    <s v="A113"/>
    <s v="EMP1038"/>
    <s v="C1468"/>
    <x v="234"/>
    <n v="1"/>
    <n v="2391"/>
    <n v="1291"/>
    <n v="1291"/>
    <n v="2391"/>
    <n v="1100"/>
    <s v="Product 51"/>
    <x v="73"/>
    <s v="Scott Mason"/>
    <x v="688"/>
    <n v="3"/>
    <x v="2"/>
    <x v="0"/>
    <x v="0"/>
    <x v="0"/>
    <x v="0"/>
  </r>
  <r>
    <s v="AX16694"/>
    <s v="ENX2044"/>
    <s v="A136"/>
    <s v="EMP1028"/>
    <s v="C1094"/>
    <x v="234"/>
    <n v="3"/>
    <n v="886"/>
    <n v="478"/>
    <n v="1434"/>
    <n v="2658"/>
    <n v="1224"/>
    <s v="Product 45"/>
    <x v="43"/>
    <s v="Howard Sims"/>
    <x v="261"/>
    <n v="3"/>
    <x v="2"/>
    <x v="0"/>
    <x v="0"/>
    <x v="0"/>
    <x v="0"/>
  </r>
  <r>
    <s v="AX17154"/>
    <s v="ENX2013"/>
    <s v="A166"/>
    <s v="EMP1020"/>
    <s v="C1707"/>
    <x v="231"/>
    <n v="3"/>
    <n v="368"/>
    <n v="269"/>
    <n v="807"/>
    <n v="1104"/>
    <n v="297"/>
    <s v="Product 14"/>
    <x v="70"/>
    <s v="Ryan Butler"/>
    <x v="192"/>
    <n v="3"/>
    <x v="2"/>
    <x v="0"/>
    <x v="0"/>
    <x v="0"/>
    <x v="0"/>
  </r>
  <r>
    <s v="AX17484"/>
    <s v="ENX2030"/>
    <s v="A144"/>
    <s v="EMP1007"/>
    <s v="C1367"/>
    <x v="231"/>
    <n v="1"/>
    <n v="1899"/>
    <n v="1044"/>
    <n v="1044"/>
    <n v="1899"/>
    <n v="855"/>
    <s v="Product 31"/>
    <x v="65"/>
    <s v="Jeremy Mendoza"/>
    <x v="490"/>
    <n v="3"/>
    <x v="2"/>
    <x v="0"/>
    <x v="0"/>
    <x v="0"/>
    <x v="0"/>
  </r>
  <r>
    <s v="AX17954"/>
    <s v="ENX2051"/>
    <s v="A143"/>
    <s v="EMP1008"/>
    <s v="C1048"/>
    <x v="230"/>
    <n v="1"/>
    <n v="1077"/>
    <n v="732"/>
    <n v="732"/>
    <n v="1077"/>
    <n v="345"/>
    <s v="Product 52"/>
    <x v="39"/>
    <s v="Carl Elliott"/>
    <x v="391"/>
    <n v="3"/>
    <x v="2"/>
    <x v="0"/>
    <x v="0"/>
    <x v="0"/>
    <x v="0"/>
  </r>
  <r>
    <s v="AX18064"/>
    <s v="ENX2083"/>
    <s v="A146"/>
    <s v="EMP1023"/>
    <s v="C1585"/>
    <x v="230"/>
    <n v="1"/>
    <n v="2141"/>
    <n v="1777"/>
    <n v="1777"/>
    <n v="2141"/>
    <n v="364"/>
    <s v="Product 84"/>
    <x v="27"/>
    <s v="Brian Davis"/>
    <x v="400"/>
    <n v="3"/>
    <x v="2"/>
    <x v="0"/>
    <x v="0"/>
    <x v="0"/>
    <x v="0"/>
  </r>
  <r>
    <s v="AX18254"/>
    <s v="ENX2048"/>
    <s v="A133"/>
    <s v="EMP1029"/>
    <s v="C1354"/>
    <x v="230"/>
    <n v="1"/>
    <n v="502"/>
    <n v="296"/>
    <n v="296"/>
    <n v="502"/>
    <n v="206"/>
    <s v="Product 49"/>
    <x v="46"/>
    <s v="Howard Gardner"/>
    <x v="133"/>
    <n v="3"/>
    <x v="2"/>
    <x v="0"/>
    <x v="0"/>
    <x v="0"/>
    <x v="0"/>
  </r>
  <r>
    <s v="AX18321"/>
    <s v="ENX2075"/>
    <s v="A104"/>
    <s v="EMP1027"/>
    <s v="C1266"/>
    <x v="233"/>
    <n v="2"/>
    <n v="400"/>
    <n v="208"/>
    <n v="416"/>
    <n v="800"/>
    <n v="384"/>
    <s v="Product 76"/>
    <x v="50"/>
    <s v="Gary Rodriguez"/>
    <x v="254"/>
    <n v="3"/>
    <x v="2"/>
    <x v="0"/>
    <x v="0"/>
    <x v="0"/>
    <x v="0"/>
  </r>
  <r>
    <s v="AX18535"/>
    <s v="ENX2000"/>
    <s v="A167"/>
    <s v="EMP1022"/>
    <s v="C1106"/>
    <x v="230"/>
    <n v="1"/>
    <n v="2241"/>
    <n v="1367"/>
    <n v="1367"/>
    <n v="2241"/>
    <n v="874"/>
    <s v="Product 1"/>
    <x v="64"/>
    <s v="Walter Cook"/>
    <x v="377"/>
    <n v="3"/>
    <x v="2"/>
    <x v="0"/>
    <x v="0"/>
    <x v="0"/>
    <x v="0"/>
  </r>
  <r>
    <s v="AX18558"/>
    <s v="ENX2088"/>
    <s v="A116"/>
    <s v="EMP1029"/>
    <s v="C1796"/>
    <x v="234"/>
    <n v="1"/>
    <n v="603"/>
    <n v="416"/>
    <n v="416"/>
    <n v="603"/>
    <n v="187"/>
    <s v="Product 89"/>
    <x v="15"/>
    <s v="Howard Gardner"/>
    <x v="630"/>
    <n v="3"/>
    <x v="2"/>
    <x v="0"/>
    <x v="0"/>
    <x v="0"/>
    <x v="0"/>
  </r>
  <r>
    <s v="AX18684"/>
    <s v="ENX2043"/>
    <s v="A125"/>
    <s v="EMP1015"/>
    <s v="C1424"/>
    <x v="234"/>
    <n v="2"/>
    <n v="545"/>
    <n v="425"/>
    <n v="850"/>
    <n v="1090"/>
    <n v="240"/>
    <s v="Product 44"/>
    <x v="31"/>
    <s v="Justin Lynch"/>
    <x v="791"/>
    <n v="3"/>
    <x v="2"/>
    <x v="0"/>
    <x v="0"/>
    <x v="0"/>
    <x v="0"/>
  </r>
  <r>
    <s v="AX18838"/>
    <s v="ENX2021"/>
    <s v="A115"/>
    <s v="EMP1041"/>
    <s v="C1015"/>
    <x v="233"/>
    <n v="3"/>
    <n v="217"/>
    <n v="171"/>
    <n v="513"/>
    <n v="651"/>
    <n v="138"/>
    <s v="Product 22"/>
    <x v="33"/>
    <s v="Joe Sims"/>
    <x v="583"/>
    <n v="3"/>
    <x v="2"/>
    <x v="0"/>
    <x v="0"/>
    <x v="0"/>
    <x v="0"/>
  </r>
  <r>
    <s v="AX18898"/>
    <s v="ENX2056"/>
    <s v="A135"/>
    <s v="EMP1035"/>
    <s v="C1595"/>
    <x v="231"/>
    <n v="4"/>
    <n v="1635"/>
    <n v="1046"/>
    <n v="4184"/>
    <n v="6540"/>
    <n v="2356"/>
    <s v="Product 57"/>
    <x v="10"/>
    <s v="Roger Ramos"/>
    <x v="372"/>
    <n v="3"/>
    <x v="2"/>
    <x v="0"/>
    <x v="0"/>
    <x v="0"/>
    <x v="0"/>
  </r>
  <r>
    <s v="AX18931"/>
    <s v="ENX2016"/>
    <s v="A159"/>
    <s v="EMP1010"/>
    <s v="C1687"/>
    <x v="232"/>
    <n v="1"/>
    <n v="1351"/>
    <n v="1108"/>
    <n v="1108"/>
    <n v="1351"/>
    <n v="243"/>
    <s v="Product 17"/>
    <x v="13"/>
    <s v="Joshua Cook"/>
    <x v="389"/>
    <n v="3"/>
    <x v="2"/>
    <x v="0"/>
    <x v="0"/>
    <x v="0"/>
    <x v="0"/>
  </r>
  <r>
    <s v="AX19396"/>
    <s v="ENX2095"/>
    <s v="A138"/>
    <s v="EMP1044"/>
    <s v="C1719"/>
    <x v="234"/>
    <n v="1"/>
    <n v="1743"/>
    <n v="872"/>
    <n v="872"/>
    <n v="1743"/>
    <n v="871"/>
    <s v="Product 96"/>
    <x v="37"/>
    <s v="Martin Carr"/>
    <x v="666"/>
    <n v="3"/>
    <x v="2"/>
    <x v="0"/>
    <x v="0"/>
    <x v="0"/>
    <x v="0"/>
  </r>
  <r>
    <s v="AX19485"/>
    <s v="ENX2031"/>
    <s v="A145"/>
    <s v="EMP1008"/>
    <s v="C1029"/>
    <x v="233"/>
    <n v="1"/>
    <n v="1638"/>
    <n v="1261"/>
    <n v="1261"/>
    <n v="1638"/>
    <n v="377"/>
    <s v="Product 32"/>
    <x v="35"/>
    <s v="Carl Elliott"/>
    <x v="601"/>
    <n v="3"/>
    <x v="2"/>
    <x v="0"/>
    <x v="0"/>
    <x v="0"/>
    <x v="0"/>
  </r>
  <r>
    <s v="AX20045"/>
    <s v="ENX2066"/>
    <s v="A160"/>
    <s v="EMP1004"/>
    <s v="C1153"/>
    <x v="234"/>
    <n v="1"/>
    <n v="2091"/>
    <n v="1485"/>
    <n v="1485"/>
    <n v="2091"/>
    <n v="606"/>
    <s v="Product 67"/>
    <x v="9"/>
    <s v="Kenneth Bradley"/>
    <x v="382"/>
    <n v="3"/>
    <x v="2"/>
    <x v="0"/>
    <x v="0"/>
    <x v="0"/>
    <x v="0"/>
  </r>
  <r>
    <s v="AX20050"/>
    <s v="ENX2046"/>
    <s v="A126"/>
    <s v="EMP1004"/>
    <s v="C1198"/>
    <x v="234"/>
    <n v="3"/>
    <n v="2410"/>
    <n v="1518"/>
    <n v="4554"/>
    <n v="7230"/>
    <n v="2676"/>
    <s v="Product 47"/>
    <x v="5"/>
    <s v="Kenneth Bradley"/>
    <x v="42"/>
    <n v="3"/>
    <x v="2"/>
    <x v="0"/>
    <x v="0"/>
    <x v="0"/>
    <x v="0"/>
  </r>
  <r>
    <s v="AX20136"/>
    <s v="ENX2053"/>
    <s v="A108"/>
    <s v="EMP1021"/>
    <s v="C1528"/>
    <x v="230"/>
    <n v="1"/>
    <n v="596"/>
    <n v="358"/>
    <n v="358"/>
    <n v="596"/>
    <n v="238"/>
    <s v="Product 54"/>
    <x v="49"/>
    <s v="Clarence Fox"/>
    <x v="158"/>
    <n v="3"/>
    <x v="2"/>
    <x v="0"/>
    <x v="0"/>
    <x v="0"/>
    <x v="0"/>
  </r>
  <r>
    <s v="AX20914"/>
    <s v="ENX2022"/>
    <s v="A161"/>
    <s v="EMP1009"/>
    <s v="C1382"/>
    <x v="230"/>
    <n v="1"/>
    <n v="561"/>
    <n v="421"/>
    <n v="421"/>
    <n v="561"/>
    <n v="140"/>
    <s v="Product 23"/>
    <x v="6"/>
    <s v="Kenneth Fields"/>
    <x v="334"/>
    <n v="3"/>
    <x v="2"/>
    <x v="0"/>
    <x v="0"/>
    <x v="0"/>
    <x v="0"/>
  </r>
  <r>
    <s v="AX21178"/>
    <s v="ENX2011"/>
    <s v="A125"/>
    <s v="EMP1015"/>
    <s v="C1740"/>
    <x v="232"/>
    <n v="1"/>
    <n v="530"/>
    <n v="435"/>
    <n v="435"/>
    <n v="530"/>
    <n v="95"/>
    <s v="Product 12"/>
    <x v="31"/>
    <s v="Justin Lynch"/>
    <x v="699"/>
    <n v="3"/>
    <x v="2"/>
    <x v="0"/>
    <x v="0"/>
    <x v="0"/>
    <x v="0"/>
  </r>
  <r>
    <s v="AX21326"/>
    <s v="ENX2063"/>
    <s v="A126"/>
    <s v="EMP1000"/>
    <s v="C1546"/>
    <x v="232"/>
    <n v="1"/>
    <n v="1708"/>
    <n v="871"/>
    <n v="871"/>
    <n v="1708"/>
    <n v="837"/>
    <s v="Product 64"/>
    <x v="5"/>
    <s v="Fred Robertson"/>
    <x v="119"/>
    <n v="3"/>
    <x v="2"/>
    <x v="0"/>
    <x v="0"/>
    <x v="0"/>
    <x v="0"/>
  </r>
  <r>
    <s v="AX21755"/>
    <s v="ENX2048"/>
    <s v="A145"/>
    <s v="EMP1025"/>
    <s v="C1260"/>
    <x v="230"/>
    <n v="3"/>
    <n v="502"/>
    <n v="296"/>
    <n v="888"/>
    <n v="1506"/>
    <n v="618"/>
    <s v="Product 49"/>
    <x v="35"/>
    <s v="Ernest Wagner"/>
    <x v="27"/>
    <n v="3"/>
    <x v="2"/>
    <x v="0"/>
    <x v="0"/>
    <x v="0"/>
    <x v="0"/>
  </r>
  <r>
    <s v="AX22037"/>
    <s v="ENX2082"/>
    <s v="A133"/>
    <s v="EMP1020"/>
    <s v="C1483"/>
    <x v="232"/>
    <n v="1"/>
    <n v="1103"/>
    <n v="838"/>
    <n v="838"/>
    <n v="1103"/>
    <n v="265"/>
    <s v="Product 83"/>
    <x v="46"/>
    <s v="Ryan Butler"/>
    <x v="255"/>
    <n v="3"/>
    <x v="2"/>
    <x v="0"/>
    <x v="0"/>
    <x v="0"/>
    <x v="0"/>
  </r>
  <r>
    <s v="AX22479"/>
    <s v="ENX2039"/>
    <s v="A117"/>
    <s v="EMP1044"/>
    <s v="C1750"/>
    <x v="230"/>
    <n v="2"/>
    <n v="817"/>
    <n v="409"/>
    <n v="818"/>
    <n v="1634"/>
    <n v="816"/>
    <s v="Product 40"/>
    <x v="29"/>
    <s v="Martin Carr"/>
    <x v="591"/>
    <n v="3"/>
    <x v="2"/>
    <x v="0"/>
    <x v="0"/>
    <x v="0"/>
    <x v="0"/>
  </r>
  <r>
    <s v="AX22708"/>
    <s v="ENX2014"/>
    <s v="A149"/>
    <s v="EMP1036"/>
    <s v="C1370"/>
    <x v="230"/>
    <n v="1"/>
    <n v="1809"/>
    <n v="1067"/>
    <n v="1067"/>
    <n v="1809"/>
    <n v="742"/>
    <s v="Product 15"/>
    <x v="59"/>
    <s v="Robert Reed"/>
    <x v="341"/>
    <n v="3"/>
    <x v="2"/>
    <x v="0"/>
    <x v="0"/>
    <x v="0"/>
    <x v="0"/>
  </r>
  <r>
    <s v="AX22884"/>
    <s v="ENX2058"/>
    <s v="A132"/>
    <s v="EMP1003"/>
    <s v="C1350"/>
    <x v="234"/>
    <n v="4"/>
    <n v="2257"/>
    <n v="1535"/>
    <n v="6140"/>
    <n v="9028"/>
    <n v="2888"/>
    <s v="Product 59"/>
    <x v="48"/>
    <s v="Christopher Tucker"/>
    <x v="625"/>
    <n v="3"/>
    <x v="2"/>
    <x v="0"/>
    <x v="0"/>
    <x v="0"/>
    <x v="0"/>
  </r>
  <r>
    <s v="AX23156"/>
    <s v="ENX2074"/>
    <s v="A169"/>
    <s v="EMP1009"/>
    <s v="C1176"/>
    <x v="234"/>
    <n v="4"/>
    <n v="504"/>
    <n v="408"/>
    <n v="1632"/>
    <n v="2016"/>
    <n v="384"/>
    <s v="Product 75"/>
    <x v="17"/>
    <s v="Kenneth Fields"/>
    <x v="117"/>
    <n v="3"/>
    <x v="2"/>
    <x v="0"/>
    <x v="0"/>
    <x v="0"/>
    <x v="0"/>
  </r>
  <r>
    <s v="AX23604"/>
    <s v="ENX2074"/>
    <s v="A147"/>
    <s v="EMP1010"/>
    <s v="C1136"/>
    <x v="230"/>
    <n v="1"/>
    <n v="504"/>
    <n v="408"/>
    <n v="408"/>
    <n v="504"/>
    <n v="96"/>
    <s v="Product 75"/>
    <x v="42"/>
    <s v="Joshua Cook"/>
    <x v="425"/>
    <n v="3"/>
    <x v="2"/>
    <x v="0"/>
    <x v="0"/>
    <x v="0"/>
    <x v="0"/>
  </r>
  <r>
    <s v="AX24331"/>
    <s v="ENX2087"/>
    <s v="A137"/>
    <s v="EMP1005"/>
    <s v="C1372"/>
    <x v="230"/>
    <n v="4"/>
    <n v="1022"/>
    <n v="818"/>
    <n v="3272"/>
    <n v="4088"/>
    <n v="816"/>
    <s v="Product 88"/>
    <x v="68"/>
    <s v="Ryan Welch"/>
    <x v="60"/>
    <n v="3"/>
    <x v="2"/>
    <x v="0"/>
    <x v="0"/>
    <x v="0"/>
    <x v="0"/>
  </r>
  <r>
    <s v="AX24393"/>
    <s v="ENX2065"/>
    <s v="A114"/>
    <s v="EMP1019"/>
    <s v="C1275"/>
    <x v="234"/>
    <n v="2"/>
    <n v="2396"/>
    <n v="1965"/>
    <n v="3930"/>
    <n v="4792"/>
    <n v="862"/>
    <s v="Product 66"/>
    <x v="28"/>
    <s v="Roger Robertson"/>
    <x v="144"/>
    <n v="3"/>
    <x v="2"/>
    <x v="0"/>
    <x v="0"/>
    <x v="0"/>
    <x v="0"/>
  </r>
  <r>
    <s v="AX24408"/>
    <s v="ENX2045"/>
    <s v="A139"/>
    <s v="EMP1025"/>
    <s v="C1739"/>
    <x v="232"/>
    <n v="3"/>
    <n v="556"/>
    <n v="395"/>
    <n v="1185"/>
    <n v="1668"/>
    <n v="483"/>
    <s v="Product 46"/>
    <x v="38"/>
    <s v="Ernest Wagner"/>
    <x v="286"/>
    <n v="3"/>
    <x v="2"/>
    <x v="0"/>
    <x v="0"/>
    <x v="0"/>
    <x v="0"/>
  </r>
  <r>
    <s v="AX24463"/>
    <s v="ENX2067"/>
    <s v="A138"/>
    <s v="EMP1032"/>
    <s v="C1394"/>
    <x v="230"/>
    <n v="1"/>
    <n v="1119"/>
    <n v="683"/>
    <n v="683"/>
    <n v="1119"/>
    <n v="436"/>
    <s v="Product 68"/>
    <x v="37"/>
    <s v="Larry Castillo"/>
    <x v="116"/>
    <n v="3"/>
    <x v="2"/>
    <x v="0"/>
    <x v="0"/>
    <x v="0"/>
    <x v="0"/>
  </r>
  <r>
    <s v="AX24474"/>
    <s v="ENX2085"/>
    <s v="A173"/>
    <s v="EMP1020"/>
    <s v="C1304"/>
    <x v="233"/>
    <n v="2"/>
    <n v="1862"/>
    <n v="1173"/>
    <n v="2346"/>
    <n v="3724"/>
    <n v="1378"/>
    <s v="Product 86"/>
    <x v="25"/>
    <s v="Ryan Butler"/>
    <x v="298"/>
    <n v="3"/>
    <x v="2"/>
    <x v="0"/>
    <x v="0"/>
    <x v="0"/>
    <x v="0"/>
  </r>
  <r>
    <s v="AX24640"/>
    <s v="ENX2010"/>
    <s v="A167"/>
    <s v="EMP1002"/>
    <s v="C1034"/>
    <x v="233"/>
    <n v="2"/>
    <n v="1812"/>
    <n v="1305"/>
    <n v="2610"/>
    <n v="3624"/>
    <n v="1014"/>
    <s v="Product 11"/>
    <x v="64"/>
    <s v="Andrew Bowman"/>
    <x v="704"/>
    <n v="3"/>
    <x v="2"/>
    <x v="0"/>
    <x v="0"/>
    <x v="0"/>
    <x v="0"/>
  </r>
  <r>
    <s v="AX24654"/>
    <s v="ENX2000"/>
    <s v="A153"/>
    <s v="EMP1019"/>
    <s v="C1260"/>
    <x v="233"/>
    <n v="1"/>
    <n v="2241"/>
    <n v="1367"/>
    <n v="1367"/>
    <n v="2241"/>
    <n v="874"/>
    <s v="Product 1"/>
    <x v="8"/>
    <s v="Roger Robertson"/>
    <x v="27"/>
    <n v="3"/>
    <x v="2"/>
    <x v="0"/>
    <x v="0"/>
    <x v="0"/>
    <x v="0"/>
  </r>
  <r>
    <s v="AX24739"/>
    <s v="ENX2097"/>
    <s v="A108"/>
    <s v="EMP1010"/>
    <s v="C1078"/>
    <x v="230"/>
    <n v="2"/>
    <n v="1052"/>
    <n v="589"/>
    <n v="1178"/>
    <n v="2104"/>
    <n v="926"/>
    <s v="Product 98"/>
    <x v="49"/>
    <s v="Joshua Cook"/>
    <x v="565"/>
    <n v="3"/>
    <x v="2"/>
    <x v="0"/>
    <x v="0"/>
    <x v="0"/>
    <x v="0"/>
  </r>
  <r>
    <s v="AX24779"/>
    <s v="ENX2048"/>
    <s v="A100"/>
    <s v="EMP1016"/>
    <s v="C1117"/>
    <x v="233"/>
    <n v="3"/>
    <n v="502"/>
    <n v="296"/>
    <n v="888"/>
    <n v="1506"/>
    <n v="618"/>
    <s v="Product 49"/>
    <x v="52"/>
    <s v="Henry Nelson"/>
    <x v="519"/>
    <n v="3"/>
    <x v="2"/>
    <x v="0"/>
    <x v="0"/>
    <x v="0"/>
    <x v="0"/>
  </r>
  <r>
    <s v="AX10071"/>
    <s v="ENX2091"/>
    <s v="A121"/>
    <s v="EMP1016"/>
    <s v="C1755"/>
    <x v="235"/>
    <n v="3"/>
    <n v="368"/>
    <n v="294"/>
    <n v="882"/>
    <n v="1104"/>
    <n v="222"/>
    <s v="Product 92"/>
    <x v="72"/>
    <s v="Henry Nelson"/>
    <x v="178"/>
    <n v="3"/>
    <x v="2"/>
    <x v="0"/>
    <x v="0"/>
    <x v="0"/>
    <x v="1"/>
  </r>
  <r>
    <s v="AX10521"/>
    <s v="ENX2042"/>
    <s v="A108"/>
    <s v="EMP1011"/>
    <s v="C1442"/>
    <x v="236"/>
    <n v="1"/>
    <n v="203"/>
    <n v="154"/>
    <n v="154"/>
    <n v="203"/>
    <n v="49"/>
    <s v="Product 43"/>
    <x v="49"/>
    <s v="Larry Marshall"/>
    <x v="299"/>
    <n v="3"/>
    <x v="2"/>
    <x v="0"/>
    <x v="0"/>
    <x v="0"/>
    <x v="1"/>
  </r>
  <r>
    <s v="AX10733"/>
    <s v="ENX2024"/>
    <s v="A148"/>
    <s v="EMP1013"/>
    <s v="C1327"/>
    <x v="237"/>
    <n v="4"/>
    <n v="356"/>
    <n v="292"/>
    <n v="1168"/>
    <n v="1424"/>
    <n v="256"/>
    <s v="Product 25"/>
    <x v="62"/>
    <s v="Charles Harper"/>
    <x v="321"/>
    <n v="3"/>
    <x v="2"/>
    <x v="0"/>
    <x v="0"/>
    <x v="0"/>
    <x v="1"/>
  </r>
  <r>
    <s v="AX11206"/>
    <s v="ENX2007"/>
    <s v="A142"/>
    <s v="EMP1002"/>
    <s v="C1726"/>
    <x v="235"/>
    <n v="4"/>
    <n v="1405"/>
    <n v="1054"/>
    <n v="4216"/>
    <n v="5620"/>
    <n v="1404"/>
    <s v="Product 8"/>
    <x v="56"/>
    <s v="Andrew Bowman"/>
    <x v="755"/>
    <n v="3"/>
    <x v="2"/>
    <x v="0"/>
    <x v="0"/>
    <x v="0"/>
    <x v="1"/>
  </r>
  <r>
    <s v="AX11798"/>
    <s v="ENX2049"/>
    <s v="A143"/>
    <s v="EMP1004"/>
    <s v="C1257"/>
    <x v="238"/>
    <n v="2"/>
    <n v="826"/>
    <n v="562"/>
    <n v="1124"/>
    <n v="1652"/>
    <n v="528"/>
    <s v="Product 50"/>
    <x v="39"/>
    <s v="Kenneth Bradley"/>
    <x v="287"/>
    <n v="3"/>
    <x v="2"/>
    <x v="0"/>
    <x v="0"/>
    <x v="0"/>
    <x v="1"/>
  </r>
  <r>
    <s v="AX12148"/>
    <s v="ENX2095"/>
    <s v="A116"/>
    <s v="EMP1044"/>
    <s v="C1359"/>
    <x v="235"/>
    <n v="2"/>
    <n v="1743"/>
    <n v="872"/>
    <n v="1744"/>
    <n v="3486"/>
    <n v="1742"/>
    <s v="Product 96"/>
    <x v="15"/>
    <s v="Martin Carr"/>
    <x v="652"/>
    <n v="3"/>
    <x v="2"/>
    <x v="0"/>
    <x v="0"/>
    <x v="0"/>
    <x v="1"/>
  </r>
  <r>
    <s v="AX12182"/>
    <s v="ENX2008"/>
    <s v="A163"/>
    <s v="EMP1010"/>
    <s v="C1160"/>
    <x v="238"/>
    <n v="1"/>
    <n v="315"/>
    <n v="208"/>
    <n v="208"/>
    <n v="315"/>
    <n v="107"/>
    <s v="Product 9"/>
    <x v="51"/>
    <s v="Joshua Cook"/>
    <x v="566"/>
    <n v="3"/>
    <x v="2"/>
    <x v="0"/>
    <x v="0"/>
    <x v="0"/>
    <x v="1"/>
  </r>
  <r>
    <s v="AX12742"/>
    <s v="ENX2085"/>
    <s v="A170"/>
    <s v="EMP1039"/>
    <s v="C1504"/>
    <x v="236"/>
    <n v="1"/>
    <n v="1862"/>
    <n v="1173"/>
    <n v="1173"/>
    <n v="1862"/>
    <n v="689"/>
    <s v="Product 86"/>
    <x v="47"/>
    <s v="Eugene Holmes"/>
    <x v="559"/>
    <n v="3"/>
    <x v="2"/>
    <x v="0"/>
    <x v="0"/>
    <x v="0"/>
    <x v="1"/>
  </r>
  <r>
    <s v="AX13404"/>
    <s v="ENX2058"/>
    <s v="A157"/>
    <s v="EMP1026"/>
    <s v="C1660"/>
    <x v="238"/>
    <n v="1"/>
    <n v="2257"/>
    <n v="1535"/>
    <n v="1535"/>
    <n v="2257"/>
    <n v="722"/>
    <s v="Product 59"/>
    <x v="7"/>
    <s v="Martin Perry"/>
    <x v="146"/>
    <n v="3"/>
    <x v="2"/>
    <x v="0"/>
    <x v="0"/>
    <x v="0"/>
    <x v="1"/>
  </r>
  <r>
    <s v="AX13529"/>
    <s v="ENX2064"/>
    <s v="A114"/>
    <s v="EMP1021"/>
    <s v="C1047"/>
    <x v="237"/>
    <n v="3"/>
    <n v="1414"/>
    <n v="962"/>
    <n v="2886"/>
    <n v="4242"/>
    <n v="1356"/>
    <s v="Product 65"/>
    <x v="28"/>
    <s v="Clarence Fox"/>
    <x v="486"/>
    <n v="3"/>
    <x v="2"/>
    <x v="0"/>
    <x v="0"/>
    <x v="0"/>
    <x v="1"/>
  </r>
  <r>
    <s v="AX13644"/>
    <s v="ENX2020"/>
    <s v="A162"/>
    <s v="EMP1013"/>
    <s v="C1451"/>
    <x v="236"/>
    <n v="4"/>
    <n v="2005"/>
    <n v="1223"/>
    <n v="4892"/>
    <n v="8020"/>
    <n v="3128"/>
    <s v="Product 21"/>
    <x v="2"/>
    <s v="Charles Harper"/>
    <x v="80"/>
    <n v="3"/>
    <x v="2"/>
    <x v="0"/>
    <x v="0"/>
    <x v="0"/>
    <x v="1"/>
  </r>
  <r>
    <s v="AX14198"/>
    <s v="ENX2002"/>
    <s v="A149"/>
    <s v="EMP1037"/>
    <s v="C1032"/>
    <x v="235"/>
    <n v="1"/>
    <n v="847"/>
    <n v="534"/>
    <n v="534"/>
    <n v="847"/>
    <n v="313"/>
    <s v="Product 3"/>
    <x v="59"/>
    <s v="Carl Hall"/>
    <x v="270"/>
    <n v="3"/>
    <x v="2"/>
    <x v="0"/>
    <x v="0"/>
    <x v="0"/>
    <x v="1"/>
  </r>
  <r>
    <s v="AX14304"/>
    <s v="ENX2002"/>
    <s v="A138"/>
    <s v="EMP1027"/>
    <s v="C1264"/>
    <x v="235"/>
    <n v="1"/>
    <n v="847"/>
    <n v="534"/>
    <n v="534"/>
    <n v="847"/>
    <n v="313"/>
    <s v="Product 3"/>
    <x v="37"/>
    <s v="Gary Rodriguez"/>
    <x v="206"/>
    <n v="3"/>
    <x v="2"/>
    <x v="0"/>
    <x v="0"/>
    <x v="0"/>
    <x v="1"/>
  </r>
  <r>
    <s v="AX14661"/>
    <s v="ENX2093"/>
    <s v="A140"/>
    <s v="EMP1002"/>
    <s v="C1499"/>
    <x v="237"/>
    <n v="1"/>
    <n v="112"/>
    <n v="90"/>
    <n v="90"/>
    <n v="112"/>
    <n v="22"/>
    <s v="Product 94"/>
    <x v="18"/>
    <s v="Andrew Bowman"/>
    <x v="610"/>
    <n v="3"/>
    <x v="2"/>
    <x v="0"/>
    <x v="0"/>
    <x v="0"/>
    <x v="1"/>
  </r>
  <r>
    <s v="AX14908"/>
    <s v="ENX2002"/>
    <s v="A160"/>
    <s v="EMP1044"/>
    <s v="C1763"/>
    <x v="238"/>
    <n v="3"/>
    <n v="847"/>
    <n v="534"/>
    <n v="1602"/>
    <n v="2541"/>
    <n v="939"/>
    <s v="Product 3"/>
    <x v="9"/>
    <s v="Martin Carr"/>
    <x v="409"/>
    <n v="3"/>
    <x v="2"/>
    <x v="0"/>
    <x v="0"/>
    <x v="0"/>
    <x v="1"/>
  </r>
  <r>
    <s v="AX14969"/>
    <s v="ENX2074"/>
    <s v="A105"/>
    <s v="EMP1011"/>
    <s v="C1190"/>
    <x v="238"/>
    <n v="3"/>
    <n v="504"/>
    <n v="408"/>
    <n v="1224"/>
    <n v="1512"/>
    <n v="288"/>
    <s v="Product 75"/>
    <x v="45"/>
    <s v="Larry Marshall"/>
    <x v="1"/>
    <n v="3"/>
    <x v="2"/>
    <x v="0"/>
    <x v="0"/>
    <x v="0"/>
    <x v="1"/>
  </r>
  <r>
    <s v="AX15031"/>
    <s v="ENX2091"/>
    <s v="A147"/>
    <s v="EMP1005"/>
    <s v="C1165"/>
    <x v="238"/>
    <n v="2"/>
    <n v="368"/>
    <n v="294"/>
    <n v="588"/>
    <n v="736"/>
    <n v="148"/>
    <s v="Product 92"/>
    <x v="42"/>
    <s v="Ryan Welch"/>
    <x v="82"/>
    <n v="3"/>
    <x v="2"/>
    <x v="0"/>
    <x v="0"/>
    <x v="0"/>
    <x v="1"/>
  </r>
  <r>
    <s v="AX15247"/>
    <s v="ENX2018"/>
    <s v="A108"/>
    <s v="EMP1004"/>
    <s v="C1263"/>
    <x v="237"/>
    <n v="1"/>
    <n v="1972"/>
    <n v="1321"/>
    <n v="1321"/>
    <n v="1972"/>
    <n v="651"/>
    <s v="Product 19"/>
    <x v="49"/>
    <s v="Kenneth Bradley"/>
    <x v="368"/>
    <n v="3"/>
    <x v="2"/>
    <x v="0"/>
    <x v="0"/>
    <x v="0"/>
    <x v="1"/>
  </r>
  <r>
    <s v="AX15368"/>
    <s v="ENX2079"/>
    <s v="A104"/>
    <s v="EMP1002"/>
    <s v="C1641"/>
    <x v="236"/>
    <n v="1"/>
    <n v="1725"/>
    <n v="1363"/>
    <n v="1363"/>
    <n v="1725"/>
    <n v="362"/>
    <s v="Product 80"/>
    <x v="50"/>
    <s v="Andrew Bowman"/>
    <x v="761"/>
    <n v="3"/>
    <x v="2"/>
    <x v="0"/>
    <x v="0"/>
    <x v="0"/>
    <x v="1"/>
  </r>
  <r>
    <s v="AX16161"/>
    <s v="ENX2078"/>
    <s v="A124"/>
    <s v="EMP1042"/>
    <s v="C1377"/>
    <x v="238"/>
    <n v="3"/>
    <n v="1798"/>
    <n v="971"/>
    <n v="2913"/>
    <n v="5394"/>
    <n v="2481"/>
    <s v="Product 79"/>
    <x v="67"/>
    <s v="Scott Clark"/>
    <x v="214"/>
    <n v="3"/>
    <x v="2"/>
    <x v="0"/>
    <x v="0"/>
    <x v="0"/>
    <x v="1"/>
  </r>
  <r>
    <s v="AX16182"/>
    <s v="ENX2007"/>
    <s v="A142"/>
    <s v="EMP1028"/>
    <s v="C1793"/>
    <x v="237"/>
    <n v="3"/>
    <n v="1405"/>
    <n v="1054"/>
    <n v="3162"/>
    <n v="4215"/>
    <n v="1053"/>
    <s v="Product 8"/>
    <x v="56"/>
    <s v="Howard Sims"/>
    <x v="677"/>
    <n v="3"/>
    <x v="2"/>
    <x v="0"/>
    <x v="0"/>
    <x v="0"/>
    <x v="1"/>
  </r>
  <r>
    <s v="AX16365"/>
    <s v="ENX2057"/>
    <s v="A100"/>
    <s v="EMP1044"/>
    <s v="C1264"/>
    <x v="235"/>
    <n v="1"/>
    <n v="181"/>
    <n v="130"/>
    <n v="130"/>
    <n v="181"/>
    <n v="51"/>
    <s v="Product 58"/>
    <x v="52"/>
    <s v="Martin Carr"/>
    <x v="206"/>
    <n v="3"/>
    <x v="2"/>
    <x v="0"/>
    <x v="0"/>
    <x v="0"/>
    <x v="1"/>
  </r>
  <r>
    <s v="AX16723"/>
    <s v="ENX2006"/>
    <s v="A121"/>
    <s v="EMP1022"/>
    <s v="C1394"/>
    <x v="235"/>
    <n v="1"/>
    <n v="1826"/>
    <n v="1443"/>
    <n v="1443"/>
    <n v="1826"/>
    <n v="383"/>
    <s v="Product 7"/>
    <x v="72"/>
    <s v="Walter Cook"/>
    <x v="116"/>
    <n v="3"/>
    <x v="2"/>
    <x v="0"/>
    <x v="0"/>
    <x v="0"/>
    <x v="1"/>
  </r>
  <r>
    <s v="AX16754"/>
    <s v="ENX2082"/>
    <s v="A117"/>
    <s v="EMP1018"/>
    <s v="C1525"/>
    <x v="236"/>
    <n v="3"/>
    <n v="1103"/>
    <n v="838"/>
    <n v="2514"/>
    <n v="3309"/>
    <n v="795"/>
    <s v="Product 83"/>
    <x v="29"/>
    <s v="Jimmy Young"/>
    <x v="360"/>
    <n v="3"/>
    <x v="2"/>
    <x v="0"/>
    <x v="0"/>
    <x v="0"/>
    <x v="1"/>
  </r>
  <r>
    <s v="AX16831"/>
    <s v="ENX2087"/>
    <s v="A143"/>
    <s v="EMP1012"/>
    <s v="C1545"/>
    <x v="235"/>
    <n v="1"/>
    <n v="1022"/>
    <n v="818"/>
    <n v="818"/>
    <n v="1022"/>
    <n v="204"/>
    <s v="Product 88"/>
    <x v="39"/>
    <s v="John Reyes"/>
    <x v="646"/>
    <n v="3"/>
    <x v="2"/>
    <x v="0"/>
    <x v="0"/>
    <x v="0"/>
    <x v="1"/>
  </r>
  <r>
    <s v="AX17005"/>
    <s v="ENX2066"/>
    <s v="A109"/>
    <s v="EMP1011"/>
    <s v="C1099"/>
    <x v="235"/>
    <n v="3"/>
    <n v="2091"/>
    <n v="1485"/>
    <n v="4455"/>
    <n v="6273"/>
    <n v="1818"/>
    <s v="Product 67"/>
    <x v="57"/>
    <s v="Larry Marshall"/>
    <x v="394"/>
    <n v="3"/>
    <x v="2"/>
    <x v="0"/>
    <x v="0"/>
    <x v="0"/>
    <x v="1"/>
  </r>
  <r>
    <s v="AX17499"/>
    <s v="ENX2087"/>
    <s v="A116"/>
    <s v="EMP1010"/>
    <s v="C1147"/>
    <x v="237"/>
    <n v="3"/>
    <n v="1022"/>
    <n v="818"/>
    <n v="2454"/>
    <n v="3066"/>
    <n v="612"/>
    <s v="Product 88"/>
    <x v="15"/>
    <s v="Joshua Cook"/>
    <x v="427"/>
    <n v="3"/>
    <x v="2"/>
    <x v="0"/>
    <x v="0"/>
    <x v="0"/>
    <x v="1"/>
  </r>
  <r>
    <s v="AX17651"/>
    <s v="ENX2092"/>
    <s v="A111"/>
    <s v="EMP1026"/>
    <s v="C1077"/>
    <x v="237"/>
    <n v="2"/>
    <n v="1639"/>
    <n v="1295"/>
    <n v="2590"/>
    <n v="3278"/>
    <n v="688"/>
    <s v="Product 93"/>
    <x v="54"/>
    <s v="Martin Perry"/>
    <x v="315"/>
    <n v="3"/>
    <x v="2"/>
    <x v="0"/>
    <x v="0"/>
    <x v="0"/>
    <x v="1"/>
  </r>
  <r>
    <s v="AX17760"/>
    <s v="ENX2100"/>
    <s v="A108"/>
    <s v="EMP1037"/>
    <s v="C1469"/>
    <x v="238"/>
    <n v="3"/>
    <n v="799"/>
    <n v="455"/>
    <n v="1365"/>
    <n v="2397"/>
    <n v="1032"/>
    <s v="Product 101"/>
    <x v="49"/>
    <s v="Carl Hall"/>
    <x v="300"/>
    <n v="3"/>
    <x v="2"/>
    <x v="0"/>
    <x v="0"/>
    <x v="0"/>
    <x v="1"/>
  </r>
  <r>
    <s v="AX18610"/>
    <s v="ENX2087"/>
    <s v="A131"/>
    <s v="EMP1029"/>
    <s v="C1681"/>
    <x v="238"/>
    <n v="1"/>
    <n v="1022"/>
    <n v="818"/>
    <n v="818"/>
    <n v="1022"/>
    <n v="204"/>
    <s v="Product 88"/>
    <x v="32"/>
    <s v="Howard Gardner"/>
    <x v="235"/>
    <n v="3"/>
    <x v="2"/>
    <x v="0"/>
    <x v="0"/>
    <x v="0"/>
    <x v="1"/>
  </r>
  <r>
    <s v="AX19098"/>
    <s v="ENX2058"/>
    <s v="A146"/>
    <s v="EMP1016"/>
    <s v="C1318"/>
    <x v="236"/>
    <n v="3"/>
    <n v="2257"/>
    <n v="1535"/>
    <n v="4605"/>
    <n v="6771"/>
    <n v="2166"/>
    <s v="Product 59"/>
    <x v="27"/>
    <s v="Henry Nelson"/>
    <x v="730"/>
    <n v="3"/>
    <x v="2"/>
    <x v="0"/>
    <x v="0"/>
    <x v="0"/>
    <x v="1"/>
  </r>
  <r>
    <s v="AX19308"/>
    <s v="ENX2095"/>
    <s v="A114"/>
    <s v="EMP1034"/>
    <s v="C1393"/>
    <x v="238"/>
    <n v="4"/>
    <n v="1743"/>
    <n v="872"/>
    <n v="3488"/>
    <n v="6972"/>
    <n v="3484"/>
    <s v="Product 96"/>
    <x v="28"/>
    <s v="Arthur Mccoy"/>
    <x v="93"/>
    <n v="3"/>
    <x v="2"/>
    <x v="0"/>
    <x v="0"/>
    <x v="0"/>
    <x v="1"/>
  </r>
  <r>
    <s v="AX20153"/>
    <s v="ENX2070"/>
    <s v="A107"/>
    <s v="EMP1006"/>
    <s v="C1655"/>
    <x v="238"/>
    <n v="1"/>
    <n v="1671"/>
    <n v="1220"/>
    <n v="1220"/>
    <n v="1671"/>
    <n v="451"/>
    <s v="Product 71"/>
    <x v="21"/>
    <s v="Sean Miller"/>
    <x v="73"/>
    <n v="3"/>
    <x v="2"/>
    <x v="0"/>
    <x v="0"/>
    <x v="0"/>
    <x v="1"/>
  </r>
  <r>
    <s v="AX20330"/>
    <s v="ENX2020"/>
    <s v="A132"/>
    <s v="EMP1040"/>
    <s v="C1753"/>
    <x v="235"/>
    <n v="1"/>
    <n v="2005"/>
    <n v="1223"/>
    <n v="1223"/>
    <n v="2005"/>
    <n v="782"/>
    <s v="Product 21"/>
    <x v="48"/>
    <s v="Patrick Ruiz"/>
    <x v="696"/>
    <n v="3"/>
    <x v="2"/>
    <x v="0"/>
    <x v="0"/>
    <x v="0"/>
    <x v="1"/>
  </r>
  <r>
    <s v="AX20337"/>
    <s v="ENX2082"/>
    <s v="A132"/>
    <s v="EMP1004"/>
    <s v="C1248"/>
    <x v="235"/>
    <n v="1"/>
    <n v="1103"/>
    <n v="838"/>
    <n v="838"/>
    <n v="1103"/>
    <n v="265"/>
    <s v="Product 83"/>
    <x v="48"/>
    <s v="Kenneth Bradley"/>
    <x v="354"/>
    <n v="3"/>
    <x v="2"/>
    <x v="0"/>
    <x v="0"/>
    <x v="0"/>
    <x v="1"/>
  </r>
  <r>
    <s v="AX20417"/>
    <s v="ENX2078"/>
    <s v="A156"/>
    <s v="EMP1028"/>
    <s v="C1566"/>
    <x v="238"/>
    <n v="2"/>
    <n v="1798"/>
    <n v="971"/>
    <n v="1942"/>
    <n v="3596"/>
    <n v="1654"/>
    <s v="Product 79"/>
    <x v="14"/>
    <s v="Howard Sims"/>
    <x v="45"/>
    <n v="3"/>
    <x v="2"/>
    <x v="0"/>
    <x v="0"/>
    <x v="0"/>
    <x v="1"/>
  </r>
  <r>
    <s v="AX20734"/>
    <s v="ENX2046"/>
    <s v="A160"/>
    <s v="EMP1005"/>
    <s v="C1636"/>
    <x v="237"/>
    <n v="1"/>
    <n v="2410"/>
    <n v="1518"/>
    <n v="1518"/>
    <n v="2410"/>
    <n v="892"/>
    <s v="Product 47"/>
    <x v="9"/>
    <s v="Ryan Welch"/>
    <x v="668"/>
    <n v="3"/>
    <x v="2"/>
    <x v="0"/>
    <x v="0"/>
    <x v="0"/>
    <x v="1"/>
  </r>
  <r>
    <s v="AX21479"/>
    <s v="ENX2046"/>
    <s v="A160"/>
    <s v="EMP1040"/>
    <s v="C1317"/>
    <x v="238"/>
    <n v="1"/>
    <n v="2410"/>
    <n v="1518"/>
    <n v="1518"/>
    <n v="2410"/>
    <n v="892"/>
    <s v="Product 47"/>
    <x v="9"/>
    <s v="Patrick Ruiz"/>
    <x v="504"/>
    <n v="3"/>
    <x v="2"/>
    <x v="0"/>
    <x v="0"/>
    <x v="0"/>
    <x v="1"/>
  </r>
  <r>
    <s v="AX21953"/>
    <s v="ENX2041"/>
    <s v="A141"/>
    <s v="EMP1037"/>
    <s v="C1127"/>
    <x v="235"/>
    <n v="2"/>
    <n v="1380"/>
    <n v="1090"/>
    <n v="2180"/>
    <n v="2760"/>
    <n v="580"/>
    <s v="Product 42"/>
    <x v="23"/>
    <s v="Carl Hall"/>
    <x v="438"/>
    <n v="3"/>
    <x v="2"/>
    <x v="0"/>
    <x v="0"/>
    <x v="0"/>
    <x v="1"/>
  </r>
  <r>
    <s v="AX22202"/>
    <s v="ENX2030"/>
    <s v="A142"/>
    <s v="EMP1000"/>
    <s v="C1322"/>
    <x v="237"/>
    <n v="1"/>
    <n v="1899"/>
    <n v="1044"/>
    <n v="1044"/>
    <n v="1899"/>
    <n v="855"/>
    <s v="Product 31"/>
    <x v="56"/>
    <s v="Fred Robertson"/>
    <x v="604"/>
    <n v="3"/>
    <x v="2"/>
    <x v="0"/>
    <x v="0"/>
    <x v="0"/>
    <x v="1"/>
  </r>
  <r>
    <s v="AX23313"/>
    <s v="ENX2005"/>
    <s v="A152"/>
    <s v="EMP1014"/>
    <s v="C1584"/>
    <x v="235"/>
    <n v="3"/>
    <n v="684"/>
    <n v="561"/>
    <n v="1683"/>
    <n v="2052"/>
    <n v="369"/>
    <s v="Product 6"/>
    <x v="26"/>
    <s v="Ronald Reed"/>
    <x v="72"/>
    <n v="3"/>
    <x v="2"/>
    <x v="0"/>
    <x v="0"/>
    <x v="0"/>
    <x v="1"/>
  </r>
  <r>
    <s v="AX23541"/>
    <s v="ENX2033"/>
    <s v="A135"/>
    <s v="EMP1014"/>
    <s v="C1620"/>
    <x v="237"/>
    <n v="1"/>
    <n v="2182"/>
    <n v="1200"/>
    <n v="1200"/>
    <n v="2182"/>
    <n v="982"/>
    <s v="Product 34"/>
    <x v="10"/>
    <s v="Ronald Reed"/>
    <x v="445"/>
    <n v="3"/>
    <x v="2"/>
    <x v="0"/>
    <x v="0"/>
    <x v="0"/>
    <x v="1"/>
  </r>
  <r>
    <s v="AX23575"/>
    <s v="ENX2095"/>
    <s v="A170"/>
    <s v="EMP1039"/>
    <s v="C1052"/>
    <x v="237"/>
    <n v="2"/>
    <n v="1743"/>
    <n v="872"/>
    <n v="1744"/>
    <n v="3486"/>
    <n v="1742"/>
    <s v="Product 96"/>
    <x v="47"/>
    <s v="Eugene Holmes"/>
    <x v="638"/>
    <n v="3"/>
    <x v="2"/>
    <x v="0"/>
    <x v="0"/>
    <x v="0"/>
    <x v="1"/>
  </r>
  <r>
    <s v="AX24018"/>
    <s v="ENX2028"/>
    <s v="A137"/>
    <s v="EMP1020"/>
    <s v="C1686"/>
    <x v="238"/>
    <n v="4"/>
    <n v="2283"/>
    <n v="1484"/>
    <n v="5936"/>
    <n v="9132"/>
    <n v="3196"/>
    <s v="Product 29"/>
    <x v="68"/>
    <s v="Ryan Butler"/>
    <x v="748"/>
    <n v="3"/>
    <x v="2"/>
    <x v="0"/>
    <x v="0"/>
    <x v="0"/>
    <x v="1"/>
  </r>
  <r>
    <s v="AX24301"/>
    <s v="ENX2100"/>
    <s v="A125"/>
    <s v="EMP1026"/>
    <s v="C1318"/>
    <x v="235"/>
    <n v="1"/>
    <n v="799"/>
    <n v="455"/>
    <n v="455"/>
    <n v="799"/>
    <n v="344"/>
    <s v="Product 101"/>
    <x v="31"/>
    <s v="Martin Perry"/>
    <x v="730"/>
    <n v="3"/>
    <x v="2"/>
    <x v="0"/>
    <x v="0"/>
    <x v="0"/>
    <x v="1"/>
  </r>
  <r>
    <s v="AX24322"/>
    <s v="ENX2057"/>
    <s v="A159"/>
    <s v="EMP1035"/>
    <s v="C1235"/>
    <x v="237"/>
    <n v="1"/>
    <n v="181"/>
    <n v="130"/>
    <n v="130"/>
    <n v="181"/>
    <n v="51"/>
    <s v="Product 58"/>
    <x v="13"/>
    <s v="Roger Ramos"/>
    <x v="353"/>
    <n v="3"/>
    <x v="2"/>
    <x v="0"/>
    <x v="0"/>
    <x v="0"/>
    <x v="1"/>
  </r>
  <r>
    <s v="AX24336"/>
    <s v="ENX2016"/>
    <s v="A150"/>
    <s v="EMP1040"/>
    <s v="C1203"/>
    <x v="238"/>
    <n v="2"/>
    <n v="1351"/>
    <n v="1108"/>
    <n v="2216"/>
    <n v="2702"/>
    <n v="486"/>
    <s v="Product 17"/>
    <x v="30"/>
    <s v="Patrick Ruiz"/>
    <x v="792"/>
    <n v="3"/>
    <x v="2"/>
    <x v="0"/>
    <x v="0"/>
    <x v="0"/>
    <x v="1"/>
  </r>
  <r>
    <s v="AX24366"/>
    <s v="ENX2021"/>
    <s v="A119"/>
    <s v="EMP1043"/>
    <s v="C1655"/>
    <x v="235"/>
    <n v="2"/>
    <n v="217"/>
    <n v="171"/>
    <n v="342"/>
    <n v="434"/>
    <n v="92"/>
    <s v="Product 22"/>
    <x v="16"/>
    <s v="Joshua Taylor"/>
    <x v="73"/>
    <n v="3"/>
    <x v="2"/>
    <x v="0"/>
    <x v="0"/>
    <x v="0"/>
    <x v="1"/>
  </r>
  <r>
    <s v="AX10139"/>
    <s v="ENX2009"/>
    <s v="A104"/>
    <s v="EMP1027"/>
    <s v="C1221"/>
    <x v="239"/>
    <n v="2"/>
    <n v="584"/>
    <n v="420"/>
    <n v="840"/>
    <n v="1168"/>
    <n v="328"/>
    <s v="Product 10"/>
    <x v="50"/>
    <s v="Gary Rodriguez"/>
    <x v="429"/>
    <n v="3"/>
    <x v="2"/>
    <x v="0"/>
    <x v="0"/>
    <x v="0"/>
    <x v="2"/>
  </r>
  <r>
    <s v="AX10245"/>
    <s v="ENX2053"/>
    <s v="A145"/>
    <s v="EMP1036"/>
    <s v="C1431"/>
    <x v="239"/>
    <n v="1"/>
    <n v="596"/>
    <n v="358"/>
    <n v="358"/>
    <n v="596"/>
    <n v="238"/>
    <s v="Product 54"/>
    <x v="35"/>
    <s v="Robert Reed"/>
    <x v="587"/>
    <n v="3"/>
    <x v="2"/>
    <x v="0"/>
    <x v="0"/>
    <x v="0"/>
    <x v="2"/>
  </r>
  <r>
    <s v="AX10380"/>
    <s v="ENX2076"/>
    <s v="A110"/>
    <s v="EMP1035"/>
    <s v="C1062"/>
    <x v="239"/>
    <n v="1"/>
    <n v="1522"/>
    <n v="791"/>
    <n v="791"/>
    <n v="1522"/>
    <n v="731"/>
    <s v="Product 77"/>
    <x v="63"/>
    <s v="Roger Ramos"/>
    <x v="595"/>
    <n v="3"/>
    <x v="2"/>
    <x v="0"/>
    <x v="0"/>
    <x v="0"/>
    <x v="2"/>
  </r>
  <r>
    <s v="AX10464"/>
    <s v="ENX2011"/>
    <s v="A125"/>
    <s v="EMP1025"/>
    <s v="C1330"/>
    <x v="240"/>
    <n v="1"/>
    <n v="530"/>
    <n v="435"/>
    <n v="435"/>
    <n v="530"/>
    <n v="95"/>
    <s v="Product 12"/>
    <x v="31"/>
    <s v="Ernest Wagner"/>
    <x v="511"/>
    <n v="3"/>
    <x v="2"/>
    <x v="0"/>
    <x v="0"/>
    <x v="0"/>
    <x v="2"/>
  </r>
  <r>
    <s v="AX10515"/>
    <s v="ENX2062"/>
    <s v="A143"/>
    <s v="EMP1019"/>
    <s v="C1712"/>
    <x v="240"/>
    <n v="4"/>
    <n v="2464"/>
    <n v="1774"/>
    <n v="7096"/>
    <n v="9856"/>
    <n v="2760"/>
    <s v="Product 63"/>
    <x v="39"/>
    <s v="Roger Robertson"/>
    <x v="21"/>
    <n v="3"/>
    <x v="2"/>
    <x v="0"/>
    <x v="0"/>
    <x v="0"/>
    <x v="2"/>
  </r>
  <r>
    <s v="AX10853"/>
    <s v="ENX2026"/>
    <s v="A122"/>
    <s v="EMP1043"/>
    <s v="C1056"/>
    <x v="241"/>
    <n v="3"/>
    <n v="947"/>
    <n v="786"/>
    <n v="2358"/>
    <n v="2841"/>
    <n v="483"/>
    <s v="Product 27"/>
    <x v="71"/>
    <s v="Joshua Taylor"/>
    <x v="260"/>
    <n v="3"/>
    <x v="2"/>
    <x v="0"/>
    <x v="0"/>
    <x v="0"/>
    <x v="2"/>
  </r>
  <r>
    <s v="AX10900"/>
    <s v="ENX2036"/>
    <s v="A171"/>
    <s v="EMP1012"/>
    <s v="C1552"/>
    <x v="242"/>
    <n v="1"/>
    <n v="1582"/>
    <n v="1234"/>
    <n v="1234"/>
    <n v="1582"/>
    <n v="348"/>
    <s v="Product 37"/>
    <x v="0"/>
    <s v="John Reyes"/>
    <x v="92"/>
    <n v="3"/>
    <x v="2"/>
    <x v="0"/>
    <x v="0"/>
    <x v="0"/>
    <x v="2"/>
  </r>
  <r>
    <s v="AX11115"/>
    <s v="ENX2084"/>
    <s v="A104"/>
    <s v="EMP1025"/>
    <s v="C1170"/>
    <x v="242"/>
    <n v="1"/>
    <n v="1783"/>
    <n v="1230"/>
    <n v="1230"/>
    <n v="1783"/>
    <n v="553"/>
    <s v="Product 85"/>
    <x v="50"/>
    <s v="Ernest Wagner"/>
    <x v="616"/>
    <n v="3"/>
    <x v="2"/>
    <x v="0"/>
    <x v="0"/>
    <x v="0"/>
    <x v="2"/>
  </r>
  <r>
    <s v="AX11174"/>
    <s v="ENX2083"/>
    <s v="A150"/>
    <s v="EMP1029"/>
    <s v="C1664"/>
    <x v="241"/>
    <n v="1"/>
    <n v="2141"/>
    <n v="1777"/>
    <n v="1777"/>
    <n v="2141"/>
    <n v="364"/>
    <s v="Product 84"/>
    <x v="30"/>
    <s v="Howard Gardner"/>
    <x v="12"/>
    <n v="3"/>
    <x v="2"/>
    <x v="0"/>
    <x v="0"/>
    <x v="0"/>
    <x v="2"/>
  </r>
  <r>
    <s v="AX11275"/>
    <s v="ENX2096"/>
    <s v="A129"/>
    <s v="EMP1008"/>
    <s v="C1475"/>
    <x v="240"/>
    <n v="1"/>
    <n v="1587"/>
    <n v="1301"/>
    <n v="1301"/>
    <n v="1587"/>
    <n v="286"/>
    <s v="Product 97"/>
    <x v="22"/>
    <s v="Carl Elliott"/>
    <x v="527"/>
    <n v="3"/>
    <x v="2"/>
    <x v="0"/>
    <x v="0"/>
    <x v="0"/>
    <x v="2"/>
  </r>
  <r>
    <s v="AX11854"/>
    <s v="ENX2065"/>
    <s v="A111"/>
    <s v="EMP1025"/>
    <s v="C1609"/>
    <x v="241"/>
    <n v="4"/>
    <n v="2396"/>
    <n v="1965"/>
    <n v="7860"/>
    <n v="9584"/>
    <n v="1724"/>
    <s v="Product 66"/>
    <x v="54"/>
    <s v="Ernest Wagner"/>
    <x v="757"/>
    <n v="3"/>
    <x v="2"/>
    <x v="0"/>
    <x v="0"/>
    <x v="0"/>
    <x v="2"/>
  </r>
  <r>
    <s v="AX12267"/>
    <s v="ENX2062"/>
    <s v="A157"/>
    <s v="EMP1041"/>
    <s v="C1042"/>
    <x v="243"/>
    <n v="2"/>
    <n v="2464"/>
    <n v="1774"/>
    <n v="3548"/>
    <n v="4928"/>
    <n v="1380"/>
    <s v="Product 63"/>
    <x v="7"/>
    <s v="Joe Sims"/>
    <x v="459"/>
    <n v="3"/>
    <x v="2"/>
    <x v="0"/>
    <x v="0"/>
    <x v="0"/>
    <x v="2"/>
  </r>
  <r>
    <s v="AX12319"/>
    <s v="ENX2089"/>
    <s v="A137"/>
    <s v="EMP1021"/>
    <s v="C1781"/>
    <x v="240"/>
    <n v="2"/>
    <n v="2294"/>
    <n v="1399"/>
    <n v="2798"/>
    <n v="4588"/>
    <n v="1790"/>
    <s v="Product 90"/>
    <x v="68"/>
    <s v="Clarence Fox"/>
    <x v="606"/>
    <n v="3"/>
    <x v="2"/>
    <x v="0"/>
    <x v="0"/>
    <x v="0"/>
    <x v="2"/>
  </r>
  <r>
    <s v="AX12439"/>
    <s v="ENX2074"/>
    <s v="A117"/>
    <s v="EMP1023"/>
    <s v="C1213"/>
    <x v="239"/>
    <n v="2"/>
    <n v="504"/>
    <n v="408"/>
    <n v="816"/>
    <n v="1008"/>
    <n v="192"/>
    <s v="Product 75"/>
    <x v="29"/>
    <s v="Brian Davis"/>
    <x v="487"/>
    <n v="3"/>
    <x v="2"/>
    <x v="0"/>
    <x v="0"/>
    <x v="0"/>
    <x v="2"/>
  </r>
  <r>
    <s v="AX12977"/>
    <s v="ENX2051"/>
    <s v="A113"/>
    <s v="EMP1033"/>
    <s v="C1477"/>
    <x v="239"/>
    <n v="1"/>
    <n v="1077"/>
    <n v="732"/>
    <n v="732"/>
    <n v="1077"/>
    <n v="345"/>
    <s v="Product 52"/>
    <x v="73"/>
    <s v="Jerry Perry"/>
    <x v="408"/>
    <n v="3"/>
    <x v="2"/>
    <x v="0"/>
    <x v="0"/>
    <x v="0"/>
    <x v="2"/>
  </r>
  <r>
    <s v="AX13486"/>
    <s v="ENX2080"/>
    <s v="A128"/>
    <s v="EMP1043"/>
    <s v="C1670"/>
    <x v="239"/>
    <n v="1"/>
    <n v="2353"/>
    <n v="1788"/>
    <n v="1788"/>
    <n v="2353"/>
    <n v="565"/>
    <s v="Product 81"/>
    <x v="12"/>
    <s v="Joshua Taylor"/>
    <x v="663"/>
    <n v="3"/>
    <x v="2"/>
    <x v="0"/>
    <x v="0"/>
    <x v="0"/>
    <x v="2"/>
  </r>
  <r>
    <s v="AX13609"/>
    <s v="ENX2063"/>
    <s v="A140"/>
    <s v="EMP1030"/>
    <s v="C1192"/>
    <x v="243"/>
    <n v="1"/>
    <n v="1708"/>
    <n v="871"/>
    <n v="871"/>
    <n v="1708"/>
    <n v="837"/>
    <s v="Product 64"/>
    <x v="18"/>
    <s v="Bobby Russell"/>
    <x v="746"/>
    <n v="3"/>
    <x v="2"/>
    <x v="0"/>
    <x v="0"/>
    <x v="0"/>
    <x v="2"/>
  </r>
  <r>
    <s v="AX13824"/>
    <s v="ENX2072"/>
    <s v="A153"/>
    <s v="EMP1039"/>
    <s v="C1166"/>
    <x v="239"/>
    <n v="1"/>
    <n v="1887"/>
    <n v="1378"/>
    <n v="1378"/>
    <n v="1887"/>
    <n v="509"/>
    <s v="Product 73"/>
    <x v="8"/>
    <s v="Eugene Holmes"/>
    <x v="733"/>
    <n v="3"/>
    <x v="2"/>
    <x v="0"/>
    <x v="0"/>
    <x v="0"/>
    <x v="2"/>
  </r>
  <r>
    <s v="AX13875"/>
    <s v="ENX2012"/>
    <s v="A172"/>
    <s v="EMP1002"/>
    <s v="C1150"/>
    <x v="243"/>
    <n v="1"/>
    <n v="1353"/>
    <n v="947"/>
    <n v="947"/>
    <n v="1353"/>
    <n v="406"/>
    <s v="Product 13"/>
    <x v="36"/>
    <s v="Andrew Bowman"/>
    <x v="456"/>
    <n v="3"/>
    <x v="2"/>
    <x v="0"/>
    <x v="0"/>
    <x v="0"/>
    <x v="2"/>
  </r>
  <r>
    <s v="AX14091"/>
    <s v="ENX2070"/>
    <s v="A120"/>
    <s v="EMP1018"/>
    <s v="C1629"/>
    <x v="243"/>
    <n v="1"/>
    <n v="1671"/>
    <n v="1220"/>
    <n v="1220"/>
    <n v="1671"/>
    <n v="451"/>
    <s v="Product 71"/>
    <x v="20"/>
    <s v="Jimmy Young"/>
    <x v="734"/>
    <n v="3"/>
    <x v="2"/>
    <x v="0"/>
    <x v="0"/>
    <x v="0"/>
    <x v="2"/>
  </r>
  <r>
    <s v="AX14367"/>
    <s v="ENX2013"/>
    <s v="A163"/>
    <s v="EMP1035"/>
    <s v="C1227"/>
    <x v="240"/>
    <n v="1"/>
    <n v="368"/>
    <n v="269"/>
    <n v="269"/>
    <n v="368"/>
    <n v="99"/>
    <s v="Product 14"/>
    <x v="51"/>
    <s v="Roger Ramos"/>
    <x v="765"/>
    <n v="3"/>
    <x v="2"/>
    <x v="0"/>
    <x v="0"/>
    <x v="0"/>
    <x v="2"/>
  </r>
  <r>
    <s v="AX14415"/>
    <s v="ENX2057"/>
    <s v="A103"/>
    <s v="EMP1042"/>
    <s v="C1125"/>
    <x v="242"/>
    <n v="1"/>
    <n v="181"/>
    <n v="130"/>
    <n v="130"/>
    <n v="181"/>
    <n v="51"/>
    <s v="Product 58"/>
    <x v="61"/>
    <s v="Scott Clark"/>
    <x v="539"/>
    <n v="3"/>
    <x v="2"/>
    <x v="0"/>
    <x v="0"/>
    <x v="0"/>
    <x v="2"/>
  </r>
  <r>
    <s v="AX14465"/>
    <s v="ENX2039"/>
    <s v="A169"/>
    <s v="EMP1014"/>
    <s v="C1661"/>
    <x v="239"/>
    <n v="1"/>
    <n v="817"/>
    <n v="409"/>
    <n v="409"/>
    <n v="817"/>
    <n v="408"/>
    <s v="Product 40"/>
    <x v="17"/>
    <s v="Ronald Reed"/>
    <x v="767"/>
    <n v="3"/>
    <x v="2"/>
    <x v="0"/>
    <x v="0"/>
    <x v="0"/>
    <x v="2"/>
  </r>
  <r>
    <s v="AX14728"/>
    <s v="ENX2079"/>
    <s v="A160"/>
    <s v="EMP1017"/>
    <s v="C1786"/>
    <x v="243"/>
    <n v="1"/>
    <n v="1725"/>
    <n v="1363"/>
    <n v="1363"/>
    <n v="1725"/>
    <n v="362"/>
    <s v="Product 80"/>
    <x v="9"/>
    <s v="Brian Hansen"/>
    <x v="406"/>
    <n v="3"/>
    <x v="2"/>
    <x v="0"/>
    <x v="0"/>
    <x v="0"/>
    <x v="2"/>
  </r>
  <r>
    <s v="AX14885"/>
    <s v="ENX2095"/>
    <s v="A129"/>
    <s v="EMP1044"/>
    <s v="C1793"/>
    <x v="242"/>
    <n v="1"/>
    <n v="1743"/>
    <n v="872"/>
    <n v="872"/>
    <n v="1743"/>
    <n v="871"/>
    <s v="Product 96"/>
    <x v="22"/>
    <s v="Martin Carr"/>
    <x v="677"/>
    <n v="3"/>
    <x v="2"/>
    <x v="0"/>
    <x v="0"/>
    <x v="0"/>
    <x v="2"/>
  </r>
  <r>
    <s v="AX14886"/>
    <s v="ENX2098"/>
    <s v="A167"/>
    <s v="EMP1015"/>
    <s v="C1351"/>
    <x v="243"/>
    <n v="4"/>
    <n v="1178"/>
    <n v="683"/>
    <n v="2732"/>
    <n v="4712"/>
    <n v="1980"/>
    <s v="Product 99"/>
    <x v="64"/>
    <s v="Justin Lynch"/>
    <x v="122"/>
    <n v="3"/>
    <x v="2"/>
    <x v="0"/>
    <x v="0"/>
    <x v="0"/>
    <x v="2"/>
  </r>
  <r>
    <s v="AX15009"/>
    <s v="ENX2020"/>
    <s v="A107"/>
    <s v="EMP1011"/>
    <s v="C1499"/>
    <x v="240"/>
    <n v="2"/>
    <n v="2005"/>
    <n v="1223"/>
    <n v="2446"/>
    <n v="4010"/>
    <n v="1564"/>
    <s v="Product 21"/>
    <x v="21"/>
    <s v="Larry Marshall"/>
    <x v="610"/>
    <n v="3"/>
    <x v="2"/>
    <x v="0"/>
    <x v="0"/>
    <x v="0"/>
    <x v="2"/>
  </r>
  <r>
    <s v="AX15191"/>
    <s v="ENX2047"/>
    <s v="A166"/>
    <s v="EMP1012"/>
    <s v="C1088"/>
    <x v="242"/>
    <n v="2"/>
    <n v="290"/>
    <n v="200"/>
    <n v="400"/>
    <n v="580"/>
    <n v="180"/>
    <s v="Product 48"/>
    <x v="70"/>
    <s v="John Reyes"/>
    <x v="498"/>
    <n v="3"/>
    <x v="2"/>
    <x v="0"/>
    <x v="0"/>
    <x v="0"/>
    <x v="2"/>
  </r>
  <r>
    <s v="AX15228"/>
    <s v="ENX2035"/>
    <s v="A113"/>
    <s v="EMP1034"/>
    <s v="C1491"/>
    <x v="242"/>
    <n v="4"/>
    <n v="458"/>
    <n v="376"/>
    <n v="1504"/>
    <n v="1832"/>
    <n v="328"/>
    <s v="Product 36"/>
    <x v="73"/>
    <s v="Arthur Mccoy"/>
    <x v="277"/>
    <n v="3"/>
    <x v="2"/>
    <x v="0"/>
    <x v="0"/>
    <x v="0"/>
    <x v="2"/>
  </r>
  <r>
    <s v="AX15255"/>
    <s v="ENX2092"/>
    <s v="A112"/>
    <s v="EMP1001"/>
    <s v="C1045"/>
    <x v="241"/>
    <n v="3"/>
    <n v="1639"/>
    <n v="1295"/>
    <n v="3885"/>
    <n v="4917"/>
    <n v="1032"/>
    <s v="Product 93"/>
    <x v="66"/>
    <s v="Kevin Butler"/>
    <x v="444"/>
    <n v="3"/>
    <x v="2"/>
    <x v="0"/>
    <x v="0"/>
    <x v="0"/>
    <x v="2"/>
  </r>
  <r>
    <s v="AX15783"/>
    <s v="ENX2017"/>
    <s v="A168"/>
    <s v="EMP1025"/>
    <s v="C1365"/>
    <x v="241"/>
    <n v="1"/>
    <n v="35"/>
    <n v="22"/>
    <n v="22"/>
    <n v="35"/>
    <n v="13"/>
    <s v="Product 18"/>
    <x v="40"/>
    <s v="Ernest Wagner"/>
    <x v="450"/>
    <n v="3"/>
    <x v="2"/>
    <x v="0"/>
    <x v="0"/>
    <x v="0"/>
    <x v="2"/>
  </r>
  <r>
    <s v="AX15828"/>
    <s v="ENX2047"/>
    <s v="A137"/>
    <s v="EMP1024"/>
    <s v="C1408"/>
    <x v="239"/>
    <n v="2"/>
    <n v="290"/>
    <n v="200"/>
    <n v="400"/>
    <n v="580"/>
    <n v="180"/>
    <s v="Product 48"/>
    <x v="68"/>
    <s v="Ernest Wheeler"/>
    <x v="647"/>
    <n v="3"/>
    <x v="2"/>
    <x v="0"/>
    <x v="0"/>
    <x v="0"/>
    <x v="2"/>
  </r>
  <r>
    <s v="AX16282"/>
    <s v="ENX2067"/>
    <s v="A129"/>
    <s v="EMP1024"/>
    <s v="C1697"/>
    <x v="242"/>
    <n v="2"/>
    <n v="1119"/>
    <n v="683"/>
    <n v="1366"/>
    <n v="2238"/>
    <n v="872"/>
    <s v="Product 68"/>
    <x v="22"/>
    <s v="Ernest Wheeler"/>
    <x v="589"/>
    <n v="3"/>
    <x v="2"/>
    <x v="0"/>
    <x v="0"/>
    <x v="0"/>
    <x v="2"/>
  </r>
  <r>
    <s v="AX16415"/>
    <s v="ENX2037"/>
    <s v="A149"/>
    <s v="EMP1005"/>
    <s v="C1474"/>
    <x v="240"/>
    <n v="2"/>
    <n v="880"/>
    <n v="634"/>
    <n v="1268"/>
    <n v="1760"/>
    <n v="492"/>
    <s v="Product 38"/>
    <x v="59"/>
    <s v="Ryan Welch"/>
    <x v="265"/>
    <n v="3"/>
    <x v="2"/>
    <x v="0"/>
    <x v="0"/>
    <x v="0"/>
    <x v="2"/>
  </r>
  <r>
    <s v="AX16813"/>
    <s v="ENX2077"/>
    <s v="A161"/>
    <s v="EMP1000"/>
    <s v="C1143"/>
    <x v="239"/>
    <n v="4"/>
    <n v="530"/>
    <n v="424"/>
    <n v="1696"/>
    <n v="2120"/>
    <n v="424"/>
    <s v="Product 78"/>
    <x v="6"/>
    <s v="Fred Robertson"/>
    <x v="557"/>
    <n v="3"/>
    <x v="2"/>
    <x v="0"/>
    <x v="0"/>
    <x v="0"/>
    <x v="2"/>
  </r>
  <r>
    <s v="AX16888"/>
    <s v="ENX2056"/>
    <s v="A142"/>
    <s v="EMP1034"/>
    <s v="C1426"/>
    <x v="243"/>
    <n v="1"/>
    <n v="1635"/>
    <n v="1046"/>
    <n v="1046"/>
    <n v="1635"/>
    <n v="589"/>
    <s v="Product 57"/>
    <x v="56"/>
    <s v="Arthur Mccoy"/>
    <x v="127"/>
    <n v="3"/>
    <x v="2"/>
    <x v="0"/>
    <x v="0"/>
    <x v="0"/>
    <x v="2"/>
  </r>
  <r>
    <s v="AX16940"/>
    <s v="ENX2093"/>
    <s v="A109"/>
    <s v="EMP1040"/>
    <s v="C1202"/>
    <x v="243"/>
    <n v="1"/>
    <n v="112"/>
    <n v="90"/>
    <n v="90"/>
    <n v="112"/>
    <n v="22"/>
    <s v="Product 94"/>
    <x v="57"/>
    <s v="Patrick Ruiz"/>
    <x v="3"/>
    <n v="3"/>
    <x v="2"/>
    <x v="0"/>
    <x v="0"/>
    <x v="0"/>
    <x v="2"/>
  </r>
  <r>
    <s v="AX17001"/>
    <s v="ENX2056"/>
    <s v="A142"/>
    <s v="EMP1018"/>
    <s v="C1217"/>
    <x v="239"/>
    <n v="1"/>
    <n v="1635"/>
    <n v="1046"/>
    <n v="1046"/>
    <n v="1635"/>
    <n v="589"/>
    <s v="Product 57"/>
    <x v="56"/>
    <s v="Jimmy Young"/>
    <x v="619"/>
    <n v="3"/>
    <x v="2"/>
    <x v="0"/>
    <x v="0"/>
    <x v="0"/>
    <x v="2"/>
  </r>
  <r>
    <s v="AX17204"/>
    <s v="ENX2025"/>
    <s v="A100"/>
    <s v="EMP1008"/>
    <s v="C1668"/>
    <x v="242"/>
    <n v="1"/>
    <n v="667"/>
    <n v="387"/>
    <n v="387"/>
    <n v="667"/>
    <n v="280"/>
    <s v="Product 26"/>
    <x v="52"/>
    <s v="Carl Elliott"/>
    <x v="727"/>
    <n v="3"/>
    <x v="2"/>
    <x v="0"/>
    <x v="0"/>
    <x v="0"/>
    <x v="2"/>
  </r>
  <r>
    <s v="AX17384"/>
    <s v="ENX2019"/>
    <s v="A102"/>
    <s v="EMP1027"/>
    <s v="C1531"/>
    <x v="242"/>
    <n v="4"/>
    <n v="800"/>
    <n v="536"/>
    <n v="2144"/>
    <n v="3200"/>
    <n v="1056"/>
    <s v="Product 20"/>
    <x v="44"/>
    <s v="Gary Rodriguez"/>
    <x v="743"/>
    <n v="3"/>
    <x v="2"/>
    <x v="0"/>
    <x v="0"/>
    <x v="0"/>
    <x v="2"/>
  </r>
  <r>
    <s v="AX17551"/>
    <s v="ENX2021"/>
    <s v="A140"/>
    <s v="EMP1041"/>
    <s v="C1627"/>
    <x v="243"/>
    <n v="1"/>
    <n v="217"/>
    <n v="171"/>
    <n v="171"/>
    <n v="217"/>
    <n v="46"/>
    <s v="Product 22"/>
    <x v="18"/>
    <s v="Joe Sims"/>
    <x v="785"/>
    <n v="3"/>
    <x v="2"/>
    <x v="0"/>
    <x v="0"/>
    <x v="0"/>
    <x v="2"/>
  </r>
  <r>
    <s v="AX17637"/>
    <s v="ENX2065"/>
    <s v="A155"/>
    <s v="EMP1042"/>
    <s v="C1152"/>
    <x v="240"/>
    <n v="2"/>
    <n v="2396"/>
    <n v="1965"/>
    <n v="3930"/>
    <n v="4792"/>
    <n v="862"/>
    <s v="Product 66"/>
    <x v="53"/>
    <s v="Scott Clark"/>
    <x v="198"/>
    <n v="3"/>
    <x v="2"/>
    <x v="0"/>
    <x v="0"/>
    <x v="0"/>
    <x v="2"/>
  </r>
  <r>
    <s v="AX17642"/>
    <s v="ENX2090"/>
    <s v="A151"/>
    <s v="EMP1020"/>
    <s v="C1159"/>
    <x v="240"/>
    <n v="1"/>
    <n v="1338"/>
    <n v="682"/>
    <n v="682"/>
    <n v="1338"/>
    <n v="656"/>
    <s v="Product 91"/>
    <x v="1"/>
    <s v="Ryan Butler"/>
    <x v="793"/>
    <n v="3"/>
    <x v="2"/>
    <x v="0"/>
    <x v="0"/>
    <x v="0"/>
    <x v="2"/>
  </r>
  <r>
    <s v="AX18016"/>
    <s v="ENX2012"/>
    <s v="A135"/>
    <s v="EMP1036"/>
    <s v="C1048"/>
    <x v="240"/>
    <n v="1"/>
    <n v="1353"/>
    <n v="947"/>
    <n v="947"/>
    <n v="1353"/>
    <n v="406"/>
    <s v="Product 13"/>
    <x v="10"/>
    <s v="Robert Reed"/>
    <x v="391"/>
    <n v="3"/>
    <x v="2"/>
    <x v="0"/>
    <x v="0"/>
    <x v="0"/>
    <x v="2"/>
  </r>
  <r>
    <s v="AX18070"/>
    <s v="ENX2045"/>
    <s v="A140"/>
    <s v="EMP1036"/>
    <s v="C1649"/>
    <x v="240"/>
    <n v="1"/>
    <n v="556"/>
    <n v="395"/>
    <n v="395"/>
    <n v="556"/>
    <n v="161"/>
    <s v="Product 46"/>
    <x v="18"/>
    <s v="Robert Reed"/>
    <x v="790"/>
    <n v="3"/>
    <x v="2"/>
    <x v="0"/>
    <x v="0"/>
    <x v="0"/>
    <x v="2"/>
  </r>
  <r>
    <s v="AX18312"/>
    <s v="ENX2007"/>
    <s v="A129"/>
    <s v="EMP1001"/>
    <s v="C1409"/>
    <x v="242"/>
    <n v="4"/>
    <n v="1405"/>
    <n v="1054"/>
    <n v="4216"/>
    <n v="5620"/>
    <n v="1404"/>
    <s v="Product 8"/>
    <x v="22"/>
    <s v="Kevin Butler"/>
    <x v="44"/>
    <n v="3"/>
    <x v="2"/>
    <x v="0"/>
    <x v="0"/>
    <x v="0"/>
    <x v="2"/>
  </r>
  <r>
    <s v="AX18376"/>
    <s v="ENX2064"/>
    <s v="A112"/>
    <s v="EMP1001"/>
    <s v="C1633"/>
    <x v="242"/>
    <n v="1"/>
    <n v="1414"/>
    <n v="962"/>
    <n v="962"/>
    <n v="1414"/>
    <n v="452"/>
    <s v="Product 65"/>
    <x v="66"/>
    <s v="Kevin Butler"/>
    <x v="558"/>
    <n v="3"/>
    <x v="2"/>
    <x v="0"/>
    <x v="0"/>
    <x v="0"/>
    <x v="2"/>
  </r>
  <r>
    <s v="AX18460"/>
    <s v="ENX2030"/>
    <s v="A122"/>
    <s v="EMP1040"/>
    <s v="C1784"/>
    <x v="243"/>
    <n v="1"/>
    <n v="1899"/>
    <n v="1044"/>
    <n v="1044"/>
    <n v="1899"/>
    <n v="855"/>
    <s v="Product 31"/>
    <x v="71"/>
    <s v="Patrick Ruiz"/>
    <x v="397"/>
    <n v="3"/>
    <x v="2"/>
    <x v="0"/>
    <x v="0"/>
    <x v="0"/>
    <x v="2"/>
  </r>
  <r>
    <s v="AX18488"/>
    <s v="ENX2028"/>
    <s v="A159"/>
    <s v="EMP1021"/>
    <s v="C1381"/>
    <x v="240"/>
    <n v="4"/>
    <n v="2283"/>
    <n v="1484"/>
    <n v="5936"/>
    <n v="9132"/>
    <n v="3196"/>
    <s v="Product 29"/>
    <x v="13"/>
    <s v="Clarence Fox"/>
    <x v="714"/>
    <n v="3"/>
    <x v="2"/>
    <x v="0"/>
    <x v="0"/>
    <x v="0"/>
    <x v="2"/>
  </r>
  <r>
    <s v="AX18569"/>
    <s v="ENX2027"/>
    <s v="A104"/>
    <s v="EMP1004"/>
    <s v="C1364"/>
    <x v="240"/>
    <n v="1"/>
    <n v="2497"/>
    <n v="1473"/>
    <n v="1473"/>
    <n v="2497"/>
    <n v="1024"/>
    <s v="Product 28"/>
    <x v="50"/>
    <s v="Kenneth Bradley"/>
    <x v="477"/>
    <n v="3"/>
    <x v="2"/>
    <x v="0"/>
    <x v="0"/>
    <x v="0"/>
    <x v="2"/>
  </r>
  <r>
    <s v="AX18983"/>
    <s v="ENX2066"/>
    <s v="A102"/>
    <s v="EMP1033"/>
    <s v="C1314"/>
    <x v="239"/>
    <n v="2"/>
    <n v="2091"/>
    <n v="1485"/>
    <n v="2970"/>
    <n v="4182"/>
    <n v="1212"/>
    <s v="Product 67"/>
    <x v="44"/>
    <s v="Jerry Perry"/>
    <x v="421"/>
    <n v="3"/>
    <x v="2"/>
    <x v="0"/>
    <x v="0"/>
    <x v="0"/>
    <x v="2"/>
  </r>
  <r>
    <s v="AX19175"/>
    <s v="ENX2030"/>
    <s v="A130"/>
    <s v="EMP1025"/>
    <s v="C1774"/>
    <x v="240"/>
    <n v="1"/>
    <n v="1899"/>
    <n v="1044"/>
    <n v="1044"/>
    <n v="1899"/>
    <n v="855"/>
    <s v="Product 31"/>
    <x v="4"/>
    <s v="Ernest Wagner"/>
    <x v="232"/>
    <n v="3"/>
    <x v="2"/>
    <x v="0"/>
    <x v="0"/>
    <x v="0"/>
    <x v="2"/>
  </r>
  <r>
    <s v="AX19176"/>
    <s v="ENX2073"/>
    <s v="A127"/>
    <s v="EMP1031"/>
    <s v="C1300"/>
    <x v="243"/>
    <n v="2"/>
    <n v="95"/>
    <n v="61"/>
    <n v="122"/>
    <n v="190"/>
    <n v="68"/>
    <s v="Product 74"/>
    <x v="69"/>
    <s v="Brian Thomas"/>
    <x v="201"/>
    <n v="3"/>
    <x v="2"/>
    <x v="0"/>
    <x v="0"/>
    <x v="0"/>
    <x v="2"/>
  </r>
  <r>
    <s v="AX19422"/>
    <s v="ENX2067"/>
    <s v="A170"/>
    <s v="EMP1033"/>
    <s v="C1004"/>
    <x v="239"/>
    <n v="2"/>
    <n v="1119"/>
    <n v="683"/>
    <n v="1366"/>
    <n v="2238"/>
    <n v="872"/>
    <s v="Product 68"/>
    <x v="47"/>
    <s v="Jerry Perry"/>
    <x v="708"/>
    <n v="3"/>
    <x v="2"/>
    <x v="0"/>
    <x v="0"/>
    <x v="0"/>
    <x v="2"/>
  </r>
  <r>
    <s v="AX19439"/>
    <s v="ENX2050"/>
    <s v="A102"/>
    <s v="EMP1001"/>
    <s v="C1599"/>
    <x v="243"/>
    <n v="1"/>
    <n v="2391"/>
    <n v="1291"/>
    <n v="1291"/>
    <n v="2391"/>
    <n v="1100"/>
    <s v="Product 51"/>
    <x v="44"/>
    <s v="Kevin Butler"/>
    <x v="556"/>
    <n v="3"/>
    <x v="2"/>
    <x v="0"/>
    <x v="0"/>
    <x v="0"/>
    <x v="2"/>
  </r>
  <r>
    <s v="AX19695"/>
    <s v="ENX2061"/>
    <s v="A169"/>
    <s v="EMP1043"/>
    <s v="C1715"/>
    <x v="239"/>
    <n v="1"/>
    <n v="913"/>
    <n v="584"/>
    <n v="584"/>
    <n v="913"/>
    <n v="329"/>
    <s v="Product 62"/>
    <x v="17"/>
    <s v="Joshua Taylor"/>
    <x v="342"/>
    <n v="3"/>
    <x v="2"/>
    <x v="0"/>
    <x v="0"/>
    <x v="0"/>
    <x v="2"/>
  </r>
  <r>
    <s v="AX20029"/>
    <s v="ENX2031"/>
    <s v="A162"/>
    <s v="EMP1010"/>
    <s v="C1725"/>
    <x v="243"/>
    <n v="1"/>
    <n v="1638"/>
    <n v="1261"/>
    <n v="1261"/>
    <n v="1638"/>
    <n v="377"/>
    <s v="Product 32"/>
    <x v="2"/>
    <s v="Joshua Cook"/>
    <x v="81"/>
    <n v="3"/>
    <x v="2"/>
    <x v="0"/>
    <x v="0"/>
    <x v="0"/>
    <x v="2"/>
  </r>
  <r>
    <s v="AX20152"/>
    <s v="ENX2090"/>
    <s v="A156"/>
    <s v="EMP1018"/>
    <s v="C1385"/>
    <x v="240"/>
    <n v="3"/>
    <n v="1338"/>
    <n v="682"/>
    <n v="2046"/>
    <n v="4014"/>
    <n v="1968"/>
    <s v="Product 91"/>
    <x v="14"/>
    <s v="Jimmy Young"/>
    <x v="523"/>
    <n v="3"/>
    <x v="2"/>
    <x v="0"/>
    <x v="0"/>
    <x v="0"/>
    <x v="2"/>
  </r>
  <r>
    <s v="AX20303"/>
    <s v="ENX2060"/>
    <s v="A166"/>
    <s v="EMP1012"/>
    <s v="C1525"/>
    <x v="239"/>
    <n v="1"/>
    <n v="1467"/>
    <n v="807"/>
    <n v="807"/>
    <n v="1467"/>
    <n v="660"/>
    <s v="Product 61"/>
    <x v="70"/>
    <s v="John Reyes"/>
    <x v="360"/>
    <n v="3"/>
    <x v="2"/>
    <x v="0"/>
    <x v="0"/>
    <x v="0"/>
    <x v="2"/>
  </r>
  <r>
    <s v="AX20416"/>
    <s v="ENX2091"/>
    <s v="A103"/>
    <s v="EMP1012"/>
    <s v="C1633"/>
    <x v="239"/>
    <n v="2"/>
    <n v="368"/>
    <n v="294"/>
    <n v="588"/>
    <n v="736"/>
    <n v="148"/>
    <s v="Product 92"/>
    <x v="61"/>
    <s v="John Reyes"/>
    <x v="558"/>
    <n v="3"/>
    <x v="2"/>
    <x v="0"/>
    <x v="0"/>
    <x v="0"/>
    <x v="2"/>
  </r>
  <r>
    <s v="AX20423"/>
    <s v="ENX2069"/>
    <s v="A159"/>
    <s v="EMP1038"/>
    <s v="C1681"/>
    <x v="242"/>
    <n v="1"/>
    <n v="378"/>
    <n v="291"/>
    <n v="291"/>
    <n v="378"/>
    <n v="87"/>
    <s v="Product 70"/>
    <x v="13"/>
    <s v="Scott Mason"/>
    <x v="235"/>
    <n v="3"/>
    <x v="2"/>
    <x v="0"/>
    <x v="0"/>
    <x v="0"/>
    <x v="2"/>
  </r>
  <r>
    <s v="AX20487"/>
    <s v="ENX2097"/>
    <s v="A107"/>
    <s v="EMP1037"/>
    <s v="C1268"/>
    <x v="241"/>
    <n v="3"/>
    <n v="1052"/>
    <n v="589"/>
    <n v="1767"/>
    <n v="3156"/>
    <n v="1389"/>
    <s v="Product 98"/>
    <x v="21"/>
    <s v="Carl Hall"/>
    <x v="526"/>
    <n v="3"/>
    <x v="2"/>
    <x v="0"/>
    <x v="0"/>
    <x v="0"/>
    <x v="2"/>
  </r>
  <r>
    <s v="AX20512"/>
    <s v="ENX2085"/>
    <s v="A135"/>
    <s v="EMP1009"/>
    <s v="C1223"/>
    <x v="242"/>
    <n v="1"/>
    <n v="1862"/>
    <n v="1173"/>
    <n v="1173"/>
    <n v="1862"/>
    <n v="689"/>
    <s v="Product 86"/>
    <x v="10"/>
    <s v="Kenneth Fields"/>
    <x v="310"/>
    <n v="3"/>
    <x v="2"/>
    <x v="0"/>
    <x v="0"/>
    <x v="0"/>
    <x v="2"/>
  </r>
  <r>
    <s v="AX20880"/>
    <s v="ENX2058"/>
    <s v="A108"/>
    <s v="EMP1032"/>
    <s v="C1087"/>
    <x v="240"/>
    <n v="1"/>
    <n v="2257"/>
    <n v="1535"/>
    <n v="1535"/>
    <n v="2257"/>
    <n v="722"/>
    <s v="Product 59"/>
    <x v="49"/>
    <s v="Larry Castillo"/>
    <x v="156"/>
    <n v="3"/>
    <x v="2"/>
    <x v="0"/>
    <x v="0"/>
    <x v="0"/>
    <x v="2"/>
  </r>
  <r>
    <s v="AX22330"/>
    <s v="ENX2061"/>
    <s v="A141"/>
    <s v="EMP1028"/>
    <s v="C1352"/>
    <x v="240"/>
    <n v="3"/>
    <n v="913"/>
    <n v="584"/>
    <n v="1752"/>
    <n v="2739"/>
    <n v="987"/>
    <s v="Product 62"/>
    <x v="23"/>
    <s v="Howard Sims"/>
    <x v="20"/>
    <n v="3"/>
    <x v="2"/>
    <x v="0"/>
    <x v="0"/>
    <x v="0"/>
    <x v="2"/>
  </r>
  <r>
    <s v="AX22513"/>
    <s v="ENX2014"/>
    <s v="A167"/>
    <s v="EMP1012"/>
    <s v="C1579"/>
    <x v="239"/>
    <n v="3"/>
    <n v="1809"/>
    <n v="1067"/>
    <n v="3201"/>
    <n v="5427"/>
    <n v="2226"/>
    <s v="Product 15"/>
    <x v="64"/>
    <s v="John Reyes"/>
    <x v="422"/>
    <n v="3"/>
    <x v="2"/>
    <x v="0"/>
    <x v="0"/>
    <x v="0"/>
    <x v="2"/>
  </r>
  <r>
    <s v="AX22913"/>
    <s v="ENX2012"/>
    <s v="A141"/>
    <s v="EMP1022"/>
    <s v="C1175"/>
    <x v="239"/>
    <n v="2"/>
    <n v="1353"/>
    <n v="947"/>
    <n v="1894"/>
    <n v="2706"/>
    <n v="812"/>
    <s v="Product 13"/>
    <x v="23"/>
    <s v="Walter Cook"/>
    <x v="89"/>
    <n v="3"/>
    <x v="2"/>
    <x v="0"/>
    <x v="0"/>
    <x v="0"/>
    <x v="2"/>
  </r>
  <r>
    <s v="AX22983"/>
    <s v="ENX2093"/>
    <s v="A164"/>
    <s v="EMP1039"/>
    <s v="C1264"/>
    <x v="242"/>
    <n v="4"/>
    <n v="112"/>
    <n v="90"/>
    <n v="360"/>
    <n v="448"/>
    <n v="88"/>
    <s v="Product 94"/>
    <x v="3"/>
    <s v="Eugene Holmes"/>
    <x v="206"/>
    <n v="3"/>
    <x v="2"/>
    <x v="0"/>
    <x v="0"/>
    <x v="0"/>
    <x v="2"/>
  </r>
  <r>
    <s v="AX23164"/>
    <s v="ENX2028"/>
    <s v="A114"/>
    <s v="EMP1028"/>
    <s v="C1375"/>
    <x v="240"/>
    <n v="1"/>
    <n v="2283"/>
    <n v="1484"/>
    <n v="1484"/>
    <n v="2283"/>
    <n v="799"/>
    <s v="Product 29"/>
    <x v="28"/>
    <s v="Howard Sims"/>
    <x v="9"/>
    <n v="3"/>
    <x v="2"/>
    <x v="0"/>
    <x v="0"/>
    <x v="0"/>
    <x v="2"/>
  </r>
  <r>
    <s v="AX23304"/>
    <s v="ENX2085"/>
    <s v="A143"/>
    <s v="EMP1034"/>
    <s v="C1205"/>
    <x v="241"/>
    <n v="4"/>
    <n v="1862"/>
    <n v="1173"/>
    <n v="4692"/>
    <n v="7448"/>
    <n v="2756"/>
    <s v="Product 86"/>
    <x v="39"/>
    <s v="Arthur Mccoy"/>
    <x v="285"/>
    <n v="3"/>
    <x v="2"/>
    <x v="0"/>
    <x v="0"/>
    <x v="0"/>
    <x v="2"/>
  </r>
  <r>
    <s v="AX23339"/>
    <s v="ENX2080"/>
    <s v="A100"/>
    <s v="EMP1014"/>
    <s v="C1014"/>
    <x v="240"/>
    <n v="1"/>
    <n v="2353"/>
    <n v="1788"/>
    <n v="1788"/>
    <n v="2353"/>
    <n v="565"/>
    <s v="Product 81"/>
    <x v="52"/>
    <s v="Ronald Reed"/>
    <x v="26"/>
    <n v="3"/>
    <x v="2"/>
    <x v="0"/>
    <x v="0"/>
    <x v="0"/>
    <x v="2"/>
  </r>
  <r>
    <s v="AX23354"/>
    <s v="ENX2046"/>
    <s v="A166"/>
    <s v="EMP1041"/>
    <s v="C1460"/>
    <x v="242"/>
    <n v="3"/>
    <n v="2410"/>
    <n v="1518"/>
    <n v="4554"/>
    <n v="7230"/>
    <n v="2676"/>
    <s v="Product 47"/>
    <x v="70"/>
    <s v="Joe Sims"/>
    <x v="613"/>
    <n v="3"/>
    <x v="2"/>
    <x v="0"/>
    <x v="0"/>
    <x v="0"/>
    <x v="2"/>
  </r>
  <r>
    <s v="AX23957"/>
    <s v="ENX2014"/>
    <s v="A130"/>
    <s v="EMP1024"/>
    <s v="C1765"/>
    <x v="242"/>
    <n v="1"/>
    <n v="1809"/>
    <n v="1067"/>
    <n v="1067"/>
    <n v="1809"/>
    <n v="742"/>
    <s v="Product 15"/>
    <x v="4"/>
    <s v="Ernest Wheeler"/>
    <x v="470"/>
    <n v="3"/>
    <x v="2"/>
    <x v="0"/>
    <x v="0"/>
    <x v="0"/>
    <x v="2"/>
  </r>
  <r>
    <s v="AX24103"/>
    <s v="ENX2063"/>
    <s v="A148"/>
    <s v="EMP1036"/>
    <s v="C1476"/>
    <x v="240"/>
    <n v="4"/>
    <n v="1708"/>
    <n v="871"/>
    <n v="3484"/>
    <n v="6832"/>
    <n v="3348"/>
    <s v="Product 64"/>
    <x v="62"/>
    <s v="Robert Reed"/>
    <x v="207"/>
    <n v="3"/>
    <x v="2"/>
    <x v="0"/>
    <x v="0"/>
    <x v="0"/>
    <x v="2"/>
  </r>
  <r>
    <s v="AX24347"/>
    <s v="ENX2003"/>
    <s v="A118"/>
    <s v="EMP1029"/>
    <s v="C1564"/>
    <x v="240"/>
    <n v="1"/>
    <n v="1783"/>
    <n v="1516"/>
    <n v="1516"/>
    <n v="1783"/>
    <n v="267"/>
    <s v="Product 4"/>
    <x v="19"/>
    <s v="Howard Gardner"/>
    <x v="302"/>
    <n v="3"/>
    <x v="2"/>
    <x v="0"/>
    <x v="0"/>
    <x v="0"/>
    <x v="2"/>
  </r>
  <r>
    <s v="AX24541"/>
    <s v="ENX2076"/>
    <s v="A137"/>
    <s v="EMP1023"/>
    <s v="C1167"/>
    <x v="243"/>
    <n v="1"/>
    <n v="1522"/>
    <n v="791"/>
    <n v="791"/>
    <n v="1522"/>
    <n v="731"/>
    <s v="Product 77"/>
    <x v="68"/>
    <s v="Brian Davis"/>
    <x v="481"/>
    <n v="3"/>
    <x v="2"/>
    <x v="0"/>
    <x v="0"/>
    <x v="0"/>
    <x v="2"/>
  </r>
  <r>
    <s v="AX24600"/>
    <s v="ENX2089"/>
    <s v="A120"/>
    <s v="EMP1041"/>
    <s v="C1077"/>
    <x v="239"/>
    <n v="2"/>
    <n v="2294"/>
    <n v="1399"/>
    <n v="2798"/>
    <n v="4588"/>
    <n v="1790"/>
    <s v="Product 90"/>
    <x v="20"/>
    <s v="Joe Sims"/>
    <x v="315"/>
    <n v="3"/>
    <x v="2"/>
    <x v="0"/>
    <x v="0"/>
    <x v="0"/>
    <x v="2"/>
  </r>
  <r>
    <s v="AX24983"/>
    <s v="ENX2024"/>
    <s v="A156"/>
    <s v="EMP1031"/>
    <s v="C1783"/>
    <x v="240"/>
    <n v="4"/>
    <n v="356"/>
    <n v="292"/>
    <n v="1168"/>
    <n v="1424"/>
    <n v="256"/>
    <s v="Product 25"/>
    <x v="14"/>
    <s v="Brian Thomas"/>
    <x v="272"/>
    <n v="3"/>
    <x v="2"/>
    <x v="0"/>
    <x v="0"/>
    <x v="0"/>
    <x v="2"/>
  </r>
  <r>
    <s v="AX10099"/>
    <s v="ENX2006"/>
    <s v="A158"/>
    <s v="EMP1032"/>
    <s v="C1538"/>
    <x v="244"/>
    <n v="3"/>
    <n v="1826"/>
    <n v="1443"/>
    <n v="4329"/>
    <n v="5478"/>
    <n v="1149"/>
    <s v="Product 7"/>
    <x v="58"/>
    <s v="Larry Castillo"/>
    <x v="384"/>
    <n v="3"/>
    <x v="2"/>
    <x v="1"/>
    <x v="1"/>
    <x v="0"/>
    <x v="0"/>
  </r>
  <r>
    <s v="AX10255"/>
    <s v="ENX2064"/>
    <s v="A102"/>
    <s v="EMP1036"/>
    <s v="C1184"/>
    <x v="244"/>
    <n v="2"/>
    <n v="1414"/>
    <n v="962"/>
    <n v="1924"/>
    <n v="2828"/>
    <n v="904"/>
    <s v="Product 65"/>
    <x v="44"/>
    <s v="Robert Reed"/>
    <x v="707"/>
    <n v="3"/>
    <x v="2"/>
    <x v="1"/>
    <x v="1"/>
    <x v="0"/>
    <x v="0"/>
  </r>
  <r>
    <s v="AX10422"/>
    <s v="ENX2015"/>
    <s v="A137"/>
    <s v="EMP1006"/>
    <s v="C1514"/>
    <x v="245"/>
    <n v="1"/>
    <n v="637"/>
    <n v="389"/>
    <n v="389"/>
    <n v="637"/>
    <n v="248"/>
    <s v="Product 16"/>
    <x v="68"/>
    <s v="Sean Miller"/>
    <x v="307"/>
    <n v="3"/>
    <x v="2"/>
    <x v="1"/>
    <x v="1"/>
    <x v="0"/>
    <x v="0"/>
  </r>
  <r>
    <s v="AX11026"/>
    <s v="ENX2034"/>
    <s v="A172"/>
    <s v="EMP1025"/>
    <s v="C1190"/>
    <x v="245"/>
    <n v="1"/>
    <n v="871"/>
    <n v="540"/>
    <n v="540"/>
    <n v="871"/>
    <n v="331"/>
    <s v="Product 35"/>
    <x v="36"/>
    <s v="Ernest Wagner"/>
    <x v="1"/>
    <n v="3"/>
    <x v="2"/>
    <x v="1"/>
    <x v="1"/>
    <x v="0"/>
    <x v="0"/>
  </r>
  <r>
    <s v="AX11200"/>
    <s v="ENX2054"/>
    <s v="A170"/>
    <s v="EMP1002"/>
    <s v="C1055"/>
    <x v="244"/>
    <n v="1"/>
    <n v="127"/>
    <n v="79"/>
    <n v="79"/>
    <n v="127"/>
    <n v="48"/>
    <s v="Product 55"/>
    <x v="47"/>
    <s v="Andrew Bowman"/>
    <x v="593"/>
    <n v="3"/>
    <x v="2"/>
    <x v="1"/>
    <x v="1"/>
    <x v="0"/>
    <x v="0"/>
  </r>
  <r>
    <s v="AX11640"/>
    <s v="ENX2026"/>
    <s v="A136"/>
    <s v="EMP1002"/>
    <s v="C1383"/>
    <x v="246"/>
    <n v="3"/>
    <n v="947"/>
    <n v="786"/>
    <n v="2358"/>
    <n v="2841"/>
    <n v="483"/>
    <s v="Product 27"/>
    <x v="43"/>
    <s v="Andrew Bowman"/>
    <x v="508"/>
    <n v="3"/>
    <x v="2"/>
    <x v="1"/>
    <x v="1"/>
    <x v="0"/>
    <x v="0"/>
  </r>
  <r>
    <s v="AX11818"/>
    <s v="ENX2063"/>
    <s v="A129"/>
    <s v="EMP1029"/>
    <s v="C1076"/>
    <x v="247"/>
    <n v="1"/>
    <n v="1708"/>
    <n v="871"/>
    <n v="871"/>
    <n v="1708"/>
    <n v="837"/>
    <s v="Product 64"/>
    <x v="22"/>
    <s v="Howard Gardner"/>
    <x v="772"/>
    <n v="3"/>
    <x v="2"/>
    <x v="1"/>
    <x v="1"/>
    <x v="0"/>
    <x v="0"/>
  </r>
  <r>
    <s v="AX11880"/>
    <s v="ENX2037"/>
    <s v="A111"/>
    <s v="EMP1035"/>
    <s v="C1079"/>
    <x v="245"/>
    <n v="2"/>
    <n v="880"/>
    <n v="634"/>
    <n v="1268"/>
    <n v="1760"/>
    <n v="492"/>
    <s v="Product 38"/>
    <x v="54"/>
    <s v="Roger Ramos"/>
    <x v="370"/>
    <n v="3"/>
    <x v="2"/>
    <x v="1"/>
    <x v="1"/>
    <x v="0"/>
    <x v="0"/>
  </r>
  <r>
    <s v="AX12714"/>
    <s v="ENX2072"/>
    <s v="A142"/>
    <s v="EMP1022"/>
    <s v="C1311"/>
    <x v="246"/>
    <n v="1"/>
    <n v="1887"/>
    <n v="1378"/>
    <n v="1378"/>
    <n v="1887"/>
    <n v="509"/>
    <s v="Product 73"/>
    <x v="56"/>
    <s v="Walter Cook"/>
    <x v="309"/>
    <n v="3"/>
    <x v="2"/>
    <x v="1"/>
    <x v="1"/>
    <x v="0"/>
    <x v="0"/>
  </r>
  <r>
    <s v="AX12730"/>
    <s v="ENX2058"/>
    <s v="A160"/>
    <s v="EMP1033"/>
    <s v="C1794"/>
    <x v="247"/>
    <n v="3"/>
    <n v="2257"/>
    <n v="1535"/>
    <n v="4605"/>
    <n v="6771"/>
    <n v="2166"/>
    <s v="Product 59"/>
    <x v="9"/>
    <s v="Jerry Perry"/>
    <x v="411"/>
    <n v="3"/>
    <x v="2"/>
    <x v="1"/>
    <x v="1"/>
    <x v="0"/>
    <x v="0"/>
  </r>
  <r>
    <s v="AX13185"/>
    <s v="ENX2063"/>
    <s v="A117"/>
    <s v="EMP1037"/>
    <s v="C1206"/>
    <x v="247"/>
    <n v="3"/>
    <n v="1708"/>
    <n v="871"/>
    <n v="2613"/>
    <n v="5124"/>
    <n v="2511"/>
    <s v="Product 64"/>
    <x v="29"/>
    <s v="Carl Hall"/>
    <x v="518"/>
    <n v="3"/>
    <x v="2"/>
    <x v="1"/>
    <x v="1"/>
    <x v="0"/>
    <x v="0"/>
  </r>
  <r>
    <s v="AX13793"/>
    <s v="ENX2015"/>
    <s v="A168"/>
    <s v="EMP1010"/>
    <s v="C1586"/>
    <x v="244"/>
    <n v="2"/>
    <n v="637"/>
    <n v="389"/>
    <n v="778"/>
    <n v="1274"/>
    <n v="496"/>
    <s v="Product 16"/>
    <x v="40"/>
    <s v="Joshua Cook"/>
    <x v="585"/>
    <n v="3"/>
    <x v="2"/>
    <x v="1"/>
    <x v="1"/>
    <x v="0"/>
    <x v="0"/>
  </r>
  <r>
    <s v="AX13917"/>
    <s v="ENX2006"/>
    <s v="A152"/>
    <s v="EMP1022"/>
    <s v="C1409"/>
    <x v="246"/>
    <n v="2"/>
    <n v="1826"/>
    <n v="1443"/>
    <n v="2886"/>
    <n v="3652"/>
    <n v="766"/>
    <s v="Product 7"/>
    <x v="26"/>
    <s v="Walter Cook"/>
    <x v="44"/>
    <n v="3"/>
    <x v="2"/>
    <x v="1"/>
    <x v="1"/>
    <x v="0"/>
    <x v="0"/>
  </r>
  <r>
    <s v="AX14692"/>
    <s v="ENX2000"/>
    <s v="A156"/>
    <s v="EMP1001"/>
    <s v="C1328"/>
    <x v="245"/>
    <n v="4"/>
    <n v="2241"/>
    <n v="1367"/>
    <n v="5468"/>
    <n v="8964"/>
    <n v="3496"/>
    <s v="Product 1"/>
    <x v="14"/>
    <s v="Kevin Butler"/>
    <x v="488"/>
    <n v="3"/>
    <x v="2"/>
    <x v="1"/>
    <x v="1"/>
    <x v="0"/>
    <x v="0"/>
  </r>
  <r>
    <s v="AX14983"/>
    <s v="ENX2013"/>
    <s v="A131"/>
    <s v="EMP1008"/>
    <s v="C1293"/>
    <x v="245"/>
    <n v="3"/>
    <n v="368"/>
    <n v="269"/>
    <n v="807"/>
    <n v="1104"/>
    <n v="297"/>
    <s v="Product 14"/>
    <x v="32"/>
    <s v="Carl Elliott"/>
    <x v="512"/>
    <n v="3"/>
    <x v="2"/>
    <x v="1"/>
    <x v="1"/>
    <x v="0"/>
    <x v="0"/>
  </r>
  <r>
    <s v="AX15450"/>
    <s v="ENX2091"/>
    <s v="A169"/>
    <s v="EMP1024"/>
    <s v="C1026"/>
    <x v="247"/>
    <n v="3"/>
    <n v="368"/>
    <n v="294"/>
    <n v="882"/>
    <n v="1104"/>
    <n v="222"/>
    <s v="Product 92"/>
    <x v="17"/>
    <s v="Ernest Wheeler"/>
    <x v="410"/>
    <n v="3"/>
    <x v="2"/>
    <x v="1"/>
    <x v="1"/>
    <x v="0"/>
    <x v="0"/>
  </r>
  <r>
    <s v="AX15689"/>
    <s v="ENX2073"/>
    <s v="A130"/>
    <s v="EMP1035"/>
    <s v="C1477"/>
    <x v="246"/>
    <n v="4"/>
    <n v="95"/>
    <n v="61"/>
    <n v="244"/>
    <n v="380"/>
    <n v="136"/>
    <s v="Product 74"/>
    <x v="4"/>
    <s v="Roger Ramos"/>
    <x v="408"/>
    <n v="3"/>
    <x v="2"/>
    <x v="1"/>
    <x v="1"/>
    <x v="0"/>
    <x v="0"/>
  </r>
  <r>
    <s v="AX15866"/>
    <s v="ENX2092"/>
    <s v="A132"/>
    <s v="EMP1000"/>
    <s v="C1335"/>
    <x v="246"/>
    <n v="3"/>
    <n v="1639"/>
    <n v="1295"/>
    <n v="3885"/>
    <n v="4917"/>
    <n v="1032"/>
    <s v="Product 93"/>
    <x v="48"/>
    <s v="Fred Robertson"/>
    <x v="2"/>
    <n v="3"/>
    <x v="2"/>
    <x v="1"/>
    <x v="1"/>
    <x v="0"/>
    <x v="0"/>
  </r>
  <r>
    <s v="AX16135"/>
    <s v="ENX2045"/>
    <s v="A167"/>
    <s v="EMP1019"/>
    <s v="C1035"/>
    <x v="247"/>
    <n v="1"/>
    <n v="556"/>
    <n v="395"/>
    <n v="395"/>
    <n v="556"/>
    <n v="161"/>
    <s v="Product 46"/>
    <x v="64"/>
    <s v="Roger Robertson"/>
    <x v="95"/>
    <n v="3"/>
    <x v="2"/>
    <x v="1"/>
    <x v="1"/>
    <x v="0"/>
    <x v="0"/>
  </r>
  <r>
    <s v="AX16254"/>
    <s v="ENX2024"/>
    <s v="A154"/>
    <s v="EMP1036"/>
    <s v="C1358"/>
    <x v="246"/>
    <n v="3"/>
    <n v="356"/>
    <n v="292"/>
    <n v="876"/>
    <n v="1068"/>
    <n v="192"/>
    <s v="Product 25"/>
    <x v="24"/>
    <s v="Robert Reed"/>
    <x v="242"/>
    <n v="3"/>
    <x v="2"/>
    <x v="1"/>
    <x v="1"/>
    <x v="0"/>
    <x v="0"/>
  </r>
  <r>
    <s v="AX17011"/>
    <s v="ENX2046"/>
    <s v="A112"/>
    <s v="EMP1001"/>
    <s v="C1252"/>
    <x v="244"/>
    <n v="4"/>
    <n v="2410"/>
    <n v="1518"/>
    <n v="6072"/>
    <n v="9640"/>
    <n v="3568"/>
    <s v="Product 47"/>
    <x v="66"/>
    <s v="Kevin Butler"/>
    <x v="358"/>
    <n v="3"/>
    <x v="2"/>
    <x v="1"/>
    <x v="1"/>
    <x v="0"/>
    <x v="0"/>
  </r>
  <r>
    <s v="AX17043"/>
    <s v="ENX2078"/>
    <s v="A135"/>
    <s v="EMP1019"/>
    <s v="C1523"/>
    <x v="246"/>
    <n v="3"/>
    <n v="1798"/>
    <n v="971"/>
    <n v="2913"/>
    <n v="5394"/>
    <n v="2481"/>
    <s v="Product 79"/>
    <x v="10"/>
    <s v="Roger Robertson"/>
    <x v="543"/>
    <n v="3"/>
    <x v="2"/>
    <x v="1"/>
    <x v="1"/>
    <x v="0"/>
    <x v="0"/>
  </r>
  <r>
    <s v="AX18299"/>
    <s v="ENX2094"/>
    <s v="A120"/>
    <s v="EMP1015"/>
    <s v="C1382"/>
    <x v="247"/>
    <n v="1"/>
    <n v="771"/>
    <n v="648"/>
    <n v="648"/>
    <n v="771"/>
    <n v="123"/>
    <s v="Product 95"/>
    <x v="20"/>
    <s v="Justin Lynch"/>
    <x v="334"/>
    <n v="3"/>
    <x v="2"/>
    <x v="1"/>
    <x v="1"/>
    <x v="0"/>
    <x v="0"/>
  </r>
  <r>
    <s v="AX18415"/>
    <s v="ENX2049"/>
    <s v="A101"/>
    <s v="EMP1032"/>
    <s v="C1460"/>
    <x v="245"/>
    <n v="1"/>
    <n v="826"/>
    <n v="562"/>
    <n v="562"/>
    <n v="826"/>
    <n v="264"/>
    <s v="Product 50"/>
    <x v="60"/>
    <s v="Larry Castillo"/>
    <x v="613"/>
    <n v="3"/>
    <x v="2"/>
    <x v="1"/>
    <x v="1"/>
    <x v="0"/>
    <x v="0"/>
  </r>
  <r>
    <s v="AX18524"/>
    <s v="ENX2027"/>
    <s v="A157"/>
    <s v="EMP1030"/>
    <s v="C1685"/>
    <x v="245"/>
    <n v="1"/>
    <n v="2497"/>
    <n v="1473"/>
    <n v="1473"/>
    <n v="2497"/>
    <n v="1024"/>
    <s v="Product 28"/>
    <x v="7"/>
    <s v="Bobby Russell"/>
    <x v="90"/>
    <n v="3"/>
    <x v="2"/>
    <x v="1"/>
    <x v="1"/>
    <x v="0"/>
    <x v="0"/>
  </r>
  <r>
    <s v="AX18861"/>
    <s v="ENX2043"/>
    <s v="A169"/>
    <s v="EMP1003"/>
    <s v="C1705"/>
    <x v="244"/>
    <n v="1"/>
    <n v="545"/>
    <n v="425"/>
    <n v="425"/>
    <n v="545"/>
    <n v="120"/>
    <s v="Product 44"/>
    <x v="17"/>
    <s v="Christopher Tucker"/>
    <x v="507"/>
    <n v="3"/>
    <x v="2"/>
    <x v="1"/>
    <x v="1"/>
    <x v="0"/>
    <x v="0"/>
  </r>
  <r>
    <s v="AX19309"/>
    <s v="ENX2097"/>
    <s v="A134"/>
    <s v="EMP1039"/>
    <s v="C1572"/>
    <x v="247"/>
    <n v="1"/>
    <n v="1052"/>
    <n v="589"/>
    <n v="589"/>
    <n v="1052"/>
    <n v="463"/>
    <s v="Product 98"/>
    <x v="41"/>
    <s v="Eugene Holmes"/>
    <x v="717"/>
    <n v="3"/>
    <x v="2"/>
    <x v="1"/>
    <x v="1"/>
    <x v="0"/>
    <x v="0"/>
  </r>
  <r>
    <s v="AX20309"/>
    <s v="ENX2076"/>
    <s v="A156"/>
    <s v="EMP1016"/>
    <s v="C1370"/>
    <x v="247"/>
    <n v="1"/>
    <n v="1522"/>
    <n v="791"/>
    <n v="791"/>
    <n v="1522"/>
    <n v="731"/>
    <s v="Product 77"/>
    <x v="14"/>
    <s v="Henry Nelson"/>
    <x v="341"/>
    <n v="3"/>
    <x v="2"/>
    <x v="1"/>
    <x v="1"/>
    <x v="0"/>
    <x v="0"/>
  </r>
  <r>
    <s v="AX20458"/>
    <s v="ENX2005"/>
    <s v="A152"/>
    <s v="EMP1014"/>
    <s v="C1151"/>
    <x v="244"/>
    <n v="2"/>
    <n v="684"/>
    <n v="561"/>
    <n v="1122"/>
    <n v="1368"/>
    <n v="246"/>
    <s v="Product 6"/>
    <x v="26"/>
    <s v="Ronald Reed"/>
    <x v="56"/>
    <n v="3"/>
    <x v="2"/>
    <x v="1"/>
    <x v="1"/>
    <x v="0"/>
    <x v="0"/>
  </r>
  <r>
    <s v="AX20570"/>
    <s v="ENX2069"/>
    <s v="A121"/>
    <s v="EMP1006"/>
    <s v="C1418"/>
    <x v="244"/>
    <n v="4"/>
    <n v="378"/>
    <n v="291"/>
    <n v="1164"/>
    <n v="1512"/>
    <n v="348"/>
    <s v="Product 70"/>
    <x v="72"/>
    <s v="Sean Miller"/>
    <x v="441"/>
    <n v="3"/>
    <x v="2"/>
    <x v="1"/>
    <x v="1"/>
    <x v="0"/>
    <x v="0"/>
  </r>
  <r>
    <s v="AX20608"/>
    <s v="ENX2041"/>
    <s v="A117"/>
    <s v="EMP1032"/>
    <s v="C1523"/>
    <x v="247"/>
    <n v="1"/>
    <n v="1380"/>
    <n v="1090"/>
    <n v="1090"/>
    <n v="1380"/>
    <n v="290"/>
    <s v="Product 42"/>
    <x v="29"/>
    <s v="Larry Castillo"/>
    <x v="543"/>
    <n v="3"/>
    <x v="2"/>
    <x v="1"/>
    <x v="1"/>
    <x v="0"/>
    <x v="0"/>
  </r>
  <r>
    <s v="AX20866"/>
    <s v="ENX2055"/>
    <s v="A131"/>
    <s v="EMP1007"/>
    <s v="C1165"/>
    <x v="247"/>
    <n v="4"/>
    <n v="2495"/>
    <n v="1896"/>
    <n v="7584"/>
    <n v="9980"/>
    <n v="2396"/>
    <s v="Product 56"/>
    <x v="32"/>
    <s v="Jeremy Mendoza"/>
    <x v="82"/>
    <n v="3"/>
    <x v="2"/>
    <x v="1"/>
    <x v="1"/>
    <x v="0"/>
    <x v="0"/>
  </r>
  <r>
    <s v="AX21038"/>
    <s v="ENX2091"/>
    <s v="A148"/>
    <s v="EMP1021"/>
    <s v="C1442"/>
    <x v="246"/>
    <n v="2"/>
    <n v="368"/>
    <n v="294"/>
    <n v="588"/>
    <n v="736"/>
    <n v="148"/>
    <s v="Product 92"/>
    <x v="62"/>
    <s v="Clarence Fox"/>
    <x v="299"/>
    <n v="3"/>
    <x v="2"/>
    <x v="1"/>
    <x v="1"/>
    <x v="0"/>
    <x v="0"/>
  </r>
  <r>
    <s v="AX21530"/>
    <s v="ENX2037"/>
    <s v="A132"/>
    <s v="EMP1008"/>
    <s v="C1578"/>
    <x v="244"/>
    <n v="1"/>
    <n v="880"/>
    <n v="634"/>
    <n v="634"/>
    <n v="880"/>
    <n v="246"/>
    <s v="Product 38"/>
    <x v="48"/>
    <s v="Carl Elliott"/>
    <x v="17"/>
    <n v="3"/>
    <x v="2"/>
    <x v="1"/>
    <x v="1"/>
    <x v="0"/>
    <x v="0"/>
  </r>
  <r>
    <s v="AX21915"/>
    <s v="ENX2069"/>
    <s v="A171"/>
    <s v="EMP1018"/>
    <s v="C1768"/>
    <x v="244"/>
    <n v="1"/>
    <n v="378"/>
    <n v="291"/>
    <n v="291"/>
    <n v="378"/>
    <n v="87"/>
    <s v="Product 70"/>
    <x v="0"/>
    <s v="Jimmy Young"/>
    <x v="496"/>
    <n v="3"/>
    <x v="2"/>
    <x v="1"/>
    <x v="1"/>
    <x v="0"/>
    <x v="0"/>
  </r>
  <r>
    <s v="AX22170"/>
    <s v="ENX2033"/>
    <s v="A153"/>
    <s v="EMP1000"/>
    <s v="C1220"/>
    <x v="247"/>
    <n v="1"/>
    <n v="2182"/>
    <n v="1200"/>
    <n v="1200"/>
    <n v="2182"/>
    <n v="982"/>
    <s v="Product 34"/>
    <x v="8"/>
    <s v="Fred Robertson"/>
    <x v="204"/>
    <n v="3"/>
    <x v="2"/>
    <x v="1"/>
    <x v="1"/>
    <x v="0"/>
    <x v="0"/>
  </r>
  <r>
    <s v="AX22625"/>
    <s v="ENX2035"/>
    <s v="A132"/>
    <s v="EMP1004"/>
    <s v="C1613"/>
    <x v="247"/>
    <n v="2"/>
    <n v="458"/>
    <n v="376"/>
    <n v="752"/>
    <n v="916"/>
    <n v="164"/>
    <s v="Product 36"/>
    <x v="48"/>
    <s v="Kenneth Bradley"/>
    <x v="143"/>
    <n v="3"/>
    <x v="2"/>
    <x v="1"/>
    <x v="1"/>
    <x v="0"/>
    <x v="0"/>
  </r>
  <r>
    <s v="AX22899"/>
    <s v="ENX2078"/>
    <s v="A101"/>
    <s v="EMP1025"/>
    <s v="C1453"/>
    <x v="245"/>
    <n v="1"/>
    <n v="1798"/>
    <n v="971"/>
    <n v="971"/>
    <n v="1798"/>
    <n v="827"/>
    <s v="Product 79"/>
    <x v="60"/>
    <s v="Ernest Wagner"/>
    <x v="194"/>
    <n v="3"/>
    <x v="2"/>
    <x v="1"/>
    <x v="1"/>
    <x v="0"/>
    <x v="0"/>
  </r>
  <r>
    <s v="AX22997"/>
    <s v="ENX2032"/>
    <s v="A143"/>
    <s v="EMP1005"/>
    <s v="C1035"/>
    <x v="245"/>
    <n v="4"/>
    <n v="1967"/>
    <n v="1397"/>
    <n v="5588"/>
    <n v="7868"/>
    <n v="2280"/>
    <s v="Product 33"/>
    <x v="39"/>
    <s v="Ryan Welch"/>
    <x v="95"/>
    <n v="3"/>
    <x v="2"/>
    <x v="1"/>
    <x v="1"/>
    <x v="0"/>
    <x v="0"/>
  </r>
  <r>
    <s v="AX23004"/>
    <s v="ENX2091"/>
    <s v="A104"/>
    <s v="EMP1042"/>
    <s v="C1289"/>
    <x v="244"/>
    <n v="3"/>
    <n v="368"/>
    <n v="294"/>
    <n v="882"/>
    <n v="1104"/>
    <n v="222"/>
    <s v="Product 92"/>
    <x v="50"/>
    <s v="Scott Clark"/>
    <x v="328"/>
    <n v="3"/>
    <x v="2"/>
    <x v="1"/>
    <x v="1"/>
    <x v="0"/>
    <x v="0"/>
  </r>
  <r>
    <s v="AX23187"/>
    <s v="ENX2014"/>
    <s v="A118"/>
    <s v="EMP1008"/>
    <s v="C1324"/>
    <x v="244"/>
    <n v="1"/>
    <n v="1809"/>
    <n v="1067"/>
    <n v="1067"/>
    <n v="1809"/>
    <n v="742"/>
    <s v="Product 15"/>
    <x v="19"/>
    <s v="Carl Elliott"/>
    <x v="252"/>
    <n v="3"/>
    <x v="2"/>
    <x v="1"/>
    <x v="1"/>
    <x v="0"/>
    <x v="0"/>
  </r>
  <r>
    <s v="AX23259"/>
    <s v="ENX2068"/>
    <s v="A127"/>
    <s v="EMP1040"/>
    <s v="C1346"/>
    <x v="246"/>
    <n v="1"/>
    <n v="1500"/>
    <n v="900"/>
    <n v="900"/>
    <n v="1500"/>
    <n v="600"/>
    <s v="Product 69"/>
    <x v="69"/>
    <s v="Patrick Ruiz"/>
    <x v="340"/>
    <n v="3"/>
    <x v="2"/>
    <x v="1"/>
    <x v="1"/>
    <x v="0"/>
    <x v="0"/>
  </r>
  <r>
    <s v="AX23546"/>
    <s v="ENX2084"/>
    <s v="A102"/>
    <s v="EMP1019"/>
    <s v="C1619"/>
    <x v="247"/>
    <n v="3"/>
    <n v="1783"/>
    <n v="1230"/>
    <n v="3690"/>
    <n v="5349"/>
    <n v="1659"/>
    <s v="Product 85"/>
    <x v="44"/>
    <s v="Roger Robertson"/>
    <x v="77"/>
    <n v="3"/>
    <x v="2"/>
    <x v="1"/>
    <x v="1"/>
    <x v="0"/>
    <x v="0"/>
  </r>
  <r>
    <s v="AX23966"/>
    <s v="ENX2100"/>
    <s v="A166"/>
    <s v="EMP1032"/>
    <s v="C1701"/>
    <x v="245"/>
    <n v="1"/>
    <n v="799"/>
    <n v="455"/>
    <n v="455"/>
    <n v="799"/>
    <n v="344"/>
    <s v="Product 101"/>
    <x v="70"/>
    <s v="Larry Castillo"/>
    <x v="736"/>
    <n v="3"/>
    <x v="2"/>
    <x v="1"/>
    <x v="1"/>
    <x v="0"/>
    <x v="0"/>
  </r>
  <r>
    <s v="AX24165"/>
    <s v="ENX2071"/>
    <s v="A144"/>
    <s v="EMP1005"/>
    <s v="C1548"/>
    <x v="246"/>
    <n v="3"/>
    <n v="136"/>
    <n v="72"/>
    <n v="216"/>
    <n v="408"/>
    <n v="192"/>
    <s v="Product 72"/>
    <x v="65"/>
    <s v="Ryan Welch"/>
    <x v="241"/>
    <n v="3"/>
    <x v="2"/>
    <x v="1"/>
    <x v="1"/>
    <x v="0"/>
    <x v="0"/>
  </r>
  <r>
    <s v="AX24797"/>
    <s v="ENX2022"/>
    <s v="A132"/>
    <s v="EMP1044"/>
    <s v="C1421"/>
    <x v="247"/>
    <n v="4"/>
    <n v="561"/>
    <n v="421"/>
    <n v="1684"/>
    <n v="2244"/>
    <n v="560"/>
    <s v="Product 23"/>
    <x v="48"/>
    <s v="Martin Carr"/>
    <x v="564"/>
    <n v="3"/>
    <x v="2"/>
    <x v="1"/>
    <x v="1"/>
    <x v="0"/>
    <x v="0"/>
  </r>
  <r>
    <s v="AX10014"/>
    <s v="ENX2079"/>
    <s v="A152"/>
    <s v="EMP1041"/>
    <s v="C1073"/>
    <x v="248"/>
    <n v="1"/>
    <n v="1725"/>
    <n v="1363"/>
    <n v="1363"/>
    <n v="1725"/>
    <n v="362"/>
    <s v="Product 80"/>
    <x v="26"/>
    <s v="Joe Sims"/>
    <x v="237"/>
    <n v="3"/>
    <x v="2"/>
    <x v="1"/>
    <x v="1"/>
    <x v="0"/>
    <x v="1"/>
  </r>
  <r>
    <s v="AX10145"/>
    <s v="ENX2033"/>
    <s v="A111"/>
    <s v="EMP1007"/>
    <s v="C1666"/>
    <x v="249"/>
    <n v="2"/>
    <n v="2182"/>
    <n v="1200"/>
    <n v="2400"/>
    <n v="4364"/>
    <n v="1964"/>
    <s v="Product 34"/>
    <x v="54"/>
    <s v="Jeremy Mendoza"/>
    <x v="473"/>
    <n v="3"/>
    <x v="2"/>
    <x v="1"/>
    <x v="1"/>
    <x v="0"/>
    <x v="1"/>
  </r>
  <r>
    <s v="AX10472"/>
    <s v="ENX2031"/>
    <s v="A129"/>
    <s v="EMP1020"/>
    <s v="C1221"/>
    <x v="249"/>
    <n v="1"/>
    <n v="1638"/>
    <n v="1261"/>
    <n v="1261"/>
    <n v="1638"/>
    <n v="377"/>
    <s v="Product 32"/>
    <x v="22"/>
    <s v="Ryan Butler"/>
    <x v="429"/>
    <n v="3"/>
    <x v="2"/>
    <x v="1"/>
    <x v="1"/>
    <x v="0"/>
    <x v="1"/>
  </r>
  <r>
    <s v="AX10495"/>
    <s v="ENX2099"/>
    <s v="A146"/>
    <s v="EMP1043"/>
    <s v="C1000"/>
    <x v="249"/>
    <n v="3"/>
    <n v="1367"/>
    <n v="984"/>
    <n v="2952"/>
    <n v="4101"/>
    <n v="1149"/>
    <s v="Product 100"/>
    <x v="27"/>
    <s v="Joshua Taylor"/>
    <x v="57"/>
    <n v="3"/>
    <x v="2"/>
    <x v="1"/>
    <x v="1"/>
    <x v="0"/>
    <x v="1"/>
  </r>
  <r>
    <s v="AX10513"/>
    <s v="ENX2059"/>
    <s v="A138"/>
    <s v="EMP1029"/>
    <s v="C1277"/>
    <x v="250"/>
    <n v="1"/>
    <n v="1494"/>
    <n v="971"/>
    <n v="971"/>
    <n v="1494"/>
    <n v="523"/>
    <s v="Product 60"/>
    <x v="37"/>
    <s v="Howard Gardner"/>
    <x v="151"/>
    <n v="3"/>
    <x v="2"/>
    <x v="1"/>
    <x v="1"/>
    <x v="0"/>
    <x v="1"/>
  </r>
  <r>
    <s v="AX10654"/>
    <s v="ENX2003"/>
    <s v="A127"/>
    <s v="EMP1034"/>
    <s v="C1577"/>
    <x v="250"/>
    <n v="1"/>
    <n v="1783"/>
    <n v="1516"/>
    <n v="1516"/>
    <n v="1783"/>
    <n v="267"/>
    <s v="Product 4"/>
    <x v="69"/>
    <s v="Arthur Mccoy"/>
    <x v="50"/>
    <n v="3"/>
    <x v="2"/>
    <x v="1"/>
    <x v="1"/>
    <x v="0"/>
    <x v="1"/>
  </r>
  <r>
    <s v="AX10808"/>
    <s v="ENX2027"/>
    <s v="A146"/>
    <s v="EMP1011"/>
    <s v="C1442"/>
    <x v="248"/>
    <n v="1"/>
    <n v="2497"/>
    <n v="1473"/>
    <n v="1473"/>
    <n v="2497"/>
    <n v="1024"/>
    <s v="Product 28"/>
    <x v="27"/>
    <s v="Larry Marshall"/>
    <x v="299"/>
    <n v="3"/>
    <x v="2"/>
    <x v="1"/>
    <x v="1"/>
    <x v="0"/>
    <x v="1"/>
  </r>
  <r>
    <s v="AX11285"/>
    <s v="ENX2088"/>
    <s v="A127"/>
    <s v="EMP1033"/>
    <s v="C1059"/>
    <x v="251"/>
    <n v="3"/>
    <n v="603"/>
    <n v="416"/>
    <n v="1248"/>
    <n v="1809"/>
    <n v="561"/>
    <s v="Product 89"/>
    <x v="69"/>
    <s v="Jerry Perry"/>
    <x v="297"/>
    <n v="3"/>
    <x v="2"/>
    <x v="1"/>
    <x v="1"/>
    <x v="0"/>
    <x v="1"/>
  </r>
  <r>
    <s v="AX11414"/>
    <s v="ENX2066"/>
    <s v="A132"/>
    <s v="EMP1021"/>
    <s v="C1269"/>
    <x v="249"/>
    <n v="1"/>
    <n v="2091"/>
    <n v="1485"/>
    <n v="1485"/>
    <n v="2091"/>
    <n v="606"/>
    <s v="Product 67"/>
    <x v="48"/>
    <s v="Clarence Fox"/>
    <x v="661"/>
    <n v="3"/>
    <x v="2"/>
    <x v="1"/>
    <x v="1"/>
    <x v="0"/>
    <x v="1"/>
  </r>
  <r>
    <s v="AX11587"/>
    <s v="ENX2021"/>
    <s v="A173"/>
    <s v="EMP1010"/>
    <s v="C1138"/>
    <x v="248"/>
    <n v="2"/>
    <n v="217"/>
    <n v="171"/>
    <n v="342"/>
    <n v="434"/>
    <n v="92"/>
    <s v="Product 22"/>
    <x v="25"/>
    <s v="Joshua Cook"/>
    <x v="325"/>
    <n v="3"/>
    <x v="2"/>
    <x v="1"/>
    <x v="1"/>
    <x v="0"/>
    <x v="1"/>
  </r>
  <r>
    <s v="AX12039"/>
    <s v="ENX2081"/>
    <s v="A172"/>
    <s v="EMP1004"/>
    <s v="C1011"/>
    <x v="248"/>
    <n v="1"/>
    <n v="1566"/>
    <n v="1190"/>
    <n v="1190"/>
    <n v="1566"/>
    <n v="376"/>
    <s v="Product 82"/>
    <x v="36"/>
    <s v="Kenneth Bradley"/>
    <x v="275"/>
    <n v="3"/>
    <x v="2"/>
    <x v="1"/>
    <x v="1"/>
    <x v="0"/>
    <x v="1"/>
  </r>
  <r>
    <s v="AX12503"/>
    <s v="ENX2077"/>
    <s v="A150"/>
    <s v="EMP1025"/>
    <s v="C1267"/>
    <x v="251"/>
    <n v="1"/>
    <n v="530"/>
    <n v="424"/>
    <n v="424"/>
    <n v="530"/>
    <n v="106"/>
    <s v="Product 78"/>
    <x v="30"/>
    <s v="Ernest Wagner"/>
    <x v="657"/>
    <n v="3"/>
    <x v="2"/>
    <x v="1"/>
    <x v="1"/>
    <x v="0"/>
    <x v="1"/>
  </r>
  <r>
    <s v="AX12506"/>
    <s v="ENX2033"/>
    <s v="A148"/>
    <s v="EMP1014"/>
    <s v="C1775"/>
    <x v="251"/>
    <n v="4"/>
    <n v="2182"/>
    <n v="1200"/>
    <n v="4800"/>
    <n v="8728"/>
    <n v="3928"/>
    <s v="Product 34"/>
    <x v="62"/>
    <s v="Ronald Reed"/>
    <x v="69"/>
    <n v="3"/>
    <x v="2"/>
    <x v="1"/>
    <x v="1"/>
    <x v="0"/>
    <x v="1"/>
  </r>
  <r>
    <s v="AX12840"/>
    <s v="ENX2007"/>
    <s v="A135"/>
    <s v="EMP1037"/>
    <s v="C1277"/>
    <x v="248"/>
    <n v="1"/>
    <n v="1405"/>
    <n v="1054"/>
    <n v="1054"/>
    <n v="1405"/>
    <n v="351"/>
    <s v="Product 8"/>
    <x v="10"/>
    <s v="Carl Hall"/>
    <x v="151"/>
    <n v="3"/>
    <x v="2"/>
    <x v="1"/>
    <x v="1"/>
    <x v="0"/>
    <x v="1"/>
  </r>
  <r>
    <s v="AX12855"/>
    <s v="ENX2011"/>
    <s v="A135"/>
    <s v="EMP1038"/>
    <s v="C1578"/>
    <x v="248"/>
    <n v="1"/>
    <n v="530"/>
    <n v="435"/>
    <n v="435"/>
    <n v="530"/>
    <n v="95"/>
    <s v="Product 12"/>
    <x v="10"/>
    <s v="Scott Mason"/>
    <x v="17"/>
    <n v="3"/>
    <x v="2"/>
    <x v="1"/>
    <x v="1"/>
    <x v="0"/>
    <x v="1"/>
  </r>
  <r>
    <s v="AX13096"/>
    <s v="ENX2031"/>
    <s v="A104"/>
    <s v="EMP1034"/>
    <s v="C1762"/>
    <x v="251"/>
    <n v="1"/>
    <n v="1638"/>
    <n v="1261"/>
    <n v="1261"/>
    <n v="1638"/>
    <n v="377"/>
    <s v="Product 32"/>
    <x v="50"/>
    <s v="Arthur Mccoy"/>
    <x v="164"/>
    <n v="3"/>
    <x v="2"/>
    <x v="1"/>
    <x v="1"/>
    <x v="0"/>
    <x v="1"/>
  </r>
  <r>
    <s v="AX13315"/>
    <s v="ENX2047"/>
    <s v="A157"/>
    <s v="EMP1014"/>
    <s v="C1320"/>
    <x v="249"/>
    <n v="2"/>
    <n v="290"/>
    <n v="200"/>
    <n v="400"/>
    <n v="580"/>
    <n v="180"/>
    <s v="Product 48"/>
    <x v="7"/>
    <s v="Ronald Reed"/>
    <x v="480"/>
    <n v="3"/>
    <x v="2"/>
    <x v="1"/>
    <x v="1"/>
    <x v="0"/>
    <x v="1"/>
  </r>
  <r>
    <s v="AX14311"/>
    <s v="ENX2050"/>
    <s v="A157"/>
    <s v="EMP1001"/>
    <s v="C1017"/>
    <x v="249"/>
    <n v="4"/>
    <n v="2391"/>
    <n v="1291"/>
    <n v="5164"/>
    <n v="9564"/>
    <n v="4400"/>
    <s v="Product 51"/>
    <x v="7"/>
    <s v="Kevin Butler"/>
    <x v="402"/>
    <n v="3"/>
    <x v="2"/>
    <x v="1"/>
    <x v="1"/>
    <x v="0"/>
    <x v="1"/>
  </r>
  <r>
    <s v="AX15121"/>
    <s v="ENX2038"/>
    <s v="A105"/>
    <s v="EMP1025"/>
    <s v="C1532"/>
    <x v="248"/>
    <n v="2"/>
    <n v="392"/>
    <n v="255"/>
    <n v="510"/>
    <n v="784"/>
    <n v="274"/>
    <s v="Product 39"/>
    <x v="45"/>
    <s v="Ernest Wagner"/>
    <x v="103"/>
    <n v="3"/>
    <x v="2"/>
    <x v="1"/>
    <x v="1"/>
    <x v="0"/>
    <x v="1"/>
  </r>
  <r>
    <s v="AX15332"/>
    <s v="ENX2076"/>
    <s v="A112"/>
    <s v="EMP1026"/>
    <s v="C1400"/>
    <x v="251"/>
    <n v="3"/>
    <n v="1522"/>
    <n v="791"/>
    <n v="2373"/>
    <n v="4566"/>
    <n v="2193"/>
    <s v="Product 77"/>
    <x v="66"/>
    <s v="Martin Perry"/>
    <x v="437"/>
    <n v="3"/>
    <x v="2"/>
    <x v="1"/>
    <x v="1"/>
    <x v="0"/>
    <x v="1"/>
  </r>
  <r>
    <s v="AX15399"/>
    <s v="ENX2085"/>
    <s v="A164"/>
    <s v="EMP1020"/>
    <s v="C1096"/>
    <x v="249"/>
    <n v="3"/>
    <n v="1862"/>
    <n v="1173"/>
    <n v="3519"/>
    <n v="5586"/>
    <n v="2067"/>
    <s v="Product 86"/>
    <x v="3"/>
    <s v="Ryan Butler"/>
    <x v="91"/>
    <n v="3"/>
    <x v="2"/>
    <x v="1"/>
    <x v="1"/>
    <x v="0"/>
    <x v="1"/>
  </r>
  <r>
    <s v="AX15522"/>
    <s v="ENX2060"/>
    <s v="A155"/>
    <s v="EMP1043"/>
    <s v="C1068"/>
    <x v="248"/>
    <n v="4"/>
    <n v="1467"/>
    <n v="807"/>
    <n v="3228"/>
    <n v="5868"/>
    <n v="2640"/>
    <s v="Product 61"/>
    <x v="53"/>
    <s v="Joshua Taylor"/>
    <x v="288"/>
    <n v="3"/>
    <x v="2"/>
    <x v="1"/>
    <x v="1"/>
    <x v="0"/>
    <x v="1"/>
  </r>
  <r>
    <s v="AX15912"/>
    <s v="ENX2011"/>
    <s v="A141"/>
    <s v="EMP1005"/>
    <s v="C1617"/>
    <x v="248"/>
    <n v="1"/>
    <n v="530"/>
    <n v="435"/>
    <n v="435"/>
    <n v="530"/>
    <n v="95"/>
    <s v="Product 12"/>
    <x v="23"/>
    <s v="Ryan Welch"/>
    <x v="195"/>
    <n v="3"/>
    <x v="2"/>
    <x v="1"/>
    <x v="1"/>
    <x v="0"/>
    <x v="1"/>
  </r>
  <r>
    <s v="AX15972"/>
    <s v="ENX2095"/>
    <s v="A114"/>
    <s v="EMP1013"/>
    <s v="C1113"/>
    <x v="248"/>
    <n v="2"/>
    <n v="1743"/>
    <n v="872"/>
    <n v="1744"/>
    <n v="3486"/>
    <n v="1742"/>
    <s v="Product 96"/>
    <x v="28"/>
    <s v="Charles Harper"/>
    <x v="101"/>
    <n v="3"/>
    <x v="2"/>
    <x v="1"/>
    <x v="1"/>
    <x v="0"/>
    <x v="1"/>
  </r>
  <r>
    <s v="AX16053"/>
    <s v="ENX2008"/>
    <s v="A131"/>
    <s v="EMP1021"/>
    <s v="C1156"/>
    <x v="251"/>
    <n v="1"/>
    <n v="315"/>
    <n v="208"/>
    <n v="208"/>
    <n v="315"/>
    <n v="107"/>
    <s v="Product 9"/>
    <x v="32"/>
    <s v="Clarence Fox"/>
    <x v="740"/>
    <n v="3"/>
    <x v="2"/>
    <x v="1"/>
    <x v="1"/>
    <x v="0"/>
    <x v="1"/>
  </r>
  <r>
    <s v="AX16195"/>
    <s v="ENX2035"/>
    <s v="A156"/>
    <s v="EMP1001"/>
    <s v="C1030"/>
    <x v="248"/>
    <n v="1"/>
    <n v="458"/>
    <n v="376"/>
    <n v="376"/>
    <n v="458"/>
    <n v="82"/>
    <s v="Product 36"/>
    <x v="14"/>
    <s v="Kevin Butler"/>
    <x v="106"/>
    <n v="3"/>
    <x v="2"/>
    <x v="1"/>
    <x v="1"/>
    <x v="0"/>
    <x v="1"/>
  </r>
  <r>
    <s v="AX16776"/>
    <s v="ENX2051"/>
    <s v="A144"/>
    <s v="EMP1027"/>
    <s v="C1098"/>
    <x v="251"/>
    <n v="1"/>
    <n v="1077"/>
    <n v="732"/>
    <n v="732"/>
    <n v="1077"/>
    <n v="345"/>
    <s v="Product 52"/>
    <x v="65"/>
    <s v="Gary Rodriguez"/>
    <x v="622"/>
    <n v="3"/>
    <x v="2"/>
    <x v="1"/>
    <x v="1"/>
    <x v="0"/>
    <x v="1"/>
  </r>
  <r>
    <s v="AX16793"/>
    <s v="ENX2063"/>
    <s v="A133"/>
    <s v="EMP1041"/>
    <s v="C1794"/>
    <x v="250"/>
    <n v="3"/>
    <n v="1708"/>
    <n v="871"/>
    <n v="2613"/>
    <n v="5124"/>
    <n v="2511"/>
    <s v="Product 64"/>
    <x v="46"/>
    <s v="Joe Sims"/>
    <x v="411"/>
    <n v="3"/>
    <x v="2"/>
    <x v="1"/>
    <x v="1"/>
    <x v="0"/>
    <x v="1"/>
  </r>
  <r>
    <s v="AX17182"/>
    <s v="ENX2034"/>
    <s v="A113"/>
    <s v="EMP1024"/>
    <s v="C1720"/>
    <x v="248"/>
    <n v="1"/>
    <n v="871"/>
    <n v="540"/>
    <n v="540"/>
    <n v="871"/>
    <n v="331"/>
    <s v="Product 35"/>
    <x v="73"/>
    <s v="Ernest Wheeler"/>
    <x v="152"/>
    <n v="3"/>
    <x v="2"/>
    <x v="1"/>
    <x v="1"/>
    <x v="0"/>
    <x v="1"/>
  </r>
  <r>
    <s v="AX17367"/>
    <s v="ENX2071"/>
    <s v="A140"/>
    <s v="EMP1019"/>
    <s v="C1152"/>
    <x v="248"/>
    <n v="2"/>
    <n v="136"/>
    <n v="72"/>
    <n v="144"/>
    <n v="272"/>
    <n v="128"/>
    <s v="Product 72"/>
    <x v="18"/>
    <s v="Roger Robertson"/>
    <x v="198"/>
    <n v="3"/>
    <x v="2"/>
    <x v="1"/>
    <x v="1"/>
    <x v="0"/>
    <x v="1"/>
  </r>
  <r>
    <s v="AX17381"/>
    <s v="ENX2039"/>
    <s v="A159"/>
    <s v="EMP1043"/>
    <s v="C1204"/>
    <x v="251"/>
    <n v="1"/>
    <n v="817"/>
    <n v="409"/>
    <n v="409"/>
    <n v="817"/>
    <n v="408"/>
    <s v="Product 40"/>
    <x v="13"/>
    <s v="Joshua Taylor"/>
    <x v="654"/>
    <n v="3"/>
    <x v="2"/>
    <x v="1"/>
    <x v="1"/>
    <x v="0"/>
    <x v="1"/>
  </r>
  <r>
    <s v="AX17846"/>
    <s v="ENX2078"/>
    <s v="A131"/>
    <s v="EMP1024"/>
    <s v="C1174"/>
    <x v="248"/>
    <n v="2"/>
    <n v="1798"/>
    <n v="971"/>
    <n v="1942"/>
    <n v="3596"/>
    <n v="1654"/>
    <s v="Product 79"/>
    <x v="32"/>
    <s v="Ernest Wheeler"/>
    <x v="715"/>
    <n v="3"/>
    <x v="2"/>
    <x v="1"/>
    <x v="1"/>
    <x v="0"/>
    <x v="1"/>
  </r>
  <r>
    <s v="AX18206"/>
    <s v="ENX2013"/>
    <s v="A157"/>
    <s v="EMP1022"/>
    <s v="C1011"/>
    <x v="248"/>
    <n v="3"/>
    <n v="368"/>
    <n v="269"/>
    <n v="807"/>
    <n v="1104"/>
    <n v="297"/>
    <s v="Product 14"/>
    <x v="7"/>
    <s v="Walter Cook"/>
    <x v="275"/>
    <n v="3"/>
    <x v="2"/>
    <x v="1"/>
    <x v="1"/>
    <x v="0"/>
    <x v="1"/>
  </r>
  <r>
    <s v="AX18596"/>
    <s v="ENX2086"/>
    <s v="A145"/>
    <s v="EMP1006"/>
    <s v="C1137"/>
    <x v="248"/>
    <n v="1"/>
    <n v="123"/>
    <n v="84"/>
    <n v="84"/>
    <n v="123"/>
    <n v="39"/>
    <s v="Product 87"/>
    <x v="35"/>
    <s v="Sean Miller"/>
    <x v="131"/>
    <n v="3"/>
    <x v="2"/>
    <x v="1"/>
    <x v="1"/>
    <x v="0"/>
    <x v="1"/>
  </r>
  <r>
    <s v="AX19353"/>
    <s v="ENX2017"/>
    <s v="A132"/>
    <s v="EMP1022"/>
    <s v="C1000"/>
    <x v="248"/>
    <n v="1"/>
    <n v="35"/>
    <n v="22"/>
    <n v="22"/>
    <n v="35"/>
    <n v="13"/>
    <s v="Product 18"/>
    <x v="48"/>
    <s v="Walter Cook"/>
    <x v="57"/>
    <n v="3"/>
    <x v="2"/>
    <x v="1"/>
    <x v="1"/>
    <x v="0"/>
    <x v="1"/>
  </r>
  <r>
    <s v="AX19455"/>
    <s v="ENX2080"/>
    <s v="A151"/>
    <s v="EMP1018"/>
    <s v="C1331"/>
    <x v="249"/>
    <n v="1"/>
    <n v="2353"/>
    <n v="1788"/>
    <n v="1788"/>
    <n v="2353"/>
    <n v="565"/>
    <s v="Product 81"/>
    <x v="1"/>
    <s v="Jimmy Young"/>
    <x v="482"/>
    <n v="3"/>
    <x v="2"/>
    <x v="1"/>
    <x v="1"/>
    <x v="0"/>
    <x v="1"/>
  </r>
  <r>
    <s v="AX19817"/>
    <s v="ENX2015"/>
    <s v="A170"/>
    <s v="EMP1026"/>
    <s v="C1538"/>
    <x v="248"/>
    <n v="3"/>
    <n v="637"/>
    <n v="389"/>
    <n v="1167"/>
    <n v="1911"/>
    <n v="744"/>
    <s v="Product 16"/>
    <x v="47"/>
    <s v="Martin Perry"/>
    <x v="384"/>
    <n v="3"/>
    <x v="2"/>
    <x v="1"/>
    <x v="1"/>
    <x v="0"/>
    <x v="1"/>
  </r>
  <r>
    <s v="AX19835"/>
    <s v="ENX2092"/>
    <s v="A154"/>
    <s v="EMP1010"/>
    <s v="C1719"/>
    <x v="250"/>
    <n v="4"/>
    <n v="1639"/>
    <n v="1295"/>
    <n v="5180"/>
    <n v="6556"/>
    <n v="1376"/>
    <s v="Product 93"/>
    <x v="24"/>
    <s v="Joshua Cook"/>
    <x v="666"/>
    <n v="3"/>
    <x v="2"/>
    <x v="1"/>
    <x v="1"/>
    <x v="0"/>
    <x v="1"/>
  </r>
  <r>
    <s v="AX19975"/>
    <s v="ENX2088"/>
    <s v="A112"/>
    <s v="EMP1013"/>
    <s v="C1765"/>
    <x v="249"/>
    <n v="4"/>
    <n v="603"/>
    <n v="416"/>
    <n v="1664"/>
    <n v="2412"/>
    <n v="748"/>
    <s v="Product 89"/>
    <x v="66"/>
    <s v="Charles Harper"/>
    <x v="470"/>
    <n v="3"/>
    <x v="2"/>
    <x v="1"/>
    <x v="1"/>
    <x v="0"/>
    <x v="1"/>
  </r>
  <r>
    <s v="AX20133"/>
    <s v="ENX2000"/>
    <s v="A147"/>
    <s v="EMP1023"/>
    <s v="C1325"/>
    <x v="249"/>
    <n v="3"/>
    <n v="2241"/>
    <n v="1367"/>
    <n v="4101"/>
    <n v="6723"/>
    <n v="2622"/>
    <s v="Product 1"/>
    <x v="42"/>
    <s v="Brian Davis"/>
    <x v="67"/>
    <n v="3"/>
    <x v="2"/>
    <x v="1"/>
    <x v="1"/>
    <x v="0"/>
    <x v="1"/>
  </r>
  <r>
    <s v="AX20904"/>
    <s v="ENX2016"/>
    <s v="A163"/>
    <s v="EMP1030"/>
    <s v="C1512"/>
    <x v="250"/>
    <n v="1"/>
    <n v="1351"/>
    <n v="1108"/>
    <n v="1108"/>
    <n v="1351"/>
    <n v="243"/>
    <s v="Product 17"/>
    <x v="51"/>
    <s v="Bobby Russell"/>
    <x v="671"/>
    <n v="3"/>
    <x v="2"/>
    <x v="1"/>
    <x v="1"/>
    <x v="0"/>
    <x v="1"/>
  </r>
  <r>
    <s v="AX21478"/>
    <s v="ENX2039"/>
    <s v="A132"/>
    <s v="EMP1022"/>
    <s v="C1625"/>
    <x v="248"/>
    <n v="1"/>
    <n v="817"/>
    <n v="409"/>
    <n v="409"/>
    <n v="817"/>
    <n v="408"/>
    <s v="Product 40"/>
    <x v="48"/>
    <s v="Walter Cook"/>
    <x v="575"/>
    <n v="3"/>
    <x v="2"/>
    <x v="1"/>
    <x v="1"/>
    <x v="0"/>
    <x v="1"/>
  </r>
  <r>
    <s v="AX21581"/>
    <s v="ENX2050"/>
    <s v="A143"/>
    <s v="EMP1010"/>
    <s v="C1146"/>
    <x v="250"/>
    <n v="1"/>
    <n v="2391"/>
    <n v="1291"/>
    <n v="1291"/>
    <n v="2391"/>
    <n v="1100"/>
    <s v="Product 51"/>
    <x v="39"/>
    <s v="Joshua Cook"/>
    <x v="274"/>
    <n v="3"/>
    <x v="2"/>
    <x v="1"/>
    <x v="1"/>
    <x v="0"/>
    <x v="1"/>
  </r>
  <r>
    <s v="AX21845"/>
    <s v="ENX2062"/>
    <s v="A132"/>
    <s v="EMP1037"/>
    <s v="C1353"/>
    <x v="249"/>
    <n v="1"/>
    <n v="2464"/>
    <n v="1774"/>
    <n v="1774"/>
    <n v="2464"/>
    <n v="690"/>
    <s v="Product 63"/>
    <x v="48"/>
    <s v="Carl Hall"/>
    <x v="642"/>
    <n v="3"/>
    <x v="2"/>
    <x v="1"/>
    <x v="1"/>
    <x v="0"/>
    <x v="1"/>
  </r>
  <r>
    <s v="AX21916"/>
    <s v="ENX2081"/>
    <s v="A108"/>
    <s v="EMP1009"/>
    <s v="C1232"/>
    <x v="248"/>
    <n v="1"/>
    <n v="1566"/>
    <n v="1190"/>
    <n v="1190"/>
    <n v="1566"/>
    <n v="376"/>
    <s v="Product 82"/>
    <x v="49"/>
    <s v="Kenneth Fields"/>
    <x v="584"/>
    <n v="3"/>
    <x v="2"/>
    <x v="1"/>
    <x v="1"/>
    <x v="0"/>
    <x v="1"/>
  </r>
  <r>
    <s v="AX22288"/>
    <s v="ENX2043"/>
    <s v="A138"/>
    <s v="EMP1041"/>
    <s v="C1775"/>
    <x v="248"/>
    <n v="3"/>
    <n v="545"/>
    <n v="425"/>
    <n v="1275"/>
    <n v="1635"/>
    <n v="360"/>
    <s v="Product 44"/>
    <x v="37"/>
    <s v="Joe Sims"/>
    <x v="69"/>
    <n v="3"/>
    <x v="2"/>
    <x v="1"/>
    <x v="1"/>
    <x v="0"/>
    <x v="1"/>
  </r>
  <r>
    <s v="AX22715"/>
    <s v="ENX2062"/>
    <s v="A157"/>
    <s v="EMP1044"/>
    <s v="C1198"/>
    <x v="248"/>
    <n v="3"/>
    <n v="2464"/>
    <n v="1774"/>
    <n v="5322"/>
    <n v="7392"/>
    <n v="2070"/>
    <s v="Product 63"/>
    <x v="7"/>
    <s v="Martin Carr"/>
    <x v="42"/>
    <n v="3"/>
    <x v="2"/>
    <x v="1"/>
    <x v="1"/>
    <x v="0"/>
    <x v="1"/>
  </r>
  <r>
    <s v="AX22747"/>
    <s v="ENX2055"/>
    <s v="A137"/>
    <s v="EMP1009"/>
    <s v="C1491"/>
    <x v="250"/>
    <n v="4"/>
    <n v="2495"/>
    <n v="1896"/>
    <n v="7584"/>
    <n v="9980"/>
    <n v="2396"/>
    <s v="Product 56"/>
    <x v="68"/>
    <s v="Kenneth Fields"/>
    <x v="277"/>
    <n v="3"/>
    <x v="2"/>
    <x v="1"/>
    <x v="1"/>
    <x v="0"/>
    <x v="1"/>
  </r>
  <r>
    <s v="AX22885"/>
    <s v="ENX2083"/>
    <s v="A144"/>
    <s v="EMP1009"/>
    <s v="C1539"/>
    <x v="248"/>
    <n v="1"/>
    <n v="2141"/>
    <n v="1777"/>
    <n v="1777"/>
    <n v="2141"/>
    <n v="364"/>
    <s v="Product 84"/>
    <x v="65"/>
    <s v="Kenneth Fields"/>
    <x v="280"/>
    <n v="3"/>
    <x v="2"/>
    <x v="1"/>
    <x v="1"/>
    <x v="0"/>
    <x v="1"/>
  </r>
  <r>
    <s v="AX22939"/>
    <s v="ENX2094"/>
    <s v="A116"/>
    <s v="EMP1034"/>
    <s v="C1065"/>
    <x v="249"/>
    <n v="1"/>
    <n v="771"/>
    <n v="648"/>
    <n v="648"/>
    <n v="771"/>
    <n v="123"/>
    <s v="Product 95"/>
    <x v="15"/>
    <s v="Arthur Mccoy"/>
    <x v="637"/>
    <n v="3"/>
    <x v="2"/>
    <x v="1"/>
    <x v="1"/>
    <x v="0"/>
    <x v="1"/>
  </r>
  <r>
    <s v="AX23727"/>
    <s v="ENX2047"/>
    <s v="A160"/>
    <s v="EMP1005"/>
    <s v="C1418"/>
    <x v="250"/>
    <n v="3"/>
    <n v="290"/>
    <n v="200"/>
    <n v="600"/>
    <n v="870"/>
    <n v="270"/>
    <s v="Product 48"/>
    <x v="9"/>
    <s v="Ryan Welch"/>
    <x v="441"/>
    <n v="3"/>
    <x v="2"/>
    <x v="1"/>
    <x v="1"/>
    <x v="0"/>
    <x v="1"/>
  </r>
  <r>
    <s v="AX23800"/>
    <s v="ENX2065"/>
    <s v="A171"/>
    <s v="EMP1009"/>
    <s v="C1578"/>
    <x v="248"/>
    <n v="4"/>
    <n v="2396"/>
    <n v="1965"/>
    <n v="7860"/>
    <n v="9584"/>
    <n v="1724"/>
    <s v="Product 66"/>
    <x v="0"/>
    <s v="Kenneth Fields"/>
    <x v="17"/>
    <n v="3"/>
    <x v="2"/>
    <x v="1"/>
    <x v="1"/>
    <x v="0"/>
    <x v="1"/>
  </r>
  <r>
    <s v="AX24066"/>
    <s v="ENX2016"/>
    <s v="A106"/>
    <s v="EMP1041"/>
    <s v="C1344"/>
    <x v="248"/>
    <n v="1"/>
    <n v="1351"/>
    <n v="1108"/>
    <n v="1108"/>
    <n v="1351"/>
    <n v="243"/>
    <s v="Product 17"/>
    <x v="11"/>
    <s v="Joe Sims"/>
    <x v="22"/>
    <n v="3"/>
    <x v="2"/>
    <x v="1"/>
    <x v="1"/>
    <x v="0"/>
    <x v="1"/>
  </r>
  <r>
    <s v="AX24069"/>
    <s v="ENX2046"/>
    <s v="A121"/>
    <s v="EMP1005"/>
    <s v="C1290"/>
    <x v="250"/>
    <n v="1"/>
    <n v="2410"/>
    <n v="1518"/>
    <n v="1518"/>
    <n v="2410"/>
    <n v="892"/>
    <s v="Product 47"/>
    <x v="72"/>
    <s v="Ryan Welch"/>
    <x v="675"/>
    <n v="3"/>
    <x v="2"/>
    <x v="1"/>
    <x v="1"/>
    <x v="0"/>
    <x v="1"/>
  </r>
  <r>
    <s v="AX24199"/>
    <s v="ENX2094"/>
    <s v="A102"/>
    <s v="EMP1011"/>
    <s v="C1423"/>
    <x v="251"/>
    <n v="2"/>
    <n v="771"/>
    <n v="648"/>
    <n v="1296"/>
    <n v="1542"/>
    <n v="246"/>
    <s v="Product 95"/>
    <x v="44"/>
    <s v="Larry Marshall"/>
    <x v="182"/>
    <n v="3"/>
    <x v="2"/>
    <x v="1"/>
    <x v="1"/>
    <x v="0"/>
    <x v="1"/>
  </r>
  <r>
    <s v="AX10192"/>
    <s v="ENX2093"/>
    <s v="A168"/>
    <s v="EMP1016"/>
    <s v="C1251"/>
    <x v="252"/>
    <n v="1"/>
    <n v="112"/>
    <n v="90"/>
    <n v="90"/>
    <n v="112"/>
    <n v="22"/>
    <s v="Product 94"/>
    <x v="40"/>
    <s v="Henry Nelson"/>
    <x v="199"/>
    <n v="3"/>
    <x v="2"/>
    <x v="1"/>
    <x v="1"/>
    <x v="0"/>
    <x v="2"/>
  </r>
  <r>
    <s v="AX10210"/>
    <s v="ENX2051"/>
    <s v="A164"/>
    <s v="EMP1028"/>
    <s v="C1781"/>
    <x v="253"/>
    <n v="4"/>
    <n v="1077"/>
    <n v="732"/>
    <n v="2928"/>
    <n v="4308"/>
    <n v="1380"/>
    <s v="Product 52"/>
    <x v="3"/>
    <s v="Howard Sims"/>
    <x v="606"/>
    <n v="3"/>
    <x v="2"/>
    <x v="1"/>
    <x v="1"/>
    <x v="0"/>
    <x v="2"/>
  </r>
  <r>
    <s v="AX10440"/>
    <s v="ENX2020"/>
    <s v="A116"/>
    <s v="EMP1008"/>
    <s v="C1265"/>
    <x v="254"/>
    <n v="1"/>
    <n v="2005"/>
    <n v="1223"/>
    <n v="1223"/>
    <n v="2005"/>
    <n v="782"/>
    <s v="Product 21"/>
    <x v="15"/>
    <s v="Carl Elliott"/>
    <x v="348"/>
    <n v="3"/>
    <x v="2"/>
    <x v="1"/>
    <x v="1"/>
    <x v="0"/>
    <x v="2"/>
  </r>
  <r>
    <s v="AX10793"/>
    <s v="ENX2001"/>
    <s v="A153"/>
    <s v="EMP1032"/>
    <s v="C1555"/>
    <x v="255"/>
    <n v="1"/>
    <n v="951"/>
    <n v="504"/>
    <n v="504"/>
    <n v="951"/>
    <n v="447"/>
    <s v="Product 2"/>
    <x v="8"/>
    <s v="Larry Castillo"/>
    <x v="148"/>
    <n v="3"/>
    <x v="2"/>
    <x v="1"/>
    <x v="1"/>
    <x v="0"/>
    <x v="2"/>
  </r>
  <r>
    <s v="AX11177"/>
    <s v="ENX2100"/>
    <s v="A115"/>
    <s v="EMP1032"/>
    <s v="C1573"/>
    <x v="253"/>
    <n v="4"/>
    <n v="799"/>
    <n v="455"/>
    <n v="1820"/>
    <n v="3196"/>
    <n v="1376"/>
    <s v="Product 101"/>
    <x v="33"/>
    <s v="Larry Castillo"/>
    <x v="383"/>
    <n v="3"/>
    <x v="2"/>
    <x v="1"/>
    <x v="1"/>
    <x v="0"/>
    <x v="2"/>
  </r>
  <r>
    <s v="AX11306"/>
    <s v="ENX2074"/>
    <s v="A165"/>
    <s v="EMP1018"/>
    <s v="C1093"/>
    <x v="254"/>
    <n v="1"/>
    <n v="504"/>
    <n v="408"/>
    <n v="408"/>
    <n v="504"/>
    <n v="96"/>
    <s v="Product 75"/>
    <x v="55"/>
    <s v="Jimmy Young"/>
    <x v="290"/>
    <n v="3"/>
    <x v="2"/>
    <x v="1"/>
    <x v="1"/>
    <x v="0"/>
    <x v="2"/>
  </r>
  <r>
    <s v="AX11456"/>
    <s v="ENX2060"/>
    <s v="A134"/>
    <s v="EMP1003"/>
    <s v="C1133"/>
    <x v="254"/>
    <n v="1"/>
    <n v="1467"/>
    <n v="807"/>
    <n v="807"/>
    <n v="1467"/>
    <n v="660"/>
    <s v="Product 61"/>
    <x v="41"/>
    <s v="Christopher Tucker"/>
    <x v="468"/>
    <n v="3"/>
    <x v="2"/>
    <x v="1"/>
    <x v="1"/>
    <x v="0"/>
    <x v="2"/>
  </r>
  <r>
    <s v="AX11752"/>
    <s v="ENX2017"/>
    <s v="A131"/>
    <s v="EMP1044"/>
    <s v="C1679"/>
    <x v="255"/>
    <n v="1"/>
    <n v="35"/>
    <n v="22"/>
    <n v="22"/>
    <n v="35"/>
    <n v="13"/>
    <s v="Product 18"/>
    <x v="32"/>
    <s v="Martin Carr"/>
    <x v="664"/>
    <n v="3"/>
    <x v="2"/>
    <x v="1"/>
    <x v="1"/>
    <x v="0"/>
    <x v="2"/>
  </r>
  <r>
    <s v="AX12576"/>
    <s v="ENX2084"/>
    <s v="A132"/>
    <s v="EMP1015"/>
    <s v="C1634"/>
    <x v="252"/>
    <n v="1"/>
    <n v="1783"/>
    <n v="1230"/>
    <n v="1230"/>
    <n v="1783"/>
    <n v="553"/>
    <s v="Product 85"/>
    <x v="48"/>
    <s v="Justin Lynch"/>
    <x v="71"/>
    <n v="3"/>
    <x v="2"/>
    <x v="1"/>
    <x v="1"/>
    <x v="0"/>
    <x v="2"/>
  </r>
  <r>
    <s v="AX12704"/>
    <s v="ENX2098"/>
    <s v="A146"/>
    <s v="EMP1028"/>
    <s v="C1783"/>
    <x v="255"/>
    <n v="1"/>
    <n v="1178"/>
    <n v="683"/>
    <n v="683"/>
    <n v="1178"/>
    <n v="495"/>
    <s v="Product 99"/>
    <x v="27"/>
    <s v="Howard Sims"/>
    <x v="272"/>
    <n v="3"/>
    <x v="2"/>
    <x v="1"/>
    <x v="1"/>
    <x v="0"/>
    <x v="2"/>
  </r>
  <r>
    <s v="AX13084"/>
    <s v="ENX2030"/>
    <s v="A151"/>
    <s v="EMP1002"/>
    <s v="C1232"/>
    <x v="252"/>
    <n v="3"/>
    <n v="1899"/>
    <n v="1044"/>
    <n v="3132"/>
    <n v="5697"/>
    <n v="2565"/>
    <s v="Product 31"/>
    <x v="1"/>
    <s v="Andrew Bowman"/>
    <x v="584"/>
    <n v="3"/>
    <x v="2"/>
    <x v="1"/>
    <x v="1"/>
    <x v="0"/>
    <x v="2"/>
  </r>
  <r>
    <s v="AX13098"/>
    <s v="ENX2068"/>
    <s v="A145"/>
    <s v="EMP1026"/>
    <s v="C1478"/>
    <x v="253"/>
    <n v="3"/>
    <n v="1500"/>
    <n v="900"/>
    <n v="2700"/>
    <n v="4500"/>
    <n v="1800"/>
    <s v="Product 69"/>
    <x v="35"/>
    <s v="Martin Perry"/>
    <x v="483"/>
    <n v="3"/>
    <x v="2"/>
    <x v="1"/>
    <x v="1"/>
    <x v="0"/>
    <x v="2"/>
  </r>
  <r>
    <s v="AX13446"/>
    <s v="ENX2008"/>
    <s v="A164"/>
    <s v="EMP1010"/>
    <s v="C1559"/>
    <x v="254"/>
    <n v="1"/>
    <n v="315"/>
    <n v="208"/>
    <n v="208"/>
    <n v="315"/>
    <n v="107"/>
    <s v="Product 9"/>
    <x v="3"/>
    <s v="Joshua Cook"/>
    <x v="43"/>
    <n v="3"/>
    <x v="2"/>
    <x v="1"/>
    <x v="1"/>
    <x v="0"/>
    <x v="2"/>
  </r>
  <r>
    <s v="AX13505"/>
    <s v="ENX2029"/>
    <s v="A155"/>
    <s v="EMP1023"/>
    <s v="C1609"/>
    <x v="253"/>
    <n v="2"/>
    <n v="1848"/>
    <n v="1294"/>
    <n v="2588"/>
    <n v="3696"/>
    <n v="1108"/>
    <s v="Product 30"/>
    <x v="53"/>
    <s v="Brian Davis"/>
    <x v="757"/>
    <n v="3"/>
    <x v="2"/>
    <x v="1"/>
    <x v="1"/>
    <x v="0"/>
    <x v="2"/>
  </r>
  <r>
    <s v="AX13600"/>
    <s v="ENX2098"/>
    <s v="A102"/>
    <s v="EMP1037"/>
    <s v="C1664"/>
    <x v="252"/>
    <n v="3"/>
    <n v="1178"/>
    <n v="683"/>
    <n v="2049"/>
    <n v="3534"/>
    <n v="1485"/>
    <s v="Product 99"/>
    <x v="44"/>
    <s v="Carl Hall"/>
    <x v="12"/>
    <n v="3"/>
    <x v="2"/>
    <x v="1"/>
    <x v="1"/>
    <x v="0"/>
    <x v="2"/>
  </r>
  <r>
    <s v="AX13838"/>
    <s v="ENX2028"/>
    <s v="A146"/>
    <s v="EMP1011"/>
    <s v="C1754"/>
    <x v="253"/>
    <n v="1"/>
    <n v="2283"/>
    <n v="1484"/>
    <n v="1484"/>
    <n v="2283"/>
    <n v="799"/>
    <s v="Product 29"/>
    <x v="27"/>
    <s v="Larry Marshall"/>
    <x v="742"/>
    <n v="3"/>
    <x v="2"/>
    <x v="1"/>
    <x v="1"/>
    <x v="0"/>
    <x v="2"/>
  </r>
  <r>
    <s v="AX13854"/>
    <s v="ENX2084"/>
    <s v="A163"/>
    <s v="EMP1035"/>
    <s v="C1276"/>
    <x v="254"/>
    <n v="1"/>
    <n v="1783"/>
    <n v="1230"/>
    <n v="1230"/>
    <n v="1783"/>
    <n v="553"/>
    <s v="Product 85"/>
    <x v="51"/>
    <s v="Roger Ramos"/>
    <x v="773"/>
    <n v="3"/>
    <x v="2"/>
    <x v="1"/>
    <x v="1"/>
    <x v="0"/>
    <x v="2"/>
  </r>
  <r>
    <s v="AX13860"/>
    <s v="ENX2035"/>
    <s v="A112"/>
    <s v="EMP1044"/>
    <s v="C1137"/>
    <x v="252"/>
    <n v="3"/>
    <n v="458"/>
    <n v="376"/>
    <n v="1128"/>
    <n v="1374"/>
    <n v="246"/>
    <s v="Product 36"/>
    <x v="66"/>
    <s v="Martin Carr"/>
    <x v="131"/>
    <n v="3"/>
    <x v="2"/>
    <x v="1"/>
    <x v="1"/>
    <x v="0"/>
    <x v="2"/>
  </r>
  <r>
    <s v="AX13968"/>
    <s v="ENX2099"/>
    <s v="A171"/>
    <s v="EMP1008"/>
    <s v="C1627"/>
    <x v="254"/>
    <n v="1"/>
    <n v="1367"/>
    <n v="984"/>
    <n v="984"/>
    <n v="1367"/>
    <n v="383"/>
    <s v="Product 100"/>
    <x v="0"/>
    <s v="Carl Elliott"/>
    <x v="785"/>
    <n v="3"/>
    <x v="2"/>
    <x v="1"/>
    <x v="1"/>
    <x v="0"/>
    <x v="2"/>
  </r>
  <r>
    <s v="AX14245"/>
    <s v="ENX2088"/>
    <s v="A104"/>
    <s v="EMP1018"/>
    <s v="C1482"/>
    <x v="253"/>
    <n v="1"/>
    <n v="603"/>
    <n v="416"/>
    <n v="416"/>
    <n v="603"/>
    <n v="187"/>
    <s v="Product 89"/>
    <x v="50"/>
    <s v="Jimmy Young"/>
    <x v="155"/>
    <n v="3"/>
    <x v="2"/>
    <x v="1"/>
    <x v="1"/>
    <x v="0"/>
    <x v="2"/>
  </r>
  <r>
    <s v="AX15407"/>
    <s v="ENX2080"/>
    <s v="A104"/>
    <s v="EMP1009"/>
    <s v="C1048"/>
    <x v="255"/>
    <n v="2"/>
    <n v="2353"/>
    <n v="1788"/>
    <n v="3576"/>
    <n v="4706"/>
    <n v="1130"/>
    <s v="Product 81"/>
    <x v="50"/>
    <s v="Kenneth Fields"/>
    <x v="391"/>
    <n v="3"/>
    <x v="2"/>
    <x v="1"/>
    <x v="1"/>
    <x v="0"/>
    <x v="2"/>
  </r>
  <r>
    <s v="AX15643"/>
    <s v="ENX2063"/>
    <s v="A116"/>
    <s v="EMP1015"/>
    <s v="C1272"/>
    <x v="253"/>
    <n v="1"/>
    <n v="1708"/>
    <n v="871"/>
    <n v="871"/>
    <n v="1708"/>
    <n v="837"/>
    <s v="Product 64"/>
    <x v="15"/>
    <s v="Justin Lynch"/>
    <x v="491"/>
    <n v="3"/>
    <x v="2"/>
    <x v="1"/>
    <x v="1"/>
    <x v="0"/>
    <x v="2"/>
  </r>
  <r>
    <s v="AX16902"/>
    <s v="ENX2053"/>
    <s v="A153"/>
    <s v="EMP1023"/>
    <s v="C1732"/>
    <x v="253"/>
    <n v="1"/>
    <n v="596"/>
    <n v="358"/>
    <n v="358"/>
    <n v="596"/>
    <n v="238"/>
    <s v="Product 54"/>
    <x v="8"/>
    <s v="Brian Davis"/>
    <x v="136"/>
    <n v="3"/>
    <x v="2"/>
    <x v="1"/>
    <x v="1"/>
    <x v="0"/>
    <x v="2"/>
  </r>
  <r>
    <s v="AX17317"/>
    <s v="ENX2021"/>
    <s v="A164"/>
    <s v="EMP1009"/>
    <s v="C1445"/>
    <x v="255"/>
    <n v="1"/>
    <n v="217"/>
    <n v="171"/>
    <n v="171"/>
    <n v="217"/>
    <n v="46"/>
    <s v="Product 22"/>
    <x v="3"/>
    <s v="Kenneth Fields"/>
    <x v="239"/>
    <n v="3"/>
    <x v="2"/>
    <x v="1"/>
    <x v="1"/>
    <x v="0"/>
    <x v="2"/>
  </r>
  <r>
    <s v="AX17839"/>
    <s v="ENX2094"/>
    <s v="A101"/>
    <s v="EMP1040"/>
    <s v="C1760"/>
    <x v="252"/>
    <n v="1"/>
    <n v="771"/>
    <n v="648"/>
    <n v="648"/>
    <n v="771"/>
    <n v="123"/>
    <s v="Product 95"/>
    <x v="60"/>
    <s v="Patrick Ruiz"/>
    <x v="502"/>
    <n v="3"/>
    <x v="2"/>
    <x v="1"/>
    <x v="1"/>
    <x v="0"/>
    <x v="2"/>
  </r>
  <r>
    <s v="AX17907"/>
    <s v="ENX2079"/>
    <s v="A106"/>
    <s v="EMP1005"/>
    <s v="C1534"/>
    <x v="254"/>
    <n v="3"/>
    <n v="1725"/>
    <n v="1363"/>
    <n v="4089"/>
    <n v="5175"/>
    <n v="1086"/>
    <s v="Product 80"/>
    <x v="11"/>
    <s v="Ryan Welch"/>
    <x v="273"/>
    <n v="3"/>
    <x v="2"/>
    <x v="1"/>
    <x v="1"/>
    <x v="0"/>
    <x v="2"/>
  </r>
  <r>
    <s v="AX17990"/>
    <s v="ENX2030"/>
    <s v="A149"/>
    <s v="EMP1038"/>
    <s v="C1727"/>
    <x v="253"/>
    <n v="1"/>
    <n v="1899"/>
    <n v="1044"/>
    <n v="1044"/>
    <n v="1899"/>
    <n v="855"/>
    <s v="Product 31"/>
    <x v="59"/>
    <s v="Scott Mason"/>
    <x v="581"/>
    <n v="3"/>
    <x v="2"/>
    <x v="1"/>
    <x v="1"/>
    <x v="0"/>
    <x v="2"/>
  </r>
  <r>
    <s v="AX18392"/>
    <s v="ENX2099"/>
    <s v="A110"/>
    <s v="EMP1039"/>
    <s v="C1376"/>
    <x v="255"/>
    <n v="1"/>
    <n v="1367"/>
    <n v="984"/>
    <n v="984"/>
    <n v="1367"/>
    <n v="383"/>
    <s v="Product 100"/>
    <x v="63"/>
    <s v="Eugene Holmes"/>
    <x v="356"/>
    <n v="3"/>
    <x v="2"/>
    <x v="1"/>
    <x v="1"/>
    <x v="0"/>
    <x v="2"/>
  </r>
  <r>
    <s v="AX18394"/>
    <s v="ENX2022"/>
    <s v="A101"/>
    <s v="EMP1011"/>
    <s v="C1770"/>
    <x v="253"/>
    <n v="3"/>
    <n v="561"/>
    <n v="421"/>
    <n v="1263"/>
    <n v="1683"/>
    <n v="420"/>
    <s v="Product 23"/>
    <x v="60"/>
    <s v="Larry Marshall"/>
    <x v="758"/>
    <n v="3"/>
    <x v="2"/>
    <x v="1"/>
    <x v="1"/>
    <x v="0"/>
    <x v="2"/>
  </r>
  <r>
    <s v="AX18554"/>
    <s v="ENX2058"/>
    <s v="A143"/>
    <s v="EMP1001"/>
    <s v="C1478"/>
    <x v="253"/>
    <n v="3"/>
    <n v="2257"/>
    <n v="1535"/>
    <n v="4605"/>
    <n v="6771"/>
    <n v="2166"/>
    <s v="Product 59"/>
    <x v="39"/>
    <s v="Kevin Butler"/>
    <x v="483"/>
    <n v="3"/>
    <x v="2"/>
    <x v="1"/>
    <x v="1"/>
    <x v="0"/>
    <x v="2"/>
  </r>
  <r>
    <s v="AX18758"/>
    <s v="ENX2068"/>
    <s v="A156"/>
    <s v="EMP1010"/>
    <s v="C1603"/>
    <x v="254"/>
    <n v="3"/>
    <n v="1500"/>
    <n v="900"/>
    <n v="2700"/>
    <n v="4500"/>
    <n v="1800"/>
    <s v="Product 69"/>
    <x v="14"/>
    <s v="Joshua Cook"/>
    <x v="229"/>
    <n v="3"/>
    <x v="2"/>
    <x v="1"/>
    <x v="1"/>
    <x v="0"/>
    <x v="2"/>
  </r>
  <r>
    <s v="AX18854"/>
    <s v="ENX2035"/>
    <s v="A159"/>
    <s v="EMP1006"/>
    <s v="C1195"/>
    <x v="255"/>
    <n v="4"/>
    <n v="458"/>
    <n v="376"/>
    <n v="1504"/>
    <n v="1832"/>
    <n v="328"/>
    <s v="Product 36"/>
    <x v="13"/>
    <s v="Sean Miller"/>
    <x v="188"/>
    <n v="3"/>
    <x v="2"/>
    <x v="1"/>
    <x v="1"/>
    <x v="0"/>
    <x v="2"/>
  </r>
  <r>
    <s v="AX19331"/>
    <s v="ENX2044"/>
    <s v="A107"/>
    <s v="EMP1021"/>
    <s v="C1312"/>
    <x v="253"/>
    <n v="4"/>
    <n v="886"/>
    <n v="478"/>
    <n v="1912"/>
    <n v="3544"/>
    <n v="1632"/>
    <s v="Product 45"/>
    <x v="21"/>
    <s v="Clarence Fox"/>
    <x v="609"/>
    <n v="3"/>
    <x v="2"/>
    <x v="1"/>
    <x v="1"/>
    <x v="0"/>
    <x v="2"/>
  </r>
  <r>
    <s v="AX19774"/>
    <s v="ENX2025"/>
    <s v="A124"/>
    <s v="EMP1026"/>
    <s v="C1281"/>
    <x v="254"/>
    <n v="4"/>
    <n v="667"/>
    <n v="387"/>
    <n v="1548"/>
    <n v="2668"/>
    <n v="1120"/>
    <s v="Product 26"/>
    <x v="67"/>
    <s v="Martin Perry"/>
    <x v="216"/>
    <n v="3"/>
    <x v="2"/>
    <x v="1"/>
    <x v="1"/>
    <x v="0"/>
    <x v="2"/>
  </r>
  <r>
    <s v="AX19874"/>
    <s v="ENX2066"/>
    <s v="A123"/>
    <s v="EMP1032"/>
    <s v="C1270"/>
    <x v="255"/>
    <n v="3"/>
    <n v="2091"/>
    <n v="1485"/>
    <n v="4455"/>
    <n v="6273"/>
    <n v="1818"/>
    <s v="Product 67"/>
    <x v="34"/>
    <s v="Larry Castillo"/>
    <x v="517"/>
    <n v="3"/>
    <x v="2"/>
    <x v="1"/>
    <x v="1"/>
    <x v="0"/>
    <x v="2"/>
  </r>
  <r>
    <s v="AX19941"/>
    <s v="ENX2017"/>
    <s v="A140"/>
    <s v="EMP1037"/>
    <s v="C1246"/>
    <x v="255"/>
    <n v="3"/>
    <n v="35"/>
    <n v="22"/>
    <n v="66"/>
    <n v="105"/>
    <n v="39"/>
    <s v="Product 18"/>
    <x v="18"/>
    <s v="Carl Hall"/>
    <x v="665"/>
    <n v="3"/>
    <x v="2"/>
    <x v="1"/>
    <x v="1"/>
    <x v="0"/>
    <x v="2"/>
  </r>
  <r>
    <s v="AX20231"/>
    <s v="ENX2010"/>
    <s v="A120"/>
    <s v="EMP1033"/>
    <s v="C1060"/>
    <x v="253"/>
    <n v="3"/>
    <n v="1812"/>
    <n v="1305"/>
    <n v="3915"/>
    <n v="5436"/>
    <n v="1521"/>
    <s v="Product 11"/>
    <x v="20"/>
    <s v="Jerry Perry"/>
    <x v="603"/>
    <n v="3"/>
    <x v="2"/>
    <x v="1"/>
    <x v="1"/>
    <x v="0"/>
    <x v="2"/>
  </r>
  <r>
    <s v="AX20346"/>
    <s v="ENX2034"/>
    <s v="A146"/>
    <s v="EMP1004"/>
    <s v="C1794"/>
    <x v="252"/>
    <n v="2"/>
    <n v="871"/>
    <n v="540"/>
    <n v="1080"/>
    <n v="1742"/>
    <n v="662"/>
    <s v="Product 35"/>
    <x v="27"/>
    <s v="Kenneth Bradley"/>
    <x v="411"/>
    <n v="3"/>
    <x v="2"/>
    <x v="1"/>
    <x v="1"/>
    <x v="0"/>
    <x v="2"/>
  </r>
  <r>
    <s v="AX20805"/>
    <s v="ENX2096"/>
    <s v="A117"/>
    <s v="EMP1001"/>
    <s v="C1311"/>
    <x v="252"/>
    <n v="1"/>
    <n v="1587"/>
    <n v="1301"/>
    <n v="1301"/>
    <n v="1587"/>
    <n v="286"/>
    <s v="Product 97"/>
    <x v="29"/>
    <s v="Kevin Butler"/>
    <x v="309"/>
    <n v="3"/>
    <x v="2"/>
    <x v="1"/>
    <x v="1"/>
    <x v="0"/>
    <x v="2"/>
  </r>
  <r>
    <s v="AX20879"/>
    <s v="ENX2083"/>
    <s v="A108"/>
    <s v="EMP1004"/>
    <s v="C1574"/>
    <x v="254"/>
    <n v="2"/>
    <n v="2141"/>
    <n v="1777"/>
    <n v="3554"/>
    <n v="4282"/>
    <n v="728"/>
    <s v="Product 84"/>
    <x v="49"/>
    <s v="Kenneth Bradley"/>
    <x v="521"/>
    <n v="3"/>
    <x v="2"/>
    <x v="1"/>
    <x v="1"/>
    <x v="0"/>
    <x v="2"/>
  </r>
  <r>
    <s v="AX21343"/>
    <s v="ENX2100"/>
    <s v="A122"/>
    <s v="EMP1003"/>
    <s v="C1562"/>
    <x v="252"/>
    <n v="2"/>
    <n v="799"/>
    <n v="455"/>
    <n v="910"/>
    <n v="1598"/>
    <n v="688"/>
    <s v="Product 101"/>
    <x v="71"/>
    <s v="Christopher Tucker"/>
    <x v="312"/>
    <n v="3"/>
    <x v="2"/>
    <x v="1"/>
    <x v="1"/>
    <x v="0"/>
    <x v="2"/>
  </r>
  <r>
    <s v="AX21384"/>
    <s v="ENX2065"/>
    <s v="A172"/>
    <s v="EMP1015"/>
    <s v="C1579"/>
    <x v="253"/>
    <n v="2"/>
    <n v="2396"/>
    <n v="1965"/>
    <n v="3930"/>
    <n v="4792"/>
    <n v="862"/>
    <s v="Product 66"/>
    <x v="36"/>
    <s v="Justin Lynch"/>
    <x v="422"/>
    <n v="3"/>
    <x v="2"/>
    <x v="1"/>
    <x v="1"/>
    <x v="0"/>
    <x v="2"/>
  </r>
  <r>
    <s v="AX21475"/>
    <s v="ENX2029"/>
    <s v="A113"/>
    <s v="EMP1043"/>
    <s v="C1392"/>
    <x v="255"/>
    <n v="1"/>
    <n v="1848"/>
    <n v="1294"/>
    <n v="1294"/>
    <n v="1848"/>
    <n v="554"/>
    <s v="Product 30"/>
    <x v="73"/>
    <s v="Joshua Taylor"/>
    <x v="78"/>
    <n v="3"/>
    <x v="2"/>
    <x v="1"/>
    <x v="1"/>
    <x v="0"/>
    <x v="2"/>
  </r>
  <r>
    <s v="AX21534"/>
    <s v="ENX2028"/>
    <s v="A112"/>
    <s v="EMP1039"/>
    <s v="C1568"/>
    <x v="254"/>
    <n v="1"/>
    <n v="2283"/>
    <n v="1484"/>
    <n v="1484"/>
    <n v="2283"/>
    <n v="799"/>
    <s v="Product 29"/>
    <x v="66"/>
    <s v="Eugene Holmes"/>
    <x v="551"/>
    <n v="3"/>
    <x v="2"/>
    <x v="1"/>
    <x v="1"/>
    <x v="0"/>
    <x v="2"/>
  </r>
  <r>
    <s v="AX21686"/>
    <s v="ENX2043"/>
    <s v="A125"/>
    <s v="EMP1021"/>
    <s v="C1424"/>
    <x v="255"/>
    <n v="1"/>
    <n v="545"/>
    <n v="425"/>
    <n v="425"/>
    <n v="545"/>
    <n v="120"/>
    <s v="Product 44"/>
    <x v="31"/>
    <s v="Clarence Fox"/>
    <x v="791"/>
    <n v="3"/>
    <x v="2"/>
    <x v="1"/>
    <x v="1"/>
    <x v="0"/>
    <x v="2"/>
  </r>
  <r>
    <s v="AX22041"/>
    <s v="ENX2070"/>
    <s v="A149"/>
    <s v="EMP1007"/>
    <s v="C1740"/>
    <x v="255"/>
    <n v="1"/>
    <n v="1671"/>
    <n v="1220"/>
    <n v="1220"/>
    <n v="1671"/>
    <n v="451"/>
    <s v="Product 71"/>
    <x v="59"/>
    <s v="Jeremy Mendoza"/>
    <x v="699"/>
    <n v="3"/>
    <x v="2"/>
    <x v="1"/>
    <x v="1"/>
    <x v="0"/>
    <x v="2"/>
  </r>
  <r>
    <s v="AX22100"/>
    <s v="ENX2034"/>
    <s v="A116"/>
    <s v="EMP1030"/>
    <s v="C1659"/>
    <x v="254"/>
    <n v="1"/>
    <n v="871"/>
    <n v="540"/>
    <n v="540"/>
    <n v="871"/>
    <n v="331"/>
    <s v="Product 35"/>
    <x v="15"/>
    <s v="Bobby Russell"/>
    <x v="51"/>
    <n v="3"/>
    <x v="2"/>
    <x v="1"/>
    <x v="1"/>
    <x v="0"/>
    <x v="2"/>
  </r>
  <r>
    <s v="AX22146"/>
    <s v="ENX2089"/>
    <s v="A169"/>
    <s v="EMP1014"/>
    <s v="C1490"/>
    <x v="252"/>
    <n v="1"/>
    <n v="2294"/>
    <n v="1399"/>
    <n v="1399"/>
    <n v="2294"/>
    <n v="895"/>
    <s v="Product 90"/>
    <x v="17"/>
    <s v="Ronald Reed"/>
    <x v="61"/>
    <n v="3"/>
    <x v="2"/>
    <x v="1"/>
    <x v="1"/>
    <x v="0"/>
    <x v="2"/>
  </r>
  <r>
    <s v="AX22305"/>
    <s v="ENX2068"/>
    <s v="A100"/>
    <s v="EMP1007"/>
    <s v="C1134"/>
    <x v="253"/>
    <n v="1"/>
    <n v="1500"/>
    <n v="900"/>
    <n v="900"/>
    <n v="1500"/>
    <n v="600"/>
    <s v="Product 69"/>
    <x v="52"/>
    <s v="Jeremy Mendoza"/>
    <x v="495"/>
    <n v="3"/>
    <x v="2"/>
    <x v="1"/>
    <x v="1"/>
    <x v="0"/>
    <x v="2"/>
  </r>
  <r>
    <s v="AX22633"/>
    <s v="ENX2039"/>
    <s v="A134"/>
    <s v="EMP1019"/>
    <s v="C1172"/>
    <x v="255"/>
    <n v="1"/>
    <n v="817"/>
    <n v="409"/>
    <n v="409"/>
    <n v="817"/>
    <n v="408"/>
    <s v="Product 40"/>
    <x v="41"/>
    <s v="Roger Robertson"/>
    <x v="63"/>
    <n v="3"/>
    <x v="2"/>
    <x v="1"/>
    <x v="1"/>
    <x v="0"/>
    <x v="2"/>
  </r>
  <r>
    <s v="AX23755"/>
    <s v="ENX2000"/>
    <s v="A145"/>
    <s v="EMP1024"/>
    <s v="C1736"/>
    <x v="255"/>
    <n v="4"/>
    <n v="2241"/>
    <n v="1367"/>
    <n v="5468"/>
    <n v="8964"/>
    <n v="3496"/>
    <s v="Product 1"/>
    <x v="35"/>
    <s v="Ernest Wheeler"/>
    <x v="472"/>
    <n v="3"/>
    <x v="2"/>
    <x v="1"/>
    <x v="1"/>
    <x v="0"/>
    <x v="2"/>
  </r>
  <r>
    <s v="AX24203"/>
    <s v="ENX2081"/>
    <s v="A102"/>
    <s v="EMP1040"/>
    <s v="C1550"/>
    <x v="255"/>
    <n v="3"/>
    <n v="1566"/>
    <n v="1190"/>
    <n v="3570"/>
    <n v="4698"/>
    <n v="1128"/>
    <s v="Product 82"/>
    <x v="44"/>
    <s v="Patrick Ruiz"/>
    <x v="689"/>
    <n v="3"/>
    <x v="2"/>
    <x v="1"/>
    <x v="1"/>
    <x v="0"/>
    <x v="2"/>
  </r>
  <r>
    <s v="AX24333"/>
    <s v="ENX2038"/>
    <s v="A127"/>
    <s v="EMP1011"/>
    <s v="C1163"/>
    <x v="252"/>
    <n v="1"/>
    <n v="392"/>
    <n v="255"/>
    <n v="255"/>
    <n v="392"/>
    <n v="137"/>
    <s v="Product 39"/>
    <x v="69"/>
    <s v="Larry Marshall"/>
    <x v="23"/>
    <n v="3"/>
    <x v="2"/>
    <x v="1"/>
    <x v="1"/>
    <x v="0"/>
    <x v="2"/>
  </r>
  <r>
    <s v="AX24437"/>
    <s v="ENX2053"/>
    <s v="A156"/>
    <s v="EMP1006"/>
    <s v="C1657"/>
    <x v="253"/>
    <n v="1"/>
    <n v="596"/>
    <n v="358"/>
    <n v="358"/>
    <n v="596"/>
    <n v="238"/>
    <s v="Product 54"/>
    <x v="14"/>
    <s v="Sean Miller"/>
    <x v="361"/>
    <n v="3"/>
    <x v="2"/>
    <x v="1"/>
    <x v="1"/>
    <x v="0"/>
    <x v="2"/>
  </r>
  <r>
    <s v="AX10041"/>
    <s v="ENX2010"/>
    <s v="A146"/>
    <s v="EMP1022"/>
    <s v="C1562"/>
    <x v="256"/>
    <n v="1"/>
    <n v="1812"/>
    <n v="1305"/>
    <n v="1305"/>
    <n v="1812"/>
    <n v="507"/>
    <s v="Product 11"/>
    <x v="27"/>
    <s v="Walter Cook"/>
    <x v="312"/>
    <n v="3"/>
    <x v="2"/>
    <x v="2"/>
    <x v="2"/>
    <x v="0"/>
    <x v="0"/>
  </r>
  <r>
    <s v="AX10137"/>
    <s v="ENX2093"/>
    <s v="A172"/>
    <s v="EMP1006"/>
    <s v="C1704"/>
    <x v="257"/>
    <n v="1"/>
    <n v="112"/>
    <n v="90"/>
    <n v="90"/>
    <n v="112"/>
    <n v="22"/>
    <s v="Product 94"/>
    <x v="36"/>
    <s v="Sean Miller"/>
    <x v="28"/>
    <n v="3"/>
    <x v="2"/>
    <x v="2"/>
    <x v="2"/>
    <x v="0"/>
    <x v="0"/>
  </r>
  <r>
    <s v="AX10382"/>
    <s v="ENX2038"/>
    <s v="A171"/>
    <s v="EMP1005"/>
    <s v="C1450"/>
    <x v="258"/>
    <n v="3"/>
    <n v="392"/>
    <n v="255"/>
    <n v="765"/>
    <n v="1176"/>
    <n v="411"/>
    <s v="Product 39"/>
    <x v="0"/>
    <s v="Ryan Welch"/>
    <x v="13"/>
    <n v="3"/>
    <x v="2"/>
    <x v="2"/>
    <x v="2"/>
    <x v="0"/>
    <x v="0"/>
  </r>
  <r>
    <s v="AX10386"/>
    <s v="ENX2058"/>
    <s v="A167"/>
    <s v="EMP1024"/>
    <s v="C1141"/>
    <x v="257"/>
    <n v="3"/>
    <n v="2257"/>
    <n v="1535"/>
    <n v="4605"/>
    <n v="6771"/>
    <n v="2166"/>
    <s v="Product 59"/>
    <x v="64"/>
    <s v="Ernest Wheeler"/>
    <x v="166"/>
    <n v="3"/>
    <x v="2"/>
    <x v="2"/>
    <x v="2"/>
    <x v="0"/>
    <x v="0"/>
  </r>
  <r>
    <s v="AX10671"/>
    <s v="ENX2069"/>
    <s v="A130"/>
    <s v="EMP1027"/>
    <s v="C1075"/>
    <x v="257"/>
    <n v="1"/>
    <n v="378"/>
    <n v="291"/>
    <n v="291"/>
    <n v="378"/>
    <n v="87"/>
    <s v="Product 70"/>
    <x v="4"/>
    <s v="Gary Rodriguez"/>
    <x v="594"/>
    <n v="3"/>
    <x v="2"/>
    <x v="2"/>
    <x v="2"/>
    <x v="0"/>
    <x v="0"/>
  </r>
  <r>
    <s v="AX10745"/>
    <s v="ENX2090"/>
    <s v="A159"/>
    <s v="EMP1041"/>
    <s v="C1438"/>
    <x v="258"/>
    <n v="4"/>
    <n v="1338"/>
    <n v="682"/>
    <n v="2728"/>
    <n v="5352"/>
    <n v="2624"/>
    <s v="Product 91"/>
    <x v="13"/>
    <s v="Joe Sims"/>
    <x v="670"/>
    <n v="3"/>
    <x v="2"/>
    <x v="2"/>
    <x v="2"/>
    <x v="0"/>
    <x v="0"/>
  </r>
  <r>
    <s v="AX11040"/>
    <s v="ENX2098"/>
    <s v="A163"/>
    <s v="EMP1041"/>
    <s v="C1063"/>
    <x v="259"/>
    <n v="3"/>
    <n v="1178"/>
    <n v="683"/>
    <n v="2049"/>
    <n v="3534"/>
    <n v="1485"/>
    <s v="Product 99"/>
    <x v="51"/>
    <s v="Joe Sims"/>
    <x v="296"/>
    <n v="3"/>
    <x v="2"/>
    <x v="2"/>
    <x v="2"/>
    <x v="0"/>
    <x v="0"/>
  </r>
  <r>
    <s v="AX11322"/>
    <s v="ENX2081"/>
    <s v="A135"/>
    <s v="EMP1025"/>
    <s v="C1207"/>
    <x v="258"/>
    <n v="1"/>
    <n v="1566"/>
    <n v="1190"/>
    <n v="1190"/>
    <n v="1566"/>
    <n v="376"/>
    <s v="Product 82"/>
    <x v="10"/>
    <s v="Ernest Wagner"/>
    <x v="694"/>
    <n v="3"/>
    <x v="2"/>
    <x v="2"/>
    <x v="2"/>
    <x v="0"/>
    <x v="0"/>
  </r>
  <r>
    <s v="AX11371"/>
    <s v="ENX2015"/>
    <s v="A119"/>
    <s v="EMP1004"/>
    <s v="C1217"/>
    <x v="256"/>
    <n v="1"/>
    <n v="637"/>
    <n v="389"/>
    <n v="389"/>
    <n v="637"/>
    <n v="248"/>
    <s v="Product 16"/>
    <x v="16"/>
    <s v="Kenneth Bradley"/>
    <x v="619"/>
    <n v="3"/>
    <x v="2"/>
    <x v="2"/>
    <x v="2"/>
    <x v="0"/>
    <x v="0"/>
  </r>
  <r>
    <s v="AX11781"/>
    <s v="ENX2083"/>
    <s v="A162"/>
    <s v="EMP1026"/>
    <s v="C1215"/>
    <x v="257"/>
    <n v="1"/>
    <n v="2141"/>
    <n v="1777"/>
    <n v="1777"/>
    <n v="2141"/>
    <n v="364"/>
    <s v="Product 84"/>
    <x v="2"/>
    <s v="Martin Perry"/>
    <x v="650"/>
    <n v="3"/>
    <x v="2"/>
    <x v="2"/>
    <x v="2"/>
    <x v="0"/>
    <x v="0"/>
  </r>
  <r>
    <s v="AX12363"/>
    <s v="ENX2094"/>
    <s v="A150"/>
    <s v="EMP1011"/>
    <s v="C1138"/>
    <x v="259"/>
    <n v="2"/>
    <n v="771"/>
    <n v="648"/>
    <n v="1296"/>
    <n v="1542"/>
    <n v="246"/>
    <s v="Product 95"/>
    <x v="30"/>
    <s v="Larry Marshall"/>
    <x v="325"/>
    <n v="3"/>
    <x v="2"/>
    <x v="2"/>
    <x v="2"/>
    <x v="0"/>
    <x v="0"/>
  </r>
  <r>
    <s v="AX12485"/>
    <s v="ENX2017"/>
    <s v="A156"/>
    <s v="EMP1005"/>
    <s v="C1275"/>
    <x v="259"/>
    <n v="2"/>
    <n v="35"/>
    <n v="22"/>
    <n v="44"/>
    <n v="70"/>
    <n v="26"/>
    <s v="Product 18"/>
    <x v="14"/>
    <s v="Ryan Welch"/>
    <x v="144"/>
    <n v="3"/>
    <x v="2"/>
    <x v="2"/>
    <x v="2"/>
    <x v="0"/>
    <x v="0"/>
  </r>
  <r>
    <s v="AX12496"/>
    <s v="ENX2088"/>
    <s v="A152"/>
    <s v="EMP1032"/>
    <s v="C1512"/>
    <x v="256"/>
    <n v="1"/>
    <n v="603"/>
    <n v="416"/>
    <n v="416"/>
    <n v="603"/>
    <n v="187"/>
    <s v="Product 89"/>
    <x v="26"/>
    <s v="Larry Castillo"/>
    <x v="671"/>
    <n v="3"/>
    <x v="2"/>
    <x v="2"/>
    <x v="2"/>
    <x v="0"/>
    <x v="0"/>
  </r>
  <r>
    <s v="AX12791"/>
    <s v="ENX2042"/>
    <s v="A148"/>
    <s v="EMP1021"/>
    <s v="C1210"/>
    <x v="258"/>
    <n v="3"/>
    <n v="203"/>
    <n v="154"/>
    <n v="462"/>
    <n v="609"/>
    <n v="147"/>
    <s v="Product 43"/>
    <x v="62"/>
    <s v="Clarence Fox"/>
    <x v="629"/>
    <n v="3"/>
    <x v="2"/>
    <x v="2"/>
    <x v="2"/>
    <x v="0"/>
    <x v="0"/>
  </r>
  <r>
    <s v="AX12932"/>
    <s v="ENX2098"/>
    <s v="A138"/>
    <s v="EMP1040"/>
    <s v="C1289"/>
    <x v="258"/>
    <n v="1"/>
    <n v="1178"/>
    <n v="683"/>
    <n v="683"/>
    <n v="1178"/>
    <n v="495"/>
    <s v="Product 99"/>
    <x v="37"/>
    <s v="Patrick Ruiz"/>
    <x v="328"/>
    <n v="3"/>
    <x v="2"/>
    <x v="2"/>
    <x v="2"/>
    <x v="0"/>
    <x v="0"/>
  </r>
  <r>
    <s v="AX13039"/>
    <s v="ENX2057"/>
    <s v="A121"/>
    <s v="EMP1023"/>
    <s v="C1261"/>
    <x v="259"/>
    <n v="1"/>
    <n v="181"/>
    <n v="130"/>
    <n v="130"/>
    <n v="181"/>
    <n v="51"/>
    <s v="Product 58"/>
    <x v="72"/>
    <s v="Brian Davis"/>
    <x v="295"/>
    <n v="3"/>
    <x v="2"/>
    <x v="2"/>
    <x v="2"/>
    <x v="0"/>
    <x v="0"/>
  </r>
  <r>
    <s v="AX13343"/>
    <s v="ENX2089"/>
    <s v="A100"/>
    <s v="EMP1000"/>
    <s v="C1003"/>
    <x v="256"/>
    <n v="2"/>
    <n v="2294"/>
    <n v="1399"/>
    <n v="2798"/>
    <n v="4588"/>
    <n v="1790"/>
    <s v="Product 90"/>
    <x v="52"/>
    <s v="Fred Robertson"/>
    <x v="494"/>
    <n v="3"/>
    <x v="2"/>
    <x v="2"/>
    <x v="2"/>
    <x v="0"/>
    <x v="0"/>
  </r>
  <r>
    <s v="AX13414"/>
    <s v="ENX2094"/>
    <s v="A138"/>
    <s v="EMP1039"/>
    <s v="C1739"/>
    <x v="259"/>
    <n v="4"/>
    <n v="771"/>
    <n v="648"/>
    <n v="2592"/>
    <n v="3084"/>
    <n v="492"/>
    <s v="Product 95"/>
    <x v="37"/>
    <s v="Eugene Holmes"/>
    <x v="286"/>
    <n v="3"/>
    <x v="2"/>
    <x v="2"/>
    <x v="2"/>
    <x v="0"/>
    <x v="0"/>
  </r>
  <r>
    <s v="AX13689"/>
    <s v="ENX2007"/>
    <s v="A130"/>
    <s v="EMP1042"/>
    <s v="C1526"/>
    <x v="258"/>
    <n v="2"/>
    <n v="1405"/>
    <n v="1054"/>
    <n v="2108"/>
    <n v="2810"/>
    <n v="702"/>
    <s v="Product 8"/>
    <x v="4"/>
    <s v="Scott Clark"/>
    <x v="6"/>
    <n v="3"/>
    <x v="2"/>
    <x v="2"/>
    <x v="2"/>
    <x v="0"/>
    <x v="0"/>
  </r>
  <r>
    <s v="AX13694"/>
    <s v="ENX2053"/>
    <s v="A147"/>
    <s v="EMP1043"/>
    <s v="C1443"/>
    <x v="256"/>
    <n v="1"/>
    <n v="596"/>
    <n v="358"/>
    <n v="358"/>
    <n v="596"/>
    <n v="238"/>
    <s v="Product 54"/>
    <x v="42"/>
    <s v="Joshua Taylor"/>
    <x v="683"/>
    <n v="3"/>
    <x v="2"/>
    <x v="2"/>
    <x v="2"/>
    <x v="0"/>
    <x v="0"/>
  </r>
  <r>
    <s v="AX14162"/>
    <s v="ENX2076"/>
    <s v="A157"/>
    <s v="EMP1033"/>
    <s v="C1232"/>
    <x v="257"/>
    <n v="3"/>
    <n v="1522"/>
    <n v="791"/>
    <n v="2373"/>
    <n v="4566"/>
    <n v="2193"/>
    <s v="Product 77"/>
    <x v="7"/>
    <s v="Jerry Perry"/>
    <x v="584"/>
    <n v="3"/>
    <x v="2"/>
    <x v="2"/>
    <x v="2"/>
    <x v="0"/>
    <x v="0"/>
  </r>
  <r>
    <s v="AX14703"/>
    <s v="ENX2029"/>
    <s v="A147"/>
    <s v="EMP1032"/>
    <s v="C1595"/>
    <x v="256"/>
    <n v="1"/>
    <n v="1848"/>
    <n v="1294"/>
    <n v="1294"/>
    <n v="1848"/>
    <n v="554"/>
    <s v="Product 30"/>
    <x v="42"/>
    <s v="Larry Castillo"/>
    <x v="372"/>
    <n v="3"/>
    <x v="2"/>
    <x v="2"/>
    <x v="2"/>
    <x v="0"/>
    <x v="0"/>
  </r>
  <r>
    <s v="AX14793"/>
    <s v="ENX2072"/>
    <s v="A140"/>
    <s v="EMP1002"/>
    <s v="C1420"/>
    <x v="259"/>
    <n v="1"/>
    <n v="1887"/>
    <n v="1378"/>
    <n v="1378"/>
    <n v="1887"/>
    <n v="509"/>
    <s v="Product 73"/>
    <x v="18"/>
    <s v="Andrew Bowman"/>
    <x v="33"/>
    <n v="3"/>
    <x v="2"/>
    <x v="2"/>
    <x v="2"/>
    <x v="0"/>
    <x v="0"/>
  </r>
  <r>
    <s v="AX15144"/>
    <s v="ENX2004"/>
    <s v="A100"/>
    <s v="EMP1044"/>
    <s v="C1488"/>
    <x v="258"/>
    <n v="1"/>
    <n v="1278"/>
    <n v="665"/>
    <n v="665"/>
    <n v="1278"/>
    <n v="613"/>
    <s v="Product 5"/>
    <x v="52"/>
    <s v="Martin Carr"/>
    <x v="763"/>
    <n v="3"/>
    <x v="2"/>
    <x v="2"/>
    <x v="2"/>
    <x v="0"/>
    <x v="0"/>
  </r>
  <r>
    <s v="AX15194"/>
    <s v="ENX2085"/>
    <s v="A120"/>
    <s v="EMP1010"/>
    <s v="C1073"/>
    <x v="258"/>
    <n v="1"/>
    <n v="1862"/>
    <n v="1173"/>
    <n v="1173"/>
    <n v="1862"/>
    <n v="689"/>
    <s v="Product 86"/>
    <x v="20"/>
    <s v="Joshua Cook"/>
    <x v="237"/>
    <n v="3"/>
    <x v="2"/>
    <x v="2"/>
    <x v="2"/>
    <x v="0"/>
    <x v="0"/>
  </r>
  <r>
    <s v="AX15390"/>
    <s v="ENX2090"/>
    <s v="A111"/>
    <s v="EMP1026"/>
    <s v="C1314"/>
    <x v="258"/>
    <n v="1"/>
    <n v="1338"/>
    <n v="682"/>
    <n v="682"/>
    <n v="1338"/>
    <n v="656"/>
    <s v="Product 91"/>
    <x v="54"/>
    <s v="Martin Perry"/>
    <x v="421"/>
    <n v="3"/>
    <x v="2"/>
    <x v="2"/>
    <x v="2"/>
    <x v="0"/>
    <x v="0"/>
  </r>
  <r>
    <s v="AX15398"/>
    <s v="ENX2019"/>
    <s v="A170"/>
    <s v="EMP1037"/>
    <s v="C1282"/>
    <x v="259"/>
    <n v="3"/>
    <n v="800"/>
    <n v="536"/>
    <n v="1608"/>
    <n v="2400"/>
    <n v="792"/>
    <s v="Product 20"/>
    <x v="47"/>
    <s v="Carl Hall"/>
    <x v="520"/>
    <n v="3"/>
    <x v="2"/>
    <x v="2"/>
    <x v="2"/>
    <x v="0"/>
    <x v="0"/>
  </r>
  <r>
    <s v="AX15463"/>
    <s v="ENX2006"/>
    <s v="A151"/>
    <s v="EMP1013"/>
    <s v="C1131"/>
    <x v="256"/>
    <n v="3"/>
    <n v="1826"/>
    <n v="1443"/>
    <n v="4329"/>
    <n v="5478"/>
    <n v="1149"/>
    <s v="Product 7"/>
    <x v="1"/>
    <s v="Charles Harper"/>
    <x v="76"/>
    <n v="3"/>
    <x v="2"/>
    <x v="2"/>
    <x v="2"/>
    <x v="0"/>
    <x v="0"/>
  </r>
  <r>
    <s v="AX15778"/>
    <s v="ENX2009"/>
    <s v="A165"/>
    <s v="EMP1035"/>
    <s v="C1286"/>
    <x v="257"/>
    <n v="1"/>
    <n v="584"/>
    <n v="420"/>
    <n v="420"/>
    <n v="584"/>
    <n v="164"/>
    <s v="Product 10"/>
    <x v="55"/>
    <s v="Roger Ramos"/>
    <x v="308"/>
    <n v="3"/>
    <x v="2"/>
    <x v="2"/>
    <x v="2"/>
    <x v="0"/>
    <x v="0"/>
  </r>
  <r>
    <s v="AX16020"/>
    <s v="ENX2039"/>
    <s v="A171"/>
    <s v="EMP1038"/>
    <s v="C1600"/>
    <x v="258"/>
    <n v="2"/>
    <n v="817"/>
    <n v="409"/>
    <n v="818"/>
    <n v="1634"/>
    <n v="816"/>
    <s v="Product 40"/>
    <x v="0"/>
    <s v="Scott Mason"/>
    <x v="266"/>
    <n v="3"/>
    <x v="2"/>
    <x v="2"/>
    <x v="2"/>
    <x v="0"/>
    <x v="0"/>
  </r>
  <r>
    <s v="AX16258"/>
    <s v="ENX2078"/>
    <s v="A122"/>
    <s v="EMP1005"/>
    <s v="C1073"/>
    <x v="256"/>
    <n v="3"/>
    <n v="1798"/>
    <n v="971"/>
    <n v="2913"/>
    <n v="5394"/>
    <n v="2481"/>
    <s v="Product 79"/>
    <x v="71"/>
    <s v="Ryan Welch"/>
    <x v="237"/>
    <n v="3"/>
    <x v="2"/>
    <x v="2"/>
    <x v="2"/>
    <x v="0"/>
    <x v="0"/>
  </r>
  <r>
    <s v="AX16283"/>
    <s v="ENX2005"/>
    <s v="A106"/>
    <s v="EMP1009"/>
    <s v="C1406"/>
    <x v="256"/>
    <n v="1"/>
    <n v="684"/>
    <n v="561"/>
    <n v="561"/>
    <n v="684"/>
    <n v="123"/>
    <s v="Product 6"/>
    <x v="11"/>
    <s v="Kenneth Fields"/>
    <x v="783"/>
    <n v="3"/>
    <x v="2"/>
    <x v="2"/>
    <x v="2"/>
    <x v="0"/>
    <x v="0"/>
  </r>
  <r>
    <s v="AX16341"/>
    <s v="ENX2067"/>
    <s v="A131"/>
    <s v="EMP1022"/>
    <s v="C1298"/>
    <x v="256"/>
    <n v="3"/>
    <n v="1119"/>
    <n v="683"/>
    <n v="2049"/>
    <n v="3357"/>
    <n v="1308"/>
    <s v="Product 68"/>
    <x v="32"/>
    <s v="Walter Cook"/>
    <x v="623"/>
    <n v="3"/>
    <x v="2"/>
    <x v="2"/>
    <x v="2"/>
    <x v="0"/>
    <x v="0"/>
  </r>
  <r>
    <s v="AX16779"/>
    <s v="ENX2057"/>
    <s v="A163"/>
    <s v="EMP1003"/>
    <s v="C1102"/>
    <x v="259"/>
    <n v="3"/>
    <n v="181"/>
    <n v="130"/>
    <n v="390"/>
    <n v="543"/>
    <n v="153"/>
    <s v="Product 58"/>
    <x v="51"/>
    <s v="Christopher Tucker"/>
    <x v="766"/>
    <n v="3"/>
    <x v="2"/>
    <x v="2"/>
    <x v="2"/>
    <x v="0"/>
    <x v="0"/>
  </r>
  <r>
    <s v="AX16895"/>
    <s v="ENX2070"/>
    <s v="A131"/>
    <s v="EMP1031"/>
    <s v="C1289"/>
    <x v="257"/>
    <n v="1"/>
    <n v="1671"/>
    <n v="1220"/>
    <n v="1220"/>
    <n v="1671"/>
    <n v="451"/>
    <s v="Product 71"/>
    <x v="32"/>
    <s v="Brian Thomas"/>
    <x v="328"/>
    <n v="3"/>
    <x v="2"/>
    <x v="2"/>
    <x v="2"/>
    <x v="0"/>
    <x v="0"/>
  </r>
  <r>
    <s v="AX17315"/>
    <s v="ENX2030"/>
    <s v="A153"/>
    <s v="EMP1031"/>
    <s v="C1752"/>
    <x v="258"/>
    <n v="1"/>
    <n v="1899"/>
    <n v="1044"/>
    <n v="1044"/>
    <n v="1899"/>
    <n v="855"/>
    <s v="Product 31"/>
    <x v="8"/>
    <s v="Brian Thomas"/>
    <x v="233"/>
    <n v="3"/>
    <x v="2"/>
    <x v="2"/>
    <x v="2"/>
    <x v="0"/>
    <x v="0"/>
  </r>
  <r>
    <s v="AX17439"/>
    <s v="ENX2037"/>
    <s v="A140"/>
    <s v="EMP1029"/>
    <s v="C1497"/>
    <x v="256"/>
    <n v="2"/>
    <n v="880"/>
    <n v="634"/>
    <n v="1268"/>
    <n v="1760"/>
    <n v="492"/>
    <s v="Product 38"/>
    <x v="18"/>
    <s v="Howard Gardner"/>
    <x v="794"/>
    <n v="3"/>
    <x v="2"/>
    <x v="2"/>
    <x v="2"/>
    <x v="0"/>
    <x v="0"/>
  </r>
  <r>
    <s v="AX17678"/>
    <s v="ENX2029"/>
    <s v="A119"/>
    <s v="EMP1034"/>
    <s v="C1554"/>
    <x v="256"/>
    <n v="4"/>
    <n v="1848"/>
    <n v="1294"/>
    <n v="5176"/>
    <n v="7392"/>
    <n v="2216"/>
    <s v="Product 30"/>
    <x v="16"/>
    <s v="Arthur Mccoy"/>
    <x v="516"/>
    <n v="3"/>
    <x v="2"/>
    <x v="2"/>
    <x v="2"/>
    <x v="0"/>
    <x v="0"/>
  </r>
  <r>
    <s v="AX17762"/>
    <s v="ENX2045"/>
    <s v="A141"/>
    <s v="EMP1009"/>
    <s v="C1346"/>
    <x v="258"/>
    <n v="1"/>
    <n v="556"/>
    <n v="395"/>
    <n v="395"/>
    <n v="556"/>
    <n v="161"/>
    <s v="Product 46"/>
    <x v="23"/>
    <s v="Kenneth Fields"/>
    <x v="340"/>
    <n v="3"/>
    <x v="2"/>
    <x v="2"/>
    <x v="2"/>
    <x v="0"/>
    <x v="0"/>
  </r>
  <r>
    <s v="AX17815"/>
    <s v="ENX2090"/>
    <s v="A156"/>
    <s v="EMP1030"/>
    <s v="C1068"/>
    <x v="256"/>
    <n v="2"/>
    <n v="1338"/>
    <n v="682"/>
    <n v="1364"/>
    <n v="2676"/>
    <n v="1312"/>
    <s v="Product 91"/>
    <x v="14"/>
    <s v="Bobby Russell"/>
    <x v="288"/>
    <n v="3"/>
    <x v="2"/>
    <x v="2"/>
    <x v="2"/>
    <x v="0"/>
    <x v="0"/>
  </r>
  <r>
    <s v="AX18144"/>
    <s v="ENX2002"/>
    <s v="A113"/>
    <s v="EMP1034"/>
    <s v="C1662"/>
    <x v="257"/>
    <n v="3"/>
    <n v="847"/>
    <n v="534"/>
    <n v="1602"/>
    <n v="2541"/>
    <n v="939"/>
    <s v="Product 3"/>
    <x v="73"/>
    <s v="Arthur Mccoy"/>
    <x v="649"/>
    <n v="3"/>
    <x v="2"/>
    <x v="2"/>
    <x v="2"/>
    <x v="0"/>
    <x v="0"/>
  </r>
  <r>
    <s v="AX18239"/>
    <s v="ENX2013"/>
    <s v="A125"/>
    <s v="EMP1009"/>
    <s v="C1321"/>
    <x v="259"/>
    <n v="2"/>
    <n v="368"/>
    <n v="269"/>
    <n v="538"/>
    <n v="736"/>
    <n v="198"/>
    <s v="Product 14"/>
    <x v="31"/>
    <s v="Kenneth Fields"/>
    <x v="775"/>
    <n v="3"/>
    <x v="2"/>
    <x v="2"/>
    <x v="2"/>
    <x v="0"/>
    <x v="0"/>
  </r>
  <r>
    <s v="AX18354"/>
    <s v="ENX2084"/>
    <s v="A173"/>
    <s v="EMP1027"/>
    <s v="C1415"/>
    <x v="259"/>
    <n v="1"/>
    <n v="1783"/>
    <n v="1230"/>
    <n v="1230"/>
    <n v="1783"/>
    <n v="553"/>
    <s v="Product 85"/>
    <x v="25"/>
    <s v="Gary Rodriguez"/>
    <x v="352"/>
    <n v="3"/>
    <x v="2"/>
    <x v="2"/>
    <x v="2"/>
    <x v="0"/>
    <x v="0"/>
  </r>
  <r>
    <s v="AX19178"/>
    <s v="ENX2044"/>
    <s v="A100"/>
    <s v="EMP1025"/>
    <s v="C1190"/>
    <x v="259"/>
    <n v="1"/>
    <n v="886"/>
    <n v="478"/>
    <n v="478"/>
    <n v="886"/>
    <n v="408"/>
    <s v="Product 45"/>
    <x v="52"/>
    <s v="Ernest Wagner"/>
    <x v="1"/>
    <n v="3"/>
    <x v="2"/>
    <x v="2"/>
    <x v="2"/>
    <x v="0"/>
    <x v="0"/>
  </r>
  <r>
    <s v="AX19513"/>
    <s v="ENX2047"/>
    <s v="A120"/>
    <s v="EMP1037"/>
    <s v="C1601"/>
    <x v="256"/>
    <n v="1"/>
    <n v="290"/>
    <n v="200"/>
    <n v="200"/>
    <n v="290"/>
    <n v="90"/>
    <s v="Product 48"/>
    <x v="20"/>
    <s v="Carl Hall"/>
    <x v="324"/>
    <n v="3"/>
    <x v="2"/>
    <x v="2"/>
    <x v="2"/>
    <x v="0"/>
    <x v="0"/>
  </r>
  <r>
    <s v="AX19785"/>
    <s v="ENX2062"/>
    <s v="A162"/>
    <s v="EMP1032"/>
    <s v="C1747"/>
    <x v="257"/>
    <n v="1"/>
    <n v="2464"/>
    <n v="1774"/>
    <n v="1774"/>
    <n v="2464"/>
    <n v="690"/>
    <s v="Product 63"/>
    <x v="2"/>
    <s v="Larry Castillo"/>
    <x v="392"/>
    <n v="3"/>
    <x v="2"/>
    <x v="2"/>
    <x v="2"/>
    <x v="0"/>
    <x v="0"/>
  </r>
  <r>
    <s v="AX19957"/>
    <s v="ENX2021"/>
    <s v="A158"/>
    <s v="EMP1008"/>
    <s v="C1400"/>
    <x v="258"/>
    <n v="1"/>
    <n v="217"/>
    <n v="171"/>
    <n v="171"/>
    <n v="217"/>
    <n v="46"/>
    <s v="Product 22"/>
    <x v="58"/>
    <s v="Carl Elliott"/>
    <x v="437"/>
    <n v="3"/>
    <x v="2"/>
    <x v="2"/>
    <x v="2"/>
    <x v="0"/>
    <x v="0"/>
  </r>
  <r>
    <s v="AX19998"/>
    <s v="ENX2097"/>
    <s v="A160"/>
    <s v="EMP1038"/>
    <s v="C1329"/>
    <x v="258"/>
    <n v="4"/>
    <n v="1052"/>
    <n v="589"/>
    <n v="2356"/>
    <n v="4208"/>
    <n v="1852"/>
    <s v="Product 98"/>
    <x v="9"/>
    <s v="Scott Mason"/>
    <x v="244"/>
    <n v="3"/>
    <x v="2"/>
    <x v="2"/>
    <x v="2"/>
    <x v="0"/>
    <x v="0"/>
  </r>
  <r>
    <s v="AX20132"/>
    <s v="ENX2014"/>
    <s v="A156"/>
    <s v="EMP1023"/>
    <s v="C1686"/>
    <x v="256"/>
    <n v="2"/>
    <n v="1809"/>
    <n v="1067"/>
    <n v="2134"/>
    <n v="3618"/>
    <n v="1484"/>
    <s v="Product 15"/>
    <x v="14"/>
    <s v="Brian Davis"/>
    <x v="748"/>
    <n v="3"/>
    <x v="2"/>
    <x v="2"/>
    <x v="2"/>
    <x v="0"/>
    <x v="0"/>
  </r>
  <r>
    <s v="AX20387"/>
    <s v="ENX2021"/>
    <s v="A122"/>
    <s v="EMP1025"/>
    <s v="C1736"/>
    <x v="259"/>
    <n v="1"/>
    <n v="217"/>
    <n v="171"/>
    <n v="171"/>
    <n v="217"/>
    <n v="46"/>
    <s v="Product 22"/>
    <x v="71"/>
    <s v="Ernest Wagner"/>
    <x v="472"/>
    <n v="3"/>
    <x v="2"/>
    <x v="2"/>
    <x v="2"/>
    <x v="0"/>
    <x v="0"/>
  </r>
  <r>
    <s v="AX20580"/>
    <s v="ENX2096"/>
    <s v="A133"/>
    <s v="EMP1003"/>
    <s v="C1075"/>
    <x v="256"/>
    <n v="2"/>
    <n v="1587"/>
    <n v="1301"/>
    <n v="2602"/>
    <n v="3174"/>
    <n v="572"/>
    <s v="Product 97"/>
    <x v="46"/>
    <s v="Christopher Tucker"/>
    <x v="594"/>
    <n v="3"/>
    <x v="2"/>
    <x v="2"/>
    <x v="2"/>
    <x v="0"/>
    <x v="0"/>
  </r>
  <r>
    <s v="AX20791"/>
    <s v="ENX2033"/>
    <s v="A141"/>
    <s v="EMP1016"/>
    <s v="C1073"/>
    <x v="257"/>
    <n v="3"/>
    <n v="2182"/>
    <n v="1200"/>
    <n v="3600"/>
    <n v="6546"/>
    <n v="2946"/>
    <s v="Product 34"/>
    <x v="23"/>
    <s v="Henry Nelson"/>
    <x v="237"/>
    <n v="3"/>
    <x v="2"/>
    <x v="2"/>
    <x v="2"/>
    <x v="0"/>
    <x v="0"/>
  </r>
  <r>
    <s v="AX21009"/>
    <s v="ENX2090"/>
    <s v="A160"/>
    <s v="EMP1028"/>
    <s v="C1450"/>
    <x v="258"/>
    <n v="1"/>
    <n v="1338"/>
    <n v="682"/>
    <n v="682"/>
    <n v="1338"/>
    <n v="656"/>
    <s v="Product 91"/>
    <x v="9"/>
    <s v="Howard Sims"/>
    <x v="13"/>
    <n v="3"/>
    <x v="2"/>
    <x v="2"/>
    <x v="2"/>
    <x v="0"/>
    <x v="0"/>
  </r>
  <r>
    <s v="AX21156"/>
    <s v="ENX2022"/>
    <s v="A156"/>
    <s v="EMP1030"/>
    <s v="C1701"/>
    <x v="257"/>
    <n v="3"/>
    <n v="561"/>
    <n v="421"/>
    <n v="1263"/>
    <n v="1683"/>
    <n v="420"/>
    <s v="Product 23"/>
    <x v="14"/>
    <s v="Bobby Russell"/>
    <x v="736"/>
    <n v="3"/>
    <x v="2"/>
    <x v="2"/>
    <x v="2"/>
    <x v="0"/>
    <x v="0"/>
  </r>
  <r>
    <s v="AX21485"/>
    <s v="ENX2006"/>
    <s v="A154"/>
    <s v="EMP1043"/>
    <s v="C1731"/>
    <x v="257"/>
    <n v="2"/>
    <n v="1826"/>
    <n v="1443"/>
    <n v="2886"/>
    <n v="3652"/>
    <n v="766"/>
    <s v="Product 7"/>
    <x v="24"/>
    <s v="Joshua Taylor"/>
    <x v="762"/>
    <n v="3"/>
    <x v="2"/>
    <x v="2"/>
    <x v="2"/>
    <x v="0"/>
    <x v="0"/>
  </r>
  <r>
    <s v="AX21494"/>
    <s v="ENX2011"/>
    <s v="A117"/>
    <s v="EMP1022"/>
    <s v="C1001"/>
    <x v="259"/>
    <n v="4"/>
    <n v="530"/>
    <n v="435"/>
    <n v="1740"/>
    <n v="2120"/>
    <n v="380"/>
    <s v="Product 12"/>
    <x v="29"/>
    <s v="Walter Cook"/>
    <x v="725"/>
    <n v="3"/>
    <x v="2"/>
    <x v="2"/>
    <x v="2"/>
    <x v="0"/>
    <x v="0"/>
  </r>
  <r>
    <s v="AX22585"/>
    <s v="ENX2063"/>
    <s v="A122"/>
    <s v="EMP1024"/>
    <s v="C1494"/>
    <x v="257"/>
    <n v="1"/>
    <n v="1708"/>
    <n v="871"/>
    <n v="871"/>
    <n v="1708"/>
    <n v="837"/>
    <s v="Product 64"/>
    <x v="71"/>
    <s v="Ernest Wheeler"/>
    <x v="698"/>
    <n v="3"/>
    <x v="2"/>
    <x v="2"/>
    <x v="2"/>
    <x v="0"/>
    <x v="0"/>
  </r>
  <r>
    <s v="AX22623"/>
    <s v="ENX2037"/>
    <s v="A130"/>
    <s v="EMP1017"/>
    <s v="C1800"/>
    <x v="258"/>
    <n v="1"/>
    <n v="880"/>
    <n v="634"/>
    <n v="634"/>
    <n v="880"/>
    <n v="246"/>
    <s v="Product 38"/>
    <x v="4"/>
    <s v="Brian Hansen"/>
    <x v="319"/>
    <n v="3"/>
    <x v="2"/>
    <x v="2"/>
    <x v="2"/>
    <x v="0"/>
    <x v="0"/>
  </r>
  <r>
    <s v="AX22705"/>
    <s v="ENX2012"/>
    <s v="A144"/>
    <s v="EMP1018"/>
    <s v="C1385"/>
    <x v="257"/>
    <n v="4"/>
    <n v="1353"/>
    <n v="947"/>
    <n v="3788"/>
    <n v="5412"/>
    <n v="1624"/>
    <s v="Product 13"/>
    <x v="65"/>
    <s v="Jimmy Young"/>
    <x v="523"/>
    <n v="3"/>
    <x v="2"/>
    <x v="2"/>
    <x v="2"/>
    <x v="0"/>
    <x v="0"/>
  </r>
  <r>
    <s v="AX22988"/>
    <s v="ENX2077"/>
    <s v="A136"/>
    <s v="EMP1017"/>
    <s v="C1088"/>
    <x v="258"/>
    <n v="1"/>
    <n v="530"/>
    <n v="424"/>
    <n v="424"/>
    <n v="530"/>
    <n v="106"/>
    <s v="Product 78"/>
    <x v="43"/>
    <s v="Brian Hansen"/>
    <x v="498"/>
    <n v="3"/>
    <x v="2"/>
    <x v="2"/>
    <x v="2"/>
    <x v="0"/>
    <x v="0"/>
  </r>
  <r>
    <s v="AX23001"/>
    <s v="ENX2009"/>
    <s v="A132"/>
    <s v="EMP1036"/>
    <s v="C1413"/>
    <x v="257"/>
    <n v="1"/>
    <n v="584"/>
    <n v="420"/>
    <n v="420"/>
    <n v="584"/>
    <n v="164"/>
    <s v="Product 10"/>
    <x v="48"/>
    <s v="Robert Reed"/>
    <x v="571"/>
    <n v="3"/>
    <x v="2"/>
    <x v="2"/>
    <x v="2"/>
    <x v="0"/>
    <x v="0"/>
  </r>
  <r>
    <s v="AX23328"/>
    <s v="ENX2062"/>
    <s v="A113"/>
    <s v="EMP1000"/>
    <s v="C1425"/>
    <x v="257"/>
    <n v="1"/>
    <n v="2464"/>
    <n v="1774"/>
    <n v="1774"/>
    <n v="2464"/>
    <n v="690"/>
    <s v="Product 63"/>
    <x v="73"/>
    <s v="Fred Robertson"/>
    <x v="474"/>
    <n v="3"/>
    <x v="2"/>
    <x v="2"/>
    <x v="2"/>
    <x v="0"/>
    <x v="0"/>
  </r>
  <r>
    <s v="AX23670"/>
    <s v="ENX2012"/>
    <s v="A144"/>
    <s v="EMP1022"/>
    <s v="C1784"/>
    <x v="257"/>
    <n v="1"/>
    <n v="1353"/>
    <n v="947"/>
    <n v="947"/>
    <n v="1353"/>
    <n v="406"/>
    <s v="Product 13"/>
    <x v="65"/>
    <s v="Walter Cook"/>
    <x v="397"/>
    <n v="3"/>
    <x v="2"/>
    <x v="2"/>
    <x v="2"/>
    <x v="0"/>
    <x v="0"/>
  </r>
  <r>
    <s v="AX23802"/>
    <s v="ENX2033"/>
    <s v="A146"/>
    <s v="EMP1001"/>
    <s v="C1374"/>
    <x v="258"/>
    <n v="3"/>
    <n v="2182"/>
    <n v="1200"/>
    <n v="3600"/>
    <n v="6546"/>
    <n v="2946"/>
    <s v="Product 34"/>
    <x v="27"/>
    <s v="Kevin Butler"/>
    <x v="189"/>
    <n v="3"/>
    <x v="2"/>
    <x v="2"/>
    <x v="2"/>
    <x v="0"/>
    <x v="0"/>
  </r>
  <r>
    <s v="AX24515"/>
    <s v="ENX2037"/>
    <s v="A106"/>
    <s v="EMP1031"/>
    <s v="C1299"/>
    <x v="258"/>
    <n v="4"/>
    <n v="880"/>
    <n v="634"/>
    <n v="2536"/>
    <n v="3520"/>
    <n v="984"/>
    <s v="Product 38"/>
    <x v="11"/>
    <s v="Brian Thomas"/>
    <x v="655"/>
    <n v="3"/>
    <x v="2"/>
    <x v="2"/>
    <x v="2"/>
    <x v="0"/>
    <x v="0"/>
  </r>
  <r>
    <s v="AX24631"/>
    <s v="ENX2088"/>
    <s v="A162"/>
    <s v="EMP1024"/>
    <s v="C1319"/>
    <x v="259"/>
    <n v="1"/>
    <n v="603"/>
    <n v="416"/>
    <n v="416"/>
    <n v="603"/>
    <n v="187"/>
    <s v="Product 89"/>
    <x v="2"/>
    <s v="Ernest Wheeler"/>
    <x v="464"/>
    <n v="3"/>
    <x v="2"/>
    <x v="2"/>
    <x v="2"/>
    <x v="0"/>
    <x v="0"/>
  </r>
  <r>
    <s v="AX24860"/>
    <s v="ENX2094"/>
    <s v="A124"/>
    <s v="EMP1002"/>
    <s v="C1130"/>
    <x v="256"/>
    <n v="3"/>
    <n v="771"/>
    <n v="648"/>
    <n v="1944"/>
    <n v="2313"/>
    <n v="369"/>
    <s v="Product 95"/>
    <x v="67"/>
    <s v="Andrew Bowman"/>
    <x v="448"/>
    <n v="3"/>
    <x v="2"/>
    <x v="2"/>
    <x v="2"/>
    <x v="0"/>
    <x v="0"/>
  </r>
  <r>
    <s v="AX24990"/>
    <s v="ENX2082"/>
    <s v="A169"/>
    <s v="EMP1031"/>
    <s v="C1018"/>
    <x v="259"/>
    <n v="4"/>
    <n v="1103"/>
    <n v="838"/>
    <n v="3352"/>
    <n v="4412"/>
    <n v="1060"/>
    <s v="Product 83"/>
    <x v="17"/>
    <s v="Brian Thomas"/>
    <x v="138"/>
    <n v="3"/>
    <x v="2"/>
    <x v="2"/>
    <x v="2"/>
    <x v="0"/>
    <x v="0"/>
  </r>
  <r>
    <s v="AX24991"/>
    <s v="ENX2083"/>
    <s v="A119"/>
    <s v="EMP1044"/>
    <s v="C1508"/>
    <x v="256"/>
    <n v="3"/>
    <n v="2141"/>
    <n v="1777"/>
    <n v="5331"/>
    <n v="6423"/>
    <n v="1092"/>
    <s v="Product 84"/>
    <x v="16"/>
    <s v="Martin Carr"/>
    <x v="37"/>
    <n v="3"/>
    <x v="2"/>
    <x v="2"/>
    <x v="2"/>
    <x v="0"/>
    <x v="0"/>
  </r>
  <r>
    <s v="AX10303"/>
    <s v="ENX2052"/>
    <s v="A135"/>
    <s v="EMP1034"/>
    <s v="C1073"/>
    <x v="260"/>
    <n v="3"/>
    <n v="1526"/>
    <n v="1251"/>
    <n v="3753"/>
    <n v="4578"/>
    <n v="825"/>
    <s v="Product 53"/>
    <x v="10"/>
    <s v="Arthur Mccoy"/>
    <x v="237"/>
    <n v="3"/>
    <x v="2"/>
    <x v="2"/>
    <x v="2"/>
    <x v="0"/>
    <x v="1"/>
  </r>
  <r>
    <s v="AX10360"/>
    <s v="ENX2041"/>
    <s v="A126"/>
    <s v="EMP1003"/>
    <s v="C1212"/>
    <x v="260"/>
    <n v="1"/>
    <n v="1380"/>
    <n v="1090"/>
    <n v="1090"/>
    <n v="1380"/>
    <n v="290"/>
    <s v="Product 42"/>
    <x v="5"/>
    <s v="Christopher Tucker"/>
    <x v="220"/>
    <n v="3"/>
    <x v="2"/>
    <x v="2"/>
    <x v="2"/>
    <x v="0"/>
    <x v="1"/>
  </r>
  <r>
    <s v="AX12073"/>
    <s v="ENX2090"/>
    <s v="A128"/>
    <s v="EMP1013"/>
    <s v="C1475"/>
    <x v="261"/>
    <n v="1"/>
    <n v="1338"/>
    <n v="682"/>
    <n v="682"/>
    <n v="1338"/>
    <n v="656"/>
    <s v="Product 91"/>
    <x v="12"/>
    <s v="Charles Harper"/>
    <x v="527"/>
    <n v="3"/>
    <x v="2"/>
    <x v="2"/>
    <x v="2"/>
    <x v="0"/>
    <x v="1"/>
  </r>
  <r>
    <s v="AX12906"/>
    <s v="ENX2050"/>
    <s v="A135"/>
    <s v="EMP1011"/>
    <s v="C1123"/>
    <x v="261"/>
    <n v="2"/>
    <n v="2391"/>
    <n v="1291"/>
    <n v="2582"/>
    <n v="4782"/>
    <n v="2200"/>
    <s v="Product 51"/>
    <x v="10"/>
    <s v="Larry Marshall"/>
    <x v="222"/>
    <n v="3"/>
    <x v="2"/>
    <x v="2"/>
    <x v="2"/>
    <x v="0"/>
    <x v="1"/>
  </r>
  <r>
    <s v="AX13178"/>
    <s v="ENX2001"/>
    <s v="A101"/>
    <s v="EMP1023"/>
    <s v="C1106"/>
    <x v="260"/>
    <n v="1"/>
    <n v="951"/>
    <n v="504"/>
    <n v="504"/>
    <n v="951"/>
    <n v="447"/>
    <s v="Product 2"/>
    <x v="60"/>
    <s v="Brian Davis"/>
    <x v="377"/>
    <n v="3"/>
    <x v="2"/>
    <x v="2"/>
    <x v="2"/>
    <x v="0"/>
    <x v="1"/>
  </r>
  <r>
    <s v="AX13350"/>
    <s v="ENX2018"/>
    <s v="A170"/>
    <s v="EMP1034"/>
    <s v="C1457"/>
    <x v="260"/>
    <n v="4"/>
    <n v="1972"/>
    <n v="1321"/>
    <n v="5284"/>
    <n v="7888"/>
    <n v="2604"/>
    <s v="Product 19"/>
    <x v="47"/>
    <s v="Arthur Mccoy"/>
    <x v="522"/>
    <n v="3"/>
    <x v="2"/>
    <x v="2"/>
    <x v="2"/>
    <x v="0"/>
    <x v="1"/>
  </r>
  <r>
    <s v="AX13359"/>
    <s v="ENX2074"/>
    <s v="A132"/>
    <s v="EMP1024"/>
    <s v="C1546"/>
    <x v="261"/>
    <n v="1"/>
    <n v="504"/>
    <n v="408"/>
    <n v="408"/>
    <n v="504"/>
    <n v="96"/>
    <s v="Product 75"/>
    <x v="48"/>
    <s v="Ernest Wheeler"/>
    <x v="119"/>
    <n v="3"/>
    <x v="2"/>
    <x v="2"/>
    <x v="2"/>
    <x v="0"/>
    <x v="1"/>
  </r>
  <r>
    <s v="AX14050"/>
    <s v="ENX2056"/>
    <s v="A165"/>
    <s v="EMP1043"/>
    <s v="C1432"/>
    <x v="261"/>
    <n v="3"/>
    <n v="1635"/>
    <n v="1046"/>
    <n v="3138"/>
    <n v="4905"/>
    <n v="1767"/>
    <s v="Product 57"/>
    <x v="55"/>
    <s v="Joshua Taylor"/>
    <x v="186"/>
    <n v="3"/>
    <x v="2"/>
    <x v="2"/>
    <x v="2"/>
    <x v="0"/>
    <x v="1"/>
  </r>
  <r>
    <s v="AX15356"/>
    <s v="ENX2054"/>
    <s v="A125"/>
    <s v="EMP1038"/>
    <s v="C1402"/>
    <x v="261"/>
    <n v="1"/>
    <n v="127"/>
    <n v="79"/>
    <n v="79"/>
    <n v="127"/>
    <n v="48"/>
    <s v="Product 55"/>
    <x v="31"/>
    <s v="Scott Mason"/>
    <x v="79"/>
    <n v="3"/>
    <x v="2"/>
    <x v="2"/>
    <x v="2"/>
    <x v="0"/>
    <x v="1"/>
  </r>
  <r>
    <s v="AX15756"/>
    <s v="ENX2083"/>
    <s v="A102"/>
    <s v="EMP1011"/>
    <s v="C1538"/>
    <x v="261"/>
    <n v="1"/>
    <n v="2141"/>
    <n v="1777"/>
    <n v="1777"/>
    <n v="2141"/>
    <n v="364"/>
    <s v="Product 84"/>
    <x v="44"/>
    <s v="Larry Marshall"/>
    <x v="384"/>
    <n v="3"/>
    <x v="2"/>
    <x v="2"/>
    <x v="2"/>
    <x v="0"/>
    <x v="1"/>
  </r>
  <r>
    <s v="AX15773"/>
    <s v="ENX2100"/>
    <s v="A120"/>
    <s v="EMP1013"/>
    <s v="C1634"/>
    <x v="261"/>
    <n v="1"/>
    <n v="799"/>
    <n v="455"/>
    <n v="455"/>
    <n v="799"/>
    <n v="344"/>
    <s v="Product 101"/>
    <x v="20"/>
    <s v="Charles Harper"/>
    <x v="71"/>
    <n v="3"/>
    <x v="2"/>
    <x v="2"/>
    <x v="2"/>
    <x v="0"/>
    <x v="1"/>
  </r>
  <r>
    <s v="AX16369"/>
    <s v="ENX2081"/>
    <s v="A118"/>
    <s v="EMP1005"/>
    <s v="C1677"/>
    <x v="261"/>
    <n v="1"/>
    <n v="1566"/>
    <n v="1190"/>
    <n v="1190"/>
    <n v="1566"/>
    <n v="376"/>
    <s v="Product 82"/>
    <x v="19"/>
    <s v="Ryan Welch"/>
    <x v="641"/>
    <n v="3"/>
    <x v="2"/>
    <x v="2"/>
    <x v="2"/>
    <x v="0"/>
    <x v="1"/>
  </r>
  <r>
    <s v="AX16439"/>
    <s v="ENX2023"/>
    <s v="A110"/>
    <s v="EMP1025"/>
    <s v="C1795"/>
    <x v="261"/>
    <n v="1"/>
    <n v="818"/>
    <n v="450"/>
    <n v="450"/>
    <n v="818"/>
    <n v="368"/>
    <s v="Product 24"/>
    <x v="63"/>
    <s v="Ernest Wagner"/>
    <x v="592"/>
    <n v="3"/>
    <x v="2"/>
    <x v="2"/>
    <x v="2"/>
    <x v="0"/>
    <x v="1"/>
  </r>
  <r>
    <s v="AX16701"/>
    <s v="ENX2009"/>
    <s v="A113"/>
    <s v="EMP1002"/>
    <s v="C1777"/>
    <x v="260"/>
    <n v="1"/>
    <n v="584"/>
    <n v="420"/>
    <n v="420"/>
    <n v="584"/>
    <n v="164"/>
    <s v="Product 10"/>
    <x v="73"/>
    <s v="Andrew Bowman"/>
    <x v="682"/>
    <n v="3"/>
    <x v="2"/>
    <x v="2"/>
    <x v="2"/>
    <x v="0"/>
    <x v="1"/>
  </r>
  <r>
    <s v="AX17977"/>
    <s v="ENX2023"/>
    <s v="A107"/>
    <s v="EMP1015"/>
    <s v="C1529"/>
    <x v="261"/>
    <n v="1"/>
    <n v="818"/>
    <n v="450"/>
    <n v="450"/>
    <n v="818"/>
    <n v="368"/>
    <s v="Product 24"/>
    <x v="21"/>
    <s v="Justin Lynch"/>
    <x v="247"/>
    <n v="3"/>
    <x v="2"/>
    <x v="2"/>
    <x v="2"/>
    <x v="0"/>
    <x v="1"/>
  </r>
  <r>
    <s v="AX18496"/>
    <s v="ENX2067"/>
    <s v="A126"/>
    <s v="EMP1017"/>
    <s v="C1566"/>
    <x v="261"/>
    <n v="3"/>
    <n v="1119"/>
    <n v="683"/>
    <n v="2049"/>
    <n v="3357"/>
    <n v="1308"/>
    <s v="Product 68"/>
    <x v="5"/>
    <s v="Brian Hansen"/>
    <x v="45"/>
    <n v="3"/>
    <x v="2"/>
    <x v="2"/>
    <x v="2"/>
    <x v="0"/>
    <x v="1"/>
  </r>
  <r>
    <s v="AX18534"/>
    <s v="ENX2060"/>
    <s v="A167"/>
    <s v="EMP1008"/>
    <s v="C1013"/>
    <x v="261"/>
    <n v="1"/>
    <n v="1467"/>
    <n v="807"/>
    <n v="807"/>
    <n v="1467"/>
    <n v="660"/>
    <s v="Product 61"/>
    <x v="64"/>
    <s v="Carl Elliott"/>
    <x v="431"/>
    <n v="3"/>
    <x v="2"/>
    <x v="2"/>
    <x v="2"/>
    <x v="0"/>
    <x v="1"/>
  </r>
  <r>
    <s v="AX18803"/>
    <s v="ENX2090"/>
    <s v="A127"/>
    <s v="EMP1034"/>
    <s v="C1344"/>
    <x v="260"/>
    <n v="1"/>
    <n v="1338"/>
    <n v="682"/>
    <n v="682"/>
    <n v="1338"/>
    <n v="656"/>
    <s v="Product 91"/>
    <x v="69"/>
    <s v="Arthur Mccoy"/>
    <x v="22"/>
    <n v="3"/>
    <x v="2"/>
    <x v="2"/>
    <x v="2"/>
    <x v="0"/>
    <x v="1"/>
  </r>
  <r>
    <s v="AX19022"/>
    <s v="ENX2065"/>
    <s v="A146"/>
    <s v="EMP1016"/>
    <s v="C1508"/>
    <x v="260"/>
    <n v="1"/>
    <n v="2396"/>
    <n v="1965"/>
    <n v="1965"/>
    <n v="2396"/>
    <n v="431"/>
    <s v="Product 66"/>
    <x v="27"/>
    <s v="Henry Nelson"/>
    <x v="37"/>
    <n v="3"/>
    <x v="2"/>
    <x v="2"/>
    <x v="2"/>
    <x v="0"/>
    <x v="1"/>
  </r>
  <r>
    <s v="AX19225"/>
    <s v="ENX2028"/>
    <s v="A137"/>
    <s v="EMP1009"/>
    <s v="C1236"/>
    <x v="260"/>
    <n v="3"/>
    <n v="2283"/>
    <n v="1484"/>
    <n v="4452"/>
    <n v="6849"/>
    <n v="2397"/>
    <s v="Product 29"/>
    <x v="68"/>
    <s v="Kenneth Fields"/>
    <x v="795"/>
    <n v="3"/>
    <x v="2"/>
    <x v="2"/>
    <x v="2"/>
    <x v="0"/>
    <x v="1"/>
  </r>
  <r>
    <s v="AX20035"/>
    <s v="ENX2015"/>
    <s v="A147"/>
    <s v="EMP1016"/>
    <s v="C1685"/>
    <x v="261"/>
    <n v="4"/>
    <n v="637"/>
    <n v="389"/>
    <n v="1556"/>
    <n v="2548"/>
    <n v="992"/>
    <s v="Product 16"/>
    <x v="42"/>
    <s v="Henry Nelson"/>
    <x v="90"/>
    <n v="3"/>
    <x v="2"/>
    <x v="2"/>
    <x v="2"/>
    <x v="0"/>
    <x v="1"/>
  </r>
  <r>
    <s v="AX20452"/>
    <s v="ENX2015"/>
    <s v="A168"/>
    <s v="EMP1012"/>
    <s v="C1039"/>
    <x v="260"/>
    <n v="3"/>
    <n v="637"/>
    <n v="389"/>
    <n v="1167"/>
    <n v="1911"/>
    <n v="744"/>
    <s v="Product 16"/>
    <x v="40"/>
    <s v="John Reyes"/>
    <x v="574"/>
    <n v="3"/>
    <x v="2"/>
    <x v="2"/>
    <x v="2"/>
    <x v="0"/>
    <x v="1"/>
  </r>
  <r>
    <s v="AX20546"/>
    <s v="ENX2007"/>
    <s v="A140"/>
    <s v="EMP1032"/>
    <s v="C1531"/>
    <x v="260"/>
    <n v="1"/>
    <n v="1405"/>
    <n v="1054"/>
    <n v="1054"/>
    <n v="1405"/>
    <n v="351"/>
    <s v="Product 8"/>
    <x v="18"/>
    <s v="Larry Castillo"/>
    <x v="743"/>
    <n v="3"/>
    <x v="2"/>
    <x v="2"/>
    <x v="2"/>
    <x v="0"/>
    <x v="1"/>
  </r>
  <r>
    <s v="AX20616"/>
    <s v="ENX2070"/>
    <s v="A102"/>
    <s v="EMP1043"/>
    <s v="C1092"/>
    <x v="261"/>
    <n v="1"/>
    <n v="1671"/>
    <n v="1220"/>
    <n v="1220"/>
    <n v="1671"/>
    <n v="451"/>
    <s v="Product 71"/>
    <x v="44"/>
    <s v="Joshua Taylor"/>
    <x v="572"/>
    <n v="3"/>
    <x v="2"/>
    <x v="2"/>
    <x v="2"/>
    <x v="0"/>
    <x v="1"/>
  </r>
  <r>
    <s v="AX21412"/>
    <s v="ENX2082"/>
    <s v="A148"/>
    <s v="EMP1012"/>
    <s v="C1361"/>
    <x v="261"/>
    <n v="2"/>
    <n v="1103"/>
    <n v="838"/>
    <n v="1676"/>
    <n v="2206"/>
    <n v="530"/>
    <s v="Product 83"/>
    <x v="62"/>
    <s v="John Reyes"/>
    <x v="706"/>
    <n v="3"/>
    <x v="2"/>
    <x v="2"/>
    <x v="2"/>
    <x v="0"/>
    <x v="1"/>
  </r>
  <r>
    <s v="AX21644"/>
    <s v="ENX2040"/>
    <s v="A158"/>
    <s v="EMP1031"/>
    <s v="C1322"/>
    <x v="260"/>
    <n v="1"/>
    <n v="1889"/>
    <n v="945"/>
    <n v="945"/>
    <n v="1889"/>
    <n v="944"/>
    <s v="Product 41"/>
    <x v="58"/>
    <s v="Brian Thomas"/>
    <x v="604"/>
    <n v="3"/>
    <x v="2"/>
    <x v="2"/>
    <x v="2"/>
    <x v="0"/>
    <x v="1"/>
  </r>
  <r>
    <s v="AX21722"/>
    <s v="ENX2055"/>
    <s v="A144"/>
    <s v="EMP1009"/>
    <s v="C1044"/>
    <x v="260"/>
    <n v="1"/>
    <n v="2495"/>
    <n v="1896"/>
    <n v="1896"/>
    <n v="2495"/>
    <n v="599"/>
    <s v="Product 56"/>
    <x v="65"/>
    <s v="Kenneth Fields"/>
    <x v="331"/>
    <n v="3"/>
    <x v="2"/>
    <x v="2"/>
    <x v="2"/>
    <x v="0"/>
    <x v="1"/>
  </r>
  <r>
    <s v="AX21802"/>
    <s v="ENX2075"/>
    <s v="A172"/>
    <s v="EMP1033"/>
    <s v="C1067"/>
    <x v="260"/>
    <n v="4"/>
    <n v="400"/>
    <n v="208"/>
    <n v="832"/>
    <n v="1600"/>
    <n v="768"/>
    <s v="Product 76"/>
    <x v="36"/>
    <s v="Jerry Perry"/>
    <x v="108"/>
    <n v="3"/>
    <x v="2"/>
    <x v="2"/>
    <x v="2"/>
    <x v="0"/>
    <x v="1"/>
  </r>
  <r>
    <s v="AX21996"/>
    <s v="ENX2061"/>
    <s v="A120"/>
    <s v="EMP1014"/>
    <s v="C1560"/>
    <x v="260"/>
    <n v="1"/>
    <n v="913"/>
    <n v="584"/>
    <n v="584"/>
    <n v="913"/>
    <n v="329"/>
    <s v="Product 62"/>
    <x v="20"/>
    <s v="Ronald Reed"/>
    <x v="208"/>
    <n v="3"/>
    <x v="2"/>
    <x v="2"/>
    <x v="2"/>
    <x v="0"/>
    <x v="1"/>
  </r>
  <r>
    <s v="AX23320"/>
    <s v="ENX2051"/>
    <s v="A115"/>
    <s v="EMP1002"/>
    <s v="C1236"/>
    <x v="260"/>
    <n v="2"/>
    <n v="1077"/>
    <n v="732"/>
    <n v="1464"/>
    <n v="2154"/>
    <n v="690"/>
    <s v="Product 52"/>
    <x v="33"/>
    <s v="Andrew Bowman"/>
    <x v="795"/>
    <n v="3"/>
    <x v="2"/>
    <x v="2"/>
    <x v="2"/>
    <x v="0"/>
    <x v="1"/>
  </r>
  <r>
    <s v="AX24221"/>
    <s v="ENX2056"/>
    <s v="A163"/>
    <s v="EMP1031"/>
    <s v="C1580"/>
    <x v="261"/>
    <n v="1"/>
    <n v="1635"/>
    <n v="1046"/>
    <n v="1046"/>
    <n v="1635"/>
    <n v="589"/>
    <s v="Product 57"/>
    <x v="51"/>
    <s v="Brian Thomas"/>
    <x v="617"/>
    <n v="3"/>
    <x v="2"/>
    <x v="2"/>
    <x v="2"/>
    <x v="0"/>
    <x v="1"/>
  </r>
  <r>
    <s v="AX24356"/>
    <s v="ENX2053"/>
    <s v="A113"/>
    <s v="EMP1012"/>
    <s v="C1319"/>
    <x v="260"/>
    <n v="2"/>
    <n v="596"/>
    <n v="358"/>
    <n v="716"/>
    <n v="1192"/>
    <n v="476"/>
    <s v="Product 54"/>
    <x v="73"/>
    <s v="John Reyes"/>
    <x v="464"/>
    <n v="3"/>
    <x v="2"/>
    <x v="2"/>
    <x v="2"/>
    <x v="0"/>
    <x v="1"/>
  </r>
  <r>
    <s v="AX24928"/>
    <s v="ENX2000"/>
    <s v="A116"/>
    <s v="EMP1020"/>
    <s v="C1318"/>
    <x v="261"/>
    <n v="3"/>
    <n v="2241"/>
    <n v="1367"/>
    <n v="4101"/>
    <n v="6723"/>
    <n v="2622"/>
    <s v="Product 1"/>
    <x v="15"/>
    <s v="Ryan Butler"/>
    <x v="730"/>
    <n v="3"/>
    <x v="2"/>
    <x v="2"/>
    <x v="2"/>
    <x v="0"/>
    <x v="1"/>
  </r>
  <r>
    <s v="AX10721"/>
    <s v="ENX2005"/>
    <s v="A156"/>
    <s v="EMP1021"/>
    <s v="C1195"/>
    <x v="262"/>
    <n v="3"/>
    <n v="684"/>
    <n v="561"/>
    <n v="1683"/>
    <n v="2052"/>
    <n v="369"/>
    <s v="Product 6"/>
    <x v="14"/>
    <s v="Clarence Fox"/>
    <x v="188"/>
    <n v="3"/>
    <x v="2"/>
    <x v="2"/>
    <x v="2"/>
    <x v="0"/>
    <x v="2"/>
  </r>
  <r>
    <s v="AX10809"/>
    <s v="ENX2058"/>
    <s v="A162"/>
    <s v="EMP1004"/>
    <s v="C1279"/>
    <x v="263"/>
    <n v="3"/>
    <n v="2257"/>
    <n v="1535"/>
    <n v="4605"/>
    <n v="6771"/>
    <n v="2166"/>
    <s v="Product 59"/>
    <x v="2"/>
    <s v="Kenneth Bradley"/>
    <x v="210"/>
    <n v="3"/>
    <x v="2"/>
    <x v="2"/>
    <x v="2"/>
    <x v="0"/>
    <x v="2"/>
  </r>
  <r>
    <s v="AX12423"/>
    <s v="ENX2008"/>
    <s v="A136"/>
    <s v="EMP1038"/>
    <s v="C1265"/>
    <x v="262"/>
    <n v="3"/>
    <n v="315"/>
    <n v="208"/>
    <n v="624"/>
    <n v="945"/>
    <n v="321"/>
    <s v="Product 9"/>
    <x v="43"/>
    <s v="Scott Mason"/>
    <x v="348"/>
    <n v="3"/>
    <x v="2"/>
    <x v="2"/>
    <x v="2"/>
    <x v="0"/>
    <x v="2"/>
  </r>
  <r>
    <s v="AX12823"/>
    <s v="ENX2075"/>
    <s v="A150"/>
    <s v="EMP1029"/>
    <s v="C1443"/>
    <x v="263"/>
    <n v="1"/>
    <n v="400"/>
    <n v="208"/>
    <n v="208"/>
    <n v="400"/>
    <n v="192"/>
    <s v="Product 76"/>
    <x v="30"/>
    <s v="Howard Gardner"/>
    <x v="683"/>
    <n v="3"/>
    <x v="2"/>
    <x v="2"/>
    <x v="2"/>
    <x v="0"/>
    <x v="2"/>
  </r>
  <r>
    <s v="AX12896"/>
    <s v="ENX2048"/>
    <s v="A155"/>
    <s v="EMP1014"/>
    <s v="C1335"/>
    <x v="262"/>
    <n v="4"/>
    <n v="502"/>
    <n v="296"/>
    <n v="1184"/>
    <n v="2008"/>
    <n v="824"/>
    <s v="Product 49"/>
    <x v="53"/>
    <s v="Ronald Reed"/>
    <x v="2"/>
    <n v="3"/>
    <x v="2"/>
    <x v="2"/>
    <x v="2"/>
    <x v="0"/>
    <x v="2"/>
  </r>
  <r>
    <s v="AX12968"/>
    <s v="ENX2018"/>
    <s v="A166"/>
    <s v="EMP1041"/>
    <s v="C1061"/>
    <x v="263"/>
    <n v="1"/>
    <n v="1972"/>
    <n v="1321"/>
    <n v="1321"/>
    <n v="1972"/>
    <n v="651"/>
    <s v="Product 19"/>
    <x v="70"/>
    <s v="Joe Sims"/>
    <x v="228"/>
    <n v="3"/>
    <x v="2"/>
    <x v="2"/>
    <x v="2"/>
    <x v="0"/>
    <x v="2"/>
  </r>
  <r>
    <s v="AX12992"/>
    <s v="ENX2009"/>
    <s v="A154"/>
    <s v="EMP1017"/>
    <s v="C1313"/>
    <x v="264"/>
    <n v="3"/>
    <n v="584"/>
    <n v="420"/>
    <n v="1260"/>
    <n v="1752"/>
    <n v="492"/>
    <s v="Product 10"/>
    <x v="24"/>
    <s v="Brian Hansen"/>
    <x v="728"/>
    <n v="3"/>
    <x v="2"/>
    <x v="2"/>
    <x v="2"/>
    <x v="0"/>
    <x v="2"/>
  </r>
  <r>
    <s v="AX13373"/>
    <s v="ENX2052"/>
    <s v="A133"/>
    <s v="EMP1023"/>
    <s v="C1141"/>
    <x v="263"/>
    <n v="1"/>
    <n v="1526"/>
    <n v="1251"/>
    <n v="1251"/>
    <n v="1526"/>
    <n v="275"/>
    <s v="Product 53"/>
    <x v="46"/>
    <s v="Brian Davis"/>
    <x v="166"/>
    <n v="3"/>
    <x v="2"/>
    <x v="2"/>
    <x v="2"/>
    <x v="0"/>
    <x v="2"/>
  </r>
  <r>
    <s v="AX13521"/>
    <s v="ENX2038"/>
    <s v="A146"/>
    <s v="EMP1039"/>
    <s v="C1203"/>
    <x v="262"/>
    <n v="1"/>
    <n v="392"/>
    <n v="255"/>
    <n v="255"/>
    <n v="392"/>
    <n v="137"/>
    <s v="Product 39"/>
    <x v="27"/>
    <s v="Eugene Holmes"/>
    <x v="792"/>
    <n v="3"/>
    <x v="2"/>
    <x v="2"/>
    <x v="2"/>
    <x v="0"/>
    <x v="2"/>
  </r>
  <r>
    <s v="AX13714"/>
    <s v="ENX2056"/>
    <s v="A105"/>
    <s v="EMP1042"/>
    <s v="C1666"/>
    <x v="265"/>
    <n v="2"/>
    <n v="1635"/>
    <n v="1046"/>
    <n v="2092"/>
    <n v="3270"/>
    <n v="1178"/>
    <s v="Product 57"/>
    <x v="45"/>
    <s v="Scott Clark"/>
    <x v="473"/>
    <n v="3"/>
    <x v="2"/>
    <x v="2"/>
    <x v="2"/>
    <x v="0"/>
    <x v="2"/>
  </r>
  <r>
    <s v="AX13869"/>
    <s v="ENX2050"/>
    <s v="A149"/>
    <s v="EMP1005"/>
    <s v="C1187"/>
    <x v="265"/>
    <n v="4"/>
    <n v="2391"/>
    <n v="1291"/>
    <n v="5164"/>
    <n v="9564"/>
    <n v="4400"/>
    <s v="Product 51"/>
    <x v="59"/>
    <s v="Ryan Welch"/>
    <x v="303"/>
    <n v="3"/>
    <x v="2"/>
    <x v="2"/>
    <x v="2"/>
    <x v="0"/>
    <x v="2"/>
  </r>
  <r>
    <s v="AX13913"/>
    <s v="ENX2085"/>
    <s v="A169"/>
    <s v="EMP1020"/>
    <s v="C1110"/>
    <x v="262"/>
    <n v="3"/>
    <n v="1862"/>
    <n v="1173"/>
    <n v="3519"/>
    <n v="5586"/>
    <n v="2067"/>
    <s v="Product 86"/>
    <x v="17"/>
    <s v="Ryan Butler"/>
    <x v="620"/>
    <n v="3"/>
    <x v="2"/>
    <x v="2"/>
    <x v="2"/>
    <x v="0"/>
    <x v="2"/>
  </r>
  <r>
    <s v="AX14423"/>
    <s v="ENX2009"/>
    <s v="A101"/>
    <s v="EMP1006"/>
    <s v="C1360"/>
    <x v="265"/>
    <n v="3"/>
    <n v="584"/>
    <n v="420"/>
    <n v="1260"/>
    <n v="1752"/>
    <n v="492"/>
    <s v="Product 10"/>
    <x v="60"/>
    <s v="Sean Miller"/>
    <x v="573"/>
    <n v="3"/>
    <x v="2"/>
    <x v="2"/>
    <x v="2"/>
    <x v="0"/>
    <x v="2"/>
  </r>
  <r>
    <s v="AX14457"/>
    <s v="ENX2078"/>
    <s v="A119"/>
    <s v="EMP1001"/>
    <s v="C1327"/>
    <x v="263"/>
    <n v="4"/>
    <n v="1798"/>
    <n v="971"/>
    <n v="3884"/>
    <n v="7192"/>
    <n v="3308"/>
    <s v="Product 79"/>
    <x v="16"/>
    <s v="Kevin Butler"/>
    <x v="321"/>
    <n v="3"/>
    <x v="2"/>
    <x v="2"/>
    <x v="2"/>
    <x v="0"/>
    <x v="2"/>
  </r>
  <r>
    <s v="AX14742"/>
    <s v="ENX2026"/>
    <s v="A170"/>
    <s v="EMP1038"/>
    <s v="C1027"/>
    <x v="265"/>
    <n v="2"/>
    <n v="947"/>
    <n v="786"/>
    <n v="1572"/>
    <n v="1894"/>
    <n v="322"/>
    <s v="Product 27"/>
    <x v="47"/>
    <s v="Scott Mason"/>
    <x v="528"/>
    <n v="3"/>
    <x v="2"/>
    <x v="2"/>
    <x v="2"/>
    <x v="0"/>
    <x v="2"/>
  </r>
  <r>
    <s v="AX14833"/>
    <s v="ENX2013"/>
    <s v="A156"/>
    <s v="EMP1044"/>
    <s v="C1427"/>
    <x v="262"/>
    <n v="1"/>
    <n v="368"/>
    <n v="269"/>
    <n v="269"/>
    <n v="368"/>
    <n v="99"/>
    <s v="Product 14"/>
    <x v="14"/>
    <s v="Martin Carr"/>
    <x v="768"/>
    <n v="3"/>
    <x v="2"/>
    <x v="2"/>
    <x v="2"/>
    <x v="0"/>
    <x v="2"/>
  </r>
  <r>
    <s v="AX15200"/>
    <s v="ENX2055"/>
    <s v="A124"/>
    <s v="EMP1043"/>
    <s v="C1112"/>
    <x v="263"/>
    <n v="1"/>
    <n v="2495"/>
    <n v="1896"/>
    <n v="1896"/>
    <n v="2495"/>
    <n v="599"/>
    <s v="Product 56"/>
    <x v="67"/>
    <s v="Joshua Taylor"/>
    <x v="590"/>
    <n v="3"/>
    <x v="2"/>
    <x v="2"/>
    <x v="2"/>
    <x v="0"/>
    <x v="2"/>
  </r>
  <r>
    <s v="AX15645"/>
    <s v="ENX2028"/>
    <s v="A171"/>
    <s v="EMP1004"/>
    <s v="C1726"/>
    <x v="265"/>
    <n v="1"/>
    <n v="2283"/>
    <n v="1484"/>
    <n v="1484"/>
    <n v="2283"/>
    <n v="799"/>
    <s v="Product 29"/>
    <x v="0"/>
    <s v="Kenneth Bradley"/>
    <x v="755"/>
    <n v="3"/>
    <x v="2"/>
    <x v="2"/>
    <x v="2"/>
    <x v="0"/>
    <x v="2"/>
  </r>
  <r>
    <s v="AX15760"/>
    <s v="ENX2071"/>
    <s v="A104"/>
    <s v="EMP1033"/>
    <s v="C1289"/>
    <x v="264"/>
    <n v="1"/>
    <n v="136"/>
    <n v="72"/>
    <n v="72"/>
    <n v="136"/>
    <n v="64"/>
    <s v="Product 72"/>
    <x v="50"/>
    <s v="Jerry Perry"/>
    <x v="328"/>
    <n v="3"/>
    <x v="2"/>
    <x v="2"/>
    <x v="2"/>
    <x v="0"/>
    <x v="2"/>
  </r>
  <r>
    <s v="AX16501"/>
    <s v="ENX2047"/>
    <s v="A170"/>
    <s v="EMP1006"/>
    <s v="C1567"/>
    <x v="263"/>
    <n v="2"/>
    <n v="290"/>
    <n v="200"/>
    <n v="400"/>
    <n v="580"/>
    <n v="180"/>
    <s v="Product 48"/>
    <x v="47"/>
    <s v="Sean Miller"/>
    <x v="251"/>
    <n v="3"/>
    <x v="2"/>
    <x v="2"/>
    <x v="2"/>
    <x v="0"/>
    <x v="2"/>
  </r>
  <r>
    <s v="AX16792"/>
    <s v="ENX2019"/>
    <s v="A145"/>
    <s v="EMP1005"/>
    <s v="C1205"/>
    <x v="265"/>
    <n v="1"/>
    <n v="800"/>
    <n v="536"/>
    <n v="536"/>
    <n v="800"/>
    <n v="264"/>
    <s v="Product 20"/>
    <x v="35"/>
    <s v="Ryan Welch"/>
    <x v="285"/>
    <n v="3"/>
    <x v="2"/>
    <x v="2"/>
    <x v="2"/>
    <x v="0"/>
    <x v="2"/>
  </r>
  <r>
    <s v="AX17352"/>
    <s v="ENX2020"/>
    <s v="A132"/>
    <s v="EMP1015"/>
    <s v="C1514"/>
    <x v="264"/>
    <n v="3"/>
    <n v="2005"/>
    <n v="1223"/>
    <n v="3669"/>
    <n v="6015"/>
    <n v="2346"/>
    <s v="Product 21"/>
    <x v="48"/>
    <s v="Justin Lynch"/>
    <x v="307"/>
    <n v="3"/>
    <x v="2"/>
    <x v="2"/>
    <x v="2"/>
    <x v="0"/>
    <x v="2"/>
  </r>
  <r>
    <s v="AX17446"/>
    <s v="ENX2021"/>
    <s v="A155"/>
    <s v="EMP1040"/>
    <s v="C1107"/>
    <x v="263"/>
    <n v="3"/>
    <n v="217"/>
    <n v="171"/>
    <n v="513"/>
    <n v="651"/>
    <n v="138"/>
    <s v="Product 22"/>
    <x v="53"/>
    <s v="Patrick Ruiz"/>
    <x v="278"/>
    <n v="3"/>
    <x v="2"/>
    <x v="2"/>
    <x v="2"/>
    <x v="0"/>
    <x v="2"/>
  </r>
  <r>
    <s v="AX17843"/>
    <s v="ENX2040"/>
    <s v="A160"/>
    <s v="EMP1007"/>
    <s v="C1603"/>
    <x v="265"/>
    <n v="1"/>
    <n v="1889"/>
    <n v="945"/>
    <n v="945"/>
    <n v="1889"/>
    <n v="944"/>
    <s v="Product 41"/>
    <x v="9"/>
    <s v="Jeremy Mendoza"/>
    <x v="229"/>
    <n v="3"/>
    <x v="2"/>
    <x v="2"/>
    <x v="2"/>
    <x v="0"/>
    <x v="2"/>
  </r>
  <r>
    <s v="AX18202"/>
    <s v="ENX2064"/>
    <s v="A128"/>
    <s v="EMP1003"/>
    <s v="C1087"/>
    <x v="262"/>
    <n v="1"/>
    <n v="1414"/>
    <n v="962"/>
    <n v="962"/>
    <n v="1414"/>
    <n v="452"/>
    <s v="Product 65"/>
    <x v="12"/>
    <s v="Christopher Tucker"/>
    <x v="156"/>
    <n v="3"/>
    <x v="2"/>
    <x v="2"/>
    <x v="2"/>
    <x v="0"/>
    <x v="2"/>
  </r>
  <r>
    <s v="AX18638"/>
    <s v="ENX2024"/>
    <s v="A163"/>
    <s v="EMP1036"/>
    <s v="C1123"/>
    <x v="264"/>
    <n v="3"/>
    <n v="356"/>
    <n v="292"/>
    <n v="876"/>
    <n v="1068"/>
    <n v="192"/>
    <s v="Product 25"/>
    <x v="51"/>
    <s v="Robert Reed"/>
    <x v="222"/>
    <n v="3"/>
    <x v="2"/>
    <x v="2"/>
    <x v="2"/>
    <x v="0"/>
    <x v="2"/>
  </r>
  <r>
    <s v="AX19628"/>
    <s v="ENX2072"/>
    <s v="A113"/>
    <s v="EMP1009"/>
    <s v="C1423"/>
    <x v="262"/>
    <n v="4"/>
    <n v="1887"/>
    <n v="1378"/>
    <n v="5512"/>
    <n v="7548"/>
    <n v="2036"/>
    <s v="Product 73"/>
    <x v="73"/>
    <s v="Kenneth Fields"/>
    <x v="182"/>
    <n v="3"/>
    <x v="2"/>
    <x v="2"/>
    <x v="2"/>
    <x v="0"/>
    <x v="2"/>
  </r>
  <r>
    <s v="AX19700"/>
    <s v="ENX2018"/>
    <s v="A144"/>
    <s v="EMP1031"/>
    <s v="C1584"/>
    <x v="264"/>
    <n v="2"/>
    <n v="1972"/>
    <n v="1321"/>
    <n v="2642"/>
    <n v="3944"/>
    <n v="1302"/>
    <s v="Product 19"/>
    <x v="65"/>
    <s v="Brian Thomas"/>
    <x v="72"/>
    <n v="3"/>
    <x v="2"/>
    <x v="2"/>
    <x v="2"/>
    <x v="0"/>
    <x v="2"/>
  </r>
  <r>
    <s v="AX19992"/>
    <s v="ENX2027"/>
    <s v="A125"/>
    <s v="EMP1014"/>
    <s v="C1364"/>
    <x v="264"/>
    <n v="2"/>
    <n v="2497"/>
    <n v="1473"/>
    <n v="2946"/>
    <n v="4994"/>
    <n v="2048"/>
    <s v="Product 28"/>
    <x v="31"/>
    <s v="Ronald Reed"/>
    <x v="477"/>
    <n v="3"/>
    <x v="2"/>
    <x v="2"/>
    <x v="2"/>
    <x v="0"/>
    <x v="2"/>
  </r>
  <r>
    <s v="AX20329"/>
    <s v="ENX2049"/>
    <s v="A156"/>
    <s v="EMP1014"/>
    <s v="C1450"/>
    <x v="265"/>
    <n v="4"/>
    <n v="826"/>
    <n v="562"/>
    <n v="2248"/>
    <n v="3304"/>
    <n v="1056"/>
    <s v="Product 50"/>
    <x v="14"/>
    <s v="Ronald Reed"/>
    <x v="13"/>
    <n v="3"/>
    <x v="2"/>
    <x v="2"/>
    <x v="2"/>
    <x v="0"/>
    <x v="2"/>
  </r>
  <r>
    <s v="AX20830"/>
    <s v="ENX2068"/>
    <s v="A135"/>
    <s v="EMP1026"/>
    <s v="C1372"/>
    <x v="263"/>
    <n v="2"/>
    <n v="1500"/>
    <n v="900"/>
    <n v="1800"/>
    <n v="3000"/>
    <n v="1200"/>
    <s v="Product 69"/>
    <x v="10"/>
    <s v="Martin Perry"/>
    <x v="60"/>
    <n v="3"/>
    <x v="2"/>
    <x v="2"/>
    <x v="2"/>
    <x v="0"/>
    <x v="2"/>
  </r>
  <r>
    <s v="AX20839"/>
    <s v="ENX2074"/>
    <s v="A142"/>
    <s v="EMP1041"/>
    <s v="C1719"/>
    <x v="264"/>
    <n v="2"/>
    <n v="504"/>
    <n v="408"/>
    <n v="816"/>
    <n v="1008"/>
    <n v="192"/>
    <s v="Product 75"/>
    <x v="56"/>
    <s v="Joe Sims"/>
    <x v="666"/>
    <n v="3"/>
    <x v="2"/>
    <x v="2"/>
    <x v="2"/>
    <x v="0"/>
    <x v="2"/>
  </r>
  <r>
    <s v="AX20978"/>
    <s v="ENX2075"/>
    <s v="A156"/>
    <s v="EMP1021"/>
    <s v="C1427"/>
    <x v="264"/>
    <n v="2"/>
    <n v="400"/>
    <n v="208"/>
    <n v="416"/>
    <n v="800"/>
    <n v="384"/>
    <s v="Product 76"/>
    <x v="14"/>
    <s v="Clarence Fox"/>
    <x v="768"/>
    <n v="3"/>
    <x v="2"/>
    <x v="2"/>
    <x v="2"/>
    <x v="0"/>
    <x v="2"/>
  </r>
  <r>
    <s v="AX21068"/>
    <s v="ENX2008"/>
    <s v="A132"/>
    <s v="EMP1031"/>
    <s v="C1269"/>
    <x v="262"/>
    <n v="1"/>
    <n v="315"/>
    <n v="208"/>
    <n v="208"/>
    <n v="315"/>
    <n v="107"/>
    <s v="Product 9"/>
    <x v="48"/>
    <s v="Brian Thomas"/>
    <x v="661"/>
    <n v="3"/>
    <x v="2"/>
    <x v="2"/>
    <x v="2"/>
    <x v="0"/>
    <x v="2"/>
  </r>
  <r>
    <s v="AX21350"/>
    <s v="ENX2028"/>
    <s v="A166"/>
    <s v="EMP1003"/>
    <s v="C1101"/>
    <x v="265"/>
    <n v="2"/>
    <n v="2283"/>
    <n v="1484"/>
    <n v="2968"/>
    <n v="4566"/>
    <n v="1598"/>
    <s v="Product 29"/>
    <x v="70"/>
    <s v="Christopher Tucker"/>
    <x v="347"/>
    <n v="3"/>
    <x v="2"/>
    <x v="2"/>
    <x v="2"/>
    <x v="0"/>
    <x v="2"/>
  </r>
  <r>
    <s v="AX21630"/>
    <s v="ENX2048"/>
    <s v="A115"/>
    <s v="EMP1009"/>
    <s v="C1654"/>
    <x v="263"/>
    <n v="3"/>
    <n v="502"/>
    <n v="296"/>
    <n v="888"/>
    <n v="1506"/>
    <n v="618"/>
    <s v="Product 49"/>
    <x v="33"/>
    <s v="Kenneth Fields"/>
    <x v="351"/>
    <n v="3"/>
    <x v="2"/>
    <x v="2"/>
    <x v="2"/>
    <x v="0"/>
    <x v="2"/>
  </r>
  <r>
    <s v="AX21731"/>
    <s v="ENX2065"/>
    <s v="A127"/>
    <s v="EMP1002"/>
    <s v="C1117"/>
    <x v="264"/>
    <n v="1"/>
    <n v="2396"/>
    <n v="1965"/>
    <n v="1965"/>
    <n v="2396"/>
    <n v="431"/>
    <s v="Product 66"/>
    <x v="69"/>
    <s v="Andrew Bowman"/>
    <x v="519"/>
    <n v="3"/>
    <x v="2"/>
    <x v="2"/>
    <x v="2"/>
    <x v="0"/>
    <x v="2"/>
  </r>
  <r>
    <s v="AX22228"/>
    <s v="ENX2005"/>
    <s v="A157"/>
    <s v="EMP1024"/>
    <s v="C1203"/>
    <x v="263"/>
    <n v="1"/>
    <n v="684"/>
    <n v="561"/>
    <n v="561"/>
    <n v="684"/>
    <n v="123"/>
    <s v="Product 6"/>
    <x v="7"/>
    <s v="Ernest Wheeler"/>
    <x v="792"/>
    <n v="3"/>
    <x v="2"/>
    <x v="2"/>
    <x v="2"/>
    <x v="0"/>
    <x v="2"/>
  </r>
  <r>
    <s v="AX22550"/>
    <s v="ENX2001"/>
    <s v="A124"/>
    <s v="EMP1012"/>
    <s v="C1062"/>
    <x v="265"/>
    <n v="1"/>
    <n v="951"/>
    <n v="504"/>
    <n v="504"/>
    <n v="951"/>
    <n v="447"/>
    <s v="Product 2"/>
    <x v="67"/>
    <s v="John Reyes"/>
    <x v="595"/>
    <n v="3"/>
    <x v="2"/>
    <x v="2"/>
    <x v="2"/>
    <x v="0"/>
    <x v="2"/>
  </r>
  <r>
    <s v="AX22637"/>
    <s v="ENX2041"/>
    <s v="A153"/>
    <s v="EMP1015"/>
    <s v="C1775"/>
    <x v="264"/>
    <n v="3"/>
    <n v="1380"/>
    <n v="1090"/>
    <n v="3270"/>
    <n v="4140"/>
    <n v="870"/>
    <s v="Product 42"/>
    <x v="8"/>
    <s v="Justin Lynch"/>
    <x v="69"/>
    <n v="3"/>
    <x v="2"/>
    <x v="2"/>
    <x v="2"/>
    <x v="0"/>
    <x v="2"/>
  </r>
  <r>
    <s v="AX22820"/>
    <s v="ENX2025"/>
    <s v="A105"/>
    <s v="EMP1041"/>
    <s v="C1183"/>
    <x v="262"/>
    <n v="2"/>
    <n v="667"/>
    <n v="387"/>
    <n v="774"/>
    <n v="1334"/>
    <n v="560"/>
    <s v="Product 26"/>
    <x v="45"/>
    <s v="Joe Sims"/>
    <x v="404"/>
    <n v="3"/>
    <x v="2"/>
    <x v="2"/>
    <x v="2"/>
    <x v="0"/>
    <x v="2"/>
  </r>
  <r>
    <s v="AX22930"/>
    <s v="ENX2088"/>
    <s v="A101"/>
    <s v="EMP1025"/>
    <s v="C1765"/>
    <x v="262"/>
    <n v="1"/>
    <n v="603"/>
    <n v="416"/>
    <n v="416"/>
    <n v="603"/>
    <n v="187"/>
    <s v="Product 89"/>
    <x v="60"/>
    <s v="Ernest Wagner"/>
    <x v="470"/>
    <n v="3"/>
    <x v="2"/>
    <x v="2"/>
    <x v="2"/>
    <x v="0"/>
    <x v="2"/>
  </r>
  <r>
    <s v="AX23344"/>
    <s v="ENX2074"/>
    <s v="A123"/>
    <s v="EMP1002"/>
    <s v="C1537"/>
    <x v="265"/>
    <n v="3"/>
    <n v="504"/>
    <n v="408"/>
    <n v="1224"/>
    <n v="1512"/>
    <n v="288"/>
    <s v="Product 75"/>
    <x v="34"/>
    <s v="Andrew Bowman"/>
    <x v="141"/>
    <n v="3"/>
    <x v="2"/>
    <x v="2"/>
    <x v="2"/>
    <x v="0"/>
    <x v="2"/>
  </r>
  <r>
    <s v="AX23532"/>
    <s v="ENX2037"/>
    <s v="A168"/>
    <s v="EMP1010"/>
    <s v="C1764"/>
    <x v="262"/>
    <n v="1"/>
    <n v="880"/>
    <n v="634"/>
    <n v="634"/>
    <n v="880"/>
    <n v="246"/>
    <s v="Product 38"/>
    <x v="40"/>
    <s v="Joshua Cook"/>
    <x v="386"/>
    <n v="3"/>
    <x v="2"/>
    <x v="2"/>
    <x v="2"/>
    <x v="0"/>
    <x v="2"/>
  </r>
  <r>
    <s v="AX24395"/>
    <s v="ENX2025"/>
    <s v="A155"/>
    <s v="EMP1022"/>
    <s v="C1463"/>
    <x v="262"/>
    <n v="2"/>
    <n v="667"/>
    <n v="387"/>
    <n v="774"/>
    <n v="1334"/>
    <n v="560"/>
    <s v="Product 26"/>
    <x v="53"/>
    <s v="Walter Cook"/>
    <x v="535"/>
    <n v="3"/>
    <x v="2"/>
    <x v="2"/>
    <x v="2"/>
    <x v="0"/>
    <x v="2"/>
  </r>
  <r>
    <s v="AX24574"/>
    <s v="ENX2043"/>
    <s v="A170"/>
    <s v="EMP1013"/>
    <s v="C1033"/>
    <x v="262"/>
    <n v="2"/>
    <n v="545"/>
    <n v="425"/>
    <n v="850"/>
    <n v="1090"/>
    <n v="240"/>
    <s v="Product 44"/>
    <x v="47"/>
    <s v="Charles Harper"/>
    <x v="515"/>
    <n v="3"/>
    <x v="2"/>
    <x v="2"/>
    <x v="2"/>
    <x v="0"/>
    <x v="2"/>
  </r>
  <r>
    <s v="AX24669"/>
    <s v="ENX2099"/>
    <s v="A155"/>
    <s v="EMP1039"/>
    <s v="C1042"/>
    <x v="265"/>
    <n v="2"/>
    <n v="1367"/>
    <n v="984"/>
    <n v="1968"/>
    <n v="2734"/>
    <n v="766"/>
    <s v="Product 100"/>
    <x v="53"/>
    <s v="Eugene Holmes"/>
    <x v="459"/>
    <n v="3"/>
    <x v="2"/>
    <x v="2"/>
    <x v="2"/>
    <x v="0"/>
    <x v="2"/>
  </r>
  <r>
    <s v="AX24806"/>
    <s v="ENX2091"/>
    <s v="A109"/>
    <s v="EMP1021"/>
    <s v="C1343"/>
    <x v="265"/>
    <n v="1"/>
    <n v="368"/>
    <n v="294"/>
    <n v="294"/>
    <n v="368"/>
    <n v="74"/>
    <s v="Product 92"/>
    <x v="57"/>
    <s v="Clarence Fox"/>
    <x v="175"/>
    <n v="3"/>
    <x v="2"/>
    <x v="2"/>
    <x v="2"/>
    <x v="0"/>
    <x v="2"/>
  </r>
  <r>
    <s v="AX10198"/>
    <s v="ENX2072"/>
    <s v="A136"/>
    <s v="EMP1006"/>
    <s v="C1584"/>
    <x v="266"/>
    <n v="1"/>
    <n v="1887"/>
    <n v="1378"/>
    <n v="1378"/>
    <n v="1887"/>
    <n v="509"/>
    <s v="Product 73"/>
    <x v="43"/>
    <s v="Sean Miller"/>
    <x v="72"/>
    <n v="3"/>
    <x v="2"/>
    <x v="3"/>
    <x v="3"/>
    <x v="1"/>
    <x v="0"/>
  </r>
  <r>
    <s v="AX10267"/>
    <s v="ENX2036"/>
    <s v="A173"/>
    <s v="EMP1000"/>
    <s v="C1773"/>
    <x v="267"/>
    <n v="2"/>
    <n v="1582"/>
    <n v="1234"/>
    <n v="2468"/>
    <n v="3164"/>
    <n v="696"/>
    <s v="Product 37"/>
    <x v="25"/>
    <s v="Fred Robertson"/>
    <x v="723"/>
    <n v="3"/>
    <x v="2"/>
    <x v="3"/>
    <x v="3"/>
    <x v="1"/>
    <x v="0"/>
  </r>
  <r>
    <s v="AX10565"/>
    <s v="ENX2056"/>
    <s v="A153"/>
    <s v="EMP1018"/>
    <s v="C1357"/>
    <x v="268"/>
    <n v="2"/>
    <n v="1635"/>
    <n v="1046"/>
    <n v="2092"/>
    <n v="3270"/>
    <n v="1178"/>
    <s v="Product 57"/>
    <x v="8"/>
    <s v="Jimmy Young"/>
    <x v="327"/>
    <n v="3"/>
    <x v="2"/>
    <x v="3"/>
    <x v="3"/>
    <x v="1"/>
    <x v="0"/>
  </r>
  <r>
    <s v="AX10663"/>
    <s v="ENX2061"/>
    <s v="A119"/>
    <s v="EMP1041"/>
    <s v="C1528"/>
    <x v="266"/>
    <n v="1"/>
    <n v="913"/>
    <n v="584"/>
    <n v="584"/>
    <n v="913"/>
    <n v="329"/>
    <s v="Product 62"/>
    <x v="16"/>
    <s v="Joe Sims"/>
    <x v="158"/>
    <n v="3"/>
    <x v="2"/>
    <x v="3"/>
    <x v="3"/>
    <x v="1"/>
    <x v="0"/>
  </r>
  <r>
    <s v="AX10699"/>
    <s v="ENX2004"/>
    <s v="A103"/>
    <s v="EMP1035"/>
    <s v="C1698"/>
    <x v="269"/>
    <n v="2"/>
    <n v="1278"/>
    <n v="665"/>
    <n v="1330"/>
    <n v="2556"/>
    <n v="1226"/>
    <s v="Product 5"/>
    <x v="61"/>
    <s v="Roger Ramos"/>
    <x v="86"/>
    <n v="3"/>
    <x v="2"/>
    <x v="3"/>
    <x v="3"/>
    <x v="1"/>
    <x v="0"/>
  </r>
  <r>
    <s v="AX10800"/>
    <s v="ENX2099"/>
    <s v="A115"/>
    <s v="EMP1025"/>
    <s v="C1082"/>
    <x v="267"/>
    <n v="2"/>
    <n v="1367"/>
    <n v="984"/>
    <n v="1968"/>
    <n v="2734"/>
    <n v="766"/>
    <s v="Product 100"/>
    <x v="33"/>
    <s v="Ernest Wagner"/>
    <x v="145"/>
    <n v="3"/>
    <x v="2"/>
    <x v="3"/>
    <x v="3"/>
    <x v="1"/>
    <x v="0"/>
  </r>
  <r>
    <s v="AX10896"/>
    <s v="ENX2022"/>
    <s v="A141"/>
    <s v="EMP1025"/>
    <s v="C1558"/>
    <x v="268"/>
    <n v="2"/>
    <n v="561"/>
    <n v="421"/>
    <n v="842"/>
    <n v="1122"/>
    <n v="280"/>
    <s v="Product 23"/>
    <x v="23"/>
    <s v="Ernest Wagner"/>
    <x v="170"/>
    <n v="3"/>
    <x v="2"/>
    <x v="3"/>
    <x v="3"/>
    <x v="1"/>
    <x v="0"/>
  </r>
  <r>
    <s v="AX10981"/>
    <s v="ENX2050"/>
    <s v="A118"/>
    <s v="EMP1019"/>
    <s v="C1770"/>
    <x v="267"/>
    <n v="1"/>
    <n v="2391"/>
    <n v="1291"/>
    <n v="1291"/>
    <n v="2391"/>
    <n v="1100"/>
    <s v="Product 51"/>
    <x v="19"/>
    <s v="Roger Robertson"/>
    <x v="758"/>
    <n v="3"/>
    <x v="2"/>
    <x v="3"/>
    <x v="3"/>
    <x v="1"/>
    <x v="0"/>
  </r>
  <r>
    <s v="AX11043"/>
    <s v="ENX2081"/>
    <s v="A103"/>
    <s v="EMP1020"/>
    <s v="C1326"/>
    <x v="269"/>
    <n v="1"/>
    <n v="1566"/>
    <n v="1190"/>
    <n v="1190"/>
    <n v="1566"/>
    <n v="376"/>
    <s v="Product 82"/>
    <x v="61"/>
    <s v="Ryan Butler"/>
    <x v="98"/>
    <n v="3"/>
    <x v="2"/>
    <x v="3"/>
    <x v="3"/>
    <x v="1"/>
    <x v="0"/>
  </r>
  <r>
    <s v="AX11305"/>
    <s v="ENX2087"/>
    <s v="A137"/>
    <s v="EMP1020"/>
    <s v="C1686"/>
    <x v="267"/>
    <n v="4"/>
    <n v="1022"/>
    <n v="818"/>
    <n v="3272"/>
    <n v="4088"/>
    <n v="816"/>
    <s v="Product 88"/>
    <x v="68"/>
    <s v="Ryan Butler"/>
    <x v="748"/>
    <n v="3"/>
    <x v="2"/>
    <x v="3"/>
    <x v="3"/>
    <x v="1"/>
    <x v="0"/>
  </r>
  <r>
    <s v="AX11595"/>
    <s v="ENX2033"/>
    <s v="A167"/>
    <s v="EMP1028"/>
    <s v="C1202"/>
    <x v="269"/>
    <n v="4"/>
    <n v="2182"/>
    <n v="1200"/>
    <n v="4800"/>
    <n v="8728"/>
    <n v="3928"/>
    <s v="Product 34"/>
    <x v="64"/>
    <s v="Howard Sims"/>
    <x v="3"/>
    <n v="3"/>
    <x v="2"/>
    <x v="3"/>
    <x v="3"/>
    <x v="1"/>
    <x v="0"/>
  </r>
  <r>
    <s v="AX11810"/>
    <s v="ENX2022"/>
    <s v="A117"/>
    <s v="EMP1038"/>
    <s v="C1121"/>
    <x v="269"/>
    <n v="1"/>
    <n v="561"/>
    <n v="421"/>
    <n v="421"/>
    <n v="561"/>
    <n v="140"/>
    <s v="Product 23"/>
    <x v="29"/>
    <s v="Scott Mason"/>
    <x v="681"/>
    <n v="3"/>
    <x v="2"/>
    <x v="3"/>
    <x v="3"/>
    <x v="1"/>
    <x v="0"/>
  </r>
  <r>
    <s v="AX12257"/>
    <s v="ENX2032"/>
    <s v="A111"/>
    <s v="EMP1026"/>
    <s v="C1165"/>
    <x v="266"/>
    <n v="4"/>
    <n v="1967"/>
    <n v="1397"/>
    <n v="5588"/>
    <n v="7868"/>
    <n v="2280"/>
    <s v="Product 33"/>
    <x v="54"/>
    <s v="Martin Perry"/>
    <x v="82"/>
    <n v="3"/>
    <x v="2"/>
    <x v="3"/>
    <x v="3"/>
    <x v="1"/>
    <x v="0"/>
  </r>
  <r>
    <s v="AX12866"/>
    <s v="ENX2029"/>
    <s v="A167"/>
    <s v="EMP1028"/>
    <s v="C1588"/>
    <x v="267"/>
    <n v="1"/>
    <n v="1848"/>
    <n v="1294"/>
    <n v="1294"/>
    <n v="1848"/>
    <n v="554"/>
    <s v="Product 30"/>
    <x v="64"/>
    <s v="Howard Sims"/>
    <x v="653"/>
    <n v="3"/>
    <x v="2"/>
    <x v="3"/>
    <x v="3"/>
    <x v="1"/>
    <x v="0"/>
  </r>
  <r>
    <s v="AX13137"/>
    <s v="ENX2068"/>
    <s v="A112"/>
    <s v="EMP1023"/>
    <s v="C1745"/>
    <x v="269"/>
    <n v="1"/>
    <n v="1500"/>
    <n v="900"/>
    <n v="900"/>
    <n v="1500"/>
    <n v="600"/>
    <s v="Product 69"/>
    <x v="66"/>
    <s v="Brian Davis"/>
    <x v="784"/>
    <n v="3"/>
    <x v="2"/>
    <x v="3"/>
    <x v="3"/>
    <x v="1"/>
    <x v="0"/>
  </r>
  <r>
    <s v="AX13152"/>
    <s v="ENX2062"/>
    <s v="A161"/>
    <s v="EMP1013"/>
    <s v="C1327"/>
    <x v="270"/>
    <n v="3"/>
    <n v="2464"/>
    <n v="1774"/>
    <n v="5322"/>
    <n v="7392"/>
    <n v="2070"/>
    <s v="Product 63"/>
    <x v="6"/>
    <s v="Charles Harper"/>
    <x v="321"/>
    <n v="3"/>
    <x v="2"/>
    <x v="3"/>
    <x v="3"/>
    <x v="1"/>
    <x v="0"/>
  </r>
  <r>
    <s v="AX13783"/>
    <s v="ENX2007"/>
    <s v="A107"/>
    <s v="EMP1042"/>
    <s v="C1426"/>
    <x v="266"/>
    <n v="3"/>
    <n v="1405"/>
    <n v="1054"/>
    <n v="3162"/>
    <n v="4215"/>
    <n v="1053"/>
    <s v="Product 8"/>
    <x v="21"/>
    <s v="Scott Clark"/>
    <x v="127"/>
    <n v="3"/>
    <x v="2"/>
    <x v="3"/>
    <x v="3"/>
    <x v="1"/>
    <x v="0"/>
  </r>
  <r>
    <s v="AX13855"/>
    <s v="ENX2022"/>
    <s v="A108"/>
    <s v="EMP1027"/>
    <s v="C1290"/>
    <x v="267"/>
    <n v="1"/>
    <n v="561"/>
    <n v="421"/>
    <n v="421"/>
    <n v="561"/>
    <n v="140"/>
    <s v="Product 23"/>
    <x v="49"/>
    <s v="Gary Rodriguez"/>
    <x v="675"/>
    <n v="3"/>
    <x v="2"/>
    <x v="3"/>
    <x v="3"/>
    <x v="1"/>
    <x v="0"/>
  </r>
  <r>
    <s v="AX14909"/>
    <s v="ENX2022"/>
    <s v="A150"/>
    <s v="EMP1040"/>
    <s v="C1080"/>
    <x v="269"/>
    <n v="1"/>
    <n v="561"/>
    <n v="421"/>
    <n v="421"/>
    <n v="561"/>
    <n v="140"/>
    <s v="Product 23"/>
    <x v="30"/>
    <s v="Patrick Ruiz"/>
    <x v="720"/>
    <n v="3"/>
    <x v="2"/>
    <x v="3"/>
    <x v="3"/>
    <x v="1"/>
    <x v="0"/>
  </r>
  <r>
    <s v="AX15435"/>
    <s v="ENX2052"/>
    <s v="A173"/>
    <s v="EMP1040"/>
    <s v="C1008"/>
    <x v="269"/>
    <n v="2"/>
    <n v="1526"/>
    <n v="1251"/>
    <n v="2502"/>
    <n v="3052"/>
    <n v="550"/>
    <s v="Product 53"/>
    <x v="25"/>
    <s v="Patrick Ruiz"/>
    <x v="796"/>
    <n v="3"/>
    <x v="2"/>
    <x v="3"/>
    <x v="3"/>
    <x v="1"/>
    <x v="0"/>
  </r>
  <r>
    <s v="AX15513"/>
    <s v="ENX2006"/>
    <s v="A141"/>
    <s v="EMP1015"/>
    <s v="C1358"/>
    <x v="270"/>
    <n v="4"/>
    <n v="1826"/>
    <n v="1443"/>
    <n v="5772"/>
    <n v="7304"/>
    <n v="1532"/>
    <s v="Product 7"/>
    <x v="23"/>
    <s v="Justin Lynch"/>
    <x v="242"/>
    <n v="3"/>
    <x v="2"/>
    <x v="3"/>
    <x v="3"/>
    <x v="1"/>
    <x v="0"/>
  </r>
  <r>
    <s v="AX15593"/>
    <s v="ENX2062"/>
    <s v="A102"/>
    <s v="EMP1036"/>
    <s v="C1699"/>
    <x v="270"/>
    <n v="1"/>
    <n v="2464"/>
    <n v="1774"/>
    <n v="1774"/>
    <n v="2464"/>
    <n v="690"/>
    <s v="Product 63"/>
    <x v="44"/>
    <s v="Robert Reed"/>
    <x v="672"/>
    <n v="3"/>
    <x v="2"/>
    <x v="3"/>
    <x v="3"/>
    <x v="1"/>
    <x v="0"/>
  </r>
  <r>
    <s v="AX15962"/>
    <s v="ENX2013"/>
    <s v="A156"/>
    <s v="EMP1010"/>
    <s v="C1421"/>
    <x v="267"/>
    <n v="3"/>
    <n v="368"/>
    <n v="269"/>
    <n v="807"/>
    <n v="1104"/>
    <n v="297"/>
    <s v="Product 14"/>
    <x v="14"/>
    <s v="Joshua Cook"/>
    <x v="564"/>
    <n v="3"/>
    <x v="2"/>
    <x v="3"/>
    <x v="3"/>
    <x v="1"/>
    <x v="0"/>
  </r>
  <r>
    <s v="AX16309"/>
    <s v="ENX2071"/>
    <s v="A159"/>
    <s v="EMP1021"/>
    <s v="C1415"/>
    <x v="268"/>
    <n v="1"/>
    <n v="136"/>
    <n v="72"/>
    <n v="72"/>
    <n v="136"/>
    <n v="64"/>
    <s v="Product 72"/>
    <x v="13"/>
    <s v="Clarence Fox"/>
    <x v="352"/>
    <n v="3"/>
    <x v="2"/>
    <x v="3"/>
    <x v="3"/>
    <x v="1"/>
    <x v="0"/>
  </r>
  <r>
    <s v="AX16399"/>
    <s v="ENX2090"/>
    <s v="A120"/>
    <s v="EMP1037"/>
    <s v="C1756"/>
    <x v="267"/>
    <n v="3"/>
    <n v="1338"/>
    <n v="682"/>
    <n v="2046"/>
    <n v="4014"/>
    <n v="1968"/>
    <s v="Product 91"/>
    <x v="20"/>
    <s v="Carl Hall"/>
    <x v="371"/>
    <n v="3"/>
    <x v="2"/>
    <x v="3"/>
    <x v="3"/>
    <x v="1"/>
    <x v="0"/>
  </r>
  <r>
    <s v="AX16606"/>
    <s v="ENX2038"/>
    <s v="A158"/>
    <s v="EMP1001"/>
    <s v="C1166"/>
    <x v="270"/>
    <n v="1"/>
    <n v="392"/>
    <n v="255"/>
    <n v="255"/>
    <n v="392"/>
    <n v="137"/>
    <s v="Product 39"/>
    <x v="58"/>
    <s v="Kevin Butler"/>
    <x v="733"/>
    <n v="3"/>
    <x v="2"/>
    <x v="3"/>
    <x v="3"/>
    <x v="1"/>
    <x v="0"/>
  </r>
  <r>
    <s v="AX16625"/>
    <s v="ENX2035"/>
    <s v="A120"/>
    <s v="EMP1003"/>
    <s v="C1596"/>
    <x v="268"/>
    <n v="1"/>
    <n v="458"/>
    <n v="376"/>
    <n v="376"/>
    <n v="458"/>
    <n v="82"/>
    <s v="Product 36"/>
    <x v="20"/>
    <s v="Christopher Tucker"/>
    <x v="217"/>
    <n v="3"/>
    <x v="2"/>
    <x v="3"/>
    <x v="3"/>
    <x v="1"/>
    <x v="0"/>
  </r>
  <r>
    <s v="AX16934"/>
    <s v="ENX2074"/>
    <s v="A128"/>
    <s v="EMP1006"/>
    <s v="C1777"/>
    <x v="268"/>
    <n v="2"/>
    <n v="504"/>
    <n v="408"/>
    <n v="816"/>
    <n v="1008"/>
    <n v="192"/>
    <s v="Product 75"/>
    <x v="12"/>
    <s v="Sean Miller"/>
    <x v="682"/>
    <n v="3"/>
    <x v="2"/>
    <x v="3"/>
    <x v="3"/>
    <x v="1"/>
    <x v="0"/>
  </r>
  <r>
    <s v="AX16974"/>
    <s v="ENX2025"/>
    <s v="A143"/>
    <s v="EMP1007"/>
    <s v="C1680"/>
    <x v="270"/>
    <n v="1"/>
    <n v="667"/>
    <n v="387"/>
    <n v="387"/>
    <n v="667"/>
    <n v="280"/>
    <s v="Product 26"/>
    <x v="39"/>
    <s v="Jeremy Mendoza"/>
    <x v="797"/>
    <n v="3"/>
    <x v="2"/>
    <x v="3"/>
    <x v="3"/>
    <x v="1"/>
    <x v="0"/>
  </r>
  <r>
    <s v="AX17581"/>
    <s v="ENX2027"/>
    <s v="A148"/>
    <s v="EMP1024"/>
    <s v="C1260"/>
    <x v="270"/>
    <n v="4"/>
    <n v="2497"/>
    <n v="1473"/>
    <n v="5892"/>
    <n v="9988"/>
    <n v="4096"/>
    <s v="Product 28"/>
    <x v="62"/>
    <s v="Ernest Wheeler"/>
    <x v="27"/>
    <n v="3"/>
    <x v="2"/>
    <x v="3"/>
    <x v="3"/>
    <x v="1"/>
    <x v="0"/>
  </r>
  <r>
    <s v="AX17916"/>
    <s v="ENX2100"/>
    <s v="A152"/>
    <s v="EMP1034"/>
    <s v="C1204"/>
    <x v="268"/>
    <n v="1"/>
    <n v="799"/>
    <n v="455"/>
    <n v="455"/>
    <n v="799"/>
    <n v="344"/>
    <s v="Product 101"/>
    <x v="26"/>
    <s v="Arthur Mccoy"/>
    <x v="654"/>
    <n v="3"/>
    <x v="2"/>
    <x v="3"/>
    <x v="3"/>
    <x v="1"/>
    <x v="0"/>
  </r>
  <r>
    <s v="AX18143"/>
    <s v="ENX2042"/>
    <s v="A112"/>
    <s v="EMP1013"/>
    <s v="C1620"/>
    <x v="267"/>
    <n v="1"/>
    <n v="203"/>
    <n v="154"/>
    <n v="154"/>
    <n v="203"/>
    <n v="49"/>
    <s v="Product 43"/>
    <x v="66"/>
    <s v="Charles Harper"/>
    <x v="445"/>
    <n v="3"/>
    <x v="2"/>
    <x v="3"/>
    <x v="3"/>
    <x v="1"/>
    <x v="0"/>
  </r>
  <r>
    <s v="AX18146"/>
    <s v="ENX2019"/>
    <s v="A102"/>
    <s v="EMP1042"/>
    <s v="C1467"/>
    <x v="268"/>
    <n v="2"/>
    <n v="800"/>
    <n v="536"/>
    <n v="1072"/>
    <n v="1600"/>
    <n v="528"/>
    <s v="Product 20"/>
    <x v="44"/>
    <s v="Scott Clark"/>
    <x v="5"/>
    <n v="3"/>
    <x v="2"/>
    <x v="3"/>
    <x v="3"/>
    <x v="1"/>
    <x v="0"/>
  </r>
  <r>
    <s v="AX18406"/>
    <s v="ENX2010"/>
    <s v="A169"/>
    <s v="EMP1028"/>
    <s v="C1675"/>
    <x v="268"/>
    <n v="1"/>
    <n v="1812"/>
    <n v="1305"/>
    <n v="1305"/>
    <n v="1812"/>
    <n v="507"/>
    <s v="Product 11"/>
    <x v="17"/>
    <s v="Howard Sims"/>
    <x v="453"/>
    <n v="3"/>
    <x v="2"/>
    <x v="3"/>
    <x v="3"/>
    <x v="1"/>
    <x v="0"/>
  </r>
  <r>
    <s v="AX18565"/>
    <s v="ENX2094"/>
    <s v="A134"/>
    <s v="EMP1032"/>
    <s v="C1212"/>
    <x v="267"/>
    <n v="1"/>
    <n v="771"/>
    <n v="648"/>
    <n v="648"/>
    <n v="771"/>
    <n v="123"/>
    <s v="Product 95"/>
    <x v="41"/>
    <s v="Larry Castillo"/>
    <x v="220"/>
    <n v="3"/>
    <x v="2"/>
    <x v="3"/>
    <x v="3"/>
    <x v="1"/>
    <x v="0"/>
  </r>
  <r>
    <s v="AX18570"/>
    <s v="ENX2035"/>
    <s v="A153"/>
    <s v="EMP1019"/>
    <s v="C1656"/>
    <x v="266"/>
    <n v="1"/>
    <n v="458"/>
    <n v="376"/>
    <n v="376"/>
    <n v="458"/>
    <n v="82"/>
    <s v="Product 36"/>
    <x v="8"/>
    <s v="Roger Robertson"/>
    <x v="115"/>
    <n v="3"/>
    <x v="2"/>
    <x v="3"/>
    <x v="3"/>
    <x v="1"/>
    <x v="0"/>
  </r>
  <r>
    <s v="AX18661"/>
    <s v="ENX2084"/>
    <s v="A164"/>
    <s v="EMP1042"/>
    <s v="C1069"/>
    <x v="269"/>
    <n v="1"/>
    <n v="1783"/>
    <n v="1230"/>
    <n v="1230"/>
    <n v="1783"/>
    <n v="553"/>
    <s v="Product 85"/>
    <x v="3"/>
    <s v="Scott Clark"/>
    <x v="284"/>
    <n v="3"/>
    <x v="2"/>
    <x v="3"/>
    <x v="3"/>
    <x v="1"/>
    <x v="0"/>
  </r>
  <r>
    <s v="AX18952"/>
    <s v="ENX2081"/>
    <s v="A156"/>
    <s v="EMP1019"/>
    <s v="C1452"/>
    <x v="270"/>
    <n v="1"/>
    <n v="1566"/>
    <n v="1190"/>
    <n v="1190"/>
    <n v="1566"/>
    <n v="376"/>
    <s v="Product 82"/>
    <x v="14"/>
    <s v="Roger Robertson"/>
    <x v="234"/>
    <n v="3"/>
    <x v="2"/>
    <x v="3"/>
    <x v="3"/>
    <x v="1"/>
    <x v="0"/>
  </r>
  <r>
    <s v="AX19009"/>
    <s v="ENX2040"/>
    <s v="A104"/>
    <s v="EMP1037"/>
    <s v="C1706"/>
    <x v="270"/>
    <n v="2"/>
    <n v="1889"/>
    <n v="945"/>
    <n v="1890"/>
    <n v="3778"/>
    <n v="1888"/>
    <s v="Product 41"/>
    <x v="50"/>
    <s v="Carl Hall"/>
    <x v="171"/>
    <n v="3"/>
    <x v="2"/>
    <x v="3"/>
    <x v="3"/>
    <x v="1"/>
    <x v="0"/>
  </r>
  <r>
    <s v="AX19041"/>
    <s v="ENX2034"/>
    <s v="A114"/>
    <s v="EMP1021"/>
    <s v="C1761"/>
    <x v="267"/>
    <n v="1"/>
    <n v="871"/>
    <n v="540"/>
    <n v="540"/>
    <n v="871"/>
    <n v="331"/>
    <s v="Product 35"/>
    <x v="28"/>
    <s v="Clarence Fox"/>
    <x v="618"/>
    <n v="3"/>
    <x v="2"/>
    <x v="3"/>
    <x v="3"/>
    <x v="1"/>
    <x v="0"/>
  </r>
  <r>
    <s v="AX19049"/>
    <s v="ENX2090"/>
    <s v="A169"/>
    <s v="EMP1012"/>
    <s v="C1665"/>
    <x v="269"/>
    <n v="1"/>
    <n v="1338"/>
    <n v="682"/>
    <n v="682"/>
    <n v="1338"/>
    <n v="656"/>
    <s v="Product 91"/>
    <x v="17"/>
    <s v="John Reyes"/>
    <x v="615"/>
    <n v="3"/>
    <x v="2"/>
    <x v="3"/>
    <x v="3"/>
    <x v="1"/>
    <x v="0"/>
  </r>
  <r>
    <s v="AX19219"/>
    <s v="ENX2028"/>
    <s v="A154"/>
    <s v="EMP1002"/>
    <s v="C1483"/>
    <x v="268"/>
    <n v="1"/>
    <n v="2283"/>
    <n v="1484"/>
    <n v="1484"/>
    <n v="2283"/>
    <n v="799"/>
    <s v="Product 29"/>
    <x v="24"/>
    <s v="Andrew Bowman"/>
    <x v="255"/>
    <n v="3"/>
    <x v="2"/>
    <x v="3"/>
    <x v="3"/>
    <x v="1"/>
    <x v="0"/>
  </r>
  <r>
    <s v="AX19459"/>
    <s v="ENX2005"/>
    <s v="A108"/>
    <s v="EMP1035"/>
    <s v="C1502"/>
    <x v="268"/>
    <n v="2"/>
    <n v="684"/>
    <n v="561"/>
    <n v="1122"/>
    <n v="1368"/>
    <n v="246"/>
    <s v="Product 6"/>
    <x v="49"/>
    <s v="Roger Ramos"/>
    <x v="364"/>
    <n v="3"/>
    <x v="2"/>
    <x v="3"/>
    <x v="3"/>
    <x v="1"/>
    <x v="0"/>
  </r>
  <r>
    <s v="AX19688"/>
    <s v="ENX2015"/>
    <s v="A109"/>
    <s v="EMP1044"/>
    <s v="C1626"/>
    <x v="269"/>
    <n v="1"/>
    <n v="637"/>
    <n v="389"/>
    <n v="389"/>
    <n v="637"/>
    <n v="248"/>
    <s v="Product 16"/>
    <x v="57"/>
    <s v="Martin Carr"/>
    <x v="153"/>
    <n v="3"/>
    <x v="2"/>
    <x v="3"/>
    <x v="3"/>
    <x v="1"/>
    <x v="0"/>
  </r>
  <r>
    <s v="AX19967"/>
    <s v="ENX2010"/>
    <s v="A138"/>
    <s v="EMP1010"/>
    <s v="C1089"/>
    <x v="266"/>
    <n v="2"/>
    <n v="1812"/>
    <n v="1305"/>
    <n v="2610"/>
    <n v="3624"/>
    <n v="1014"/>
    <s v="Product 11"/>
    <x v="37"/>
    <s v="Joshua Cook"/>
    <x v="267"/>
    <n v="3"/>
    <x v="2"/>
    <x v="3"/>
    <x v="3"/>
    <x v="1"/>
    <x v="0"/>
  </r>
  <r>
    <s v="AX19968"/>
    <s v="ENX2093"/>
    <s v="A166"/>
    <s v="EMP1014"/>
    <s v="C1259"/>
    <x v="270"/>
    <n v="4"/>
    <n v="112"/>
    <n v="90"/>
    <n v="360"/>
    <n v="448"/>
    <n v="88"/>
    <s v="Product 94"/>
    <x v="70"/>
    <s v="Ronald Reed"/>
    <x v="475"/>
    <n v="3"/>
    <x v="2"/>
    <x v="3"/>
    <x v="3"/>
    <x v="1"/>
    <x v="0"/>
  </r>
  <r>
    <s v="AX20157"/>
    <s v="ENX2098"/>
    <s v="A114"/>
    <s v="EMP1014"/>
    <s v="C1114"/>
    <x v="269"/>
    <n v="2"/>
    <n v="1178"/>
    <n v="683"/>
    <n v="1366"/>
    <n v="2356"/>
    <n v="990"/>
    <s v="Product 99"/>
    <x v="28"/>
    <s v="Ronald Reed"/>
    <x v="405"/>
    <n v="3"/>
    <x v="2"/>
    <x v="3"/>
    <x v="3"/>
    <x v="1"/>
    <x v="0"/>
  </r>
  <r>
    <s v="AX20201"/>
    <s v="ENX2049"/>
    <s v="A155"/>
    <s v="EMP1004"/>
    <s v="C1192"/>
    <x v="266"/>
    <n v="1"/>
    <n v="826"/>
    <n v="562"/>
    <n v="562"/>
    <n v="826"/>
    <n v="264"/>
    <s v="Product 50"/>
    <x v="53"/>
    <s v="Kenneth Bradley"/>
    <x v="746"/>
    <n v="3"/>
    <x v="2"/>
    <x v="3"/>
    <x v="3"/>
    <x v="1"/>
    <x v="0"/>
  </r>
  <r>
    <s v="AX20368"/>
    <s v="ENX2079"/>
    <s v="A119"/>
    <s v="EMP1004"/>
    <s v="C1342"/>
    <x v="270"/>
    <n v="2"/>
    <n v="1725"/>
    <n v="1363"/>
    <n v="2726"/>
    <n v="3450"/>
    <n v="724"/>
    <s v="Product 80"/>
    <x v="16"/>
    <s v="Kenneth Bradley"/>
    <x v="62"/>
    <n v="3"/>
    <x v="2"/>
    <x v="3"/>
    <x v="3"/>
    <x v="1"/>
    <x v="0"/>
  </r>
  <r>
    <s v="AX20440"/>
    <s v="ENX2090"/>
    <s v="A140"/>
    <s v="EMP1035"/>
    <s v="C1046"/>
    <x v="268"/>
    <n v="4"/>
    <n v="1338"/>
    <n v="682"/>
    <n v="2728"/>
    <n v="5352"/>
    <n v="2624"/>
    <s v="Product 91"/>
    <x v="18"/>
    <s v="Roger Ramos"/>
    <x v="719"/>
    <n v="3"/>
    <x v="2"/>
    <x v="3"/>
    <x v="3"/>
    <x v="1"/>
    <x v="0"/>
  </r>
  <r>
    <s v="AX20543"/>
    <s v="ENX2043"/>
    <s v="A167"/>
    <s v="EMP1005"/>
    <s v="C1669"/>
    <x v="267"/>
    <n v="1"/>
    <n v="545"/>
    <n v="425"/>
    <n v="425"/>
    <n v="545"/>
    <n v="120"/>
    <s v="Product 44"/>
    <x v="64"/>
    <s v="Ryan Welch"/>
    <x v="447"/>
    <n v="3"/>
    <x v="2"/>
    <x v="3"/>
    <x v="3"/>
    <x v="1"/>
    <x v="0"/>
  </r>
  <r>
    <s v="AX20633"/>
    <s v="ENX2015"/>
    <s v="A148"/>
    <s v="EMP1022"/>
    <s v="C1373"/>
    <x v="269"/>
    <n v="1"/>
    <n v="637"/>
    <n v="389"/>
    <n v="389"/>
    <n v="637"/>
    <n v="248"/>
    <s v="Product 16"/>
    <x v="62"/>
    <s v="Walter Cook"/>
    <x v="471"/>
    <n v="3"/>
    <x v="2"/>
    <x v="3"/>
    <x v="3"/>
    <x v="1"/>
    <x v="0"/>
  </r>
  <r>
    <s v="AX20984"/>
    <s v="ENX2003"/>
    <s v="A124"/>
    <s v="EMP1010"/>
    <s v="C1290"/>
    <x v="266"/>
    <n v="1"/>
    <n v="1783"/>
    <n v="1516"/>
    <n v="1516"/>
    <n v="1783"/>
    <n v="267"/>
    <s v="Product 4"/>
    <x v="67"/>
    <s v="Joshua Cook"/>
    <x v="675"/>
    <n v="3"/>
    <x v="2"/>
    <x v="3"/>
    <x v="3"/>
    <x v="1"/>
    <x v="0"/>
  </r>
  <r>
    <s v="AX21105"/>
    <s v="ENX2060"/>
    <s v="A138"/>
    <s v="EMP1027"/>
    <s v="C1724"/>
    <x v="266"/>
    <n v="1"/>
    <n v="1467"/>
    <n v="807"/>
    <n v="807"/>
    <n v="1467"/>
    <n v="660"/>
    <s v="Product 61"/>
    <x v="37"/>
    <s v="Gary Rodriguez"/>
    <x v="378"/>
    <n v="3"/>
    <x v="2"/>
    <x v="3"/>
    <x v="3"/>
    <x v="1"/>
    <x v="0"/>
  </r>
  <r>
    <s v="AX21334"/>
    <s v="ENX2032"/>
    <s v="A140"/>
    <s v="EMP1014"/>
    <s v="C1326"/>
    <x v="268"/>
    <n v="2"/>
    <n v="1967"/>
    <n v="1397"/>
    <n v="2794"/>
    <n v="3934"/>
    <n v="1140"/>
    <s v="Product 33"/>
    <x v="18"/>
    <s v="Ronald Reed"/>
    <x v="98"/>
    <n v="3"/>
    <x v="2"/>
    <x v="3"/>
    <x v="3"/>
    <x v="1"/>
    <x v="0"/>
  </r>
  <r>
    <s v="AX21836"/>
    <s v="ENX2054"/>
    <s v="A131"/>
    <s v="EMP1005"/>
    <s v="C1686"/>
    <x v="268"/>
    <n v="1"/>
    <n v="127"/>
    <n v="79"/>
    <n v="79"/>
    <n v="127"/>
    <n v="48"/>
    <s v="Product 55"/>
    <x v="32"/>
    <s v="Ryan Welch"/>
    <x v="748"/>
    <n v="3"/>
    <x v="2"/>
    <x v="3"/>
    <x v="3"/>
    <x v="1"/>
    <x v="0"/>
  </r>
  <r>
    <s v="AX22081"/>
    <s v="ENX2069"/>
    <s v="A118"/>
    <s v="EMP1012"/>
    <s v="C1653"/>
    <x v="268"/>
    <n v="3"/>
    <n v="378"/>
    <n v="291"/>
    <n v="873"/>
    <n v="1134"/>
    <n v="261"/>
    <s v="Product 70"/>
    <x v="19"/>
    <s v="John Reyes"/>
    <x v="187"/>
    <n v="3"/>
    <x v="2"/>
    <x v="3"/>
    <x v="3"/>
    <x v="1"/>
    <x v="0"/>
  </r>
  <r>
    <s v="AX22122"/>
    <s v="ENX2014"/>
    <s v="A131"/>
    <s v="EMP1014"/>
    <s v="C1635"/>
    <x v="267"/>
    <n v="1"/>
    <n v="1809"/>
    <n v="1067"/>
    <n v="1067"/>
    <n v="1809"/>
    <n v="742"/>
    <s v="Product 15"/>
    <x v="32"/>
    <s v="Ronald Reed"/>
    <x v="31"/>
    <n v="3"/>
    <x v="2"/>
    <x v="3"/>
    <x v="3"/>
    <x v="1"/>
    <x v="0"/>
  </r>
  <r>
    <s v="AX22300"/>
    <s v="ENX2047"/>
    <s v="A119"/>
    <s v="EMP1017"/>
    <s v="C1625"/>
    <x v="269"/>
    <n v="2"/>
    <n v="290"/>
    <n v="200"/>
    <n v="400"/>
    <n v="580"/>
    <n v="180"/>
    <s v="Product 48"/>
    <x v="16"/>
    <s v="Brian Hansen"/>
    <x v="575"/>
    <n v="3"/>
    <x v="2"/>
    <x v="3"/>
    <x v="3"/>
    <x v="1"/>
    <x v="0"/>
  </r>
  <r>
    <s v="AX22849"/>
    <s v="ENX2048"/>
    <s v="A109"/>
    <s v="EMP1039"/>
    <s v="C1020"/>
    <x v="270"/>
    <n v="1"/>
    <n v="502"/>
    <n v="296"/>
    <n v="296"/>
    <n v="502"/>
    <n v="206"/>
    <s v="Product 49"/>
    <x v="57"/>
    <s v="Eugene Holmes"/>
    <x v="423"/>
    <n v="3"/>
    <x v="2"/>
    <x v="3"/>
    <x v="3"/>
    <x v="1"/>
    <x v="0"/>
  </r>
  <r>
    <s v="AX22923"/>
    <s v="ENX2071"/>
    <s v="A107"/>
    <s v="EMP1015"/>
    <s v="C1619"/>
    <x v="269"/>
    <n v="2"/>
    <n v="136"/>
    <n v="72"/>
    <n v="144"/>
    <n v="272"/>
    <n v="128"/>
    <s v="Product 72"/>
    <x v="21"/>
    <s v="Justin Lynch"/>
    <x v="77"/>
    <n v="3"/>
    <x v="2"/>
    <x v="3"/>
    <x v="3"/>
    <x v="1"/>
    <x v="0"/>
  </r>
  <r>
    <s v="AX22961"/>
    <s v="ENX2024"/>
    <s v="A135"/>
    <s v="EMP1008"/>
    <s v="C1664"/>
    <x v="268"/>
    <n v="3"/>
    <n v="356"/>
    <n v="292"/>
    <n v="876"/>
    <n v="1068"/>
    <n v="192"/>
    <s v="Product 25"/>
    <x v="10"/>
    <s v="Carl Elliott"/>
    <x v="12"/>
    <n v="3"/>
    <x v="2"/>
    <x v="3"/>
    <x v="3"/>
    <x v="1"/>
    <x v="0"/>
  </r>
  <r>
    <s v="AX23967"/>
    <s v="ENX2023"/>
    <s v="A172"/>
    <s v="EMP1038"/>
    <s v="C1009"/>
    <x v="267"/>
    <n v="1"/>
    <n v="818"/>
    <n v="450"/>
    <n v="450"/>
    <n v="818"/>
    <n v="368"/>
    <s v="Product 24"/>
    <x v="36"/>
    <s v="Scott Mason"/>
    <x v="458"/>
    <n v="3"/>
    <x v="2"/>
    <x v="3"/>
    <x v="3"/>
    <x v="1"/>
    <x v="0"/>
  </r>
  <r>
    <s v="AX24359"/>
    <s v="ENX2030"/>
    <s v="A149"/>
    <s v="EMP1026"/>
    <s v="C1786"/>
    <x v="266"/>
    <n v="3"/>
    <n v="1899"/>
    <n v="1044"/>
    <n v="3132"/>
    <n v="5697"/>
    <n v="2565"/>
    <s v="Product 31"/>
    <x v="59"/>
    <s v="Martin Perry"/>
    <x v="406"/>
    <n v="3"/>
    <x v="2"/>
    <x v="3"/>
    <x v="3"/>
    <x v="1"/>
    <x v="0"/>
  </r>
  <r>
    <s v="AX24473"/>
    <s v="ENX2095"/>
    <s v="A118"/>
    <s v="EMP1014"/>
    <s v="C1566"/>
    <x v="270"/>
    <n v="1"/>
    <n v="1743"/>
    <n v="872"/>
    <n v="872"/>
    <n v="1743"/>
    <n v="871"/>
    <s v="Product 96"/>
    <x v="19"/>
    <s v="Ronald Reed"/>
    <x v="45"/>
    <n v="3"/>
    <x v="2"/>
    <x v="3"/>
    <x v="3"/>
    <x v="1"/>
    <x v="0"/>
  </r>
  <r>
    <s v="AX24610"/>
    <s v="ENX2061"/>
    <s v="A108"/>
    <s v="EMP1044"/>
    <s v="C1260"/>
    <x v="269"/>
    <n v="2"/>
    <n v="913"/>
    <n v="584"/>
    <n v="1168"/>
    <n v="1826"/>
    <n v="658"/>
    <s v="Product 62"/>
    <x v="49"/>
    <s v="Martin Carr"/>
    <x v="27"/>
    <n v="3"/>
    <x v="2"/>
    <x v="3"/>
    <x v="3"/>
    <x v="1"/>
    <x v="0"/>
  </r>
  <r>
    <s v="AX24658"/>
    <s v="ENX2071"/>
    <s v="A143"/>
    <s v="EMP1022"/>
    <s v="C1116"/>
    <x v="269"/>
    <n v="2"/>
    <n v="136"/>
    <n v="72"/>
    <n v="144"/>
    <n v="272"/>
    <n v="128"/>
    <s v="Product 72"/>
    <x v="39"/>
    <s v="Walter Cook"/>
    <x v="747"/>
    <n v="3"/>
    <x v="2"/>
    <x v="3"/>
    <x v="3"/>
    <x v="1"/>
    <x v="0"/>
  </r>
  <r>
    <s v="AX24999"/>
    <s v="ENX2055"/>
    <s v="A114"/>
    <s v="EMP1031"/>
    <s v="C1351"/>
    <x v="268"/>
    <n v="2"/>
    <n v="2495"/>
    <n v="1896"/>
    <n v="3792"/>
    <n v="4990"/>
    <n v="1198"/>
    <s v="Product 56"/>
    <x v="28"/>
    <s v="Brian Thomas"/>
    <x v="122"/>
    <n v="3"/>
    <x v="2"/>
    <x v="3"/>
    <x v="3"/>
    <x v="1"/>
    <x v="0"/>
  </r>
  <r>
    <s v="AX10734"/>
    <s v="ENX2069"/>
    <s v="A101"/>
    <s v="EMP1037"/>
    <s v="C1629"/>
    <x v="271"/>
    <n v="1"/>
    <n v="378"/>
    <n v="291"/>
    <n v="291"/>
    <n v="378"/>
    <n v="87"/>
    <s v="Product 70"/>
    <x v="60"/>
    <s v="Carl Hall"/>
    <x v="734"/>
    <n v="3"/>
    <x v="2"/>
    <x v="3"/>
    <x v="3"/>
    <x v="1"/>
    <x v="2"/>
  </r>
  <r>
    <s v="AX11271"/>
    <s v="ENX2057"/>
    <s v="A167"/>
    <s v="EMP1008"/>
    <s v="C1463"/>
    <x v="272"/>
    <n v="2"/>
    <n v="181"/>
    <n v="130"/>
    <n v="260"/>
    <n v="362"/>
    <n v="102"/>
    <s v="Product 58"/>
    <x v="64"/>
    <s v="Carl Elliott"/>
    <x v="535"/>
    <n v="3"/>
    <x v="2"/>
    <x v="3"/>
    <x v="3"/>
    <x v="1"/>
    <x v="2"/>
  </r>
  <r>
    <s v="AX12074"/>
    <s v="ENX2063"/>
    <s v="A141"/>
    <s v="EMP1037"/>
    <s v="C1311"/>
    <x v="273"/>
    <n v="1"/>
    <n v="1708"/>
    <n v="871"/>
    <n v="871"/>
    <n v="1708"/>
    <n v="837"/>
    <s v="Product 64"/>
    <x v="23"/>
    <s v="Carl Hall"/>
    <x v="309"/>
    <n v="3"/>
    <x v="2"/>
    <x v="3"/>
    <x v="3"/>
    <x v="1"/>
    <x v="2"/>
  </r>
  <r>
    <s v="AX12670"/>
    <s v="ENX2093"/>
    <s v="A112"/>
    <s v="EMP1031"/>
    <s v="C1708"/>
    <x v="271"/>
    <n v="1"/>
    <n v="112"/>
    <n v="90"/>
    <n v="90"/>
    <n v="112"/>
    <n v="22"/>
    <s v="Product 94"/>
    <x v="66"/>
    <s v="Brian Thomas"/>
    <x v="579"/>
    <n v="3"/>
    <x v="2"/>
    <x v="3"/>
    <x v="3"/>
    <x v="1"/>
    <x v="2"/>
  </r>
  <r>
    <s v="AX13001"/>
    <s v="ENX2059"/>
    <s v="A173"/>
    <s v="EMP1032"/>
    <s v="C1114"/>
    <x v="271"/>
    <n v="4"/>
    <n v="1494"/>
    <n v="971"/>
    <n v="3884"/>
    <n v="5976"/>
    <n v="2092"/>
    <s v="Product 60"/>
    <x v="25"/>
    <s v="Larry Castillo"/>
    <x v="405"/>
    <n v="3"/>
    <x v="2"/>
    <x v="3"/>
    <x v="3"/>
    <x v="1"/>
    <x v="2"/>
  </r>
  <r>
    <s v="AX13225"/>
    <s v="ENX2099"/>
    <s v="A123"/>
    <s v="EMP1011"/>
    <s v="C1746"/>
    <x v="273"/>
    <n v="1"/>
    <n v="1367"/>
    <n v="984"/>
    <n v="984"/>
    <n v="1367"/>
    <n v="383"/>
    <s v="Product 100"/>
    <x v="34"/>
    <s v="Larry Marshall"/>
    <x v="693"/>
    <n v="3"/>
    <x v="2"/>
    <x v="3"/>
    <x v="3"/>
    <x v="1"/>
    <x v="2"/>
  </r>
  <r>
    <s v="AX13733"/>
    <s v="ENX2054"/>
    <s v="A109"/>
    <s v="EMP1007"/>
    <s v="C1530"/>
    <x v="274"/>
    <n v="4"/>
    <n v="127"/>
    <n v="79"/>
    <n v="316"/>
    <n v="508"/>
    <n v="192"/>
    <s v="Product 55"/>
    <x v="57"/>
    <s v="Jeremy Mendoza"/>
    <x v="224"/>
    <n v="3"/>
    <x v="2"/>
    <x v="3"/>
    <x v="3"/>
    <x v="1"/>
    <x v="2"/>
  </r>
  <r>
    <s v="AX13928"/>
    <s v="ENX2013"/>
    <s v="A165"/>
    <s v="EMP1001"/>
    <s v="C1631"/>
    <x v="273"/>
    <n v="1"/>
    <n v="368"/>
    <n v="269"/>
    <n v="269"/>
    <n v="368"/>
    <n v="99"/>
    <s v="Product 14"/>
    <x v="55"/>
    <s v="Kevin Butler"/>
    <x v="659"/>
    <n v="3"/>
    <x v="2"/>
    <x v="3"/>
    <x v="3"/>
    <x v="1"/>
    <x v="2"/>
  </r>
  <r>
    <s v="AX14420"/>
    <s v="ENX2099"/>
    <s v="A113"/>
    <s v="EMP1000"/>
    <s v="C1531"/>
    <x v="273"/>
    <n v="3"/>
    <n v="1367"/>
    <n v="984"/>
    <n v="2952"/>
    <n v="4101"/>
    <n v="1149"/>
    <s v="Product 100"/>
    <x v="73"/>
    <s v="Fred Robertson"/>
    <x v="743"/>
    <n v="3"/>
    <x v="2"/>
    <x v="3"/>
    <x v="3"/>
    <x v="1"/>
    <x v="2"/>
  </r>
  <r>
    <s v="AX14510"/>
    <s v="ENX2043"/>
    <s v="A154"/>
    <s v="EMP1022"/>
    <s v="C1728"/>
    <x v="273"/>
    <n v="1"/>
    <n v="545"/>
    <n v="425"/>
    <n v="425"/>
    <n v="545"/>
    <n v="120"/>
    <s v="Product 44"/>
    <x v="24"/>
    <s v="Walter Cook"/>
    <x v="446"/>
    <n v="3"/>
    <x v="2"/>
    <x v="3"/>
    <x v="3"/>
    <x v="1"/>
    <x v="2"/>
  </r>
  <r>
    <s v="AX14583"/>
    <s v="ENX2092"/>
    <s v="A165"/>
    <s v="EMP1001"/>
    <s v="C1566"/>
    <x v="272"/>
    <n v="4"/>
    <n v="1639"/>
    <n v="1295"/>
    <n v="5180"/>
    <n v="6556"/>
    <n v="1376"/>
    <s v="Product 93"/>
    <x v="55"/>
    <s v="Kevin Butler"/>
    <x v="45"/>
    <n v="3"/>
    <x v="2"/>
    <x v="3"/>
    <x v="3"/>
    <x v="1"/>
    <x v="2"/>
  </r>
  <r>
    <s v="AX14663"/>
    <s v="ENX2012"/>
    <s v="A169"/>
    <s v="EMP1005"/>
    <s v="C1049"/>
    <x v="273"/>
    <n v="2"/>
    <n v="1353"/>
    <n v="947"/>
    <n v="1894"/>
    <n v="2706"/>
    <n v="812"/>
    <s v="Product 13"/>
    <x v="17"/>
    <s v="Ryan Welch"/>
    <x v="305"/>
    <n v="3"/>
    <x v="2"/>
    <x v="3"/>
    <x v="3"/>
    <x v="1"/>
    <x v="2"/>
  </r>
  <r>
    <s v="AX15347"/>
    <s v="ENX2069"/>
    <s v="A118"/>
    <s v="EMP1009"/>
    <s v="C1028"/>
    <x v="271"/>
    <n v="4"/>
    <n v="378"/>
    <n v="291"/>
    <n v="1164"/>
    <n v="1512"/>
    <n v="348"/>
    <s v="Product 70"/>
    <x v="19"/>
    <s v="Kenneth Fields"/>
    <x v="135"/>
    <n v="3"/>
    <x v="2"/>
    <x v="3"/>
    <x v="3"/>
    <x v="1"/>
    <x v="2"/>
  </r>
  <r>
    <s v="AX16000"/>
    <s v="ENX2027"/>
    <s v="A165"/>
    <s v="EMP1029"/>
    <s v="C1465"/>
    <x v="272"/>
    <n v="3"/>
    <n v="2497"/>
    <n v="1473"/>
    <n v="4419"/>
    <n v="7491"/>
    <n v="3072"/>
    <s v="Product 28"/>
    <x v="55"/>
    <s v="Howard Gardner"/>
    <x v="88"/>
    <n v="3"/>
    <x v="2"/>
    <x v="3"/>
    <x v="3"/>
    <x v="1"/>
    <x v="2"/>
  </r>
  <r>
    <s v="AX16037"/>
    <s v="ENX2030"/>
    <s v="A152"/>
    <s v="EMP1023"/>
    <s v="C1708"/>
    <x v="273"/>
    <n v="2"/>
    <n v="1899"/>
    <n v="1044"/>
    <n v="2088"/>
    <n v="3798"/>
    <n v="1710"/>
    <s v="Product 31"/>
    <x v="26"/>
    <s v="Brian Davis"/>
    <x v="579"/>
    <n v="3"/>
    <x v="2"/>
    <x v="3"/>
    <x v="3"/>
    <x v="1"/>
    <x v="2"/>
  </r>
  <r>
    <s v="AX16043"/>
    <s v="ENX2012"/>
    <s v="A101"/>
    <s v="EMP1025"/>
    <s v="C1168"/>
    <x v="274"/>
    <n v="1"/>
    <n v="1353"/>
    <n v="947"/>
    <n v="947"/>
    <n v="1353"/>
    <n v="406"/>
    <s v="Product 13"/>
    <x v="60"/>
    <s v="Ernest Wagner"/>
    <x v="532"/>
    <n v="3"/>
    <x v="2"/>
    <x v="3"/>
    <x v="3"/>
    <x v="1"/>
    <x v="2"/>
  </r>
  <r>
    <s v="AX16252"/>
    <s v="ENX2013"/>
    <s v="A111"/>
    <s v="EMP1033"/>
    <s v="C1417"/>
    <x v="274"/>
    <n v="1"/>
    <n v="368"/>
    <n v="269"/>
    <n v="269"/>
    <n v="368"/>
    <n v="99"/>
    <s v="Product 14"/>
    <x v="54"/>
    <s v="Jerry Perry"/>
    <x v="147"/>
    <n v="3"/>
    <x v="2"/>
    <x v="3"/>
    <x v="3"/>
    <x v="1"/>
    <x v="2"/>
  </r>
  <r>
    <s v="AX16519"/>
    <s v="ENX2011"/>
    <s v="A145"/>
    <s v="EMP1024"/>
    <s v="C1590"/>
    <x v="272"/>
    <n v="1"/>
    <n v="530"/>
    <n v="435"/>
    <n v="435"/>
    <n v="530"/>
    <n v="95"/>
    <s v="Product 12"/>
    <x v="35"/>
    <s v="Ernest Wheeler"/>
    <x v="735"/>
    <n v="3"/>
    <x v="2"/>
    <x v="3"/>
    <x v="3"/>
    <x v="1"/>
    <x v="2"/>
  </r>
  <r>
    <s v="AX16545"/>
    <s v="ENX2066"/>
    <s v="A105"/>
    <s v="EMP1001"/>
    <s v="C1025"/>
    <x v="274"/>
    <n v="1"/>
    <n v="2091"/>
    <n v="1485"/>
    <n v="1485"/>
    <n v="2091"/>
    <n v="606"/>
    <s v="Product 67"/>
    <x v="45"/>
    <s v="Kevin Butler"/>
    <x v="350"/>
    <n v="3"/>
    <x v="2"/>
    <x v="3"/>
    <x v="3"/>
    <x v="1"/>
    <x v="2"/>
  </r>
  <r>
    <s v="AX16840"/>
    <s v="ENX2096"/>
    <s v="A113"/>
    <s v="EMP1043"/>
    <s v="C1429"/>
    <x v="271"/>
    <n v="4"/>
    <n v="1587"/>
    <n v="1301"/>
    <n v="5204"/>
    <n v="6348"/>
    <n v="1144"/>
    <s v="Product 97"/>
    <x v="73"/>
    <s v="Joshua Taylor"/>
    <x v="651"/>
    <n v="3"/>
    <x v="2"/>
    <x v="3"/>
    <x v="3"/>
    <x v="1"/>
    <x v="2"/>
  </r>
  <r>
    <s v="AX16962"/>
    <s v="ENX2089"/>
    <s v="A137"/>
    <s v="EMP1026"/>
    <s v="C1598"/>
    <x v="272"/>
    <n v="1"/>
    <n v="2294"/>
    <n v="1399"/>
    <n v="1399"/>
    <n v="2294"/>
    <n v="895"/>
    <s v="Product 90"/>
    <x v="68"/>
    <s v="Martin Perry"/>
    <x v="125"/>
    <n v="3"/>
    <x v="2"/>
    <x v="3"/>
    <x v="3"/>
    <x v="1"/>
    <x v="2"/>
  </r>
  <r>
    <s v="AX17201"/>
    <s v="ENX2010"/>
    <s v="A114"/>
    <s v="EMP1038"/>
    <s v="C1152"/>
    <x v="274"/>
    <n v="1"/>
    <n v="1812"/>
    <n v="1305"/>
    <n v="1305"/>
    <n v="1812"/>
    <n v="507"/>
    <s v="Product 11"/>
    <x v="28"/>
    <s v="Scott Mason"/>
    <x v="198"/>
    <n v="3"/>
    <x v="2"/>
    <x v="3"/>
    <x v="3"/>
    <x v="1"/>
    <x v="2"/>
  </r>
  <r>
    <s v="AX17354"/>
    <s v="ENX2006"/>
    <s v="A106"/>
    <s v="EMP1041"/>
    <s v="C1674"/>
    <x v="272"/>
    <n v="1"/>
    <n v="1826"/>
    <n v="1443"/>
    <n v="1443"/>
    <n v="1826"/>
    <n v="383"/>
    <s v="Product 7"/>
    <x v="11"/>
    <s v="Joe Sims"/>
    <x v="774"/>
    <n v="3"/>
    <x v="2"/>
    <x v="3"/>
    <x v="3"/>
    <x v="1"/>
    <x v="2"/>
  </r>
  <r>
    <s v="AX17377"/>
    <s v="ENX2094"/>
    <s v="A144"/>
    <s v="EMP1028"/>
    <s v="C1651"/>
    <x v="273"/>
    <n v="1"/>
    <n v="771"/>
    <n v="648"/>
    <n v="648"/>
    <n v="771"/>
    <n v="123"/>
    <s v="Product 95"/>
    <x v="65"/>
    <s v="Howard Sims"/>
    <x v="660"/>
    <n v="3"/>
    <x v="2"/>
    <x v="3"/>
    <x v="3"/>
    <x v="1"/>
    <x v="2"/>
  </r>
  <r>
    <s v="AX17542"/>
    <s v="ENX2083"/>
    <s v="A109"/>
    <s v="EMP1003"/>
    <s v="C1785"/>
    <x v="273"/>
    <n v="4"/>
    <n v="2141"/>
    <n v="1777"/>
    <n v="7108"/>
    <n v="8564"/>
    <n v="1456"/>
    <s v="Product 84"/>
    <x v="57"/>
    <s v="Christopher Tucker"/>
    <x v="107"/>
    <n v="3"/>
    <x v="2"/>
    <x v="3"/>
    <x v="3"/>
    <x v="1"/>
    <x v="2"/>
  </r>
  <r>
    <s v="AX17600"/>
    <s v="ENX2047"/>
    <s v="A155"/>
    <s v="EMP1008"/>
    <s v="C1752"/>
    <x v="271"/>
    <n v="2"/>
    <n v="290"/>
    <n v="200"/>
    <n v="400"/>
    <n v="580"/>
    <n v="180"/>
    <s v="Product 48"/>
    <x v="53"/>
    <s v="Carl Elliott"/>
    <x v="233"/>
    <n v="3"/>
    <x v="2"/>
    <x v="3"/>
    <x v="3"/>
    <x v="1"/>
    <x v="2"/>
  </r>
  <r>
    <s v="AX17695"/>
    <s v="ENX2072"/>
    <s v="A114"/>
    <s v="EMP1029"/>
    <s v="C1184"/>
    <x v="271"/>
    <n v="3"/>
    <n v="1887"/>
    <n v="1378"/>
    <n v="4134"/>
    <n v="5661"/>
    <n v="1527"/>
    <s v="Product 73"/>
    <x v="28"/>
    <s v="Howard Gardner"/>
    <x v="707"/>
    <n v="3"/>
    <x v="2"/>
    <x v="3"/>
    <x v="3"/>
    <x v="1"/>
    <x v="2"/>
  </r>
  <r>
    <s v="AX17773"/>
    <s v="ENX2096"/>
    <s v="A149"/>
    <s v="EMP1014"/>
    <s v="C1544"/>
    <x v="272"/>
    <n v="2"/>
    <n v="1587"/>
    <n v="1301"/>
    <n v="2602"/>
    <n v="3174"/>
    <n v="572"/>
    <s v="Product 97"/>
    <x v="59"/>
    <s v="Ronald Reed"/>
    <x v="196"/>
    <n v="3"/>
    <x v="2"/>
    <x v="3"/>
    <x v="3"/>
    <x v="1"/>
    <x v="2"/>
  </r>
  <r>
    <s v="AX18526"/>
    <s v="ENX2092"/>
    <s v="A167"/>
    <s v="EMP1044"/>
    <s v="C1680"/>
    <x v="274"/>
    <n v="1"/>
    <n v="1639"/>
    <n v="1295"/>
    <n v="1295"/>
    <n v="1639"/>
    <n v="344"/>
    <s v="Product 93"/>
    <x v="64"/>
    <s v="Martin Carr"/>
    <x v="797"/>
    <n v="3"/>
    <x v="2"/>
    <x v="3"/>
    <x v="3"/>
    <x v="1"/>
    <x v="2"/>
  </r>
  <r>
    <s v="AX18643"/>
    <s v="ENX2091"/>
    <s v="A114"/>
    <s v="EMP1012"/>
    <s v="C1667"/>
    <x v="274"/>
    <n v="1"/>
    <n v="368"/>
    <n v="294"/>
    <n v="294"/>
    <n v="368"/>
    <n v="74"/>
    <s v="Product 92"/>
    <x v="28"/>
    <s v="John Reyes"/>
    <x v="462"/>
    <n v="3"/>
    <x v="2"/>
    <x v="3"/>
    <x v="3"/>
    <x v="1"/>
    <x v="2"/>
  </r>
  <r>
    <s v="AX19045"/>
    <s v="ENX2054"/>
    <s v="A171"/>
    <s v="EMP1037"/>
    <s v="C1790"/>
    <x v="271"/>
    <n v="3"/>
    <n v="127"/>
    <n v="79"/>
    <n v="237"/>
    <n v="381"/>
    <n v="144"/>
    <s v="Product 55"/>
    <x v="0"/>
    <s v="Carl Hall"/>
    <x v="428"/>
    <n v="3"/>
    <x v="2"/>
    <x v="3"/>
    <x v="3"/>
    <x v="1"/>
    <x v="2"/>
  </r>
  <r>
    <s v="AX19058"/>
    <s v="ENX2017"/>
    <s v="A139"/>
    <s v="EMP1010"/>
    <s v="C1524"/>
    <x v="274"/>
    <n v="1"/>
    <n v="35"/>
    <n v="22"/>
    <n v="22"/>
    <n v="35"/>
    <n v="13"/>
    <s v="Product 18"/>
    <x v="38"/>
    <s v="Joshua Cook"/>
    <x v="263"/>
    <n v="3"/>
    <x v="2"/>
    <x v="3"/>
    <x v="3"/>
    <x v="1"/>
    <x v="2"/>
  </r>
  <r>
    <s v="AX19096"/>
    <s v="ENX2004"/>
    <s v="A132"/>
    <s v="EMP1043"/>
    <s v="C1099"/>
    <x v="271"/>
    <n v="2"/>
    <n v="1278"/>
    <n v="665"/>
    <n v="1330"/>
    <n v="2556"/>
    <n v="1226"/>
    <s v="Product 5"/>
    <x v="48"/>
    <s v="Joshua Taylor"/>
    <x v="394"/>
    <n v="3"/>
    <x v="2"/>
    <x v="3"/>
    <x v="3"/>
    <x v="1"/>
    <x v="2"/>
  </r>
  <r>
    <s v="AX19553"/>
    <s v="ENX2029"/>
    <s v="A168"/>
    <s v="EMP1016"/>
    <s v="C1246"/>
    <x v="271"/>
    <n v="3"/>
    <n v="1848"/>
    <n v="1294"/>
    <n v="3882"/>
    <n v="5544"/>
    <n v="1662"/>
    <s v="Product 30"/>
    <x v="40"/>
    <s v="Henry Nelson"/>
    <x v="665"/>
    <n v="3"/>
    <x v="2"/>
    <x v="3"/>
    <x v="3"/>
    <x v="1"/>
    <x v="2"/>
  </r>
  <r>
    <s v="AX19670"/>
    <s v="ENX2086"/>
    <s v="A126"/>
    <s v="EMP1021"/>
    <s v="C1515"/>
    <x v="271"/>
    <n v="3"/>
    <n v="123"/>
    <n v="84"/>
    <n v="252"/>
    <n v="369"/>
    <n v="117"/>
    <s v="Product 87"/>
    <x v="5"/>
    <s v="Clarence Fox"/>
    <x v="570"/>
    <n v="3"/>
    <x v="2"/>
    <x v="3"/>
    <x v="3"/>
    <x v="1"/>
    <x v="2"/>
  </r>
  <r>
    <s v="AX19685"/>
    <s v="ENX2028"/>
    <s v="A130"/>
    <s v="EMP1009"/>
    <s v="C1185"/>
    <x v="274"/>
    <n v="4"/>
    <n v="2283"/>
    <n v="1484"/>
    <n v="5936"/>
    <n v="9132"/>
    <n v="3196"/>
    <s v="Product 29"/>
    <x v="4"/>
    <s v="Kenneth Fields"/>
    <x v="215"/>
    <n v="3"/>
    <x v="2"/>
    <x v="3"/>
    <x v="3"/>
    <x v="1"/>
    <x v="2"/>
  </r>
  <r>
    <s v="AX20754"/>
    <s v="ENX2012"/>
    <s v="A122"/>
    <s v="EMP1042"/>
    <s v="C1255"/>
    <x v="271"/>
    <n v="1"/>
    <n v="1353"/>
    <n v="947"/>
    <n v="947"/>
    <n v="1353"/>
    <n v="406"/>
    <s v="Product 13"/>
    <x v="71"/>
    <s v="Scott Clark"/>
    <x v="111"/>
    <n v="3"/>
    <x v="2"/>
    <x v="3"/>
    <x v="3"/>
    <x v="1"/>
    <x v="2"/>
  </r>
  <r>
    <s v="AX20811"/>
    <s v="ENX2064"/>
    <s v="A115"/>
    <s v="EMP1006"/>
    <s v="C1264"/>
    <x v="271"/>
    <n v="1"/>
    <n v="1414"/>
    <n v="962"/>
    <n v="962"/>
    <n v="1414"/>
    <n v="452"/>
    <s v="Product 65"/>
    <x v="33"/>
    <s v="Sean Miller"/>
    <x v="206"/>
    <n v="3"/>
    <x v="2"/>
    <x v="3"/>
    <x v="3"/>
    <x v="1"/>
    <x v="2"/>
  </r>
  <r>
    <s v="AX20817"/>
    <s v="ENX2015"/>
    <s v="A137"/>
    <s v="EMP1000"/>
    <s v="C1562"/>
    <x v="272"/>
    <n v="1"/>
    <n v="637"/>
    <n v="389"/>
    <n v="389"/>
    <n v="637"/>
    <n v="248"/>
    <s v="Product 16"/>
    <x v="68"/>
    <s v="Fred Robertson"/>
    <x v="312"/>
    <n v="3"/>
    <x v="2"/>
    <x v="3"/>
    <x v="3"/>
    <x v="1"/>
    <x v="2"/>
  </r>
  <r>
    <s v="AX20892"/>
    <s v="ENX2098"/>
    <s v="A146"/>
    <s v="EMP1031"/>
    <s v="C1075"/>
    <x v="271"/>
    <n v="2"/>
    <n v="1178"/>
    <n v="683"/>
    <n v="1366"/>
    <n v="2356"/>
    <n v="990"/>
    <s v="Product 99"/>
    <x v="27"/>
    <s v="Brian Thomas"/>
    <x v="594"/>
    <n v="3"/>
    <x v="2"/>
    <x v="3"/>
    <x v="3"/>
    <x v="1"/>
    <x v="2"/>
  </r>
  <r>
    <s v="AX20977"/>
    <s v="ENX2022"/>
    <s v="A124"/>
    <s v="EMP1040"/>
    <s v="C1128"/>
    <x v="273"/>
    <n v="3"/>
    <n v="561"/>
    <n v="421"/>
    <n v="1263"/>
    <n v="1683"/>
    <n v="420"/>
    <s v="Product 23"/>
    <x v="67"/>
    <s v="Patrick Ruiz"/>
    <x v="553"/>
    <n v="3"/>
    <x v="2"/>
    <x v="3"/>
    <x v="3"/>
    <x v="1"/>
    <x v="2"/>
  </r>
  <r>
    <s v="AX21211"/>
    <s v="ENX2054"/>
    <s v="A144"/>
    <s v="EMP1024"/>
    <s v="C1426"/>
    <x v="274"/>
    <n v="1"/>
    <n v="127"/>
    <n v="79"/>
    <n v="79"/>
    <n v="127"/>
    <n v="48"/>
    <s v="Product 55"/>
    <x v="65"/>
    <s v="Ernest Wheeler"/>
    <x v="127"/>
    <n v="3"/>
    <x v="2"/>
    <x v="3"/>
    <x v="3"/>
    <x v="1"/>
    <x v="2"/>
  </r>
  <r>
    <s v="AX21253"/>
    <s v="ENX2035"/>
    <s v="A137"/>
    <s v="EMP1027"/>
    <s v="C1296"/>
    <x v="273"/>
    <n v="3"/>
    <n v="458"/>
    <n v="376"/>
    <n v="1128"/>
    <n v="1374"/>
    <n v="246"/>
    <s v="Product 36"/>
    <x v="68"/>
    <s v="Gary Rodriguez"/>
    <x v="105"/>
    <n v="3"/>
    <x v="2"/>
    <x v="3"/>
    <x v="3"/>
    <x v="1"/>
    <x v="2"/>
  </r>
  <r>
    <s v="AX22214"/>
    <s v="ENX2005"/>
    <s v="A123"/>
    <s v="EMP1037"/>
    <s v="C1772"/>
    <x v="272"/>
    <n v="1"/>
    <n v="684"/>
    <n v="561"/>
    <n v="561"/>
    <n v="684"/>
    <n v="123"/>
    <s v="Product 6"/>
    <x v="34"/>
    <s v="Carl Hall"/>
    <x v="643"/>
    <n v="3"/>
    <x v="2"/>
    <x v="3"/>
    <x v="3"/>
    <x v="1"/>
    <x v="2"/>
  </r>
  <r>
    <s v="AX22220"/>
    <s v="ENX2088"/>
    <s v="A106"/>
    <s v="EMP1002"/>
    <s v="C1329"/>
    <x v="273"/>
    <n v="3"/>
    <n v="603"/>
    <n v="416"/>
    <n v="1248"/>
    <n v="1809"/>
    <n v="561"/>
    <s v="Product 89"/>
    <x v="11"/>
    <s v="Andrew Bowman"/>
    <x v="244"/>
    <n v="3"/>
    <x v="2"/>
    <x v="3"/>
    <x v="3"/>
    <x v="1"/>
    <x v="2"/>
  </r>
  <r>
    <s v="AX22377"/>
    <s v="ENX2045"/>
    <s v="A108"/>
    <s v="EMP1035"/>
    <s v="C1598"/>
    <x v="272"/>
    <n v="1"/>
    <n v="556"/>
    <n v="395"/>
    <n v="395"/>
    <n v="556"/>
    <n v="161"/>
    <s v="Product 46"/>
    <x v="49"/>
    <s v="Roger Ramos"/>
    <x v="125"/>
    <n v="3"/>
    <x v="2"/>
    <x v="3"/>
    <x v="3"/>
    <x v="1"/>
    <x v="2"/>
  </r>
  <r>
    <s v="AX22769"/>
    <s v="ENX2006"/>
    <s v="A139"/>
    <s v="EMP1027"/>
    <s v="C1798"/>
    <x v="273"/>
    <n v="1"/>
    <n v="1826"/>
    <n v="1443"/>
    <n v="1443"/>
    <n v="1826"/>
    <n v="383"/>
    <s v="Product 7"/>
    <x v="38"/>
    <s v="Gary Rodriguez"/>
    <x v="608"/>
    <n v="3"/>
    <x v="2"/>
    <x v="3"/>
    <x v="3"/>
    <x v="1"/>
    <x v="2"/>
  </r>
  <r>
    <s v="AX23409"/>
    <s v="ENX2027"/>
    <s v="A138"/>
    <s v="EMP1020"/>
    <s v="C1024"/>
    <x v="272"/>
    <n v="4"/>
    <n v="2497"/>
    <n v="1473"/>
    <n v="5892"/>
    <n v="9988"/>
    <n v="4096"/>
    <s v="Product 28"/>
    <x v="37"/>
    <s v="Ryan Butler"/>
    <x v="599"/>
    <n v="3"/>
    <x v="2"/>
    <x v="3"/>
    <x v="3"/>
    <x v="1"/>
    <x v="2"/>
  </r>
  <r>
    <s v="AX23469"/>
    <s v="ENX2084"/>
    <s v="A129"/>
    <s v="EMP1028"/>
    <s v="C1493"/>
    <x v="273"/>
    <n v="1"/>
    <n v="1783"/>
    <n v="1230"/>
    <n v="1230"/>
    <n v="1783"/>
    <n v="553"/>
    <s v="Product 85"/>
    <x v="22"/>
    <s v="Howard Sims"/>
    <x v="380"/>
    <n v="3"/>
    <x v="2"/>
    <x v="3"/>
    <x v="3"/>
    <x v="1"/>
    <x v="2"/>
  </r>
  <r>
    <s v="AX23777"/>
    <s v="ENX2062"/>
    <s v="A151"/>
    <s v="EMP1026"/>
    <s v="C1790"/>
    <x v="272"/>
    <n v="1"/>
    <n v="2464"/>
    <n v="1774"/>
    <n v="1774"/>
    <n v="2464"/>
    <n v="690"/>
    <s v="Product 63"/>
    <x v="1"/>
    <s v="Martin Perry"/>
    <x v="428"/>
    <n v="3"/>
    <x v="2"/>
    <x v="3"/>
    <x v="3"/>
    <x v="1"/>
    <x v="2"/>
  </r>
  <r>
    <s v="AX23793"/>
    <s v="ENX2039"/>
    <s v="A134"/>
    <s v="EMP1025"/>
    <s v="C1598"/>
    <x v="274"/>
    <n v="1"/>
    <n v="817"/>
    <n v="409"/>
    <n v="409"/>
    <n v="817"/>
    <n v="408"/>
    <s v="Product 40"/>
    <x v="41"/>
    <s v="Ernest Wagner"/>
    <x v="125"/>
    <n v="3"/>
    <x v="2"/>
    <x v="3"/>
    <x v="3"/>
    <x v="1"/>
    <x v="2"/>
  </r>
  <r>
    <s v="AX23899"/>
    <s v="ENX2061"/>
    <s v="A167"/>
    <s v="EMP1039"/>
    <s v="C1423"/>
    <x v="271"/>
    <n v="1"/>
    <n v="913"/>
    <n v="584"/>
    <n v="584"/>
    <n v="913"/>
    <n v="329"/>
    <s v="Product 62"/>
    <x v="64"/>
    <s v="Eugene Holmes"/>
    <x v="182"/>
    <n v="3"/>
    <x v="2"/>
    <x v="3"/>
    <x v="3"/>
    <x v="1"/>
    <x v="2"/>
  </r>
  <r>
    <s v="AX24382"/>
    <s v="ENX2012"/>
    <s v="A173"/>
    <s v="EMP1017"/>
    <s v="C1236"/>
    <x v="271"/>
    <n v="1"/>
    <n v="1353"/>
    <n v="947"/>
    <n v="947"/>
    <n v="1353"/>
    <n v="406"/>
    <s v="Product 13"/>
    <x v="25"/>
    <s v="Brian Hansen"/>
    <x v="795"/>
    <n v="3"/>
    <x v="2"/>
    <x v="3"/>
    <x v="3"/>
    <x v="1"/>
    <x v="2"/>
  </r>
  <r>
    <s v="AX24789"/>
    <s v="ENX2086"/>
    <s v="A173"/>
    <s v="EMP1024"/>
    <s v="C1578"/>
    <x v="273"/>
    <n v="1"/>
    <n v="123"/>
    <n v="84"/>
    <n v="84"/>
    <n v="123"/>
    <n v="39"/>
    <s v="Product 87"/>
    <x v="25"/>
    <s v="Ernest Wheeler"/>
    <x v="17"/>
    <n v="3"/>
    <x v="2"/>
    <x v="3"/>
    <x v="3"/>
    <x v="1"/>
    <x v="2"/>
  </r>
  <r>
    <s v="AX24914"/>
    <s v="ENX2049"/>
    <s v="A140"/>
    <s v="EMP1007"/>
    <s v="C1434"/>
    <x v="271"/>
    <n v="1"/>
    <n v="826"/>
    <n v="562"/>
    <n v="562"/>
    <n v="826"/>
    <n v="264"/>
    <s v="Product 50"/>
    <x v="18"/>
    <s v="Jeremy Mendoza"/>
    <x v="722"/>
    <n v="3"/>
    <x v="2"/>
    <x v="3"/>
    <x v="3"/>
    <x v="1"/>
    <x v="2"/>
  </r>
  <r>
    <s v="AX10311"/>
    <s v="ENX2088"/>
    <s v="A159"/>
    <s v="EMP1010"/>
    <s v="C1727"/>
    <x v="275"/>
    <n v="3"/>
    <n v="603"/>
    <n v="416"/>
    <n v="1248"/>
    <n v="1809"/>
    <n v="561"/>
    <s v="Product 89"/>
    <x v="13"/>
    <s v="Joshua Cook"/>
    <x v="581"/>
    <n v="3"/>
    <x v="2"/>
    <x v="4"/>
    <x v="4"/>
    <x v="1"/>
    <x v="0"/>
  </r>
  <r>
    <s v="AX10354"/>
    <s v="ENX2070"/>
    <s v="A159"/>
    <s v="EMP1022"/>
    <s v="C1392"/>
    <x v="276"/>
    <n v="3"/>
    <n v="1671"/>
    <n v="1220"/>
    <n v="3660"/>
    <n v="5013"/>
    <n v="1353"/>
    <s v="Product 71"/>
    <x v="13"/>
    <s v="Walter Cook"/>
    <x v="78"/>
    <n v="3"/>
    <x v="2"/>
    <x v="4"/>
    <x v="4"/>
    <x v="1"/>
    <x v="0"/>
  </r>
  <r>
    <s v="AX10884"/>
    <s v="ENX2088"/>
    <s v="A152"/>
    <s v="EMP1031"/>
    <s v="C1722"/>
    <x v="277"/>
    <n v="1"/>
    <n v="603"/>
    <n v="416"/>
    <n v="416"/>
    <n v="603"/>
    <n v="187"/>
    <s v="Product 89"/>
    <x v="26"/>
    <s v="Brian Thomas"/>
    <x v="257"/>
    <n v="3"/>
    <x v="2"/>
    <x v="4"/>
    <x v="4"/>
    <x v="1"/>
    <x v="0"/>
  </r>
  <r>
    <s v="AX10905"/>
    <s v="ENX2013"/>
    <s v="A102"/>
    <s v="EMP1016"/>
    <s v="C1059"/>
    <x v="278"/>
    <n v="1"/>
    <n v="368"/>
    <n v="269"/>
    <n v="269"/>
    <n v="368"/>
    <n v="99"/>
    <s v="Product 14"/>
    <x v="44"/>
    <s v="Henry Nelson"/>
    <x v="297"/>
    <n v="3"/>
    <x v="2"/>
    <x v="4"/>
    <x v="4"/>
    <x v="1"/>
    <x v="0"/>
  </r>
  <r>
    <s v="AX10985"/>
    <s v="ENX2082"/>
    <s v="A121"/>
    <s v="EMP1025"/>
    <s v="C1454"/>
    <x v="276"/>
    <n v="2"/>
    <n v="1103"/>
    <n v="838"/>
    <n v="1676"/>
    <n v="2206"/>
    <n v="530"/>
    <s v="Product 83"/>
    <x v="72"/>
    <s v="Ernest Wagner"/>
    <x v="68"/>
    <n v="3"/>
    <x v="2"/>
    <x v="4"/>
    <x v="4"/>
    <x v="1"/>
    <x v="0"/>
  </r>
  <r>
    <s v="AX11190"/>
    <s v="ENX2030"/>
    <s v="A109"/>
    <s v="EMP1033"/>
    <s v="C1341"/>
    <x v="276"/>
    <n v="2"/>
    <n v="1899"/>
    <n v="1044"/>
    <n v="2088"/>
    <n v="3798"/>
    <n v="1710"/>
    <s v="Product 31"/>
    <x v="57"/>
    <s v="Jerry Perry"/>
    <x v="750"/>
    <n v="3"/>
    <x v="2"/>
    <x v="4"/>
    <x v="4"/>
    <x v="1"/>
    <x v="0"/>
  </r>
  <r>
    <s v="AX11705"/>
    <s v="ENX2033"/>
    <s v="A156"/>
    <s v="EMP1036"/>
    <s v="C1600"/>
    <x v="276"/>
    <n v="4"/>
    <n v="2182"/>
    <n v="1200"/>
    <n v="4800"/>
    <n v="8728"/>
    <n v="3928"/>
    <s v="Product 34"/>
    <x v="14"/>
    <s v="Robert Reed"/>
    <x v="266"/>
    <n v="3"/>
    <x v="2"/>
    <x v="4"/>
    <x v="4"/>
    <x v="1"/>
    <x v="0"/>
  </r>
  <r>
    <s v="AX11772"/>
    <s v="ENX2083"/>
    <s v="A107"/>
    <s v="EMP1022"/>
    <s v="C1297"/>
    <x v="277"/>
    <n v="1"/>
    <n v="2141"/>
    <n v="1777"/>
    <n v="1777"/>
    <n v="2141"/>
    <n v="364"/>
    <s v="Product 84"/>
    <x v="21"/>
    <s v="Walter Cook"/>
    <x v="537"/>
    <n v="3"/>
    <x v="2"/>
    <x v="4"/>
    <x v="4"/>
    <x v="1"/>
    <x v="0"/>
  </r>
  <r>
    <s v="AX11774"/>
    <s v="ENX2016"/>
    <s v="A107"/>
    <s v="EMP1016"/>
    <s v="C1296"/>
    <x v="276"/>
    <n v="1"/>
    <n v="1351"/>
    <n v="1108"/>
    <n v="1108"/>
    <n v="1351"/>
    <n v="243"/>
    <s v="Product 17"/>
    <x v="21"/>
    <s v="Henry Nelson"/>
    <x v="105"/>
    <n v="3"/>
    <x v="2"/>
    <x v="4"/>
    <x v="4"/>
    <x v="1"/>
    <x v="0"/>
  </r>
  <r>
    <s v="AX12121"/>
    <s v="ENX2011"/>
    <s v="A169"/>
    <s v="EMP1042"/>
    <s v="C1643"/>
    <x v="276"/>
    <n v="1"/>
    <n v="530"/>
    <n v="435"/>
    <n v="435"/>
    <n v="530"/>
    <n v="95"/>
    <s v="Product 12"/>
    <x v="17"/>
    <s v="Scott Clark"/>
    <x v="142"/>
    <n v="3"/>
    <x v="2"/>
    <x v="4"/>
    <x v="4"/>
    <x v="1"/>
    <x v="0"/>
  </r>
  <r>
    <s v="AX12201"/>
    <s v="ENX2036"/>
    <s v="A149"/>
    <s v="EMP1038"/>
    <s v="C1560"/>
    <x v="278"/>
    <n v="1"/>
    <n v="1582"/>
    <n v="1234"/>
    <n v="1234"/>
    <n v="1582"/>
    <n v="348"/>
    <s v="Product 37"/>
    <x v="59"/>
    <s v="Scott Mason"/>
    <x v="208"/>
    <n v="3"/>
    <x v="2"/>
    <x v="4"/>
    <x v="4"/>
    <x v="1"/>
    <x v="0"/>
  </r>
  <r>
    <s v="AX12978"/>
    <s v="ENX2024"/>
    <s v="A152"/>
    <s v="EMP1024"/>
    <s v="C1779"/>
    <x v="278"/>
    <n v="2"/>
    <n v="356"/>
    <n v="292"/>
    <n v="584"/>
    <n v="712"/>
    <n v="128"/>
    <s v="Product 25"/>
    <x v="26"/>
    <s v="Ernest Wheeler"/>
    <x v="648"/>
    <n v="3"/>
    <x v="2"/>
    <x v="4"/>
    <x v="4"/>
    <x v="1"/>
    <x v="0"/>
  </r>
  <r>
    <s v="AX13040"/>
    <s v="ENX2049"/>
    <s v="A123"/>
    <s v="EMP1033"/>
    <s v="C1096"/>
    <x v="277"/>
    <n v="4"/>
    <n v="826"/>
    <n v="562"/>
    <n v="2248"/>
    <n v="3304"/>
    <n v="1056"/>
    <s v="Product 50"/>
    <x v="34"/>
    <s v="Jerry Perry"/>
    <x v="91"/>
    <n v="3"/>
    <x v="2"/>
    <x v="4"/>
    <x v="4"/>
    <x v="1"/>
    <x v="0"/>
  </r>
  <r>
    <s v="AX13681"/>
    <s v="ENX2091"/>
    <s v="A137"/>
    <s v="EMP1024"/>
    <s v="C1109"/>
    <x v="277"/>
    <n v="2"/>
    <n v="368"/>
    <n v="294"/>
    <n v="588"/>
    <n v="736"/>
    <n v="148"/>
    <s v="Product 92"/>
    <x v="68"/>
    <s v="Ernest Wheeler"/>
    <x v="756"/>
    <n v="3"/>
    <x v="2"/>
    <x v="4"/>
    <x v="4"/>
    <x v="1"/>
    <x v="0"/>
  </r>
  <r>
    <s v="AX14333"/>
    <s v="ENX2020"/>
    <s v="A136"/>
    <s v="EMP1027"/>
    <s v="C1563"/>
    <x v="278"/>
    <n v="2"/>
    <n v="2005"/>
    <n v="1223"/>
    <n v="2446"/>
    <n v="4010"/>
    <n v="1564"/>
    <s v="Product 21"/>
    <x v="43"/>
    <s v="Gary Rodriguez"/>
    <x v="130"/>
    <n v="3"/>
    <x v="2"/>
    <x v="4"/>
    <x v="4"/>
    <x v="1"/>
    <x v="0"/>
  </r>
  <r>
    <s v="AX14756"/>
    <s v="ENX2056"/>
    <s v="A160"/>
    <s v="EMP1028"/>
    <s v="C1111"/>
    <x v="276"/>
    <n v="1"/>
    <n v="1635"/>
    <n v="1046"/>
    <n v="1046"/>
    <n v="1635"/>
    <n v="589"/>
    <s v="Product 57"/>
    <x v="9"/>
    <s v="Howard Sims"/>
    <x v="563"/>
    <n v="3"/>
    <x v="2"/>
    <x v="4"/>
    <x v="4"/>
    <x v="1"/>
    <x v="0"/>
  </r>
  <r>
    <s v="AX14845"/>
    <s v="ENX2016"/>
    <s v="A116"/>
    <s v="EMP1012"/>
    <s v="C1386"/>
    <x v="276"/>
    <n v="1"/>
    <n v="1351"/>
    <n v="1108"/>
    <n v="1108"/>
    <n v="1351"/>
    <n v="243"/>
    <s v="Product 17"/>
    <x v="15"/>
    <s v="John Reyes"/>
    <x v="123"/>
    <n v="3"/>
    <x v="2"/>
    <x v="4"/>
    <x v="4"/>
    <x v="1"/>
    <x v="0"/>
  </r>
  <r>
    <s v="AX15620"/>
    <s v="ENX2028"/>
    <s v="A160"/>
    <s v="EMP1024"/>
    <s v="C1017"/>
    <x v="277"/>
    <n v="2"/>
    <n v="2283"/>
    <n v="1484"/>
    <n v="2968"/>
    <n v="4566"/>
    <n v="1598"/>
    <s v="Product 29"/>
    <x v="9"/>
    <s v="Ernest Wheeler"/>
    <x v="402"/>
    <n v="3"/>
    <x v="2"/>
    <x v="4"/>
    <x v="4"/>
    <x v="1"/>
    <x v="0"/>
  </r>
  <r>
    <s v="AX15746"/>
    <s v="ENX2098"/>
    <s v="A136"/>
    <s v="EMP1017"/>
    <s v="C1290"/>
    <x v="276"/>
    <n v="2"/>
    <n v="1178"/>
    <n v="683"/>
    <n v="1366"/>
    <n v="2356"/>
    <n v="990"/>
    <s v="Product 99"/>
    <x v="43"/>
    <s v="Brian Hansen"/>
    <x v="675"/>
    <n v="3"/>
    <x v="2"/>
    <x v="4"/>
    <x v="4"/>
    <x v="1"/>
    <x v="0"/>
  </r>
  <r>
    <s v="AX15949"/>
    <s v="ENX2017"/>
    <s v="A113"/>
    <s v="EMP1036"/>
    <s v="C1506"/>
    <x v="275"/>
    <n v="4"/>
    <n v="35"/>
    <n v="22"/>
    <n v="88"/>
    <n v="140"/>
    <n v="52"/>
    <s v="Product 18"/>
    <x v="73"/>
    <s v="Robert Reed"/>
    <x v="538"/>
    <n v="3"/>
    <x v="2"/>
    <x v="4"/>
    <x v="4"/>
    <x v="1"/>
    <x v="0"/>
  </r>
  <r>
    <s v="AX16107"/>
    <s v="ENX2037"/>
    <s v="A106"/>
    <s v="EMP1017"/>
    <s v="C1254"/>
    <x v="276"/>
    <n v="1"/>
    <n v="880"/>
    <n v="634"/>
    <n v="634"/>
    <n v="880"/>
    <n v="246"/>
    <s v="Product 38"/>
    <x v="11"/>
    <s v="Brian Hansen"/>
    <x v="104"/>
    <n v="3"/>
    <x v="2"/>
    <x v="4"/>
    <x v="4"/>
    <x v="1"/>
    <x v="0"/>
  </r>
  <r>
    <s v="AX16563"/>
    <s v="ENX2097"/>
    <s v="A111"/>
    <s v="EMP1003"/>
    <s v="C1735"/>
    <x v="278"/>
    <n v="3"/>
    <n v="1052"/>
    <n v="589"/>
    <n v="1767"/>
    <n v="3156"/>
    <n v="1389"/>
    <s v="Product 98"/>
    <x v="54"/>
    <s v="Christopher Tucker"/>
    <x v="8"/>
    <n v="3"/>
    <x v="2"/>
    <x v="4"/>
    <x v="4"/>
    <x v="1"/>
    <x v="0"/>
  </r>
  <r>
    <s v="AX16773"/>
    <s v="ENX2024"/>
    <s v="A117"/>
    <s v="EMP1020"/>
    <s v="C1722"/>
    <x v="275"/>
    <n v="3"/>
    <n v="356"/>
    <n v="292"/>
    <n v="876"/>
    <n v="1068"/>
    <n v="192"/>
    <s v="Product 25"/>
    <x v="29"/>
    <s v="Ryan Butler"/>
    <x v="257"/>
    <n v="3"/>
    <x v="2"/>
    <x v="4"/>
    <x v="4"/>
    <x v="1"/>
    <x v="0"/>
  </r>
  <r>
    <s v="AX17102"/>
    <s v="ENX2005"/>
    <s v="A121"/>
    <s v="EMP1023"/>
    <s v="C1740"/>
    <x v="277"/>
    <n v="3"/>
    <n v="684"/>
    <n v="561"/>
    <n v="1683"/>
    <n v="2052"/>
    <n v="369"/>
    <s v="Product 6"/>
    <x v="72"/>
    <s v="Brian Davis"/>
    <x v="699"/>
    <n v="3"/>
    <x v="2"/>
    <x v="4"/>
    <x v="4"/>
    <x v="1"/>
    <x v="0"/>
  </r>
  <r>
    <s v="AX17169"/>
    <s v="ENX2080"/>
    <s v="A149"/>
    <s v="EMP1011"/>
    <s v="C1344"/>
    <x v="276"/>
    <n v="3"/>
    <n v="2353"/>
    <n v="1788"/>
    <n v="5364"/>
    <n v="7059"/>
    <n v="1695"/>
    <s v="Product 81"/>
    <x v="59"/>
    <s v="Larry Marshall"/>
    <x v="22"/>
    <n v="3"/>
    <x v="2"/>
    <x v="4"/>
    <x v="4"/>
    <x v="1"/>
    <x v="0"/>
  </r>
  <r>
    <s v="AX17508"/>
    <s v="ENX2080"/>
    <s v="A152"/>
    <s v="EMP1033"/>
    <s v="C1517"/>
    <x v="277"/>
    <n v="3"/>
    <n v="2353"/>
    <n v="1788"/>
    <n v="5364"/>
    <n v="7059"/>
    <n v="1695"/>
    <s v="Product 81"/>
    <x v="26"/>
    <s v="Jerry Perry"/>
    <x v="359"/>
    <n v="3"/>
    <x v="2"/>
    <x v="4"/>
    <x v="4"/>
    <x v="1"/>
    <x v="0"/>
  </r>
  <r>
    <s v="AX18090"/>
    <s v="ENX2010"/>
    <s v="A116"/>
    <s v="EMP1006"/>
    <s v="C1522"/>
    <x v="277"/>
    <n v="1"/>
    <n v="1812"/>
    <n v="1305"/>
    <n v="1305"/>
    <n v="1812"/>
    <n v="507"/>
    <s v="Product 11"/>
    <x v="15"/>
    <s v="Sean Miller"/>
    <x v="121"/>
    <n v="3"/>
    <x v="2"/>
    <x v="4"/>
    <x v="4"/>
    <x v="1"/>
    <x v="0"/>
  </r>
  <r>
    <s v="AX19383"/>
    <s v="ENX2061"/>
    <s v="A161"/>
    <s v="EMP1001"/>
    <s v="C1125"/>
    <x v="276"/>
    <n v="1"/>
    <n v="913"/>
    <n v="584"/>
    <n v="584"/>
    <n v="913"/>
    <n v="329"/>
    <s v="Product 62"/>
    <x v="6"/>
    <s v="Kevin Butler"/>
    <x v="539"/>
    <n v="3"/>
    <x v="2"/>
    <x v="4"/>
    <x v="4"/>
    <x v="1"/>
    <x v="0"/>
  </r>
  <r>
    <s v="AX19664"/>
    <s v="ENX2066"/>
    <s v="A166"/>
    <s v="EMP1037"/>
    <s v="C1276"/>
    <x v="277"/>
    <n v="3"/>
    <n v="2091"/>
    <n v="1485"/>
    <n v="4455"/>
    <n v="6273"/>
    <n v="1818"/>
    <s v="Product 67"/>
    <x v="70"/>
    <s v="Carl Hall"/>
    <x v="773"/>
    <n v="3"/>
    <x v="2"/>
    <x v="4"/>
    <x v="4"/>
    <x v="1"/>
    <x v="0"/>
  </r>
  <r>
    <s v="AX20980"/>
    <s v="ENX2085"/>
    <s v="A126"/>
    <s v="EMP1005"/>
    <s v="C1270"/>
    <x v="277"/>
    <n v="4"/>
    <n v="1862"/>
    <n v="1173"/>
    <n v="4692"/>
    <n v="7448"/>
    <n v="2756"/>
    <s v="Product 86"/>
    <x v="5"/>
    <s v="Ryan Welch"/>
    <x v="517"/>
    <n v="3"/>
    <x v="2"/>
    <x v="4"/>
    <x v="4"/>
    <x v="1"/>
    <x v="0"/>
  </r>
  <r>
    <s v="AX21512"/>
    <s v="ENX2063"/>
    <s v="A121"/>
    <s v="EMP1016"/>
    <s v="C1732"/>
    <x v="276"/>
    <n v="2"/>
    <n v="1708"/>
    <n v="871"/>
    <n v="1742"/>
    <n v="3416"/>
    <n v="1674"/>
    <s v="Product 64"/>
    <x v="72"/>
    <s v="Henry Nelson"/>
    <x v="136"/>
    <n v="3"/>
    <x v="2"/>
    <x v="4"/>
    <x v="4"/>
    <x v="1"/>
    <x v="0"/>
  </r>
  <r>
    <s v="AX22091"/>
    <s v="ENX2075"/>
    <s v="A163"/>
    <s v="EMP1042"/>
    <s v="C1103"/>
    <x v="275"/>
    <n v="3"/>
    <n v="400"/>
    <n v="208"/>
    <n v="624"/>
    <n v="1200"/>
    <n v="576"/>
    <s v="Product 76"/>
    <x v="51"/>
    <s v="Scott Clark"/>
    <x v="336"/>
    <n v="3"/>
    <x v="2"/>
    <x v="4"/>
    <x v="4"/>
    <x v="1"/>
    <x v="0"/>
  </r>
  <r>
    <s v="AX22373"/>
    <s v="ENX2069"/>
    <s v="A124"/>
    <s v="EMP1029"/>
    <s v="C1143"/>
    <x v="277"/>
    <n v="2"/>
    <n v="378"/>
    <n v="291"/>
    <n v="582"/>
    <n v="756"/>
    <n v="174"/>
    <s v="Product 70"/>
    <x v="67"/>
    <s v="Howard Gardner"/>
    <x v="557"/>
    <n v="3"/>
    <x v="2"/>
    <x v="4"/>
    <x v="4"/>
    <x v="1"/>
    <x v="0"/>
  </r>
  <r>
    <s v="AX22794"/>
    <s v="ENX2036"/>
    <s v="A110"/>
    <s v="EMP1003"/>
    <s v="C1136"/>
    <x v="276"/>
    <n v="2"/>
    <n v="1582"/>
    <n v="1234"/>
    <n v="2468"/>
    <n v="3164"/>
    <n v="696"/>
    <s v="Product 37"/>
    <x v="63"/>
    <s v="Christopher Tucker"/>
    <x v="425"/>
    <n v="3"/>
    <x v="2"/>
    <x v="4"/>
    <x v="4"/>
    <x v="1"/>
    <x v="0"/>
  </r>
  <r>
    <s v="AX22959"/>
    <s v="ENX2018"/>
    <s v="A124"/>
    <s v="EMP1028"/>
    <s v="C1392"/>
    <x v="278"/>
    <n v="2"/>
    <n v="1972"/>
    <n v="1321"/>
    <n v="2642"/>
    <n v="3944"/>
    <n v="1302"/>
    <s v="Product 19"/>
    <x v="67"/>
    <s v="Howard Sims"/>
    <x v="78"/>
    <n v="3"/>
    <x v="2"/>
    <x v="4"/>
    <x v="4"/>
    <x v="1"/>
    <x v="0"/>
  </r>
  <r>
    <s v="AX23824"/>
    <s v="ENX2077"/>
    <s v="A152"/>
    <s v="EMP1030"/>
    <s v="C1371"/>
    <x v="275"/>
    <n v="3"/>
    <n v="530"/>
    <n v="424"/>
    <n v="1272"/>
    <n v="1590"/>
    <n v="318"/>
    <s v="Product 78"/>
    <x v="26"/>
    <s v="Bobby Russell"/>
    <x v="180"/>
    <n v="3"/>
    <x v="2"/>
    <x v="4"/>
    <x v="4"/>
    <x v="1"/>
    <x v="0"/>
  </r>
  <r>
    <s v="AX23842"/>
    <s v="ENX2071"/>
    <s v="A105"/>
    <s v="EMP1025"/>
    <s v="C1676"/>
    <x v="278"/>
    <n v="1"/>
    <n v="136"/>
    <n v="72"/>
    <n v="72"/>
    <n v="136"/>
    <n v="64"/>
    <s v="Product 72"/>
    <x v="45"/>
    <s v="Ernest Wagner"/>
    <x v="497"/>
    <n v="3"/>
    <x v="2"/>
    <x v="4"/>
    <x v="4"/>
    <x v="1"/>
    <x v="0"/>
  </r>
  <r>
    <s v="AX23863"/>
    <s v="ENX2064"/>
    <s v="A168"/>
    <s v="EMP1007"/>
    <s v="C1645"/>
    <x v="275"/>
    <n v="2"/>
    <n v="1414"/>
    <n v="962"/>
    <n v="1924"/>
    <n v="2828"/>
    <n v="904"/>
    <s v="Product 65"/>
    <x v="40"/>
    <s v="Jeremy Mendoza"/>
    <x v="128"/>
    <n v="3"/>
    <x v="2"/>
    <x v="4"/>
    <x v="4"/>
    <x v="1"/>
    <x v="0"/>
  </r>
  <r>
    <s v="AX23951"/>
    <s v="ENX2087"/>
    <s v="A133"/>
    <s v="EMP1023"/>
    <s v="C1785"/>
    <x v="277"/>
    <n v="3"/>
    <n v="1022"/>
    <n v="818"/>
    <n v="2454"/>
    <n v="3066"/>
    <n v="612"/>
    <s v="Product 88"/>
    <x v="46"/>
    <s v="Brian Davis"/>
    <x v="107"/>
    <n v="3"/>
    <x v="2"/>
    <x v="4"/>
    <x v="4"/>
    <x v="1"/>
    <x v="0"/>
  </r>
  <r>
    <s v="AX24041"/>
    <s v="ENX2087"/>
    <s v="A112"/>
    <s v="EMP1015"/>
    <s v="C1231"/>
    <x v="276"/>
    <n v="2"/>
    <n v="1022"/>
    <n v="818"/>
    <n v="1636"/>
    <n v="2044"/>
    <n v="408"/>
    <s v="Product 88"/>
    <x v="66"/>
    <s v="Justin Lynch"/>
    <x v="94"/>
    <n v="3"/>
    <x v="2"/>
    <x v="4"/>
    <x v="4"/>
    <x v="1"/>
    <x v="0"/>
  </r>
  <r>
    <s v="AX24373"/>
    <s v="ENX2064"/>
    <s v="A152"/>
    <s v="EMP1042"/>
    <s v="C1743"/>
    <x v="275"/>
    <n v="3"/>
    <n v="1414"/>
    <n v="962"/>
    <n v="2886"/>
    <n v="4242"/>
    <n v="1356"/>
    <s v="Product 65"/>
    <x v="26"/>
    <s v="Scott Clark"/>
    <x v="276"/>
    <n v="3"/>
    <x v="2"/>
    <x v="4"/>
    <x v="4"/>
    <x v="1"/>
    <x v="0"/>
  </r>
  <r>
    <s v="AX24453"/>
    <s v="ENX2082"/>
    <s v="A103"/>
    <s v="EMP1020"/>
    <s v="C1106"/>
    <x v="276"/>
    <n v="1"/>
    <n v="1103"/>
    <n v="838"/>
    <n v="838"/>
    <n v="1103"/>
    <n v="265"/>
    <s v="Product 83"/>
    <x v="61"/>
    <s v="Ryan Butler"/>
    <x v="377"/>
    <n v="3"/>
    <x v="2"/>
    <x v="4"/>
    <x v="4"/>
    <x v="1"/>
    <x v="0"/>
  </r>
  <r>
    <s v="AX10363"/>
    <s v="ENX2031"/>
    <s v="A108"/>
    <s v="EMP1001"/>
    <s v="C1394"/>
    <x v="279"/>
    <n v="1"/>
    <n v="1638"/>
    <n v="1261"/>
    <n v="1261"/>
    <n v="1638"/>
    <n v="377"/>
    <s v="Product 32"/>
    <x v="49"/>
    <s v="Kevin Butler"/>
    <x v="116"/>
    <n v="3"/>
    <x v="2"/>
    <x v="4"/>
    <x v="4"/>
    <x v="1"/>
    <x v="2"/>
  </r>
  <r>
    <s v="AX10897"/>
    <s v="ENX2096"/>
    <s v="A120"/>
    <s v="EMP1003"/>
    <s v="C1719"/>
    <x v="280"/>
    <n v="2"/>
    <n v="1587"/>
    <n v="1301"/>
    <n v="2602"/>
    <n v="3174"/>
    <n v="572"/>
    <s v="Product 97"/>
    <x v="20"/>
    <s v="Christopher Tucker"/>
    <x v="666"/>
    <n v="3"/>
    <x v="2"/>
    <x v="4"/>
    <x v="4"/>
    <x v="1"/>
    <x v="2"/>
  </r>
  <r>
    <s v="AX10996"/>
    <s v="ENX2074"/>
    <s v="A123"/>
    <s v="EMP1039"/>
    <s v="C1440"/>
    <x v="281"/>
    <n v="1"/>
    <n v="504"/>
    <n v="408"/>
    <n v="408"/>
    <n v="504"/>
    <n v="96"/>
    <s v="Product 75"/>
    <x v="34"/>
    <s v="Eugene Holmes"/>
    <x v="52"/>
    <n v="3"/>
    <x v="2"/>
    <x v="4"/>
    <x v="4"/>
    <x v="1"/>
    <x v="2"/>
  </r>
  <r>
    <s v="AX11778"/>
    <s v="ENX2082"/>
    <s v="A146"/>
    <s v="EMP1021"/>
    <s v="C1666"/>
    <x v="282"/>
    <n v="1"/>
    <n v="1103"/>
    <n v="838"/>
    <n v="838"/>
    <n v="1103"/>
    <n v="265"/>
    <s v="Product 83"/>
    <x v="27"/>
    <s v="Clarence Fox"/>
    <x v="473"/>
    <n v="3"/>
    <x v="2"/>
    <x v="4"/>
    <x v="4"/>
    <x v="1"/>
    <x v="2"/>
  </r>
  <r>
    <s v="AX11808"/>
    <s v="ENX2081"/>
    <s v="A111"/>
    <s v="EMP1001"/>
    <s v="C1067"/>
    <x v="282"/>
    <n v="1"/>
    <n v="1566"/>
    <n v="1190"/>
    <n v="1190"/>
    <n v="1566"/>
    <n v="376"/>
    <s v="Product 82"/>
    <x v="54"/>
    <s v="Kevin Butler"/>
    <x v="108"/>
    <n v="3"/>
    <x v="2"/>
    <x v="4"/>
    <x v="4"/>
    <x v="1"/>
    <x v="2"/>
  </r>
  <r>
    <s v="AX11964"/>
    <s v="ENX2047"/>
    <s v="A166"/>
    <s v="EMP1040"/>
    <s v="C1343"/>
    <x v="280"/>
    <n v="3"/>
    <n v="290"/>
    <n v="200"/>
    <n v="600"/>
    <n v="870"/>
    <n v="270"/>
    <s v="Product 48"/>
    <x v="70"/>
    <s v="Patrick Ruiz"/>
    <x v="175"/>
    <n v="3"/>
    <x v="2"/>
    <x v="4"/>
    <x v="4"/>
    <x v="1"/>
    <x v="2"/>
  </r>
  <r>
    <s v="AX12160"/>
    <s v="ENX2040"/>
    <s v="A134"/>
    <s v="EMP1023"/>
    <s v="C1419"/>
    <x v="283"/>
    <n v="1"/>
    <n v="1889"/>
    <n v="945"/>
    <n v="945"/>
    <n v="1889"/>
    <n v="944"/>
    <s v="Product 41"/>
    <x v="41"/>
    <s v="Brian Davis"/>
    <x v="163"/>
    <n v="3"/>
    <x v="2"/>
    <x v="4"/>
    <x v="4"/>
    <x v="1"/>
    <x v="2"/>
  </r>
  <r>
    <s v="AX12345"/>
    <s v="ENX2018"/>
    <s v="A165"/>
    <s v="EMP1044"/>
    <s v="C1651"/>
    <x v="279"/>
    <n v="1"/>
    <n v="1972"/>
    <n v="1321"/>
    <n v="1321"/>
    <n v="1972"/>
    <n v="651"/>
    <s v="Product 19"/>
    <x v="55"/>
    <s v="Martin Carr"/>
    <x v="660"/>
    <n v="3"/>
    <x v="2"/>
    <x v="4"/>
    <x v="4"/>
    <x v="1"/>
    <x v="2"/>
  </r>
  <r>
    <s v="AX12451"/>
    <s v="ENX2006"/>
    <s v="A105"/>
    <s v="EMP1025"/>
    <s v="C1740"/>
    <x v="281"/>
    <n v="3"/>
    <n v="1826"/>
    <n v="1443"/>
    <n v="4329"/>
    <n v="5478"/>
    <n v="1149"/>
    <s v="Product 7"/>
    <x v="45"/>
    <s v="Ernest Wagner"/>
    <x v="699"/>
    <n v="3"/>
    <x v="2"/>
    <x v="4"/>
    <x v="4"/>
    <x v="1"/>
    <x v="2"/>
  </r>
  <r>
    <s v="AX12512"/>
    <s v="ENX2048"/>
    <s v="A160"/>
    <s v="EMP1030"/>
    <s v="C1465"/>
    <x v="279"/>
    <n v="4"/>
    <n v="502"/>
    <n v="296"/>
    <n v="1184"/>
    <n v="2008"/>
    <n v="824"/>
    <s v="Product 49"/>
    <x v="9"/>
    <s v="Bobby Russell"/>
    <x v="88"/>
    <n v="3"/>
    <x v="2"/>
    <x v="4"/>
    <x v="4"/>
    <x v="1"/>
    <x v="2"/>
  </r>
  <r>
    <s v="AX12603"/>
    <s v="ENX2023"/>
    <s v="A111"/>
    <s v="EMP1005"/>
    <s v="C1137"/>
    <x v="279"/>
    <n v="3"/>
    <n v="818"/>
    <n v="450"/>
    <n v="1350"/>
    <n v="2454"/>
    <n v="1104"/>
    <s v="Product 24"/>
    <x v="54"/>
    <s v="Ryan Welch"/>
    <x v="131"/>
    <n v="3"/>
    <x v="2"/>
    <x v="4"/>
    <x v="4"/>
    <x v="1"/>
    <x v="2"/>
  </r>
  <r>
    <s v="AX12776"/>
    <s v="ENX2027"/>
    <s v="A169"/>
    <s v="EMP1037"/>
    <s v="C1729"/>
    <x v="281"/>
    <n v="1"/>
    <n v="2497"/>
    <n v="1473"/>
    <n v="1473"/>
    <n v="2497"/>
    <n v="1024"/>
    <s v="Product 28"/>
    <x v="17"/>
    <s v="Carl Hall"/>
    <x v="268"/>
    <n v="3"/>
    <x v="2"/>
    <x v="4"/>
    <x v="4"/>
    <x v="1"/>
    <x v="2"/>
  </r>
  <r>
    <s v="AX12998"/>
    <s v="ENX2056"/>
    <s v="A110"/>
    <s v="EMP1004"/>
    <s v="C1602"/>
    <x v="279"/>
    <n v="2"/>
    <n v="1635"/>
    <n v="1046"/>
    <n v="2092"/>
    <n v="3270"/>
    <n v="1178"/>
    <s v="Product 57"/>
    <x v="63"/>
    <s v="Kenneth Bradley"/>
    <x v="749"/>
    <n v="3"/>
    <x v="2"/>
    <x v="4"/>
    <x v="4"/>
    <x v="1"/>
    <x v="2"/>
  </r>
  <r>
    <s v="AX13043"/>
    <s v="ENX2010"/>
    <s v="A124"/>
    <s v="EMP1021"/>
    <s v="C1092"/>
    <x v="280"/>
    <n v="1"/>
    <n v="1812"/>
    <n v="1305"/>
    <n v="1305"/>
    <n v="1812"/>
    <n v="507"/>
    <s v="Product 11"/>
    <x v="67"/>
    <s v="Clarence Fox"/>
    <x v="572"/>
    <n v="3"/>
    <x v="2"/>
    <x v="4"/>
    <x v="4"/>
    <x v="1"/>
    <x v="2"/>
  </r>
  <r>
    <s v="AX13081"/>
    <s v="ENX2038"/>
    <s v="A108"/>
    <s v="EMP1011"/>
    <s v="C1387"/>
    <x v="283"/>
    <n v="3"/>
    <n v="392"/>
    <n v="255"/>
    <n v="765"/>
    <n v="1176"/>
    <n v="411"/>
    <s v="Product 39"/>
    <x v="49"/>
    <s v="Larry Marshall"/>
    <x v="346"/>
    <n v="3"/>
    <x v="2"/>
    <x v="4"/>
    <x v="4"/>
    <x v="1"/>
    <x v="2"/>
  </r>
  <r>
    <s v="AX13126"/>
    <s v="ENX2033"/>
    <s v="A115"/>
    <s v="EMP1033"/>
    <s v="C1337"/>
    <x v="283"/>
    <n v="2"/>
    <n v="2182"/>
    <n v="1200"/>
    <n v="2400"/>
    <n v="4364"/>
    <n v="1964"/>
    <s v="Product 34"/>
    <x v="33"/>
    <s v="Jerry Perry"/>
    <x v="417"/>
    <n v="3"/>
    <x v="2"/>
    <x v="4"/>
    <x v="4"/>
    <x v="1"/>
    <x v="2"/>
  </r>
  <r>
    <s v="AX13132"/>
    <s v="ENX2090"/>
    <s v="A109"/>
    <s v="EMP1001"/>
    <s v="C1311"/>
    <x v="279"/>
    <n v="1"/>
    <n v="1338"/>
    <n v="682"/>
    <n v="682"/>
    <n v="1338"/>
    <n v="656"/>
    <s v="Product 91"/>
    <x v="57"/>
    <s v="Kevin Butler"/>
    <x v="309"/>
    <n v="3"/>
    <x v="2"/>
    <x v="4"/>
    <x v="4"/>
    <x v="1"/>
    <x v="2"/>
  </r>
  <r>
    <s v="AX13268"/>
    <s v="ENX2077"/>
    <s v="A155"/>
    <s v="EMP1002"/>
    <s v="C1027"/>
    <x v="282"/>
    <n v="1"/>
    <n v="530"/>
    <n v="424"/>
    <n v="424"/>
    <n v="530"/>
    <n v="106"/>
    <s v="Product 78"/>
    <x v="53"/>
    <s v="Andrew Bowman"/>
    <x v="528"/>
    <n v="3"/>
    <x v="2"/>
    <x v="4"/>
    <x v="4"/>
    <x v="1"/>
    <x v="2"/>
  </r>
  <r>
    <s v="AX14216"/>
    <s v="ENX2014"/>
    <s v="A129"/>
    <s v="EMP1005"/>
    <s v="C1582"/>
    <x v="283"/>
    <n v="1"/>
    <n v="1809"/>
    <n v="1067"/>
    <n v="1067"/>
    <n v="1809"/>
    <n v="742"/>
    <s v="Product 15"/>
    <x v="22"/>
    <s v="Ryan Welch"/>
    <x v="259"/>
    <n v="3"/>
    <x v="2"/>
    <x v="4"/>
    <x v="4"/>
    <x v="1"/>
    <x v="2"/>
  </r>
  <r>
    <s v="AX14517"/>
    <s v="ENX2022"/>
    <s v="A136"/>
    <s v="EMP1011"/>
    <s v="C1471"/>
    <x v="280"/>
    <n v="1"/>
    <n v="561"/>
    <n v="421"/>
    <n v="421"/>
    <n v="561"/>
    <n v="140"/>
    <s v="Product 23"/>
    <x v="43"/>
    <s v="Larry Marshall"/>
    <x v="586"/>
    <n v="3"/>
    <x v="2"/>
    <x v="4"/>
    <x v="4"/>
    <x v="1"/>
    <x v="2"/>
  </r>
  <r>
    <s v="AX14598"/>
    <s v="ENX2022"/>
    <s v="A170"/>
    <s v="EMP1040"/>
    <s v="C1243"/>
    <x v="279"/>
    <n v="3"/>
    <n v="561"/>
    <n v="421"/>
    <n v="1263"/>
    <n v="1683"/>
    <n v="420"/>
    <s v="Product 23"/>
    <x v="47"/>
    <s v="Patrick Ruiz"/>
    <x v="129"/>
    <n v="3"/>
    <x v="2"/>
    <x v="4"/>
    <x v="4"/>
    <x v="1"/>
    <x v="2"/>
  </r>
  <r>
    <s v="AX14926"/>
    <s v="ENX2087"/>
    <s v="A106"/>
    <s v="EMP1043"/>
    <s v="C1051"/>
    <x v="279"/>
    <n v="2"/>
    <n v="1022"/>
    <n v="818"/>
    <n v="1636"/>
    <n v="2044"/>
    <n v="408"/>
    <s v="Product 88"/>
    <x v="11"/>
    <s v="Joshua Taylor"/>
    <x v="432"/>
    <n v="3"/>
    <x v="2"/>
    <x v="4"/>
    <x v="4"/>
    <x v="1"/>
    <x v="2"/>
  </r>
  <r>
    <s v="AX15221"/>
    <s v="ENX2087"/>
    <s v="A123"/>
    <s v="EMP1014"/>
    <s v="C1154"/>
    <x v="280"/>
    <n v="1"/>
    <n v="1022"/>
    <n v="818"/>
    <n v="818"/>
    <n v="1022"/>
    <n v="204"/>
    <s v="Product 88"/>
    <x v="34"/>
    <s v="Ronald Reed"/>
    <x v="243"/>
    <n v="3"/>
    <x v="2"/>
    <x v="4"/>
    <x v="4"/>
    <x v="1"/>
    <x v="2"/>
  </r>
  <r>
    <s v="AX15487"/>
    <s v="ENX2049"/>
    <s v="A159"/>
    <s v="EMP1041"/>
    <s v="C1311"/>
    <x v="279"/>
    <n v="1"/>
    <n v="826"/>
    <n v="562"/>
    <n v="562"/>
    <n v="826"/>
    <n v="264"/>
    <s v="Product 50"/>
    <x v="13"/>
    <s v="Joe Sims"/>
    <x v="309"/>
    <n v="3"/>
    <x v="2"/>
    <x v="4"/>
    <x v="4"/>
    <x v="1"/>
    <x v="2"/>
  </r>
  <r>
    <s v="AX15587"/>
    <s v="ENX2086"/>
    <s v="A170"/>
    <s v="EMP1017"/>
    <s v="C1172"/>
    <x v="281"/>
    <n v="3"/>
    <n v="123"/>
    <n v="84"/>
    <n v="252"/>
    <n v="369"/>
    <n v="117"/>
    <s v="Product 87"/>
    <x v="47"/>
    <s v="Brian Hansen"/>
    <x v="63"/>
    <n v="3"/>
    <x v="2"/>
    <x v="4"/>
    <x v="4"/>
    <x v="1"/>
    <x v="2"/>
  </r>
  <r>
    <s v="AX15610"/>
    <s v="ENX2021"/>
    <s v="A166"/>
    <s v="EMP1009"/>
    <s v="C1017"/>
    <x v="281"/>
    <n v="4"/>
    <n v="217"/>
    <n v="171"/>
    <n v="684"/>
    <n v="868"/>
    <n v="184"/>
    <s v="Product 22"/>
    <x v="70"/>
    <s v="Kenneth Fields"/>
    <x v="402"/>
    <n v="3"/>
    <x v="2"/>
    <x v="4"/>
    <x v="4"/>
    <x v="1"/>
    <x v="2"/>
  </r>
  <r>
    <s v="AX15688"/>
    <s v="ENX2079"/>
    <s v="A143"/>
    <s v="EMP1040"/>
    <s v="C1403"/>
    <x v="283"/>
    <n v="1"/>
    <n v="1725"/>
    <n v="1363"/>
    <n v="1363"/>
    <n v="1725"/>
    <n v="362"/>
    <s v="Product 80"/>
    <x v="39"/>
    <s v="Patrick Ruiz"/>
    <x v="134"/>
    <n v="3"/>
    <x v="2"/>
    <x v="4"/>
    <x v="4"/>
    <x v="1"/>
    <x v="2"/>
  </r>
  <r>
    <s v="AX16133"/>
    <s v="ENX2098"/>
    <s v="A155"/>
    <s v="EMP1027"/>
    <s v="C1181"/>
    <x v="282"/>
    <n v="1"/>
    <n v="1178"/>
    <n v="683"/>
    <n v="683"/>
    <n v="1178"/>
    <n v="495"/>
    <s v="Product 99"/>
    <x v="53"/>
    <s v="Gary Rodriguez"/>
    <x v="449"/>
    <n v="3"/>
    <x v="2"/>
    <x v="4"/>
    <x v="4"/>
    <x v="1"/>
    <x v="2"/>
  </r>
  <r>
    <s v="AX16208"/>
    <s v="ENX2000"/>
    <s v="A156"/>
    <s v="EMP1032"/>
    <s v="C1659"/>
    <x v="279"/>
    <n v="1"/>
    <n v="2241"/>
    <n v="1367"/>
    <n v="1367"/>
    <n v="2241"/>
    <n v="874"/>
    <s v="Product 1"/>
    <x v="14"/>
    <s v="Larry Castillo"/>
    <x v="51"/>
    <n v="3"/>
    <x v="2"/>
    <x v="4"/>
    <x v="4"/>
    <x v="1"/>
    <x v="2"/>
  </r>
  <r>
    <s v="AX16376"/>
    <s v="ENX2078"/>
    <s v="A118"/>
    <s v="EMP1033"/>
    <s v="C1167"/>
    <x v="279"/>
    <n v="4"/>
    <n v="1798"/>
    <n v="971"/>
    <n v="3884"/>
    <n v="7192"/>
    <n v="3308"/>
    <s v="Product 79"/>
    <x v="19"/>
    <s v="Jerry Perry"/>
    <x v="481"/>
    <n v="3"/>
    <x v="2"/>
    <x v="4"/>
    <x v="4"/>
    <x v="1"/>
    <x v="2"/>
  </r>
  <r>
    <s v="AX16957"/>
    <s v="ENX2071"/>
    <s v="A150"/>
    <s v="EMP1013"/>
    <s v="C1698"/>
    <x v="279"/>
    <n v="3"/>
    <n v="136"/>
    <n v="72"/>
    <n v="216"/>
    <n v="408"/>
    <n v="192"/>
    <s v="Product 72"/>
    <x v="30"/>
    <s v="Charles Harper"/>
    <x v="86"/>
    <n v="3"/>
    <x v="2"/>
    <x v="4"/>
    <x v="4"/>
    <x v="1"/>
    <x v="2"/>
  </r>
  <r>
    <s v="AX17192"/>
    <s v="ENX2078"/>
    <s v="A159"/>
    <s v="EMP1009"/>
    <s v="C1213"/>
    <x v="283"/>
    <n v="2"/>
    <n v="1798"/>
    <n v="971"/>
    <n v="1942"/>
    <n v="3596"/>
    <n v="1654"/>
    <s v="Product 79"/>
    <x v="13"/>
    <s v="Kenneth Fields"/>
    <x v="487"/>
    <n v="3"/>
    <x v="2"/>
    <x v="4"/>
    <x v="4"/>
    <x v="1"/>
    <x v="2"/>
  </r>
  <r>
    <s v="AX17294"/>
    <s v="ENX2039"/>
    <s v="A140"/>
    <s v="EMP1015"/>
    <s v="C1524"/>
    <x v="280"/>
    <n v="1"/>
    <n v="817"/>
    <n v="409"/>
    <n v="409"/>
    <n v="817"/>
    <n v="408"/>
    <s v="Product 40"/>
    <x v="18"/>
    <s v="Justin Lynch"/>
    <x v="263"/>
    <n v="3"/>
    <x v="2"/>
    <x v="4"/>
    <x v="4"/>
    <x v="1"/>
    <x v="2"/>
  </r>
  <r>
    <s v="AX17423"/>
    <s v="ENX2048"/>
    <s v="A134"/>
    <s v="EMP1009"/>
    <s v="C1751"/>
    <x v="281"/>
    <n v="1"/>
    <n v="502"/>
    <n v="296"/>
    <n v="296"/>
    <n v="502"/>
    <n v="206"/>
    <s v="Product 49"/>
    <x v="41"/>
    <s v="Kenneth Fields"/>
    <x v="332"/>
    <n v="3"/>
    <x v="2"/>
    <x v="4"/>
    <x v="4"/>
    <x v="1"/>
    <x v="2"/>
  </r>
  <r>
    <s v="AX17590"/>
    <s v="ENX2083"/>
    <s v="A157"/>
    <s v="EMP1034"/>
    <s v="C1712"/>
    <x v="283"/>
    <n v="1"/>
    <n v="2141"/>
    <n v="1777"/>
    <n v="1777"/>
    <n v="2141"/>
    <n v="364"/>
    <s v="Product 84"/>
    <x v="7"/>
    <s v="Arthur Mccoy"/>
    <x v="21"/>
    <n v="3"/>
    <x v="2"/>
    <x v="4"/>
    <x v="4"/>
    <x v="1"/>
    <x v="2"/>
  </r>
  <r>
    <s v="AX17676"/>
    <s v="ENX2020"/>
    <s v="A100"/>
    <s v="EMP1034"/>
    <s v="C1656"/>
    <x v="281"/>
    <n v="3"/>
    <n v="2005"/>
    <n v="1223"/>
    <n v="3669"/>
    <n v="6015"/>
    <n v="2346"/>
    <s v="Product 21"/>
    <x v="52"/>
    <s v="Arthur Mccoy"/>
    <x v="115"/>
    <n v="3"/>
    <x v="2"/>
    <x v="4"/>
    <x v="4"/>
    <x v="1"/>
    <x v="2"/>
  </r>
  <r>
    <s v="AX17890"/>
    <s v="ENX2031"/>
    <s v="A124"/>
    <s v="EMP1044"/>
    <s v="C1245"/>
    <x v="283"/>
    <n v="3"/>
    <n v="1638"/>
    <n v="1261"/>
    <n v="3783"/>
    <n v="4914"/>
    <n v="1131"/>
    <s v="Product 32"/>
    <x v="67"/>
    <s v="Martin Carr"/>
    <x v="165"/>
    <n v="3"/>
    <x v="2"/>
    <x v="4"/>
    <x v="4"/>
    <x v="1"/>
    <x v="2"/>
  </r>
  <r>
    <s v="AX18741"/>
    <s v="ENX2089"/>
    <s v="A160"/>
    <s v="EMP1024"/>
    <s v="C1490"/>
    <x v="283"/>
    <n v="2"/>
    <n v="2294"/>
    <n v="1399"/>
    <n v="2798"/>
    <n v="4588"/>
    <n v="1790"/>
    <s v="Product 90"/>
    <x v="9"/>
    <s v="Ernest Wheeler"/>
    <x v="61"/>
    <n v="3"/>
    <x v="2"/>
    <x v="4"/>
    <x v="4"/>
    <x v="1"/>
    <x v="2"/>
  </r>
  <r>
    <s v="AX18742"/>
    <s v="ENX2005"/>
    <s v="A104"/>
    <s v="EMP1036"/>
    <s v="C1601"/>
    <x v="282"/>
    <n v="1"/>
    <n v="684"/>
    <n v="561"/>
    <n v="561"/>
    <n v="684"/>
    <n v="123"/>
    <s v="Product 6"/>
    <x v="50"/>
    <s v="Robert Reed"/>
    <x v="324"/>
    <n v="3"/>
    <x v="2"/>
    <x v="4"/>
    <x v="4"/>
    <x v="1"/>
    <x v="2"/>
  </r>
  <r>
    <s v="AX18966"/>
    <s v="ENX2036"/>
    <s v="A160"/>
    <s v="EMP1018"/>
    <s v="C1010"/>
    <x v="282"/>
    <n v="1"/>
    <n v="1582"/>
    <n v="1234"/>
    <n v="1234"/>
    <n v="1582"/>
    <n v="348"/>
    <s v="Product 37"/>
    <x v="9"/>
    <s v="Jimmy Young"/>
    <x v="399"/>
    <n v="3"/>
    <x v="2"/>
    <x v="4"/>
    <x v="4"/>
    <x v="1"/>
    <x v="2"/>
  </r>
  <r>
    <s v="AX19269"/>
    <s v="ENX2060"/>
    <s v="A152"/>
    <s v="EMP1031"/>
    <s v="C1683"/>
    <x v="283"/>
    <n v="4"/>
    <n v="1467"/>
    <n v="807"/>
    <n v="3228"/>
    <n v="5868"/>
    <n v="2640"/>
    <s v="Product 61"/>
    <x v="26"/>
    <s v="Brian Thomas"/>
    <x v="379"/>
    <n v="3"/>
    <x v="2"/>
    <x v="4"/>
    <x v="4"/>
    <x v="1"/>
    <x v="2"/>
  </r>
  <r>
    <s v="AX19391"/>
    <s v="ENX2061"/>
    <s v="A112"/>
    <s v="EMP1005"/>
    <s v="C1105"/>
    <x v="279"/>
    <n v="1"/>
    <n v="913"/>
    <n v="584"/>
    <n v="584"/>
    <n v="913"/>
    <n v="329"/>
    <s v="Product 62"/>
    <x v="66"/>
    <s v="Ryan Welch"/>
    <x v="15"/>
    <n v="3"/>
    <x v="2"/>
    <x v="4"/>
    <x v="4"/>
    <x v="1"/>
    <x v="2"/>
  </r>
  <r>
    <s v="AX19420"/>
    <s v="ENX2046"/>
    <s v="A116"/>
    <s v="EMP1004"/>
    <s v="C1294"/>
    <x v="280"/>
    <n v="2"/>
    <n v="2410"/>
    <n v="1518"/>
    <n v="3036"/>
    <n v="4820"/>
    <n v="1784"/>
    <s v="Product 47"/>
    <x v="15"/>
    <s v="Kenneth Bradley"/>
    <x v="419"/>
    <n v="3"/>
    <x v="2"/>
    <x v="4"/>
    <x v="4"/>
    <x v="1"/>
    <x v="2"/>
  </r>
  <r>
    <s v="AX19671"/>
    <s v="ENX2092"/>
    <s v="A108"/>
    <s v="EMP1017"/>
    <s v="C1420"/>
    <x v="282"/>
    <n v="3"/>
    <n v="1639"/>
    <n v="1295"/>
    <n v="3885"/>
    <n v="4917"/>
    <n v="1032"/>
    <s v="Product 93"/>
    <x v="49"/>
    <s v="Brian Hansen"/>
    <x v="33"/>
    <n v="3"/>
    <x v="2"/>
    <x v="4"/>
    <x v="4"/>
    <x v="1"/>
    <x v="2"/>
  </r>
  <r>
    <s v="AX19813"/>
    <s v="ENX2092"/>
    <s v="A102"/>
    <s v="EMP1037"/>
    <s v="C1514"/>
    <x v="280"/>
    <n v="1"/>
    <n v="1639"/>
    <n v="1295"/>
    <n v="1295"/>
    <n v="1639"/>
    <n v="344"/>
    <s v="Product 93"/>
    <x v="44"/>
    <s v="Carl Hall"/>
    <x v="307"/>
    <n v="3"/>
    <x v="2"/>
    <x v="4"/>
    <x v="4"/>
    <x v="1"/>
    <x v="2"/>
  </r>
  <r>
    <s v="AX20597"/>
    <s v="ENX2063"/>
    <s v="A130"/>
    <s v="EMP1026"/>
    <s v="C1145"/>
    <x v="283"/>
    <n v="2"/>
    <n v="1708"/>
    <n v="871"/>
    <n v="1742"/>
    <n v="3416"/>
    <n v="1674"/>
    <s v="Product 64"/>
    <x v="4"/>
    <s v="Martin Perry"/>
    <x v="489"/>
    <n v="3"/>
    <x v="2"/>
    <x v="4"/>
    <x v="4"/>
    <x v="1"/>
    <x v="2"/>
  </r>
  <r>
    <s v="AX20615"/>
    <s v="ENX2013"/>
    <s v="A113"/>
    <s v="EMP1011"/>
    <s v="C1113"/>
    <x v="281"/>
    <n v="1"/>
    <n v="368"/>
    <n v="269"/>
    <n v="269"/>
    <n v="368"/>
    <n v="99"/>
    <s v="Product 14"/>
    <x v="73"/>
    <s v="Larry Marshall"/>
    <x v="101"/>
    <n v="3"/>
    <x v="2"/>
    <x v="4"/>
    <x v="4"/>
    <x v="1"/>
    <x v="2"/>
  </r>
  <r>
    <s v="AX20697"/>
    <s v="ENX2057"/>
    <s v="A149"/>
    <s v="EMP1022"/>
    <s v="C1316"/>
    <x v="279"/>
    <n v="1"/>
    <n v="181"/>
    <n v="130"/>
    <n v="130"/>
    <n v="181"/>
    <n v="51"/>
    <s v="Product 58"/>
    <x v="59"/>
    <s v="Walter Cook"/>
    <x v="771"/>
    <n v="3"/>
    <x v="2"/>
    <x v="4"/>
    <x v="4"/>
    <x v="1"/>
    <x v="2"/>
  </r>
  <r>
    <s v="AX20798"/>
    <s v="ENX2065"/>
    <s v="A151"/>
    <s v="EMP1028"/>
    <s v="C1254"/>
    <x v="281"/>
    <n v="1"/>
    <n v="2396"/>
    <n v="1965"/>
    <n v="1965"/>
    <n v="2396"/>
    <n v="431"/>
    <s v="Product 66"/>
    <x v="1"/>
    <s v="Howard Sims"/>
    <x v="104"/>
    <n v="3"/>
    <x v="2"/>
    <x v="4"/>
    <x v="4"/>
    <x v="1"/>
    <x v="2"/>
  </r>
  <r>
    <s v="AX20826"/>
    <s v="ENX2051"/>
    <s v="A159"/>
    <s v="EMP1009"/>
    <s v="C1584"/>
    <x v="283"/>
    <n v="3"/>
    <n v="1077"/>
    <n v="732"/>
    <n v="2196"/>
    <n v="3231"/>
    <n v="1035"/>
    <s v="Product 52"/>
    <x v="13"/>
    <s v="Kenneth Fields"/>
    <x v="72"/>
    <n v="3"/>
    <x v="2"/>
    <x v="4"/>
    <x v="4"/>
    <x v="1"/>
    <x v="2"/>
  </r>
  <r>
    <s v="AX21514"/>
    <s v="ENX2003"/>
    <s v="A149"/>
    <s v="EMP1032"/>
    <s v="C1562"/>
    <x v="281"/>
    <n v="3"/>
    <n v="1783"/>
    <n v="1516"/>
    <n v="4548"/>
    <n v="5349"/>
    <n v="801"/>
    <s v="Product 4"/>
    <x v="59"/>
    <s v="Larry Castillo"/>
    <x v="312"/>
    <n v="3"/>
    <x v="2"/>
    <x v="4"/>
    <x v="4"/>
    <x v="1"/>
    <x v="2"/>
  </r>
  <r>
    <s v="AX21690"/>
    <s v="ENX2030"/>
    <s v="A172"/>
    <s v="EMP1012"/>
    <s v="C1606"/>
    <x v="279"/>
    <n v="3"/>
    <n v="1899"/>
    <n v="1044"/>
    <n v="3132"/>
    <n v="5697"/>
    <n v="2565"/>
    <s v="Product 31"/>
    <x v="36"/>
    <s v="John Reyes"/>
    <x v="250"/>
    <n v="3"/>
    <x v="2"/>
    <x v="4"/>
    <x v="4"/>
    <x v="1"/>
    <x v="2"/>
  </r>
  <r>
    <s v="AX21752"/>
    <s v="ENX2054"/>
    <s v="A162"/>
    <s v="EMP1004"/>
    <s v="C1346"/>
    <x v="282"/>
    <n v="2"/>
    <n v="127"/>
    <n v="79"/>
    <n v="158"/>
    <n v="254"/>
    <n v="96"/>
    <s v="Product 55"/>
    <x v="2"/>
    <s v="Kenneth Bradley"/>
    <x v="340"/>
    <n v="3"/>
    <x v="2"/>
    <x v="4"/>
    <x v="4"/>
    <x v="1"/>
    <x v="2"/>
  </r>
  <r>
    <s v="AX21849"/>
    <s v="ENX2033"/>
    <s v="A172"/>
    <s v="EMP1034"/>
    <s v="C1513"/>
    <x v="280"/>
    <n v="3"/>
    <n v="2182"/>
    <n v="1200"/>
    <n v="3600"/>
    <n v="6546"/>
    <n v="2946"/>
    <s v="Product 34"/>
    <x v="36"/>
    <s v="Arthur Mccoy"/>
    <x v="414"/>
    <n v="3"/>
    <x v="2"/>
    <x v="4"/>
    <x v="4"/>
    <x v="1"/>
    <x v="2"/>
  </r>
  <r>
    <s v="AX22065"/>
    <s v="ENX2024"/>
    <s v="A171"/>
    <s v="EMP1000"/>
    <s v="C1770"/>
    <x v="279"/>
    <n v="3"/>
    <n v="356"/>
    <n v="292"/>
    <n v="876"/>
    <n v="1068"/>
    <n v="192"/>
    <s v="Product 25"/>
    <x v="0"/>
    <s v="Fred Robertson"/>
    <x v="758"/>
    <n v="3"/>
    <x v="2"/>
    <x v="4"/>
    <x v="4"/>
    <x v="1"/>
    <x v="2"/>
  </r>
  <r>
    <s v="AX22193"/>
    <s v="ENX2069"/>
    <s v="A131"/>
    <s v="EMP1029"/>
    <s v="C1066"/>
    <x v="281"/>
    <n v="1"/>
    <n v="378"/>
    <n v="291"/>
    <n v="291"/>
    <n v="378"/>
    <n v="87"/>
    <s v="Product 70"/>
    <x v="32"/>
    <s v="Howard Gardner"/>
    <x v="124"/>
    <n v="3"/>
    <x v="2"/>
    <x v="4"/>
    <x v="4"/>
    <x v="1"/>
    <x v="2"/>
  </r>
  <r>
    <s v="AX22422"/>
    <s v="ENX2070"/>
    <s v="A170"/>
    <s v="EMP1027"/>
    <s v="C1330"/>
    <x v="279"/>
    <n v="1"/>
    <n v="1671"/>
    <n v="1220"/>
    <n v="1220"/>
    <n v="1671"/>
    <n v="451"/>
    <s v="Product 71"/>
    <x v="47"/>
    <s v="Gary Rodriguez"/>
    <x v="511"/>
    <n v="3"/>
    <x v="2"/>
    <x v="4"/>
    <x v="4"/>
    <x v="1"/>
    <x v="2"/>
  </r>
  <r>
    <s v="AX22467"/>
    <s v="ENX2045"/>
    <s v="A162"/>
    <s v="EMP1036"/>
    <s v="C1463"/>
    <x v="279"/>
    <n v="1"/>
    <n v="556"/>
    <n v="395"/>
    <n v="395"/>
    <n v="556"/>
    <n v="161"/>
    <s v="Product 46"/>
    <x v="2"/>
    <s v="Robert Reed"/>
    <x v="535"/>
    <n v="3"/>
    <x v="2"/>
    <x v="4"/>
    <x v="4"/>
    <x v="1"/>
    <x v="2"/>
  </r>
  <r>
    <s v="AX22755"/>
    <s v="ENX2099"/>
    <s v="A144"/>
    <s v="EMP1017"/>
    <s v="C1541"/>
    <x v="279"/>
    <n v="4"/>
    <n v="1367"/>
    <n v="984"/>
    <n v="3936"/>
    <n v="5468"/>
    <n v="1532"/>
    <s v="Product 100"/>
    <x v="65"/>
    <s v="Brian Hansen"/>
    <x v="628"/>
    <n v="3"/>
    <x v="2"/>
    <x v="4"/>
    <x v="4"/>
    <x v="1"/>
    <x v="2"/>
  </r>
  <r>
    <s v="AX22906"/>
    <s v="ENX2004"/>
    <s v="A100"/>
    <s v="EMP1043"/>
    <s v="C1543"/>
    <x v="282"/>
    <n v="1"/>
    <n v="1278"/>
    <n v="665"/>
    <n v="665"/>
    <n v="1278"/>
    <n v="613"/>
    <s v="Product 5"/>
    <x v="52"/>
    <s v="Joshua Taylor"/>
    <x v="337"/>
    <n v="3"/>
    <x v="2"/>
    <x v="4"/>
    <x v="4"/>
    <x v="1"/>
    <x v="2"/>
  </r>
  <r>
    <s v="AX23047"/>
    <s v="ENX2081"/>
    <s v="A108"/>
    <s v="EMP1043"/>
    <s v="C1533"/>
    <x v="280"/>
    <n v="1"/>
    <n v="1566"/>
    <n v="1190"/>
    <n v="1190"/>
    <n v="1566"/>
    <n v="376"/>
    <s v="Product 82"/>
    <x v="49"/>
    <s v="Joshua Taylor"/>
    <x v="179"/>
    <n v="3"/>
    <x v="2"/>
    <x v="4"/>
    <x v="4"/>
    <x v="1"/>
    <x v="2"/>
  </r>
  <r>
    <s v="AX23080"/>
    <s v="ENX2061"/>
    <s v="A154"/>
    <s v="EMP1037"/>
    <s v="C1407"/>
    <x v="280"/>
    <n v="1"/>
    <n v="913"/>
    <n v="584"/>
    <n v="584"/>
    <n v="913"/>
    <n v="329"/>
    <s v="Product 62"/>
    <x v="24"/>
    <s v="Carl Hall"/>
    <x v="294"/>
    <n v="3"/>
    <x v="2"/>
    <x v="4"/>
    <x v="4"/>
    <x v="1"/>
    <x v="2"/>
  </r>
  <r>
    <s v="AX23097"/>
    <s v="ENX2020"/>
    <s v="A139"/>
    <s v="EMP1039"/>
    <s v="C1651"/>
    <x v="282"/>
    <n v="2"/>
    <n v="2005"/>
    <n v="1223"/>
    <n v="2446"/>
    <n v="4010"/>
    <n v="1564"/>
    <s v="Product 21"/>
    <x v="38"/>
    <s v="Eugene Holmes"/>
    <x v="660"/>
    <n v="3"/>
    <x v="2"/>
    <x v="4"/>
    <x v="4"/>
    <x v="1"/>
    <x v="2"/>
  </r>
  <r>
    <s v="AX23160"/>
    <s v="ENX2083"/>
    <s v="A169"/>
    <s v="EMP1031"/>
    <s v="C1626"/>
    <x v="283"/>
    <n v="1"/>
    <n v="2141"/>
    <n v="1777"/>
    <n v="1777"/>
    <n v="2141"/>
    <n v="364"/>
    <s v="Product 84"/>
    <x v="17"/>
    <s v="Brian Thomas"/>
    <x v="153"/>
    <n v="3"/>
    <x v="2"/>
    <x v="4"/>
    <x v="4"/>
    <x v="1"/>
    <x v="2"/>
  </r>
  <r>
    <s v="AX23323"/>
    <s v="ENX2020"/>
    <s v="A168"/>
    <s v="EMP1031"/>
    <s v="C1791"/>
    <x v="279"/>
    <n v="1"/>
    <n v="2005"/>
    <n v="1223"/>
    <n v="1223"/>
    <n v="2005"/>
    <n v="782"/>
    <s v="Product 21"/>
    <x v="40"/>
    <s v="Brian Thomas"/>
    <x v="193"/>
    <n v="3"/>
    <x v="2"/>
    <x v="4"/>
    <x v="4"/>
    <x v="1"/>
    <x v="2"/>
  </r>
  <r>
    <s v="AX23544"/>
    <s v="ENX2011"/>
    <s v="A125"/>
    <s v="EMP1024"/>
    <s v="C1130"/>
    <x v="283"/>
    <n v="3"/>
    <n v="530"/>
    <n v="435"/>
    <n v="1305"/>
    <n v="1590"/>
    <n v="285"/>
    <s v="Product 12"/>
    <x v="31"/>
    <s v="Ernest Wheeler"/>
    <x v="448"/>
    <n v="3"/>
    <x v="2"/>
    <x v="4"/>
    <x v="4"/>
    <x v="1"/>
    <x v="2"/>
  </r>
  <r>
    <s v="AX23721"/>
    <s v="ENX2039"/>
    <s v="A165"/>
    <s v="EMP1032"/>
    <s v="C1485"/>
    <x v="282"/>
    <n v="1"/>
    <n v="817"/>
    <n v="409"/>
    <n v="409"/>
    <n v="817"/>
    <n v="408"/>
    <s v="Product 40"/>
    <x v="55"/>
    <s v="Larry Castillo"/>
    <x v="679"/>
    <n v="3"/>
    <x v="2"/>
    <x v="4"/>
    <x v="4"/>
    <x v="1"/>
    <x v="2"/>
  </r>
  <r>
    <s v="AX23907"/>
    <s v="ENX2059"/>
    <s v="A105"/>
    <s v="EMP1043"/>
    <s v="C1044"/>
    <x v="283"/>
    <n v="1"/>
    <n v="1494"/>
    <n v="971"/>
    <n v="971"/>
    <n v="1494"/>
    <n v="523"/>
    <s v="Product 60"/>
    <x v="45"/>
    <s v="Joshua Taylor"/>
    <x v="331"/>
    <n v="3"/>
    <x v="2"/>
    <x v="4"/>
    <x v="4"/>
    <x v="1"/>
    <x v="2"/>
  </r>
  <r>
    <s v="AX24119"/>
    <s v="ENX2074"/>
    <s v="A101"/>
    <s v="EMP1014"/>
    <s v="C1423"/>
    <x v="281"/>
    <n v="2"/>
    <n v="504"/>
    <n v="408"/>
    <n v="816"/>
    <n v="1008"/>
    <n v="192"/>
    <s v="Product 75"/>
    <x v="60"/>
    <s v="Ronald Reed"/>
    <x v="182"/>
    <n v="3"/>
    <x v="2"/>
    <x v="4"/>
    <x v="4"/>
    <x v="1"/>
    <x v="2"/>
  </r>
  <r>
    <s v="AX24123"/>
    <s v="ENX2037"/>
    <s v="A125"/>
    <s v="EMP1014"/>
    <s v="C1592"/>
    <x v="282"/>
    <n v="3"/>
    <n v="880"/>
    <n v="634"/>
    <n v="1902"/>
    <n v="2640"/>
    <n v="738"/>
    <s v="Product 38"/>
    <x v="31"/>
    <s v="Ronald Reed"/>
    <x v="499"/>
    <n v="3"/>
    <x v="2"/>
    <x v="4"/>
    <x v="4"/>
    <x v="1"/>
    <x v="2"/>
  </r>
  <r>
    <s v="AX24232"/>
    <s v="ENX2036"/>
    <s v="A132"/>
    <s v="EMP1013"/>
    <s v="C1279"/>
    <x v="282"/>
    <n v="1"/>
    <n v="1582"/>
    <n v="1234"/>
    <n v="1234"/>
    <n v="1582"/>
    <n v="348"/>
    <s v="Product 37"/>
    <x v="48"/>
    <s v="Charles Harper"/>
    <x v="210"/>
    <n v="3"/>
    <x v="2"/>
    <x v="4"/>
    <x v="4"/>
    <x v="1"/>
    <x v="2"/>
  </r>
  <r>
    <s v="AX24425"/>
    <s v="ENX2041"/>
    <s v="A149"/>
    <s v="EMP1012"/>
    <s v="C1745"/>
    <x v="280"/>
    <n v="1"/>
    <n v="1380"/>
    <n v="1090"/>
    <n v="1090"/>
    <n v="1380"/>
    <n v="290"/>
    <s v="Product 42"/>
    <x v="59"/>
    <s v="John Reyes"/>
    <x v="784"/>
    <n v="3"/>
    <x v="2"/>
    <x v="4"/>
    <x v="4"/>
    <x v="1"/>
    <x v="2"/>
  </r>
  <r>
    <s v="AX24842"/>
    <s v="ENX2024"/>
    <s v="A106"/>
    <s v="EMP1017"/>
    <s v="C1707"/>
    <x v="282"/>
    <n v="1"/>
    <n v="356"/>
    <n v="292"/>
    <n v="292"/>
    <n v="356"/>
    <n v="64"/>
    <s v="Product 25"/>
    <x v="11"/>
    <s v="Brian Hansen"/>
    <x v="192"/>
    <n v="3"/>
    <x v="2"/>
    <x v="4"/>
    <x v="4"/>
    <x v="1"/>
    <x v="2"/>
  </r>
  <r>
    <s v="AX10135"/>
    <s v="ENX2015"/>
    <s v="A118"/>
    <s v="EMP1041"/>
    <s v="C1149"/>
    <x v="284"/>
    <n v="1"/>
    <n v="637"/>
    <n v="389"/>
    <n v="389"/>
    <n v="637"/>
    <n v="248"/>
    <s v="Product 16"/>
    <x v="19"/>
    <s v="Joe Sims"/>
    <x v="514"/>
    <n v="3"/>
    <x v="2"/>
    <x v="5"/>
    <x v="5"/>
    <x v="1"/>
    <x v="0"/>
  </r>
  <r>
    <s v="AX10471"/>
    <s v="ENX2081"/>
    <s v="A152"/>
    <s v="EMP1000"/>
    <s v="C1024"/>
    <x v="285"/>
    <n v="2"/>
    <n v="1566"/>
    <n v="1190"/>
    <n v="2380"/>
    <n v="3132"/>
    <n v="752"/>
    <s v="Product 82"/>
    <x v="26"/>
    <s v="Fred Robertson"/>
    <x v="599"/>
    <n v="3"/>
    <x v="2"/>
    <x v="5"/>
    <x v="5"/>
    <x v="1"/>
    <x v="0"/>
  </r>
  <r>
    <s v="AX11384"/>
    <s v="ENX2094"/>
    <s v="A114"/>
    <s v="EMP1004"/>
    <s v="C1704"/>
    <x v="285"/>
    <n v="2"/>
    <n v="771"/>
    <n v="648"/>
    <n v="1296"/>
    <n v="1542"/>
    <n v="246"/>
    <s v="Product 95"/>
    <x v="28"/>
    <s v="Kenneth Bradley"/>
    <x v="28"/>
    <n v="3"/>
    <x v="2"/>
    <x v="5"/>
    <x v="5"/>
    <x v="1"/>
    <x v="0"/>
  </r>
  <r>
    <s v="AX11729"/>
    <s v="ENX2058"/>
    <s v="A105"/>
    <s v="EMP1015"/>
    <s v="C1520"/>
    <x v="286"/>
    <n v="1"/>
    <n v="2257"/>
    <n v="1535"/>
    <n v="1535"/>
    <n v="2257"/>
    <n v="722"/>
    <s v="Product 59"/>
    <x v="45"/>
    <s v="Justin Lynch"/>
    <x v="576"/>
    <n v="3"/>
    <x v="2"/>
    <x v="5"/>
    <x v="5"/>
    <x v="1"/>
    <x v="0"/>
  </r>
  <r>
    <s v="AX11780"/>
    <s v="ENX2090"/>
    <s v="A142"/>
    <s v="EMP1003"/>
    <s v="C1465"/>
    <x v="286"/>
    <n v="1"/>
    <n v="1338"/>
    <n v="682"/>
    <n v="682"/>
    <n v="1338"/>
    <n v="656"/>
    <s v="Product 91"/>
    <x v="56"/>
    <s v="Christopher Tucker"/>
    <x v="88"/>
    <n v="3"/>
    <x v="2"/>
    <x v="5"/>
    <x v="5"/>
    <x v="1"/>
    <x v="0"/>
  </r>
  <r>
    <s v="AX11795"/>
    <s v="ENX2054"/>
    <s v="A127"/>
    <s v="EMP1006"/>
    <s v="C1315"/>
    <x v="284"/>
    <n v="1"/>
    <n v="127"/>
    <n v="79"/>
    <n v="79"/>
    <n v="127"/>
    <n v="48"/>
    <s v="Product 55"/>
    <x v="69"/>
    <s v="Sean Miller"/>
    <x v="388"/>
    <n v="3"/>
    <x v="2"/>
    <x v="5"/>
    <x v="5"/>
    <x v="1"/>
    <x v="0"/>
  </r>
  <r>
    <s v="AX12449"/>
    <s v="ENX2069"/>
    <s v="A117"/>
    <s v="EMP1023"/>
    <s v="C1688"/>
    <x v="287"/>
    <n v="4"/>
    <n v="378"/>
    <n v="291"/>
    <n v="1164"/>
    <n v="1512"/>
    <n v="348"/>
    <s v="Product 70"/>
    <x v="29"/>
    <s v="Brian Davis"/>
    <x v="213"/>
    <n v="3"/>
    <x v="2"/>
    <x v="5"/>
    <x v="5"/>
    <x v="1"/>
    <x v="0"/>
  </r>
  <r>
    <s v="AX12472"/>
    <s v="ENX2065"/>
    <s v="A108"/>
    <s v="EMP1041"/>
    <s v="C1659"/>
    <x v="286"/>
    <n v="1"/>
    <n v="2396"/>
    <n v="1965"/>
    <n v="1965"/>
    <n v="2396"/>
    <n v="431"/>
    <s v="Product 66"/>
    <x v="49"/>
    <s v="Joe Sims"/>
    <x v="51"/>
    <n v="3"/>
    <x v="2"/>
    <x v="5"/>
    <x v="5"/>
    <x v="1"/>
    <x v="0"/>
  </r>
  <r>
    <s v="AX12499"/>
    <s v="ENX2095"/>
    <s v="A135"/>
    <s v="EMP1041"/>
    <s v="C1391"/>
    <x v="285"/>
    <n v="1"/>
    <n v="1743"/>
    <n v="872"/>
    <n v="872"/>
    <n v="1743"/>
    <n v="871"/>
    <s v="Product 96"/>
    <x v="10"/>
    <s v="Joe Sims"/>
    <x v="745"/>
    <n v="3"/>
    <x v="2"/>
    <x v="5"/>
    <x v="5"/>
    <x v="1"/>
    <x v="0"/>
  </r>
  <r>
    <s v="AX12845"/>
    <s v="ENX2076"/>
    <s v="A157"/>
    <s v="EMP1030"/>
    <s v="C1782"/>
    <x v="286"/>
    <n v="1"/>
    <n v="1522"/>
    <n v="791"/>
    <n v="791"/>
    <n v="1522"/>
    <n v="731"/>
    <s v="Product 77"/>
    <x v="7"/>
    <s v="Bobby Russell"/>
    <x v="607"/>
    <n v="3"/>
    <x v="2"/>
    <x v="5"/>
    <x v="5"/>
    <x v="1"/>
    <x v="0"/>
  </r>
  <r>
    <s v="AX12887"/>
    <s v="ENX2066"/>
    <s v="A117"/>
    <s v="EMP1009"/>
    <s v="C1740"/>
    <x v="284"/>
    <n v="2"/>
    <n v="2091"/>
    <n v="1485"/>
    <n v="2970"/>
    <n v="4182"/>
    <n v="1212"/>
    <s v="Product 67"/>
    <x v="29"/>
    <s v="Kenneth Fields"/>
    <x v="699"/>
    <n v="3"/>
    <x v="2"/>
    <x v="5"/>
    <x v="5"/>
    <x v="1"/>
    <x v="0"/>
  </r>
  <r>
    <s v="AX12956"/>
    <s v="ENX2032"/>
    <s v="A151"/>
    <s v="EMP1022"/>
    <s v="C1461"/>
    <x v="287"/>
    <n v="1"/>
    <n v="1967"/>
    <n v="1397"/>
    <n v="1397"/>
    <n v="1967"/>
    <n v="570"/>
    <s v="Product 33"/>
    <x v="1"/>
    <s v="Walter Cook"/>
    <x v="634"/>
    <n v="3"/>
    <x v="2"/>
    <x v="5"/>
    <x v="5"/>
    <x v="1"/>
    <x v="0"/>
  </r>
  <r>
    <s v="AX12988"/>
    <s v="ENX2052"/>
    <s v="A161"/>
    <s v="EMP1006"/>
    <s v="C1081"/>
    <x v="285"/>
    <n v="3"/>
    <n v="1526"/>
    <n v="1251"/>
    <n v="3753"/>
    <n v="4578"/>
    <n v="825"/>
    <s v="Product 53"/>
    <x v="6"/>
    <s v="Sean Miller"/>
    <x v="168"/>
    <n v="3"/>
    <x v="2"/>
    <x v="5"/>
    <x v="5"/>
    <x v="1"/>
    <x v="0"/>
  </r>
  <r>
    <s v="AX13436"/>
    <s v="ENX2010"/>
    <s v="A149"/>
    <s v="EMP1031"/>
    <s v="C1526"/>
    <x v="286"/>
    <n v="2"/>
    <n v="1812"/>
    <n v="1305"/>
    <n v="2610"/>
    <n v="3624"/>
    <n v="1014"/>
    <s v="Product 11"/>
    <x v="59"/>
    <s v="Brian Thomas"/>
    <x v="6"/>
    <n v="3"/>
    <x v="2"/>
    <x v="5"/>
    <x v="5"/>
    <x v="1"/>
    <x v="0"/>
  </r>
  <r>
    <s v="AX14059"/>
    <s v="ENX2003"/>
    <s v="A136"/>
    <s v="EMP1015"/>
    <s v="C1778"/>
    <x v="286"/>
    <n v="1"/>
    <n v="1783"/>
    <n v="1516"/>
    <n v="1516"/>
    <n v="1783"/>
    <n v="267"/>
    <s v="Product 4"/>
    <x v="43"/>
    <s v="Justin Lynch"/>
    <x v="420"/>
    <n v="3"/>
    <x v="2"/>
    <x v="5"/>
    <x v="5"/>
    <x v="1"/>
    <x v="0"/>
  </r>
  <r>
    <s v="AX14117"/>
    <s v="ENX2035"/>
    <s v="A136"/>
    <s v="EMP1001"/>
    <s v="C1389"/>
    <x v="285"/>
    <n v="1"/>
    <n v="458"/>
    <n v="376"/>
    <n v="376"/>
    <n v="458"/>
    <n v="82"/>
    <s v="Product 36"/>
    <x v="43"/>
    <s v="Kevin Butler"/>
    <x v="38"/>
    <n v="3"/>
    <x v="2"/>
    <x v="5"/>
    <x v="5"/>
    <x v="1"/>
    <x v="0"/>
  </r>
  <r>
    <s v="AX14158"/>
    <s v="ENX2044"/>
    <s v="A170"/>
    <s v="EMP1000"/>
    <s v="C1497"/>
    <x v="287"/>
    <n v="1"/>
    <n v="886"/>
    <n v="478"/>
    <n v="478"/>
    <n v="886"/>
    <n v="408"/>
    <s v="Product 45"/>
    <x v="47"/>
    <s v="Fred Robertson"/>
    <x v="794"/>
    <n v="3"/>
    <x v="2"/>
    <x v="5"/>
    <x v="5"/>
    <x v="1"/>
    <x v="0"/>
  </r>
  <r>
    <s v="AX14526"/>
    <s v="ENX2071"/>
    <s v="A145"/>
    <s v="EMP1037"/>
    <s v="C1650"/>
    <x v="284"/>
    <n v="1"/>
    <n v="136"/>
    <n v="72"/>
    <n v="72"/>
    <n v="136"/>
    <n v="64"/>
    <s v="Product 72"/>
    <x v="35"/>
    <s v="Carl Hall"/>
    <x v="645"/>
    <n v="3"/>
    <x v="2"/>
    <x v="5"/>
    <x v="5"/>
    <x v="1"/>
    <x v="0"/>
  </r>
  <r>
    <s v="AX14581"/>
    <s v="ENX2002"/>
    <s v="A123"/>
    <s v="EMP1044"/>
    <s v="C1265"/>
    <x v="284"/>
    <n v="4"/>
    <n v="847"/>
    <n v="534"/>
    <n v="2136"/>
    <n v="3388"/>
    <n v="1252"/>
    <s v="Product 3"/>
    <x v="34"/>
    <s v="Martin Carr"/>
    <x v="348"/>
    <n v="3"/>
    <x v="2"/>
    <x v="5"/>
    <x v="5"/>
    <x v="1"/>
    <x v="0"/>
  </r>
  <r>
    <s v="AX14699"/>
    <s v="ENX2020"/>
    <s v="A160"/>
    <s v="EMP1041"/>
    <s v="C1466"/>
    <x v="287"/>
    <n v="1"/>
    <n v="2005"/>
    <n v="1223"/>
    <n v="1223"/>
    <n v="2005"/>
    <n v="782"/>
    <s v="Product 21"/>
    <x v="9"/>
    <s v="Joe Sims"/>
    <x v="132"/>
    <n v="3"/>
    <x v="2"/>
    <x v="5"/>
    <x v="5"/>
    <x v="1"/>
    <x v="0"/>
  </r>
  <r>
    <s v="AX14711"/>
    <s v="ENX2078"/>
    <s v="A171"/>
    <s v="EMP1029"/>
    <s v="C1202"/>
    <x v="284"/>
    <n v="1"/>
    <n v="1798"/>
    <n v="971"/>
    <n v="971"/>
    <n v="1798"/>
    <n v="827"/>
    <s v="Product 79"/>
    <x v="0"/>
    <s v="Howard Gardner"/>
    <x v="3"/>
    <n v="3"/>
    <x v="2"/>
    <x v="5"/>
    <x v="5"/>
    <x v="1"/>
    <x v="0"/>
  </r>
  <r>
    <s v="AX14713"/>
    <s v="ENX2088"/>
    <s v="A117"/>
    <s v="EMP1011"/>
    <s v="C1152"/>
    <x v="284"/>
    <n v="1"/>
    <n v="603"/>
    <n v="416"/>
    <n v="416"/>
    <n v="603"/>
    <n v="187"/>
    <s v="Product 89"/>
    <x v="29"/>
    <s v="Larry Marshall"/>
    <x v="198"/>
    <n v="3"/>
    <x v="2"/>
    <x v="5"/>
    <x v="5"/>
    <x v="1"/>
    <x v="0"/>
  </r>
  <r>
    <s v="AX15110"/>
    <s v="ENX2068"/>
    <s v="A151"/>
    <s v="EMP1039"/>
    <s v="C1258"/>
    <x v="286"/>
    <n v="1"/>
    <n v="1500"/>
    <n v="900"/>
    <n v="900"/>
    <n v="1500"/>
    <n v="600"/>
    <s v="Product 69"/>
    <x v="1"/>
    <s v="Eugene Holmes"/>
    <x v="644"/>
    <n v="3"/>
    <x v="2"/>
    <x v="5"/>
    <x v="5"/>
    <x v="1"/>
    <x v="0"/>
  </r>
  <r>
    <s v="AX15205"/>
    <s v="ENX2026"/>
    <s v="A157"/>
    <s v="EMP1020"/>
    <s v="C1652"/>
    <x v="287"/>
    <n v="3"/>
    <n v="947"/>
    <n v="786"/>
    <n v="2358"/>
    <n v="2841"/>
    <n v="483"/>
    <s v="Product 27"/>
    <x v="7"/>
    <s v="Ryan Butler"/>
    <x v="737"/>
    <n v="3"/>
    <x v="2"/>
    <x v="5"/>
    <x v="5"/>
    <x v="1"/>
    <x v="0"/>
  </r>
  <r>
    <s v="AX15238"/>
    <s v="ENX2032"/>
    <s v="A144"/>
    <s v="EMP1034"/>
    <s v="C1739"/>
    <x v="286"/>
    <n v="1"/>
    <n v="1967"/>
    <n v="1397"/>
    <n v="1397"/>
    <n v="1967"/>
    <n v="570"/>
    <s v="Product 33"/>
    <x v="65"/>
    <s v="Arthur Mccoy"/>
    <x v="286"/>
    <n v="3"/>
    <x v="2"/>
    <x v="5"/>
    <x v="5"/>
    <x v="1"/>
    <x v="0"/>
  </r>
  <r>
    <s v="AX15341"/>
    <s v="ENX2022"/>
    <s v="A118"/>
    <s v="EMP1041"/>
    <s v="C1772"/>
    <x v="287"/>
    <n v="1"/>
    <n v="561"/>
    <n v="421"/>
    <n v="421"/>
    <n v="561"/>
    <n v="140"/>
    <s v="Product 23"/>
    <x v="19"/>
    <s v="Joe Sims"/>
    <x v="643"/>
    <n v="3"/>
    <x v="2"/>
    <x v="5"/>
    <x v="5"/>
    <x v="1"/>
    <x v="0"/>
  </r>
  <r>
    <s v="AX15422"/>
    <s v="ENX2021"/>
    <s v="A163"/>
    <s v="EMP1034"/>
    <s v="C1700"/>
    <x v="285"/>
    <n v="2"/>
    <n v="217"/>
    <n v="171"/>
    <n v="342"/>
    <n v="434"/>
    <n v="92"/>
    <s v="Product 22"/>
    <x v="51"/>
    <s v="Arthur Mccoy"/>
    <x v="271"/>
    <n v="3"/>
    <x v="2"/>
    <x v="5"/>
    <x v="5"/>
    <x v="1"/>
    <x v="0"/>
  </r>
  <r>
    <s v="AX15680"/>
    <s v="ENX2042"/>
    <s v="A158"/>
    <s v="EMP1000"/>
    <s v="C1241"/>
    <x v="285"/>
    <n v="1"/>
    <n v="203"/>
    <n v="154"/>
    <n v="154"/>
    <n v="203"/>
    <n v="49"/>
    <s v="Product 43"/>
    <x v="58"/>
    <s v="Fred Robertson"/>
    <x v="190"/>
    <n v="3"/>
    <x v="2"/>
    <x v="5"/>
    <x v="5"/>
    <x v="1"/>
    <x v="0"/>
  </r>
  <r>
    <s v="AX16306"/>
    <s v="ENX2096"/>
    <s v="A128"/>
    <s v="EMP1024"/>
    <s v="C1141"/>
    <x v="287"/>
    <n v="2"/>
    <n v="1587"/>
    <n v="1301"/>
    <n v="2602"/>
    <n v="3174"/>
    <n v="572"/>
    <s v="Product 97"/>
    <x v="12"/>
    <s v="Ernest Wheeler"/>
    <x v="166"/>
    <n v="3"/>
    <x v="2"/>
    <x v="5"/>
    <x v="5"/>
    <x v="1"/>
    <x v="0"/>
  </r>
  <r>
    <s v="AX16636"/>
    <s v="ENX2016"/>
    <s v="A136"/>
    <s v="EMP1032"/>
    <s v="C1021"/>
    <x v="286"/>
    <n v="1"/>
    <n v="1351"/>
    <n v="1108"/>
    <n v="1108"/>
    <n v="1351"/>
    <n v="243"/>
    <s v="Product 17"/>
    <x v="43"/>
    <s v="Larry Castillo"/>
    <x v="246"/>
    <n v="3"/>
    <x v="2"/>
    <x v="5"/>
    <x v="5"/>
    <x v="1"/>
    <x v="0"/>
  </r>
  <r>
    <s v="AX16647"/>
    <s v="ENX2031"/>
    <s v="A161"/>
    <s v="EMP1033"/>
    <s v="C1163"/>
    <x v="284"/>
    <n v="1"/>
    <n v="1638"/>
    <n v="1261"/>
    <n v="1261"/>
    <n v="1638"/>
    <n v="377"/>
    <s v="Product 32"/>
    <x v="6"/>
    <s v="Jerry Perry"/>
    <x v="23"/>
    <n v="3"/>
    <x v="2"/>
    <x v="5"/>
    <x v="5"/>
    <x v="1"/>
    <x v="0"/>
  </r>
  <r>
    <s v="AX16725"/>
    <s v="ENX2028"/>
    <s v="A124"/>
    <s v="EMP1005"/>
    <s v="C1561"/>
    <x v="284"/>
    <n v="2"/>
    <n v="2283"/>
    <n v="1484"/>
    <n v="2968"/>
    <n v="4566"/>
    <n v="1598"/>
    <s v="Product 29"/>
    <x v="67"/>
    <s v="Ryan Welch"/>
    <x v="114"/>
    <n v="3"/>
    <x v="2"/>
    <x v="5"/>
    <x v="5"/>
    <x v="1"/>
    <x v="0"/>
  </r>
  <r>
    <s v="AX16994"/>
    <s v="ENX2035"/>
    <s v="A156"/>
    <s v="EMP1015"/>
    <s v="C1703"/>
    <x v="286"/>
    <n v="2"/>
    <n v="458"/>
    <n v="376"/>
    <n v="752"/>
    <n v="916"/>
    <n v="164"/>
    <s v="Product 36"/>
    <x v="14"/>
    <s v="Justin Lynch"/>
    <x v="424"/>
    <n v="3"/>
    <x v="2"/>
    <x v="5"/>
    <x v="5"/>
    <x v="1"/>
    <x v="0"/>
  </r>
  <r>
    <s v="AX17050"/>
    <s v="ENX2066"/>
    <s v="A113"/>
    <s v="EMP1023"/>
    <s v="C1316"/>
    <x v="286"/>
    <n v="3"/>
    <n v="2091"/>
    <n v="1485"/>
    <n v="4455"/>
    <n v="6273"/>
    <n v="1818"/>
    <s v="Product 67"/>
    <x v="73"/>
    <s v="Brian Davis"/>
    <x v="771"/>
    <n v="3"/>
    <x v="2"/>
    <x v="5"/>
    <x v="5"/>
    <x v="1"/>
    <x v="0"/>
  </r>
  <r>
    <s v="AX17055"/>
    <s v="ENX2010"/>
    <s v="A122"/>
    <s v="EMP1003"/>
    <s v="C1528"/>
    <x v="285"/>
    <n v="2"/>
    <n v="1812"/>
    <n v="1305"/>
    <n v="2610"/>
    <n v="3624"/>
    <n v="1014"/>
    <s v="Product 11"/>
    <x v="71"/>
    <s v="Christopher Tucker"/>
    <x v="158"/>
    <n v="3"/>
    <x v="2"/>
    <x v="5"/>
    <x v="5"/>
    <x v="1"/>
    <x v="0"/>
  </r>
  <r>
    <s v="AX18485"/>
    <s v="ENX2088"/>
    <s v="A107"/>
    <s v="EMP1028"/>
    <s v="C1113"/>
    <x v="285"/>
    <n v="1"/>
    <n v="603"/>
    <n v="416"/>
    <n v="416"/>
    <n v="603"/>
    <n v="187"/>
    <s v="Product 89"/>
    <x v="21"/>
    <s v="Howard Sims"/>
    <x v="101"/>
    <n v="3"/>
    <x v="2"/>
    <x v="5"/>
    <x v="5"/>
    <x v="1"/>
    <x v="0"/>
  </r>
  <r>
    <s v="AX18786"/>
    <s v="ENX2077"/>
    <s v="A110"/>
    <s v="EMP1038"/>
    <s v="C1280"/>
    <x v="284"/>
    <n v="1"/>
    <n v="530"/>
    <n v="424"/>
    <n v="424"/>
    <n v="530"/>
    <n v="106"/>
    <s v="Product 78"/>
    <x v="63"/>
    <s v="Scott Mason"/>
    <x v="349"/>
    <n v="3"/>
    <x v="2"/>
    <x v="5"/>
    <x v="5"/>
    <x v="1"/>
    <x v="0"/>
  </r>
  <r>
    <s v="AX19007"/>
    <s v="ENX2030"/>
    <s v="A136"/>
    <s v="EMP1041"/>
    <s v="C1625"/>
    <x v="287"/>
    <n v="3"/>
    <n v="1899"/>
    <n v="1044"/>
    <n v="3132"/>
    <n v="5697"/>
    <n v="2565"/>
    <s v="Product 31"/>
    <x v="43"/>
    <s v="Joe Sims"/>
    <x v="575"/>
    <n v="3"/>
    <x v="2"/>
    <x v="5"/>
    <x v="5"/>
    <x v="1"/>
    <x v="0"/>
  </r>
  <r>
    <s v="AX19858"/>
    <s v="ENX2086"/>
    <s v="A150"/>
    <s v="EMP1035"/>
    <s v="C1799"/>
    <x v="286"/>
    <n v="3"/>
    <n v="123"/>
    <n v="84"/>
    <n v="252"/>
    <n v="369"/>
    <n v="117"/>
    <s v="Product 87"/>
    <x v="30"/>
    <s v="Roger Ramos"/>
    <x v="390"/>
    <n v="3"/>
    <x v="2"/>
    <x v="5"/>
    <x v="5"/>
    <x v="1"/>
    <x v="0"/>
  </r>
  <r>
    <s v="AX19892"/>
    <s v="ENX2053"/>
    <s v="A134"/>
    <s v="EMP1043"/>
    <s v="C1754"/>
    <x v="285"/>
    <n v="2"/>
    <n v="596"/>
    <n v="358"/>
    <n v="716"/>
    <n v="1192"/>
    <n v="476"/>
    <s v="Product 54"/>
    <x v="41"/>
    <s v="Joshua Taylor"/>
    <x v="742"/>
    <n v="3"/>
    <x v="2"/>
    <x v="5"/>
    <x v="5"/>
    <x v="1"/>
    <x v="0"/>
  </r>
  <r>
    <s v="AX19918"/>
    <s v="ENX2044"/>
    <s v="A167"/>
    <s v="EMP1034"/>
    <s v="C1779"/>
    <x v="287"/>
    <n v="1"/>
    <n v="886"/>
    <n v="478"/>
    <n v="478"/>
    <n v="886"/>
    <n v="408"/>
    <s v="Product 45"/>
    <x v="64"/>
    <s v="Arthur Mccoy"/>
    <x v="648"/>
    <n v="3"/>
    <x v="2"/>
    <x v="5"/>
    <x v="5"/>
    <x v="1"/>
    <x v="0"/>
  </r>
  <r>
    <s v="AX19919"/>
    <s v="ENX2037"/>
    <s v="A117"/>
    <s v="EMP1022"/>
    <s v="C1117"/>
    <x v="284"/>
    <n v="1"/>
    <n v="880"/>
    <n v="634"/>
    <n v="634"/>
    <n v="880"/>
    <n v="246"/>
    <s v="Product 38"/>
    <x v="29"/>
    <s v="Walter Cook"/>
    <x v="519"/>
    <n v="3"/>
    <x v="2"/>
    <x v="5"/>
    <x v="5"/>
    <x v="1"/>
    <x v="0"/>
  </r>
  <r>
    <s v="AX20672"/>
    <s v="ENX2078"/>
    <s v="A104"/>
    <s v="EMP1004"/>
    <s v="C1561"/>
    <x v="285"/>
    <n v="2"/>
    <n v="1798"/>
    <n v="971"/>
    <n v="1942"/>
    <n v="3596"/>
    <n v="1654"/>
    <s v="Product 79"/>
    <x v="50"/>
    <s v="Kenneth Bradley"/>
    <x v="114"/>
    <n v="3"/>
    <x v="2"/>
    <x v="5"/>
    <x v="5"/>
    <x v="1"/>
    <x v="0"/>
  </r>
  <r>
    <s v="AX20678"/>
    <s v="ENX2069"/>
    <s v="A161"/>
    <s v="EMP1019"/>
    <s v="C1518"/>
    <x v="285"/>
    <n v="1"/>
    <n v="378"/>
    <n v="291"/>
    <n v="291"/>
    <n v="378"/>
    <n v="87"/>
    <s v="Product 70"/>
    <x v="6"/>
    <s v="Roger Robertson"/>
    <x v="703"/>
    <n v="3"/>
    <x v="2"/>
    <x v="5"/>
    <x v="5"/>
    <x v="1"/>
    <x v="0"/>
  </r>
  <r>
    <s v="AX20719"/>
    <s v="ENX2044"/>
    <s v="A113"/>
    <s v="EMP1003"/>
    <s v="C1704"/>
    <x v="286"/>
    <n v="2"/>
    <n v="886"/>
    <n v="478"/>
    <n v="956"/>
    <n v="1772"/>
    <n v="816"/>
    <s v="Product 45"/>
    <x v="73"/>
    <s v="Christopher Tucker"/>
    <x v="28"/>
    <n v="3"/>
    <x v="2"/>
    <x v="5"/>
    <x v="5"/>
    <x v="1"/>
    <x v="0"/>
  </r>
  <r>
    <s v="AX21299"/>
    <s v="ENX2028"/>
    <s v="A146"/>
    <s v="EMP1034"/>
    <s v="C1301"/>
    <x v="284"/>
    <n v="2"/>
    <n v="2283"/>
    <n v="1484"/>
    <n v="2968"/>
    <n v="4566"/>
    <n v="1598"/>
    <s v="Product 29"/>
    <x v="27"/>
    <s v="Arthur Mccoy"/>
    <x v="231"/>
    <n v="3"/>
    <x v="2"/>
    <x v="5"/>
    <x v="5"/>
    <x v="1"/>
    <x v="0"/>
  </r>
  <r>
    <s v="AX21824"/>
    <s v="ENX2023"/>
    <s v="A172"/>
    <s v="EMP1001"/>
    <s v="C1009"/>
    <x v="287"/>
    <n v="2"/>
    <n v="818"/>
    <n v="450"/>
    <n v="900"/>
    <n v="1636"/>
    <n v="736"/>
    <s v="Product 24"/>
    <x v="36"/>
    <s v="Kevin Butler"/>
    <x v="458"/>
    <n v="3"/>
    <x v="2"/>
    <x v="5"/>
    <x v="5"/>
    <x v="1"/>
    <x v="0"/>
  </r>
  <r>
    <s v="AX22290"/>
    <s v="ENX2075"/>
    <s v="A102"/>
    <s v="EMP1020"/>
    <s v="C1325"/>
    <x v="285"/>
    <n v="2"/>
    <n v="400"/>
    <n v="208"/>
    <n v="416"/>
    <n v="800"/>
    <n v="384"/>
    <s v="Product 76"/>
    <x v="44"/>
    <s v="Ryan Butler"/>
    <x v="67"/>
    <n v="3"/>
    <x v="2"/>
    <x v="5"/>
    <x v="5"/>
    <x v="1"/>
    <x v="0"/>
  </r>
  <r>
    <s v="AX22619"/>
    <s v="ENX2032"/>
    <s v="A159"/>
    <s v="EMP1010"/>
    <s v="C1423"/>
    <x v="287"/>
    <n v="1"/>
    <n v="1967"/>
    <n v="1397"/>
    <n v="1397"/>
    <n v="1967"/>
    <n v="570"/>
    <s v="Product 33"/>
    <x v="13"/>
    <s v="Joshua Cook"/>
    <x v="182"/>
    <n v="3"/>
    <x v="2"/>
    <x v="5"/>
    <x v="5"/>
    <x v="1"/>
    <x v="0"/>
  </r>
  <r>
    <s v="AX23125"/>
    <s v="ENX2018"/>
    <s v="A151"/>
    <s v="EMP1011"/>
    <s v="C1283"/>
    <x v="287"/>
    <n v="4"/>
    <n v="1972"/>
    <n v="1321"/>
    <n v="5284"/>
    <n v="7888"/>
    <n v="2604"/>
    <s v="Product 19"/>
    <x v="1"/>
    <s v="Larry Marshall"/>
    <x v="184"/>
    <n v="3"/>
    <x v="2"/>
    <x v="5"/>
    <x v="5"/>
    <x v="1"/>
    <x v="0"/>
  </r>
  <r>
    <s v="AX23527"/>
    <s v="ENX2026"/>
    <s v="A171"/>
    <s v="EMP1024"/>
    <s v="C1717"/>
    <x v="284"/>
    <n v="1"/>
    <n v="947"/>
    <n v="786"/>
    <n v="786"/>
    <n v="947"/>
    <n v="161"/>
    <s v="Product 27"/>
    <x v="0"/>
    <s v="Ernest Wheeler"/>
    <x v="605"/>
    <n v="3"/>
    <x v="2"/>
    <x v="5"/>
    <x v="5"/>
    <x v="1"/>
    <x v="0"/>
  </r>
  <r>
    <s v="AX24062"/>
    <s v="ENX2072"/>
    <s v="A173"/>
    <s v="EMP1033"/>
    <s v="C1628"/>
    <x v="285"/>
    <n v="1"/>
    <n v="1887"/>
    <n v="1378"/>
    <n v="1378"/>
    <n v="1887"/>
    <n v="509"/>
    <s v="Product 73"/>
    <x v="25"/>
    <s v="Jerry Perry"/>
    <x v="161"/>
    <n v="3"/>
    <x v="2"/>
    <x v="5"/>
    <x v="5"/>
    <x v="1"/>
    <x v="0"/>
  </r>
  <r>
    <s v="AX24117"/>
    <s v="ENX2028"/>
    <s v="A102"/>
    <s v="EMP1031"/>
    <s v="C1090"/>
    <x v="284"/>
    <n v="3"/>
    <n v="2283"/>
    <n v="1484"/>
    <n v="4452"/>
    <n v="6849"/>
    <n v="2397"/>
    <s v="Product 29"/>
    <x v="44"/>
    <s v="Brian Thomas"/>
    <x v="0"/>
    <n v="3"/>
    <x v="2"/>
    <x v="5"/>
    <x v="5"/>
    <x v="1"/>
    <x v="0"/>
  </r>
  <r>
    <s v="AX24155"/>
    <s v="ENX2073"/>
    <s v="A170"/>
    <s v="EMP1013"/>
    <s v="C1400"/>
    <x v="286"/>
    <n v="1"/>
    <n v="95"/>
    <n v="61"/>
    <n v="61"/>
    <n v="95"/>
    <n v="34"/>
    <s v="Product 74"/>
    <x v="47"/>
    <s v="Charles Harper"/>
    <x v="437"/>
    <n v="3"/>
    <x v="2"/>
    <x v="5"/>
    <x v="5"/>
    <x v="1"/>
    <x v="0"/>
  </r>
  <r>
    <s v="AX24268"/>
    <s v="ENX2015"/>
    <s v="A116"/>
    <s v="EMP1008"/>
    <s v="C1138"/>
    <x v="286"/>
    <n v="1"/>
    <n v="637"/>
    <n v="389"/>
    <n v="389"/>
    <n v="637"/>
    <n v="248"/>
    <s v="Product 16"/>
    <x v="15"/>
    <s v="Carl Elliott"/>
    <x v="325"/>
    <n v="3"/>
    <x v="2"/>
    <x v="5"/>
    <x v="5"/>
    <x v="1"/>
    <x v="0"/>
  </r>
  <r>
    <s v="AX24423"/>
    <s v="ENX2013"/>
    <s v="A113"/>
    <s v="EMP1012"/>
    <s v="C1405"/>
    <x v="284"/>
    <n v="2"/>
    <n v="368"/>
    <n v="269"/>
    <n v="538"/>
    <n v="736"/>
    <n v="198"/>
    <s v="Product 14"/>
    <x v="73"/>
    <s v="John Reyes"/>
    <x v="544"/>
    <n v="3"/>
    <x v="2"/>
    <x v="5"/>
    <x v="5"/>
    <x v="1"/>
    <x v="0"/>
  </r>
  <r>
    <s v="AX24761"/>
    <s v="ENX2023"/>
    <s v="A107"/>
    <s v="EMP1021"/>
    <s v="C1332"/>
    <x v="284"/>
    <n v="4"/>
    <n v="818"/>
    <n v="450"/>
    <n v="1800"/>
    <n v="3272"/>
    <n v="1472"/>
    <s v="Product 24"/>
    <x v="21"/>
    <s v="Clarence Fox"/>
    <x v="7"/>
    <n v="3"/>
    <x v="2"/>
    <x v="5"/>
    <x v="5"/>
    <x v="1"/>
    <x v="0"/>
  </r>
  <r>
    <s v="AX24922"/>
    <s v="ENX2029"/>
    <s v="A147"/>
    <s v="EMP1038"/>
    <s v="C1537"/>
    <x v="287"/>
    <n v="1"/>
    <n v="1848"/>
    <n v="1294"/>
    <n v="1294"/>
    <n v="1848"/>
    <n v="554"/>
    <s v="Product 30"/>
    <x v="42"/>
    <s v="Scott Mason"/>
    <x v="141"/>
    <n v="3"/>
    <x v="2"/>
    <x v="5"/>
    <x v="5"/>
    <x v="1"/>
    <x v="0"/>
  </r>
  <r>
    <s v="AX10772"/>
    <s v="ENX2073"/>
    <s v="A105"/>
    <s v="EMP1038"/>
    <s v="C1716"/>
    <x v="288"/>
    <n v="1"/>
    <n v="95"/>
    <n v="61"/>
    <n v="61"/>
    <n v="95"/>
    <n v="34"/>
    <s v="Product 74"/>
    <x v="45"/>
    <s v="Scott Mason"/>
    <x v="24"/>
    <n v="3"/>
    <x v="2"/>
    <x v="5"/>
    <x v="5"/>
    <x v="1"/>
    <x v="2"/>
  </r>
  <r>
    <s v="AX10840"/>
    <s v="ENX2027"/>
    <s v="A132"/>
    <s v="EMP1008"/>
    <s v="C1115"/>
    <x v="289"/>
    <n v="1"/>
    <n v="2497"/>
    <n v="1473"/>
    <n v="1473"/>
    <n v="2497"/>
    <n v="1024"/>
    <s v="Product 28"/>
    <x v="48"/>
    <s v="Carl Elliott"/>
    <x v="338"/>
    <n v="3"/>
    <x v="2"/>
    <x v="5"/>
    <x v="5"/>
    <x v="1"/>
    <x v="2"/>
  </r>
  <r>
    <s v="AX11234"/>
    <s v="ENX2086"/>
    <s v="A103"/>
    <s v="EMP1014"/>
    <s v="C1740"/>
    <x v="290"/>
    <n v="2"/>
    <n v="123"/>
    <n v="84"/>
    <n v="168"/>
    <n v="246"/>
    <n v="78"/>
    <s v="Product 87"/>
    <x v="61"/>
    <s v="Ronald Reed"/>
    <x v="699"/>
    <n v="3"/>
    <x v="2"/>
    <x v="5"/>
    <x v="5"/>
    <x v="1"/>
    <x v="2"/>
  </r>
  <r>
    <s v="AX11317"/>
    <s v="ENX2084"/>
    <s v="A167"/>
    <s v="EMP1025"/>
    <s v="C1237"/>
    <x v="289"/>
    <n v="1"/>
    <n v="1783"/>
    <n v="1230"/>
    <n v="1230"/>
    <n v="1783"/>
    <n v="553"/>
    <s v="Product 85"/>
    <x v="64"/>
    <s v="Ernest Wagner"/>
    <x v="484"/>
    <n v="3"/>
    <x v="2"/>
    <x v="5"/>
    <x v="5"/>
    <x v="1"/>
    <x v="2"/>
  </r>
  <r>
    <s v="AX11790"/>
    <s v="ENX2029"/>
    <s v="A157"/>
    <s v="EMP1020"/>
    <s v="C1451"/>
    <x v="289"/>
    <n v="1"/>
    <n v="1848"/>
    <n v="1294"/>
    <n v="1294"/>
    <n v="1848"/>
    <n v="554"/>
    <s v="Product 30"/>
    <x v="7"/>
    <s v="Ryan Butler"/>
    <x v="80"/>
    <n v="3"/>
    <x v="2"/>
    <x v="5"/>
    <x v="5"/>
    <x v="1"/>
    <x v="2"/>
  </r>
  <r>
    <s v="AX11826"/>
    <s v="ENX2072"/>
    <s v="A169"/>
    <s v="EMP1001"/>
    <s v="C1000"/>
    <x v="291"/>
    <n v="1"/>
    <n v="1887"/>
    <n v="1378"/>
    <n v="1378"/>
    <n v="1887"/>
    <n v="509"/>
    <s v="Product 73"/>
    <x v="17"/>
    <s v="Kevin Butler"/>
    <x v="57"/>
    <n v="3"/>
    <x v="2"/>
    <x v="5"/>
    <x v="5"/>
    <x v="1"/>
    <x v="2"/>
  </r>
  <r>
    <s v="AX12116"/>
    <s v="ENX2031"/>
    <s v="A145"/>
    <s v="EMP1028"/>
    <s v="C1240"/>
    <x v="288"/>
    <n v="3"/>
    <n v="1638"/>
    <n v="1261"/>
    <n v="3783"/>
    <n v="4914"/>
    <n v="1131"/>
    <s v="Product 32"/>
    <x v="35"/>
    <s v="Howard Sims"/>
    <x v="455"/>
    <n v="3"/>
    <x v="2"/>
    <x v="5"/>
    <x v="5"/>
    <x v="1"/>
    <x v="2"/>
  </r>
  <r>
    <s v="AX12302"/>
    <s v="ENX2032"/>
    <s v="A155"/>
    <s v="EMP1030"/>
    <s v="C1151"/>
    <x v="291"/>
    <n v="4"/>
    <n v="1967"/>
    <n v="1397"/>
    <n v="5588"/>
    <n v="7868"/>
    <n v="2280"/>
    <s v="Product 33"/>
    <x v="53"/>
    <s v="Bobby Russell"/>
    <x v="56"/>
    <n v="3"/>
    <x v="2"/>
    <x v="5"/>
    <x v="5"/>
    <x v="1"/>
    <x v="2"/>
  </r>
  <r>
    <s v="AX12344"/>
    <s v="ENX2085"/>
    <s v="A129"/>
    <s v="EMP1003"/>
    <s v="C1410"/>
    <x v="291"/>
    <n v="1"/>
    <n v="1862"/>
    <n v="1173"/>
    <n v="1173"/>
    <n v="1862"/>
    <n v="689"/>
    <s v="Product 86"/>
    <x v="22"/>
    <s v="Christopher Tucker"/>
    <x v="112"/>
    <n v="3"/>
    <x v="2"/>
    <x v="5"/>
    <x v="5"/>
    <x v="1"/>
    <x v="2"/>
  </r>
  <r>
    <s v="AX12691"/>
    <s v="ENX2095"/>
    <s v="A107"/>
    <s v="EMP1028"/>
    <s v="C1637"/>
    <x v="288"/>
    <n v="3"/>
    <n v="1743"/>
    <n v="872"/>
    <n v="2616"/>
    <n v="5229"/>
    <n v="2613"/>
    <s v="Product 96"/>
    <x v="21"/>
    <s v="Howard Sims"/>
    <x v="326"/>
    <n v="3"/>
    <x v="2"/>
    <x v="5"/>
    <x v="5"/>
    <x v="1"/>
    <x v="2"/>
  </r>
  <r>
    <s v="AX12942"/>
    <s v="ENX2022"/>
    <s v="A133"/>
    <s v="EMP1043"/>
    <s v="C1717"/>
    <x v="289"/>
    <n v="2"/>
    <n v="561"/>
    <n v="421"/>
    <n v="842"/>
    <n v="1122"/>
    <n v="280"/>
    <s v="Product 23"/>
    <x v="46"/>
    <s v="Joshua Taylor"/>
    <x v="605"/>
    <n v="3"/>
    <x v="2"/>
    <x v="5"/>
    <x v="5"/>
    <x v="1"/>
    <x v="2"/>
  </r>
  <r>
    <s v="AX13251"/>
    <s v="ENX2021"/>
    <s v="A108"/>
    <s v="EMP1011"/>
    <s v="C1703"/>
    <x v="289"/>
    <n v="4"/>
    <n v="217"/>
    <n v="171"/>
    <n v="684"/>
    <n v="868"/>
    <n v="184"/>
    <s v="Product 22"/>
    <x v="49"/>
    <s v="Larry Marshall"/>
    <x v="424"/>
    <n v="3"/>
    <x v="2"/>
    <x v="5"/>
    <x v="5"/>
    <x v="1"/>
    <x v="2"/>
  </r>
  <r>
    <s v="AX14134"/>
    <s v="ENX2071"/>
    <s v="A168"/>
    <s v="EMP1031"/>
    <s v="C1487"/>
    <x v="290"/>
    <n v="1"/>
    <n v="136"/>
    <n v="72"/>
    <n v="72"/>
    <n v="136"/>
    <n v="64"/>
    <s v="Product 72"/>
    <x v="40"/>
    <s v="Brian Thomas"/>
    <x v="461"/>
    <n v="3"/>
    <x v="2"/>
    <x v="5"/>
    <x v="5"/>
    <x v="1"/>
    <x v="2"/>
  </r>
  <r>
    <s v="AX14238"/>
    <s v="ENX2076"/>
    <s v="A139"/>
    <s v="EMP1023"/>
    <s v="C1462"/>
    <x v="288"/>
    <n v="3"/>
    <n v="1522"/>
    <n v="791"/>
    <n v="2373"/>
    <n v="4566"/>
    <n v="2193"/>
    <s v="Product 77"/>
    <x v="38"/>
    <s v="Brian Davis"/>
    <x v="418"/>
    <n v="3"/>
    <x v="2"/>
    <x v="5"/>
    <x v="5"/>
    <x v="1"/>
    <x v="2"/>
  </r>
  <r>
    <s v="AX14496"/>
    <s v="ENX2081"/>
    <s v="A100"/>
    <s v="EMP1028"/>
    <s v="C1510"/>
    <x v="289"/>
    <n v="4"/>
    <n v="1566"/>
    <n v="1190"/>
    <n v="4760"/>
    <n v="6264"/>
    <n v="1504"/>
    <s v="Product 82"/>
    <x v="52"/>
    <s v="Howard Sims"/>
    <x v="113"/>
    <n v="3"/>
    <x v="2"/>
    <x v="5"/>
    <x v="5"/>
    <x v="1"/>
    <x v="2"/>
  </r>
  <r>
    <s v="AX14525"/>
    <s v="ENX2075"/>
    <s v="A105"/>
    <s v="EMP1028"/>
    <s v="C1503"/>
    <x v="288"/>
    <n v="3"/>
    <n v="400"/>
    <n v="208"/>
    <n v="624"/>
    <n v="1200"/>
    <n v="576"/>
    <s v="Product 76"/>
    <x v="45"/>
    <s v="Howard Sims"/>
    <x v="569"/>
    <n v="3"/>
    <x v="2"/>
    <x v="5"/>
    <x v="5"/>
    <x v="1"/>
    <x v="2"/>
  </r>
  <r>
    <s v="AX14818"/>
    <s v="ENX2066"/>
    <s v="A124"/>
    <s v="EMP1013"/>
    <s v="C1670"/>
    <x v="291"/>
    <n v="1"/>
    <n v="2091"/>
    <n v="1485"/>
    <n v="1485"/>
    <n v="2091"/>
    <n v="606"/>
    <s v="Product 67"/>
    <x v="67"/>
    <s v="Charles Harper"/>
    <x v="663"/>
    <n v="3"/>
    <x v="2"/>
    <x v="5"/>
    <x v="5"/>
    <x v="1"/>
    <x v="2"/>
  </r>
  <r>
    <s v="AX15687"/>
    <s v="ENX2068"/>
    <s v="A103"/>
    <s v="EMP1026"/>
    <s v="C1568"/>
    <x v="288"/>
    <n v="1"/>
    <n v="1500"/>
    <n v="900"/>
    <n v="900"/>
    <n v="1500"/>
    <n v="600"/>
    <s v="Product 69"/>
    <x v="61"/>
    <s v="Martin Perry"/>
    <x v="551"/>
    <n v="3"/>
    <x v="2"/>
    <x v="5"/>
    <x v="5"/>
    <x v="1"/>
    <x v="2"/>
  </r>
  <r>
    <s v="AX15860"/>
    <s v="ENX2042"/>
    <s v="A149"/>
    <s v="EMP1028"/>
    <s v="C1102"/>
    <x v="290"/>
    <n v="3"/>
    <n v="203"/>
    <n v="154"/>
    <n v="462"/>
    <n v="609"/>
    <n v="147"/>
    <s v="Product 43"/>
    <x v="59"/>
    <s v="Howard Sims"/>
    <x v="766"/>
    <n v="3"/>
    <x v="2"/>
    <x v="5"/>
    <x v="5"/>
    <x v="1"/>
    <x v="2"/>
  </r>
  <r>
    <s v="AX16112"/>
    <s v="ENX2086"/>
    <s v="A146"/>
    <s v="EMP1020"/>
    <s v="C1046"/>
    <x v="288"/>
    <n v="2"/>
    <n v="123"/>
    <n v="84"/>
    <n v="168"/>
    <n v="246"/>
    <n v="78"/>
    <s v="Product 87"/>
    <x v="27"/>
    <s v="Ryan Butler"/>
    <x v="719"/>
    <n v="3"/>
    <x v="2"/>
    <x v="5"/>
    <x v="5"/>
    <x v="1"/>
    <x v="2"/>
  </r>
  <r>
    <s v="AX16622"/>
    <s v="ENX2038"/>
    <s v="A153"/>
    <s v="EMP1009"/>
    <s v="C1139"/>
    <x v="290"/>
    <n v="3"/>
    <n v="392"/>
    <n v="255"/>
    <n v="765"/>
    <n v="1176"/>
    <n v="411"/>
    <s v="Product 39"/>
    <x v="8"/>
    <s v="Kenneth Fields"/>
    <x v="561"/>
    <n v="3"/>
    <x v="2"/>
    <x v="5"/>
    <x v="5"/>
    <x v="1"/>
    <x v="2"/>
  </r>
  <r>
    <s v="AX17139"/>
    <s v="ENX2035"/>
    <s v="A140"/>
    <s v="EMP1029"/>
    <s v="C1501"/>
    <x v="291"/>
    <n v="3"/>
    <n v="458"/>
    <n v="376"/>
    <n v="1128"/>
    <n v="1374"/>
    <n v="246"/>
    <s v="Product 36"/>
    <x v="18"/>
    <s v="Howard Gardner"/>
    <x v="387"/>
    <n v="3"/>
    <x v="2"/>
    <x v="5"/>
    <x v="5"/>
    <x v="1"/>
    <x v="2"/>
  </r>
  <r>
    <s v="AX17162"/>
    <s v="ENX2021"/>
    <s v="A124"/>
    <s v="EMP1011"/>
    <s v="C1393"/>
    <x v="289"/>
    <n v="4"/>
    <n v="217"/>
    <n v="171"/>
    <n v="684"/>
    <n v="868"/>
    <n v="184"/>
    <s v="Product 22"/>
    <x v="67"/>
    <s v="Larry Marshall"/>
    <x v="93"/>
    <n v="3"/>
    <x v="2"/>
    <x v="5"/>
    <x v="5"/>
    <x v="1"/>
    <x v="2"/>
  </r>
  <r>
    <s v="AX17260"/>
    <s v="ENX2053"/>
    <s v="A159"/>
    <s v="EMP1021"/>
    <s v="C1071"/>
    <x v="288"/>
    <n v="3"/>
    <n v="596"/>
    <n v="358"/>
    <n v="1074"/>
    <n v="1788"/>
    <n v="714"/>
    <s v="Product 54"/>
    <x v="13"/>
    <s v="Clarence Fox"/>
    <x v="264"/>
    <n v="3"/>
    <x v="2"/>
    <x v="5"/>
    <x v="5"/>
    <x v="1"/>
    <x v="2"/>
  </r>
  <r>
    <s v="AX17285"/>
    <s v="ENX2058"/>
    <s v="A143"/>
    <s v="EMP1042"/>
    <s v="C1171"/>
    <x v="288"/>
    <n v="4"/>
    <n v="2257"/>
    <n v="1535"/>
    <n v="6140"/>
    <n v="9028"/>
    <n v="2888"/>
    <s v="Product 59"/>
    <x v="39"/>
    <s v="Scott Clark"/>
    <x v="150"/>
    <n v="3"/>
    <x v="2"/>
    <x v="5"/>
    <x v="5"/>
    <x v="1"/>
    <x v="2"/>
  </r>
  <r>
    <s v="AX17654"/>
    <s v="ENX2030"/>
    <s v="A131"/>
    <s v="EMP1007"/>
    <s v="C1130"/>
    <x v="288"/>
    <n v="1"/>
    <n v="1899"/>
    <n v="1044"/>
    <n v="1044"/>
    <n v="1899"/>
    <n v="855"/>
    <s v="Product 31"/>
    <x v="32"/>
    <s v="Jeremy Mendoza"/>
    <x v="448"/>
    <n v="3"/>
    <x v="2"/>
    <x v="5"/>
    <x v="5"/>
    <x v="1"/>
    <x v="2"/>
  </r>
  <r>
    <s v="AX17868"/>
    <s v="ENX2028"/>
    <s v="A154"/>
    <s v="EMP1010"/>
    <s v="C1717"/>
    <x v="288"/>
    <n v="2"/>
    <n v="2283"/>
    <n v="1484"/>
    <n v="2968"/>
    <n v="4566"/>
    <n v="1598"/>
    <s v="Product 29"/>
    <x v="24"/>
    <s v="Joshua Cook"/>
    <x v="605"/>
    <n v="3"/>
    <x v="2"/>
    <x v="5"/>
    <x v="5"/>
    <x v="1"/>
    <x v="2"/>
  </r>
  <r>
    <s v="AX18123"/>
    <s v="ENX2010"/>
    <s v="A145"/>
    <s v="EMP1008"/>
    <s v="C1310"/>
    <x v="288"/>
    <n v="4"/>
    <n v="1812"/>
    <n v="1305"/>
    <n v="5220"/>
    <n v="7248"/>
    <n v="2028"/>
    <s v="Product 11"/>
    <x v="35"/>
    <s v="Carl Elliott"/>
    <x v="169"/>
    <n v="3"/>
    <x v="2"/>
    <x v="5"/>
    <x v="5"/>
    <x v="1"/>
    <x v="2"/>
  </r>
  <r>
    <s v="AX18738"/>
    <s v="ENX2032"/>
    <s v="A131"/>
    <s v="EMP1034"/>
    <s v="C1124"/>
    <x v="289"/>
    <n v="1"/>
    <n v="1967"/>
    <n v="1397"/>
    <n v="1397"/>
    <n v="1967"/>
    <n v="570"/>
    <s v="Product 33"/>
    <x v="32"/>
    <s v="Arthur Mccoy"/>
    <x v="102"/>
    <n v="3"/>
    <x v="2"/>
    <x v="5"/>
    <x v="5"/>
    <x v="1"/>
    <x v="2"/>
  </r>
  <r>
    <s v="AX19191"/>
    <s v="ENX2032"/>
    <s v="A142"/>
    <s v="EMP1031"/>
    <s v="C1391"/>
    <x v="290"/>
    <n v="3"/>
    <n v="1967"/>
    <n v="1397"/>
    <n v="4191"/>
    <n v="5901"/>
    <n v="1710"/>
    <s v="Product 33"/>
    <x v="56"/>
    <s v="Brian Thomas"/>
    <x v="745"/>
    <n v="3"/>
    <x v="2"/>
    <x v="5"/>
    <x v="5"/>
    <x v="1"/>
    <x v="2"/>
  </r>
  <r>
    <s v="AX19339"/>
    <s v="ENX2028"/>
    <s v="A132"/>
    <s v="EMP1030"/>
    <s v="C1777"/>
    <x v="291"/>
    <n v="3"/>
    <n v="2283"/>
    <n v="1484"/>
    <n v="4452"/>
    <n v="6849"/>
    <n v="2397"/>
    <s v="Product 29"/>
    <x v="48"/>
    <s v="Bobby Russell"/>
    <x v="682"/>
    <n v="3"/>
    <x v="2"/>
    <x v="5"/>
    <x v="5"/>
    <x v="1"/>
    <x v="2"/>
  </r>
  <r>
    <s v="AX19350"/>
    <s v="ENX2099"/>
    <s v="A156"/>
    <s v="EMP1025"/>
    <s v="C1740"/>
    <x v="290"/>
    <n v="1"/>
    <n v="1367"/>
    <n v="984"/>
    <n v="984"/>
    <n v="1367"/>
    <n v="383"/>
    <s v="Product 100"/>
    <x v="14"/>
    <s v="Ernest Wagner"/>
    <x v="699"/>
    <n v="3"/>
    <x v="2"/>
    <x v="5"/>
    <x v="5"/>
    <x v="1"/>
    <x v="2"/>
  </r>
  <r>
    <s v="AX19377"/>
    <s v="ENX2078"/>
    <s v="A148"/>
    <s v="EMP1022"/>
    <s v="C1506"/>
    <x v="288"/>
    <n v="3"/>
    <n v="1798"/>
    <n v="971"/>
    <n v="2913"/>
    <n v="5394"/>
    <n v="2481"/>
    <s v="Product 79"/>
    <x v="62"/>
    <s v="Walter Cook"/>
    <x v="538"/>
    <n v="3"/>
    <x v="2"/>
    <x v="5"/>
    <x v="5"/>
    <x v="1"/>
    <x v="2"/>
  </r>
  <r>
    <s v="AX19668"/>
    <s v="ENX2031"/>
    <s v="A105"/>
    <s v="EMP1001"/>
    <s v="C1598"/>
    <x v="289"/>
    <n v="4"/>
    <n v="1638"/>
    <n v="1261"/>
    <n v="5044"/>
    <n v="6552"/>
    <n v="1508"/>
    <s v="Product 32"/>
    <x v="45"/>
    <s v="Kevin Butler"/>
    <x v="125"/>
    <n v="3"/>
    <x v="2"/>
    <x v="5"/>
    <x v="5"/>
    <x v="1"/>
    <x v="2"/>
  </r>
  <r>
    <s v="AX19741"/>
    <s v="ENX2098"/>
    <s v="A113"/>
    <s v="EMP1026"/>
    <s v="C1136"/>
    <x v="291"/>
    <n v="1"/>
    <n v="1178"/>
    <n v="683"/>
    <n v="683"/>
    <n v="1178"/>
    <n v="495"/>
    <s v="Product 99"/>
    <x v="73"/>
    <s v="Martin Perry"/>
    <x v="425"/>
    <n v="3"/>
    <x v="2"/>
    <x v="5"/>
    <x v="5"/>
    <x v="1"/>
    <x v="2"/>
  </r>
  <r>
    <s v="AX19844"/>
    <s v="ENX2034"/>
    <s v="A142"/>
    <s v="EMP1024"/>
    <s v="C1463"/>
    <x v="291"/>
    <n v="2"/>
    <n v="871"/>
    <n v="540"/>
    <n v="1080"/>
    <n v="1742"/>
    <n v="662"/>
    <s v="Product 35"/>
    <x v="56"/>
    <s v="Ernest Wheeler"/>
    <x v="535"/>
    <n v="3"/>
    <x v="2"/>
    <x v="5"/>
    <x v="5"/>
    <x v="1"/>
    <x v="2"/>
  </r>
  <r>
    <s v="AX19888"/>
    <s v="ENX2007"/>
    <s v="A117"/>
    <s v="EMP1032"/>
    <s v="C1290"/>
    <x v="291"/>
    <n v="1"/>
    <n v="1405"/>
    <n v="1054"/>
    <n v="1054"/>
    <n v="1405"/>
    <n v="351"/>
    <s v="Product 8"/>
    <x v="29"/>
    <s v="Larry Castillo"/>
    <x v="675"/>
    <n v="3"/>
    <x v="2"/>
    <x v="5"/>
    <x v="5"/>
    <x v="1"/>
    <x v="2"/>
  </r>
  <r>
    <s v="AX20032"/>
    <s v="ENX2056"/>
    <s v="A128"/>
    <s v="EMP1004"/>
    <s v="C1658"/>
    <x v="288"/>
    <n v="1"/>
    <n v="1635"/>
    <n v="1046"/>
    <n v="1046"/>
    <n v="1635"/>
    <n v="589"/>
    <s v="Product 57"/>
    <x v="12"/>
    <s v="Kenneth Bradley"/>
    <x v="612"/>
    <n v="3"/>
    <x v="2"/>
    <x v="5"/>
    <x v="5"/>
    <x v="1"/>
    <x v="2"/>
  </r>
  <r>
    <s v="AX20497"/>
    <s v="ENX2023"/>
    <s v="A113"/>
    <s v="EMP1017"/>
    <s v="C1046"/>
    <x v="288"/>
    <n v="1"/>
    <n v="818"/>
    <n v="450"/>
    <n v="450"/>
    <n v="818"/>
    <n v="368"/>
    <s v="Product 24"/>
    <x v="73"/>
    <s v="Brian Hansen"/>
    <x v="719"/>
    <n v="3"/>
    <x v="2"/>
    <x v="5"/>
    <x v="5"/>
    <x v="1"/>
    <x v="2"/>
  </r>
  <r>
    <s v="AX20660"/>
    <s v="ENX2030"/>
    <s v="A138"/>
    <s v="EMP1015"/>
    <s v="C1408"/>
    <x v="289"/>
    <n v="1"/>
    <n v="1899"/>
    <n v="1044"/>
    <n v="1044"/>
    <n v="1899"/>
    <n v="855"/>
    <s v="Product 31"/>
    <x v="37"/>
    <s v="Justin Lynch"/>
    <x v="647"/>
    <n v="3"/>
    <x v="2"/>
    <x v="5"/>
    <x v="5"/>
    <x v="1"/>
    <x v="2"/>
  </r>
  <r>
    <s v="AX21046"/>
    <s v="ENX2079"/>
    <s v="A123"/>
    <s v="EMP1018"/>
    <s v="C1101"/>
    <x v="288"/>
    <n v="3"/>
    <n v="1725"/>
    <n v="1363"/>
    <n v="4089"/>
    <n v="5175"/>
    <n v="1086"/>
    <s v="Product 80"/>
    <x v="34"/>
    <s v="Jimmy Young"/>
    <x v="347"/>
    <n v="3"/>
    <x v="2"/>
    <x v="5"/>
    <x v="5"/>
    <x v="1"/>
    <x v="2"/>
  </r>
  <r>
    <s v="AX21150"/>
    <s v="ENX2036"/>
    <s v="A140"/>
    <s v="EMP1040"/>
    <s v="C1084"/>
    <x v="288"/>
    <n v="2"/>
    <n v="1582"/>
    <n v="1234"/>
    <n v="2468"/>
    <n v="3164"/>
    <n v="696"/>
    <s v="Product 37"/>
    <x v="18"/>
    <s v="Patrick Ruiz"/>
    <x v="631"/>
    <n v="3"/>
    <x v="2"/>
    <x v="5"/>
    <x v="5"/>
    <x v="1"/>
    <x v="2"/>
  </r>
  <r>
    <s v="AX21199"/>
    <s v="ENX2062"/>
    <s v="A101"/>
    <s v="EMP1021"/>
    <s v="C1427"/>
    <x v="290"/>
    <n v="1"/>
    <n v="2464"/>
    <n v="1774"/>
    <n v="1774"/>
    <n v="2464"/>
    <n v="690"/>
    <s v="Product 63"/>
    <x v="60"/>
    <s v="Clarence Fox"/>
    <x v="768"/>
    <n v="3"/>
    <x v="2"/>
    <x v="5"/>
    <x v="5"/>
    <x v="1"/>
    <x v="2"/>
  </r>
  <r>
    <s v="AX21527"/>
    <s v="ENX2093"/>
    <s v="A100"/>
    <s v="EMP1023"/>
    <s v="C1484"/>
    <x v="290"/>
    <n v="1"/>
    <n v="112"/>
    <n v="90"/>
    <n v="90"/>
    <n v="112"/>
    <n v="22"/>
    <s v="Product 94"/>
    <x v="52"/>
    <s v="Brian Davis"/>
    <x v="466"/>
    <n v="3"/>
    <x v="2"/>
    <x v="5"/>
    <x v="5"/>
    <x v="1"/>
    <x v="2"/>
  </r>
  <r>
    <s v="AX21555"/>
    <s v="ENX2021"/>
    <s v="A156"/>
    <s v="EMP1005"/>
    <s v="C1511"/>
    <x v="288"/>
    <n v="4"/>
    <n v="217"/>
    <n v="171"/>
    <n v="684"/>
    <n v="868"/>
    <n v="184"/>
    <s v="Product 22"/>
    <x v="14"/>
    <s v="Ryan Welch"/>
    <x v="754"/>
    <n v="3"/>
    <x v="2"/>
    <x v="5"/>
    <x v="5"/>
    <x v="1"/>
    <x v="2"/>
  </r>
  <r>
    <s v="AX21762"/>
    <s v="ENX2071"/>
    <s v="A145"/>
    <s v="EMP1014"/>
    <s v="C1236"/>
    <x v="289"/>
    <n v="1"/>
    <n v="136"/>
    <n v="72"/>
    <n v="72"/>
    <n v="136"/>
    <n v="64"/>
    <s v="Product 72"/>
    <x v="35"/>
    <s v="Ronald Reed"/>
    <x v="795"/>
    <n v="3"/>
    <x v="2"/>
    <x v="5"/>
    <x v="5"/>
    <x v="1"/>
    <x v="2"/>
  </r>
  <r>
    <s v="AX21973"/>
    <s v="ENX2007"/>
    <s v="A109"/>
    <s v="EMP1036"/>
    <s v="C1572"/>
    <x v="289"/>
    <n v="2"/>
    <n v="1405"/>
    <n v="1054"/>
    <n v="2108"/>
    <n v="2810"/>
    <n v="702"/>
    <s v="Product 8"/>
    <x v="57"/>
    <s v="Robert Reed"/>
    <x v="717"/>
    <n v="3"/>
    <x v="2"/>
    <x v="5"/>
    <x v="5"/>
    <x v="1"/>
    <x v="2"/>
  </r>
  <r>
    <s v="AX22128"/>
    <s v="ENX2092"/>
    <s v="A170"/>
    <s v="EMP1005"/>
    <s v="C1418"/>
    <x v="289"/>
    <n v="2"/>
    <n v="1639"/>
    <n v="1295"/>
    <n v="2590"/>
    <n v="3278"/>
    <n v="688"/>
    <s v="Product 93"/>
    <x v="47"/>
    <s v="Ryan Welch"/>
    <x v="441"/>
    <n v="3"/>
    <x v="2"/>
    <x v="5"/>
    <x v="5"/>
    <x v="1"/>
    <x v="2"/>
  </r>
  <r>
    <s v="AX22281"/>
    <s v="ENX2083"/>
    <s v="A153"/>
    <s v="EMP1021"/>
    <s v="C1512"/>
    <x v="289"/>
    <n v="2"/>
    <n v="2141"/>
    <n v="1777"/>
    <n v="3554"/>
    <n v="4282"/>
    <n v="728"/>
    <s v="Product 84"/>
    <x v="8"/>
    <s v="Clarence Fox"/>
    <x v="671"/>
    <n v="3"/>
    <x v="2"/>
    <x v="5"/>
    <x v="5"/>
    <x v="1"/>
    <x v="2"/>
  </r>
  <r>
    <s v="AX22641"/>
    <s v="ENX2032"/>
    <s v="A124"/>
    <s v="EMP1035"/>
    <s v="C1612"/>
    <x v="290"/>
    <n v="2"/>
    <n v="1967"/>
    <n v="1397"/>
    <n v="2794"/>
    <n v="3934"/>
    <n v="1140"/>
    <s v="Product 33"/>
    <x v="67"/>
    <s v="Roger Ramos"/>
    <x v="46"/>
    <n v="3"/>
    <x v="2"/>
    <x v="5"/>
    <x v="5"/>
    <x v="1"/>
    <x v="2"/>
  </r>
  <r>
    <s v="AX22710"/>
    <s v="ENX2096"/>
    <s v="A141"/>
    <s v="EMP1012"/>
    <s v="C1452"/>
    <x v="290"/>
    <n v="3"/>
    <n v="1587"/>
    <n v="1301"/>
    <n v="3903"/>
    <n v="4761"/>
    <n v="858"/>
    <s v="Product 97"/>
    <x v="23"/>
    <s v="John Reyes"/>
    <x v="234"/>
    <n v="3"/>
    <x v="2"/>
    <x v="5"/>
    <x v="5"/>
    <x v="1"/>
    <x v="2"/>
  </r>
  <r>
    <s v="AX22767"/>
    <s v="ENX2085"/>
    <s v="A152"/>
    <s v="EMP1003"/>
    <s v="C1481"/>
    <x v="289"/>
    <n v="2"/>
    <n v="1862"/>
    <n v="1173"/>
    <n v="2346"/>
    <n v="3724"/>
    <n v="1378"/>
    <s v="Product 86"/>
    <x v="26"/>
    <s v="Christopher Tucker"/>
    <x v="764"/>
    <n v="3"/>
    <x v="2"/>
    <x v="5"/>
    <x v="5"/>
    <x v="1"/>
    <x v="2"/>
  </r>
  <r>
    <s v="AX23227"/>
    <s v="ENX2077"/>
    <s v="A119"/>
    <s v="EMP1042"/>
    <s v="C1375"/>
    <x v="290"/>
    <n v="1"/>
    <n v="530"/>
    <n v="424"/>
    <n v="424"/>
    <n v="530"/>
    <n v="106"/>
    <s v="Product 78"/>
    <x v="16"/>
    <s v="Scott Clark"/>
    <x v="9"/>
    <n v="3"/>
    <x v="2"/>
    <x v="5"/>
    <x v="5"/>
    <x v="1"/>
    <x v="2"/>
  </r>
  <r>
    <s v="AX23242"/>
    <s v="ENX2011"/>
    <s v="A119"/>
    <s v="EMP1008"/>
    <s v="C1623"/>
    <x v="288"/>
    <n v="2"/>
    <n v="530"/>
    <n v="435"/>
    <n v="870"/>
    <n v="1060"/>
    <n v="190"/>
    <s v="Product 12"/>
    <x v="16"/>
    <s v="Carl Elliott"/>
    <x v="282"/>
    <n v="3"/>
    <x v="2"/>
    <x v="5"/>
    <x v="5"/>
    <x v="1"/>
    <x v="2"/>
  </r>
  <r>
    <s v="AX24083"/>
    <s v="ENX2090"/>
    <s v="A151"/>
    <s v="EMP1011"/>
    <s v="C1417"/>
    <x v="289"/>
    <n v="4"/>
    <n v="1338"/>
    <n v="682"/>
    <n v="2728"/>
    <n v="5352"/>
    <n v="2624"/>
    <s v="Product 91"/>
    <x v="1"/>
    <s v="Larry Marshall"/>
    <x v="147"/>
    <n v="3"/>
    <x v="2"/>
    <x v="5"/>
    <x v="5"/>
    <x v="1"/>
    <x v="2"/>
  </r>
  <r>
    <s v="AX24569"/>
    <s v="ENX2030"/>
    <s v="A129"/>
    <s v="EMP1010"/>
    <s v="C1713"/>
    <x v="288"/>
    <n v="2"/>
    <n v="1899"/>
    <n v="1044"/>
    <n v="2088"/>
    <n v="3798"/>
    <n v="1710"/>
    <s v="Product 31"/>
    <x v="22"/>
    <s v="Joshua Cook"/>
    <x v="753"/>
    <n v="3"/>
    <x v="2"/>
    <x v="5"/>
    <x v="5"/>
    <x v="1"/>
    <x v="2"/>
  </r>
  <r>
    <s v="AX24673"/>
    <s v="ENX2031"/>
    <s v="A111"/>
    <s v="EMP1036"/>
    <s v="C1257"/>
    <x v="290"/>
    <n v="2"/>
    <n v="1638"/>
    <n v="1261"/>
    <n v="2522"/>
    <n v="3276"/>
    <n v="754"/>
    <s v="Product 32"/>
    <x v="54"/>
    <s v="Robert Reed"/>
    <x v="287"/>
    <n v="3"/>
    <x v="2"/>
    <x v="5"/>
    <x v="5"/>
    <x v="1"/>
    <x v="2"/>
  </r>
  <r>
    <s v="AX24693"/>
    <s v="ENX2078"/>
    <s v="A157"/>
    <s v="EMP1002"/>
    <s v="C1525"/>
    <x v="288"/>
    <n v="2"/>
    <n v="1798"/>
    <n v="971"/>
    <n v="1942"/>
    <n v="3596"/>
    <n v="1654"/>
    <s v="Product 79"/>
    <x v="7"/>
    <s v="Andrew Bowman"/>
    <x v="360"/>
    <n v="3"/>
    <x v="2"/>
    <x v="5"/>
    <x v="5"/>
    <x v="1"/>
    <x v="2"/>
  </r>
  <r>
    <s v="AX10633"/>
    <s v="ENX2041"/>
    <s v="A148"/>
    <s v="EMP1031"/>
    <s v="C1038"/>
    <x v="292"/>
    <n v="3"/>
    <n v="1380"/>
    <n v="1090"/>
    <n v="3270"/>
    <n v="4140"/>
    <n v="870"/>
    <s v="Product 42"/>
    <x v="62"/>
    <s v="Brian Thomas"/>
    <x v="545"/>
    <n v="3"/>
    <x v="2"/>
    <x v="6"/>
    <x v="6"/>
    <x v="2"/>
    <x v="0"/>
  </r>
  <r>
    <s v="AX11157"/>
    <s v="ENX2031"/>
    <s v="A156"/>
    <s v="EMP1035"/>
    <s v="C1702"/>
    <x v="293"/>
    <n v="2"/>
    <n v="1638"/>
    <n v="1261"/>
    <n v="2522"/>
    <n v="3276"/>
    <n v="754"/>
    <s v="Product 32"/>
    <x v="14"/>
    <s v="Roger Ramos"/>
    <x v="70"/>
    <n v="3"/>
    <x v="2"/>
    <x v="6"/>
    <x v="6"/>
    <x v="2"/>
    <x v="0"/>
  </r>
  <r>
    <s v="AX11533"/>
    <s v="ENX2067"/>
    <s v="A166"/>
    <s v="EMP1024"/>
    <s v="C1120"/>
    <x v="294"/>
    <n v="2"/>
    <n v="1119"/>
    <n v="683"/>
    <n v="1366"/>
    <n v="2238"/>
    <n v="872"/>
    <s v="Product 68"/>
    <x v="70"/>
    <s v="Ernest Wheeler"/>
    <x v="685"/>
    <n v="3"/>
    <x v="2"/>
    <x v="6"/>
    <x v="6"/>
    <x v="2"/>
    <x v="0"/>
  </r>
  <r>
    <s v="AX11824"/>
    <s v="ENX2096"/>
    <s v="A124"/>
    <s v="EMP1029"/>
    <s v="C1078"/>
    <x v="295"/>
    <n v="3"/>
    <n v="1587"/>
    <n v="1301"/>
    <n v="3903"/>
    <n v="4761"/>
    <n v="858"/>
    <s v="Product 97"/>
    <x v="67"/>
    <s v="Howard Gardner"/>
    <x v="565"/>
    <n v="3"/>
    <x v="2"/>
    <x v="6"/>
    <x v="6"/>
    <x v="2"/>
    <x v="0"/>
  </r>
  <r>
    <s v="AX11886"/>
    <s v="ENX2061"/>
    <s v="A132"/>
    <s v="EMP1006"/>
    <s v="C1265"/>
    <x v="293"/>
    <n v="1"/>
    <n v="913"/>
    <n v="584"/>
    <n v="584"/>
    <n v="913"/>
    <n v="329"/>
    <s v="Product 62"/>
    <x v="48"/>
    <s v="Sean Miller"/>
    <x v="348"/>
    <n v="3"/>
    <x v="2"/>
    <x v="6"/>
    <x v="6"/>
    <x v="2"/>
    <x v="0"/>
  </r>
  <r>
    <s v="AX12011"/>
    <s v="ENX2069"/>
    <s v="A162"/>
    <s v="EMP1013"/>
    <s v="C1502"/>
    <x v="295"/>
    <n v="2"/>
    <n v="378"/>
    <n v="291"/>
    <n v="582"/>
    <n v="756"/>
    <n v="174"/>
    <s v="Product 70"/>
    <x v="2"/>
    <s v="Charles Harper"/>
    <x v="364"/>
    <n v="3"/>
    <x v="2"/>
    <x v="6"/>
    <x v="6"/>
    <x v="2"/>
    <x v="0"/>
  </r>
  <r>
    <s v="AX12089"/>
    <s v="ENX2067"/>
    <s v="A152"/>
    <s v="EMP1003"/>
    <s v="C1591"/>
    <x v="296"/>
    <n v="1"/>
    <n v="1119"/>
    <n v="683"/>
    <n v="683"/>
    <n v="1119"/>
    <n v="436"/>
    <s v="Product 68"/>
    <x v="26"/>
    <s v="Christopher Tucker"/>
    <x v="289"/>
    <n v="3"/>
    <x v="2"/>
    <x v="6"/>
    <x v="6"/>
    <x v="2"/>
    <x v="0"/>
  </r>
  <r>
    <s v="AX12265"/>
    <s v="ENX2032"/>
    <s v="A144"/>
    <s v="EMP1001"/>
    <s v="C1371"/>
    <x v="295"/>
    <n v="3"/>
    <n v="1967"/>
    <n v="1397"/>
    <n v="4191"/>
    <n v="5901"/>
    <n v="1710"/>
    <s v="Product 33"/>
    <x v="65"/>
    <s v="Kevin Butler"/>
    <x v="180"/>
    <n v="3"/>
    <x v="2"/>
    <x v="6"/>
    <x v="6"/>
    <x v="2"/>
    <x v="0"/>
  </r>
  <r>
    <s v="AX12320"/>
    <s v="ENX2024"/>
    <s v="A155"/>
    <s v="EMP1029"/>
    <s v="C1382"/>
    <x v="294"/>
    <n v="1"/>
    <n v="356"/>
    <n v="292"/>
    <n v="292"/>
    <n v="356"/>
    <n v="64"/>
    <s v="Product 25"/>
    <x v="53"/>
    <s v="Howard Gardner"/>
    <x v="334"/>
    <n v="3"/>
    <x v="2"/>
    <x v="6"/>
    <x v="6"/>
    <x v="2"/>
    <x v="0"/>
  </r>
  <r>
    <s v="AX12607"/>
    <s v="ENX2058"/>
    <s v="A109"/>
    <s v="EMP1019"/>
    <s v="C1634"/>
    <x v="292"/>
    <n v="4"/>
    <n v="2257"/>
    <n v="1535"/>
    <n v="6140"/>
    <n v="9028"/>
    <n v="2888"/>
    <s v="Product 59"/>
    <x v="57"/>
    <s v="Roger Robertson"/>
    <x v="71"/>
    <n v="3"/>
    <x v="2"/>
    <x v="6"/>
    <x v="6"/>
    <x v="2"/>
    <x v="0"/>
  </r>
  <r>
    <s v="AX12645"/>
    <s v="ENX2086"/>
    <s v="A139"/>
    <s v="EMP1000"/>
    <s v="C1523"/>
    <x v="293"/>
    <n v="4"/>
    <n v="123"/>
    <n v="84"/>
    <n v="336"/>
    <n v="492"/>
    <n v="156"/>
    <s v="Product 87"/>
    <x v="38"/>
    <s v="Fred Robertson"/>
    <x v="543"/>
    <n v="3"/>
    <x v="2"/>
    <x v="6"/>
    <x v="6"/>
    <x v="2"/>
    <x v="0"/>
  </r>
  <r>
    <s v="AX12819"/>
    <s v="ENX2011"/>
    <s v="A169"/>
    <s v="EMP1042"/>
    <s v="C1024"/>
    <x v="295"/>
    <n v="1"/>
    <n v="530"/>
    <n v="435"/>
    <n v="435"/>
    <n v="530"/>
    <n v="95"/>
    <s v="Product 12"/>
    <x v="17"/>
    <s v="Scott Clark"/>
    <x v="599"/>
    <n v="3"/>
    <x v="2"/>
    <x v="6"/>
    <x v="6"/>
    <x v="2"/>
    <x v="0"/>
  </r>
  <r>
    <s v="AX13116"/>
    <s v="ENX2040"/>
    <s v="A168"/>
    <s v="EMP1035"/>
    <s v="C1795"/>
    <x v="296"/>
    <n v="4"/>
    <n v="1889"/>
    <n v="945"/>
    <n v="3780"/>
    <n v="7556"/>
    <n v="3776"/>
    <s v="Product 41"/>
    <x v="40"/>
    <s v="Roger Ramos"/>
    <x v="592"/>
    <n v="3"/>
    <x v="2"/>
    <x v="6"/>
    <x v="6"/>
    <x v="2"/>
    <x v="0"/>
  </r>
  <r>
    <s v="AX13325"/>
    <s v="ENX2082"/>
    <s v="A153"/>
    <s v="EMP1036"/>
    <s v="C1413"/>
    <x v="295"/>
    <n v="4"/>
    <n v="1103"/>
    <n v="838"/>
    <n v="3352"/>
    <n v="4412"/>
    <n v="1060"/>
    <s v="Product 83"/>
    <x v="8"/>
    <s v="Robert Reed"/>
    <x v="571"/>
    <n v="3"/>
    <x v="2"/>
    <x v="6"/>
    <x v="6"/>
    <x v="2"/>
    <x v="0"/>
  </r>
  <r>
    <s v="AX13628"/>
    <s v="ENX2022"/>
    <s v="A169"/>
    <s v="EMP1009"/>
    <s v="C1101"/>
    <x v="294"/>
    <n v="3"/>
    <n v="561"/>
    <n v="421"/>
    <n v="1263"/>
    <n v="1683"/>
    <n v="420"/>
    <s v="Product 23"/>
    <x v="17"/>
    <s v="Kenneth Fields"/>
    <x v="347"/>
    <n v="3"/>
    <x v="2"/>
    <x v="6"/>
    <x v="6"/>
    <x v="2"/>
    <x v="0"/>
  </r>
  <r>
    <s v="AX14039"/>
    <s v="ENX2045"/>
    <s v="A140"/>
    <s v="EMP1033"/>
    <s v="C1475"/>
    <x v="292"/>
    <n v="4"/>
    <n v="556"/>
    <n v="395"/>
    <n v="1580"/>
    <n v="2224"/>
    <n v="644"/>
    <s v="Product 46"/>
    <x v="18"/>
    <s v="Jerry Perry"/>
    <x v="527"/>
    <n v="3"/>
    <x v="2"/>
    <x v="6"/>
    <x v="6"/>
    <x v="2"/>
    <x v="0"/>
  </r>
  <r>
    <s v="AX14229"/>
    <s v="ENX2039"/>
    <s v="A100"/>
    <s v="EMP1004"/>
    <s v="C1555"/>
    <x v="292"/>
    <n v="3"/>
    <n v="817"/>
    <n v="409"/>
    <n v="1227"/>
    <n v="2451"/>
    <n v="1224"/>
    <s v="Product 40"/>
    <x v="52"/>
    <s v="Kenneth Bradley"/>
    <x v="148"/>
    <n v="3"/>
    <x v="2"/>
    <x v="6"/>
    <x v="6"/>
    <x v="2"/>
    <x v="0"/>
  </r>
  <r>
    <s v="AX14669"/>
    <s v="ENX2065"/>
    <s v="A118"/>
    <s v="EMP1002"/>
    <s v="C1722"/>
    <x v="292"/>
    <n v="1"/>
    <n v="2396"/>
    <n v="1965"/>
    <n v="1965"/>
    <n v="2396"/>
    <n v="431"/>
    <s v="Product 66"/>
    <x v="19"/>
    <s v="Andrew Bowman"/>
    <x v="257"/>
    <n v="3"/>
    <x v="2"/>
    <x v="6"/>
    <x v="6"/>
    <x v="2"/>
    <x v="0"/>
  </r>
  <r>
    <s v="AX14923"/>
    <s v="ENX2051"/>
    <s v="A157"/>
    <s v="EMP1010"/>
    <s v="C1506"/>
    <x v="293"/>
    <n v="1"/>
    <n v="1077"/>
    <n v="732"/>
    <n v="732"/>
    <n v="1077"/>
    <n v="345"/>
    <s v="Product 52"/>
    <x v="7"/>
    <s v="Joshua Cook"/>
    <x v="538"/>
    <n v="3"/>
    <x v="2"/>
    <x v="6"/>
    <x v="6"/>
    <x v="2"/>
    <x v="0"/>
  </r>
  <r>
    <s v="AX15357"/>
    <s v="ENX2018"/>
    <s v="A166"/>
    <s v="EMP1001"/>
    <s v="C1259"/>
    <x v="296"/>
    <n v="1"/>
    <n v="1972"/>
    <n v="1321"/>
    <n v="1321"/>
    <n v="1972"/>
    <n v="651"/>
    <s v="Product 19"/>
    <x v="70"/>
    <s v="Kevin Butler"/>
    <x v="475"/>
    <n v="3"/>
    <x v="2"/>
    <x v="6"/>
    <x v="6"/>
    <x v="2"/>
    <x v="0"/>
  </r>
  <r>
    <s v="AX15507"/>
    <s v="ENX2060"/>
    <s v="A129"/>
    <s v="EMP1041"/>
    <s v="C1298"/>
    <x v="296"/>
    <n v="1"/>
    <n v="1467"/>
    <n v="807"/>
    <n v="807"/>
    <n v="1467"/>
    <n v="660"/>
    <s v="Product 61"/>
    <x v="22"/>
    <s v="Joe Sims"/>
    <x v="623"/>
    <n v="3"/>
    <x v="2"/>
    <x v="6"/>
    <x v="6"/>
    <x v="2"/>
    <x v="0"/>
  </r>
  <r>
    <s v="AX15569"/>
    <s v="ENX2052"/>
    <s v="A136"/>
    <s v="EMP1013"/>
    <s v="C1591"/>
    <x v="293"/>
    <n v="1"/>
    <n v="1526"/>
    <n v="1251"/>
    <n v="1251"/>
    <n v="1526"/>
    <n v="275"/>
    <s v="Product 53"/>
    <x v="43"/>
    <s v="Charles Harper"/>
    <x v="289"/>
    <n v="3"/>
    <x v="2"/>
    <x v="6"/>
    <x v="6"/>
    <x v="2"/>
    <x v="0"/>
  </r>
  <r>
    <s v="AX15652"/>
    <s v="ENX2017"/>
    <s v="A109"/>
    <s v="EMP1019"/>
    <s v="C1502"/>
    <x v="294"/>
    <n v="1"/>
    <n v="35"/>
    <n v="22"/>
    <n v="22"/>
    <n v="35"/>
    <n v="13"/>
    <s v="Product 18"/>
    <x v="57"/>
    <s v="Roger Robertson"/>
    <x v="364"/>
    <n v="3"/>
    <x v="2"/>
    <x v="6"/>
    <x v="6"/>
    <x v="2"/>
    <x v="0"/>
  </r>
  <r>
    <s v="AX15939"/>
    <s v="ENX2070"/>
    <s v="A164"/>
    <s v="EMP1044"/>
    <s v="C1514"/>
    <x v="295"/>
    <n v="3"/>
    <n v="1671"/>
    <n v="1220"/>
    <n v="3660"/>
    <n v="5013"/>
    <n v="1353"/>
    <s v="Product 71"/>
    <x v="3"/>
    <s v="Martin Carr"/>
    <x v="307"/>
    <n v="3"/>
    <x v="2"/>
    <x v="6"/>
    <x v="6"/>
    <x v="2"/>
    <x v="0"/>
  </r>
  <r>
    <s v="AX16070"/>
    <s v="ENX2047"/>
    <s v="A105"/>
    <s v="EMP1004"/>
    <s v="C1458"/>
    <x v="296"/>
    <n v="2"/>
    <n v="290"/>
    <n v="200"/>
    <n v="400"/>
    <n v="580"/>
    <n v="180"/>
    <s v="Product 48"/>
    <x v="45"/>
    <s v="Kenneth Bradley"/>
    <x v="291"/>
    <n v="3"/>
    <x v="2"/>
    <x v="6"/>
    <x v="6"/>
    <x v="2"/>
    <x v="0"/>
  </r>
  <r>
    <s v="AX16160"/>
    <s v="ENX2079"/>
    <s v="A147"/>
    <s v="EMP1026"/>
    <s v="C1314"/>
    <x v="296"/>
    <n v="3"/>
    <n v="1725"/>
    <n v="1363"/>
    <n v="4089"/>
    <n v="5175"/>
    <n v="1086"/>
    <s v="Product 80"/>
    <x v="42"/>
    <s v="Martin Perry"/>
    <x v="421"/>
    <n v="3"/>
    <x v="2"/>
    <x v="6"/>
    <x v="6"/>
    <x v="2"/>
    <x v="0"/>
  </r>
  <r>
    <s v="AX16218"/>
    <s v="ENX2029"/>
    <s v="A117"/>
    <s v="EMP1029"/>
    <s v="C1061"/>
    <x v="294"/>
    <n v="4"/>
    <n v="1848"/>
    <n v="1294"/>
    <n v="5176"/>
    <n v="7392"/>
    <n v="2216"/>
    <s v="Product 30"/>
    <x v="29"/>
    <s v="Howard Gardner"/>
    <x v="228"/>
    <n v="3"/>
    <x v="2"/>
    <x v="6"/>
    <x v="6"/>
    <x v="2"/>
    <x v="0"/>
  </r>
  <r>
    <s v="AX16938"/>
    <s v="ENX2028"/>
    <s v="A109"/>
    <s v="EMP1039"/>
    <s v="C1459"/>
    <x v="294"/>
    <n v="3"/>
    <n v="2283"/>
    <n v="1484"/>
    <n v="4452"/>
    <n v="6849"/>
    <n v="2397"/>
    <s v="Product 29"/>
    <x v="57"/>
    <s v="Eugene Holmes"/>
    <x v="330"/>
    <n v="3"/>
    <x v="2"/>
    <x v="6"/>
    <x v="6"/>
    <x v="2"/>
    <x v="0"/>
  </r>
  <r>
    <s v="AX16949"/>
    <s v="ENX2062"/>
    <s v="A125"/>
    <s v="EMP1000"/>
    <s v="C1515"/>
    <x v="296"/>
    <n v="1"/>
    <n v="2464"/>
    <n v="1774"/>
    <n v="1774"/>
    <n v="2464"/>
    <n v="690"/>
    <s v="Product 63"/>
    <x v="31"/>
    <s v="Fred Robertson"/>
    <x v="570"/>
    <n v="3"/>
    <x v="2"/>
    <x v="6"/>
    <x v="6"/>
    <x v="2"/>
    <x v="0"/>
  </r>
  <r>
    <s v="AX17333"/>
    <s v="ENX2032"/>
    <s v="A142"/>
    <s v="EMP1030"/>
    <s v="C1772"/>
    <x v="296"/>
    <n v="4"/>
    <n v="1967"/>
    <n v="1397"/>
    <n v="5588"/>
    <n v="7868"/>
    <n v="2280"/>
    <s v="Product 33"/>
    <x v="56"/>
    <s v="Bobby Russell"/>
    <x v="643"/>
    <n v="3"/>
    <x v="2"/>
    <x v="6"/>
    <x v="6"/>
    <x v="2"/>
    <x v="0"/>
  </r>
  <r>
    <s v="AX17507"/>
    <s v="ENX2030"/>
    <s v="A167"/>
    <s v="EMP1024"/>
    <s v="C1069"/>
    <x v="292"/>
    <n v="4"/>
    <n v="1899"/>
    <n v="1044"/>
    <n v="4176"/>
    <n v="7596"/>
    <n v="3420"/>
    <s v="Product 31"/>
    <x v="64"/>
    <s v="Ernest Wheeler"/>
    <x v="284"/>
    <n v="3"/>
    <x v="2"/>
    <x v="6"/>
    <x v="6"/>
    <x v="2"/>
    <x v="0"/>
  </r>
  <r>
    <s v="AX18516"/>
    <s v="ENX2070"/>
    <s v="A100"/>
    <s v="EMP1042"/>
    <s v="C1479"/>
    <x v="293"/>
    <n v="1"/>
    <n v="1671"/>
    <n v="1220"/>
    <n v="1220"/>
    <n v="1671"/>
    <n v="451"/>
    <s v="Product 71"/>
    <x v="52"/>
    <s v="Scott Clark"/>
    <x v="385"/>
    <n v="3"/>
    <x v="2"/>
    <x v="6"/>
    <x v="6"/>
    <x v="2"/>
    <x v="0"/>
  </r>
  <r>
    <s v="AX18784"/>
    <s v="ENX2096"/>
    <s v="A158"/>
    <s v="EMP1007"/>
    <s v="C1762"/>
    <x v="295"/>
    <n v="4"/>
    <n v="1587"/>
    <n v="1301"/>
    <n v="5204"/>
    <n v="6348"/>
    <n v="1144"/>
    <s v="Product 97"/>
    <x v="58"/>
    <s v="Jeremy Mendoza"/>
    <x v="164"/>
    <n v="3"/>
    <x v="2"/>
    <x v="6"/>
    <x v="6"/>
    <x v="2"/>
    <x v="0"/>
  </r>
  <r>
    <s v="AX19020"/>
    <s v="ENX2062"/>
    <s v="A171"/>
    <s v="EMP1016"/>
    <s v="C1311"/>
    <x v="294"/>
    <n v="1"/>
    <n v="2464"/>
    <n v="1774"/>
    <n v="1774"/>
    <n v="2464"/>
    <n v="690"/>
    <s v="Product 63"/>
    <x v="0"/>
    <s v="Henry Nelson"/>
    <x v="309"/>
    <n v="3"/>
    <x v="2"/>
    <x v="6"/>
    <x v="6"/>
    <x v="2"/>
    <x v="0"/>
  </r>
  <r>
    <s v="AX19069"/>
    <s v="ENX2070"/>
    <s v="A139"/>
    <s v="EMP1007"/>
    <s v="C1685"/>
    <x v="293"/>
    <n v="2"/>
    <n v="1671"/>
    <n v="1220"/>
    <n v="2440"/>
    <n v="3342"/>
    <n v="902"/>
    <s v="Product 71"/>
    <x v="38"/>
    <s v="Jeremy Mendoza"/>
    <x v="90"/>
    <n v="3"/>
    <x v="2"/>
    <x v="6"/>
    <x v="6"/>
    <x v="2"/>
    <x v="0"/>
  </r>
  <r>
    <s v="AX19188"/>
    <s v="ENX2072"/>
    <s v="A127"/>
    <s v="EMP1014"/>
    <s v="C1788"/>
    <x v="296"/>
    <n v="2"/>
    <n v="1887"/>
    <n v="1378"/>
    <n v="2756"/>
    <n v="3774"/>
    <n v="1018"/>
    <s v="Product 73"/>
    <x v="69"/>
    <s v="Ronald Reed"/>
    <x v="218"/>
    <n v="3"/>
    <x v="2"/>
    <x v="6"/>
    <x v="6"/>
    <x v="2"/>
    <x v="0"/>
  </r>
  <r>
    <s v="AX19243"/>
    <s v="ENX2055"/>
    <s v="A112"/>
    <s v="EMP1029"/>
    <s v="C1612"/>
    <x v="295"/>
    <n v="1"/>
    <n v="2495"/>
    <n v="1896"/>
    <n v="1896"/>
    <n v="2495"/>
    <n v="599"/>
    <s v="Product 56"/>
    <x v="66"/>
    <s v="Howard Gardner"/>
    <x v="46"/>
    <n v="3"/>
    <x v="2"/>
    <x v="6"/>
    <x v="6"/>
    <x v="2"/>
    <x v="0"/>
  </r>
  <r>
    <s v="AX19300"/>
    <s v="ENX2048"/>
    <s v="A118"/>
    <s v="EMP1012"/>
    <s v="C1666"/>
    <x v="292"/>
    <n v="1"/>
    <n v="502"/>
    <n v="296"/>
    <n v="296"/>
    <n v="502"/>
    <n v="206"/>
    <s v="Product 49"/>
    <x v="19"/>
    <s v="John Reyes"/>
    <x v="473"/>
    <n v="3"/>
    <x v="2"/>
    <x v="6"/>
    <x v="6"/>
    <x v="2"/>
    <x v="0"/>
  </r>
  <r>
    <s v="AX19506"/>
    <s v="ENX2042"/>
    <s v="A167"/>
    <s v="EMP1018"/>
    <s v="C1740"/>
    <x v="295"/>
    <n v="3"/>
    <n v="203"/>
    <n v="154"/>
    <n v="462"/>
    <n v="609"/>
    <n v="147"/>
    <s v="Product 43"/>
    <x v="64"/>
    <s v="Jimmy Young"/>
    <x v="699"/>
    <n v="3"/>
    <x v="2"/>
    <x v="6"/>
    <x v="6"/>
    <x v="2"/>
    <x v="0"/>
  </r>
  <r>
    <s v="AX19572"/>
    <s v="ENX2051"/>
    <s v="A160"/>
    <s v="EMP1029"/>
    <s v="C1437"/>
    <x v="295"/>
    <n v="1"/>
    <n v="1077"/>
    <n v="732"/>
    <n v="732"/>
    <n v="1077"/>
    <n v="345"/>
    <s v="Product 52"/>
    <x v="9"/>
    <s v="Howard Gardner"/>
    <x v="640"/>
    <n v="3"/>
    <x v="2"/>
    <x v="6"/>
    <x v="6"/>
    <x v="2"/>
    <x v="0"/>
  </r>
  <r>
    <s v="AX19867"/>
    <s v="ENX2095"/>
    <s v="A111"/>
    <s v="EMP1021"/>
    <s v="C1373"/>
    <x v="292"/>
    <n v="1"/>
    <n v="1743"/>
    <n v="872"/>
    <n v="872"/>
    <n v="1743"/>
    <n v="871"/>
    <s v="Product 96"/>
    <x v="54"/>
    <s v="Clarence Fox"/>
    <x v="471"/>
    <n v="3"/>
    <x v="2"/>
    <x v="6"/>
    <x v="6"/>
    <x v="2"/>
    <x v="0"/>
  </r>
  <r>
    <s v="AX19959"/>
    <s v="ENX2074"/>
    <s v="A170"/>
    <s v="EMP1044"/>
    <s v="C1306"/>
    <x v="292"/>
    <n v="1"/>
    <n v="504"/>
    <n v="408"/>
    <n v="408"/>
    <n v="504"/>
    <n v="96"/>
    <s v="Product 75"/>
    <x v="47"/>
    <s v="Martin Carr"/>
    <x v="692"/>
    <n v="3"/>
    <x v="2"/>
    <x v="6"/>
    <x v="6"/>
    <x v="2"/>
    <x v="0"/>
  </r>
  <r>
    <s v="AX19977"/>
    <s v="ENX2040"/>
    <s v="A134"/>
    <s v="EMP1020"/>
    <s v="C1319"/>
    <x v="292"/>
    <n v="3"/>
    <n v="1889"/>
    <n v="945"/>
    <n v="2835"/>
    <n v="5667"/>
    <n v="2832"/>
    <s v="Product 41"/>
    <x v="41"/>
    <s v="Ryan Butler"/>
    <x v="464"/>
    <n v="3"/>
    <x v="2"/>
    <x v="6"/>
    <x v="6"/>
    <x v="2"/>
    <x v="0"/>
  </r>
  <r>
    <s v="AX20074"/>
    <s v="ENX2002"/>
    <s v="A106"/>
    <s v="EMP1035"/>
    <s v="C1276"/>
    <x v="293"/>
    <n v="3"/>
    <n v="847"/>
    <n v="534"/>
    <n v="1602"/>
    <n v="2541"/>
    <n v="939"/>
    <s v="Product 3"/>
    <x v="11"/>
    <s v="Roger Ramos"/>
    <x v="773"/>
    <n v="3"/>
    <x v="2"/>
    <x v="6"/>
    <x v="6"/>
    <x v="2"/>
    <x v="0"/>
  </r>
  <r>
    <s v="AX20197"/>
    <s v="ENX2059"/>
    <s v="A165"/>
    <s v="EMP1042"/>
    <s v="C1319"/>
    <x v="293"/>
    <n v="1"/>
    <n v="1494"/>
    <n v="971"/>
    <n v="971"/>
    <n v="1494"/>
    <n v="523"/>
    <s v="Product 60"/>
    <x v="55"/>
    <s v="Scott Clark"/>
    <x v="464"/>
    <n v="3"/>
    <x v="2"/>
    <x v="6"/>
    <x v="6"/>
    <x v="2"/>
    <x v="0"/>
  </r>
  <r>
    <s v="AX20290"/>
    <s v="ENX2067"/>
    <s v="A111"/>
    <s v="EMP1004"/>
    <s v="C1136"/>
    <x v="294"/>
    <n v="1"/>
    <n v="1119"/>
    <n v="683"/>
    <n v="683"/>
    <n v="1119"/>
    <n v="436"/>
    <s v="Product 68"/>
    <x v="54"/>
    <s v="Kenneth Bradley"/>
    <x v="425"/>
    <n v="3"/>
    <x v="2"/>
    <x v="6"/>
    <x v="6"/>
    <x v="2"/>
    <x v="0"/>
  </r>
  <r>
    <s v="AX20731"/>
    <s v="ENX2021"/>
    <s v="A152"/>
    <s v="EMP1031"/>
    <s v="C1344"/>
    <x v="294"/>
    <n v="3"/>
    <n v="217"/>
    <n v="171"/>
    <n v="513"/>
    <n v="651"/>
    <n v="138"/>
    <s v="Product 22"/>
    <x v="26"/>
    <s v="Brian Thomas"/>
    <x v="22"/>
    <n v="3"/>
    <x v="2"/>
    <x v="6"/>
    <x v="6"/>
    <x v="2"/>
    <x v="0"/>
  </r>
  <r>
    <s v="AX20862"/>
    <s v="ENX2071"/>
    <s v="A122"/>
    <s v="EMP1031"/>
    <s v="C1195"/>
    <x v="296"/>
    <n v="4"/>
    <n v="136"/>
    <n v="72"/>
    <n v="288"/>
    <n v="544"/>
    <n v="256"/>
    <s v="Product 72"/>
    <x v="71"/>
    <s v="Brian Thomas"/>
    <x v="188"/>
    <n v="3"/>
    <x v="2"/>
    <x v="6"/>
    <x v="6"/>
    <x v="2"/>
    <x v="0"/>
  </r>
  <r>
    <s v="AX21320"/>
    <s v="ENX2098"/>
    <s v="A128"/>
    <s v="EMP1020"/>
    <s v="C1496"/>
    <x v="294"/>
    <n v="3"/>
    <n v="1178"/>
    <n v="683"/>
    <n v="2049"/>
    <n v="3534"/>
    <n v="1485"/>
    <s v="Product 99"/>
    <x v="12"/>
    <s v="Ryan Butler"/>
    <x v="54"/>
    <n v="3"/>
    <x v="2"/>
    <x v="6"/>
    <x v="6"/>
    <x v="2"/>
    <x v="0"/>
  </r>
  <r>
    <s v="AX21683"/>
    <s v="ENX2032"/>
    <s v="A130"/>
    <s v="EMP1003"/>
    <s v="C1684"/>
    <x v="293"/>
    <n v="4"/>
    <n v="1967"/>
    <n v="1397"/>
    <n v="5588"/>
    <n v="7868"/>
    <n v="2280"/>
    <s v="Product 33"/>
    <x v="4"/>
    <s v="Christopher Tucker"/>
    <x v="258"/>
    <n v="3"/>
    <x v="2"/>
    <x v="6"/>
    <x v="6"/>
    <x v="2"/>
    <x v="0"/>
  </r>
  <r>
    <s v="AX22646"/>
    <s v="ENX2081"/>
    <s v="A139"/>
    <s v="EMP1040"/>
    <s v="C1518"/>
    <x v="294"/>
    <n v="2"/>
    <n v="1566"/>
    <n v="1190"/>
    <n v="2380"/>
    <n v="3132"/>
    <n v="752"/>
    <s v="Product 82"/>
    <x v="38"/>
    <s v="Patrick Ruiz"/>
    <x v="703"/>
    <n v="3"/>
    <x v="2"/>
    <x v="6"/>
    <x v="6"/>
    <x v="2"/>
    <x v="0"/>
  </r>
  <r>
    <s v="AX22789"/>
    <s v="ENX2068"/>
    <s v="A107"/>
    <s v="EMP1018"/>
    <s v="C1105"/>
    <x v="293"/>
    <n v="1"/>
    <n v="1500"/>
    <n v="900"/>
    <n v="900"/>
    <n v="1500"/>
    <n v="600"/>
    <s v="Product 69"/>
    <x v="21"/>
    <s v="Jimmy Young"/>
    <x v="15"/>
    <n v="3"/>
    <x v="2"/>
    <x v="6"/>
    <x v="6"/>
    <x v="2"/>
    <x v="0"/>
  </r>
  <r>
    <s v="AX22833"/>
    <s v="ENX2040"/>
    <s v="A147"/>
    <s v="EMP1028"/>
    <s v="C1448"/>
    <x v="292"/>
    <n v="1"/>
    <n v="1889"/>
    <n v="945"/>
    <n v="945"/>
    <n v="1889"/>
    <n v="944"/>
    <s v="Product 41"/>
    <x v="42"/>
    <s v="Howard Sims"/>
    <x v="716"/>
    <n v="3"/>
    <x v="2"/>
    <x v="6"/>
    <x v="6"/>
    <x v="2"/>
    <x v="0"/>
  </r>
  <r>
    <s v="AX22936"/>
    <s v="ENX2020"/>
    <s v="A103"/>
    <s v="EMP1005"/>
    <s v="C1239"/>
    <x v="292"/>
    <n v="1"/>
    <n v="2005"/>
    <n v="1223"/>
    <n v="1223"/>
    <n v="2005"/>
    <n v="782"/>
    <s v="Product 21"/>
    <x v="61"/>
    <s v="Ryan Welch"/>
    <x v="479"/>
    <n v="3"/>
    <x v="2"/>
    <x v="6"/>
    <x v="6"/>
    <x v="2"/>
    <x v="0"/>
  </r>
  <r>
    <s v="AX22986"/>
    <s v="ENX2081"/>
    <s v="A122"/>
    <s v="EMP1037"/>
    <s v="C1298"/>
    <x v="292"/>
    <n v="3"/>
    <n v="1566"/>
    <n v="1190"/>
    <n v="3570"/>
    <n v="4698"/>
    <n v="1128"/>
    <s v="Product 82"/>
    <x v="71"/>
    <s v="Carl Hall"/>
    <x v="623"/>
    <n v="3"/>
    <x v="2"/>
    <x v="6"/>
    <x v="6"/>
    <x v="2"/>
    <x v="0"/>
  </r>
  <r>
    <s v="AX23006"/>
    <s v="ENX2092"/>
    <s v="A156"/>
    <s v="EMP1023"/>
    <s v="C1108"/>
    <x v="294"/>
    <n v="1"/>
    <n v="1639"/>
    <n v="1295"/>
    <n v="1295"/>
    <n v="1639"/>
    <n v="344"/>
    <s v="Product 93"/>
    <x v="14"/>
    <s v="Brian Davis"/>
    <x v="656"/>
    <n v="3"/>
    <x v="2"/>
    <x v="6"/>
    <x v="6"/>
    <x v="2"/>
    <x v="0"/>
  </r>
  <r>
    <s v="AX23594"/>
    <s v="ENX2049"/>
    <s v="A110"/>
    <s v="EMP1033"/>
    <s v="C1691"/>
    <x v="296"/>
    <n v="4"/>
    <n v="826"/>
    <n v="562"/>
    <n v="2248"/>
    <n v="3304"/>
    <n v="1056"/>
    <s v="Product 50"/>
    <x v="63"/>
    <s v="Jerry Perry"/>
    <x v="157"/>
    <n v="3"/>
    <x v="2"/>
    <x v="6"/>
    <x v="6"/>
    <x v="2"/>
    <x v="0"/>
  </r>
  <r>
    <s v="AX23819"/>
    <s v="ENX2046"/>
    <s v="A138"/>
    <s v="EMP1024"/>
    <s v="C1751"/>
    <x v="296"/>
    <n v="2"/>
    <n v="2410"/>
    <n v="1518"/>
    <n v="3036"/>
    <n v="4820"/>
    <n v="1784"/>
    <s v="Product 47"/>
    <x v="37"/>
    <s v="Ernest Wheeler"/>
    <x v="332"/>
    <n v="3"/>
    <x v="2"/>
    <x v="6"/>
    <x v="6"/>
    <x v="2"/>
    <x v="0"/>
  </r>
  <r>
    <s v="AX24005"/>
    <s v="ENX2090"/>
    <s v="A129"/>
    <s v="EMP1010"/>
    <s v="C1749"/>
    <x v="294"/>
    <n v="1"/>
    <n v="1338"/>
    <n v="682"/>
    <n v="682"/>
    <n v="1338"/>
    <n v="656"/>
    <s v="Product 91"/>
    <x v="22"/>
    <s v="Joshua Cook"/>
    <x v="393"/>
    <n v="3"/>
    <x v="2"/>
    <x v="6"/>
    <x v="6"/>
    <x v="2"/>
    <x v="0"/>
  </r>
  <r>
    <s v="AX24156"/>
    <s v="ENX2001"/>
    <s v="A119"/>
    <s v="EMP1008"/>
    <s v="C1307"/>
    <x v="293"/>
    <n v="3"/>
    <n v="951"/>
    <n v="504"/>
    <n v="1512"/>
    <n v="2853"/>
    <n v="1341"/>
    <s v="Product 2"/>
    <x v="16"/>
    <s v="Carl Elliott"/>
    <x v="416"/>
    <n v="3"/>
    <x v="2"/>
    <x v="6"/>
    <x v="6"/>
    <x v="2"/>
    <x v="0"/>
  </r>
  <r>
    <s v="AX24259"/>
    <s v="ENX2051"/>
    <s v="A136"/>
    <s v="EMP1043"/>
    <s v="C1426"/>
    <x v="295"/>
    <n v="1"/>
    <n v="1077"/>
    <n v="732"/>
    <n v="732"/>
    <n v="1077"/>
    <n v="345"/>
    <s v="Product 52"/>
    <x v="43"/>
    <s v="Joshua Taylor"/>
    <x v="127"/>
    <n v="3"/>
    <x v="2"/>
    <x v="6"/>
    <x v="6"/>
    <x v="2"/>
    <x v="0"/>
  </r>
  <r>
    <s v="AX24756"/>
    <s v="ENX2099"/>
    <s v="A132"/>
    <s v="EMP1011"/>
    <s v="C1332"/>
    <x v="296"/>
    <n v="2"/>
    <n v="1367"/>
    <n v="984"/>
    <n v="1968"/>
    <n v="2734"/>
    <n v="766"/>
    <s v="Product 100"/>
    <x v="48"/>
    <s v="Larry Marshall"/>
    <x v="7"/>
    <n v="3"/>
    <x v="2"/>
    <x v="6"/>
    <x v="6"/>
    <x v="2"/>
    <x v="0"/>
  </r>
  <r>
    <s v="AX10475"/>
    <s v="ENX2084"/>
    <s v="A154"/>
    <s v="EMP1007"/>
    <s v="C1219"/>
    <x v="297"/>
    <n v="1"/>
    <n v="1783"/>
    <n v="1230"/>
    <n v="1230"/>
    <n v="1783"/>
    <n v="553"/>
    <s v="Product 85"/>
    <x v="24"/>
    <s v="Jeremy Mendoza"/>
    <x v="301"/>
    <n v="3"/>
    <x v="2"/>
    <x v="6"/>
    <x v="6"/>
    <x v="2"/>
    <x v="2"/>
  </r>
  <r>
    <s v="AX10638"/>
    <s v="ENX2017"/>
    <s v="A147"/>
    <s v="EMP1022"/>
    <s v="C1125"/>
    <x v="298"/>
    <n v="3"/>
    <n v="35"/>
    <n v="22"/>
    <n v="66"/>
    <n v="105"/>
    <n v="39"/>
    <s v="Product 18"/>
    <x v="42"/>
    <s v="Walter Cook"/>
    <x v="539"/>
    <n v="3"/>
    <x v="2"/>
    <x v="6"/>
    <x v="6"/>
    <x v="2"/>
    <x v="2"/>
  </r>
  <r>
    <s v="AX10704"/>
    <s v="ENX2076"/>
    <s v="A123"/>
    <s v="EMP1022"/>
    <s v="C1227"/>
    <x v="298"/>
    <n v="1"/>
    <n v="1522"/>
    <n v="791"/>
    <n v="791"/>
    <n v="1522"/>
    <n v="731"/>
    <s v="Product 77"/>
    <x v="34"/>
    <s v="Walter Cook"/>
    <x v="765"/>
    <n v="3"/>
    <x v="2"/>
    <x v="6"/>
    <x v="6"/>
    <x v="2"/>
    <x v="2"/>
  </r>
  <r>
    <s v="AX10980"/>
    <s v="ENX2093"/>
    <s v="A111"/>
    <s v="EMP1033"/>
    <s v="C1664"/>
    <x v="297"/>
    <n v="3"/>
    <n v="112"/>
    <n v="90"/>
    <n v="270"/>
    <n v="336"/>
    <n v="66"/>
    <s v="Product 94"/>
    <x v="54"/>
    <s v="Jerry Perry"/>
    <x v="12"/>
    <n v="3"/>
    <x v="2"/>
    <x v="6"/>
    <x v="6"/>
    <x v="2"/>
    <x v="2"/>
  </r>
  <r>
    <s v="AX11194"/>
    <s v="ENX2011"/>
    <s v="A157"/>
    <s v="EMP1003"/>
    <s v="C1471"/>
    <x v="298"/>
    <n v="1"/>
    <n v="530"/>
    <n v="435"/>
    <n v="435"/>
    <n v="530"/>
    <n v="95"/>
    <s v="Product 12"/>
    <x v="7"/>
    <s v="Christopher Tucker"/>
    <x v="586"/>
    <n v="3"/>
    <x v="2"/>
    <x v="6"/>
    <x v="6"/>
    <x v="2"/>
    <x v="2"/>
  </r>
  <r>
    <s v="AX11245"/>
    <s v="ENX2032"/>
    <s v="A105"/>
    <s v="EMP1010"/>
    <s v="C1799"/>
    <x v="299"/>
    <n v="3"/>
    <n v="1967"/>
    <n v="1397"/>
    <n v="4191"/>
    <n v="5901"/>
    <n v="1710"/>
    <s v="Product 33"/>
    <x v="45"/>
    <s v="Joshua Cook"/>
    <x v="390"/>
    <n v="3"/>
    <x v="2"/>
    <x v="6"/>
    <x v="6"/>
    <x v="2"/>
    <x v="2"/>
  </r>
  <r>
    <s v="AX11499"/>
    <s v="ENX2051"/>
    <s v="A155"/>
    <s v="EMP1030"/>
    <s v="C1758"/>
    <x v="300"/>
    <n v="1"/>
    <n v="1077"/>
    <n v="732"/>
    <n v="732"/>
    <n v="1077"/>
    <n v="345"/>
    <s v="Product 52"/>
    <x v="53"/>
    <s v="Bobby Russell"/>
    <x v="329"/>
    <n v="3"/>
    <x v="2"/>
    <x v="6"/>
    <x v="6"/>
    <x v="2"/>
    <x v="2"/>
  </r>
  <r>
    <s v="AX11528"/>
    <s v="ENX2062"/>
    <s v="A119"/>
    <s v="EMP1009"/>
    <s v="C1466"/>
    <x v="299"/>
    <n v="1"/>
    <n v="2464"/>
    <n v="1774"/>
    <n v="1774"/>
    <n v="2464"/>
    <n v="690"/>
    <s v="Product 63"/>
    <x v="16"/>
    <s v="Kenneth Fields"/>
    <x v="132"/>
    <n v="3"/>
    <x v="2"/>
    <x v="6"/>
    <x v="6"/>
    <x v="2"/>
    <x v="2"/>
  </r>
  <r>
    <s v="AX11558"/>
    <s v="ENX2021"/>
    <s v="A118"/>
    <s v="EMP1016"/>
    <s v="C1342"/>
    <x v="300"/>
    <n v="1"/>
    <n v="217"/>
    <n v="171"/>
    <n v="171"/>
    <n v="217"/>
    <n v="46"/>
    <s v="Product 22"/>
    <x v="19"/>
    <s v="Henry Nelson"/>
    <x v="62"/>
    <n v="3"/>
    <x v="2"/>
    <x v="6"/>
    <x v="6"/>
    <x v="2"/>
    <x v="2"/>
  </r>
  <r>
    <s v="AX11867"/>
    <s v="ENX2023"/>
    <s v="A150"/>
    <s v="EMP1023"/>
    <s v="C1380"/>
    <x v="297"/>
    <n v="1"/>
    <n v="818"/>
    <n v="450"/>
    <n v="450"/>
    <n v="818"/>
    <n v="368"/>
    <s v="Product 24"/>
    <x v="30"/>
    <s v="Brian Davis"/>
    <x v="540"/>
    <n v="3"/>
    <x v="2"/>
    <x v="6"/>
    <x v="6"/>
    <x v="2"/>
    <x v="2"/>
  </r>
  <r>
    <s v="AX12582"/>
    <s v="ENX2091"/>
    <s v="A107"/>
    <s v="EMP1026"/>
    <s v="C1404"/>
    <x v="298"/>
    <n v="1"/>
    <n v="368"/>
    <n v="294"/>
    <n v="294"/>
    <n v="368"/>
    <n v="74"/>
    <s v="Product 92"/>
    <x v="21"/>
    <s v="Martin Perry"/>
    <x v="75"/>
    <n v="3"/>
    <x v="2"/>
    <x v="6"/>
    <x v="6"/>
    <x v="2"/>
    <x v="2"/>
  </r>
  <r>
    <s v="AX12994"/>
    <s v="ENX2078"/>
    <s v="A132"/>
    <s v="EMP1038"/>
    <s v="C1359"/>
    <x v="299"/>
    <n v="1"/>
    <n v="1798"/>
    <n v="971"/>
    <n v="971"/>
    <n v="1798"/>
    <n v="827"/>
    <s v="Product 79"/>
    <x v="48"/>
    <s v="Scott Mason"/>
    <x v="652"/>
    <n v="3"/>
    <x v="2"/>
    <x v="6"/>
    <x v="6"/>
    <x v="2"/>
    <x v="2"/>
  </r>
  <r>
    <s v="AX13016"/>
    <s v="ENX2076"/>
    <s v="A150"/>
    <s v="EMP1041"/>
    <s v="C1075"/>
    <x v="298"/>
    <n v="1"/>
    <n v="1522"/>
    <n v="791"/>
    <n v="791"/>
    <n v="1522"/>
    <n v="731"/>
    <s v="Product 77"/>
    <x v="30"/>
    <s v="Joe Sims"/>
    <x v="594"/>
    <n v="3"/>
    <x v="2"/>
    <x v="6"/>
    <x v="6"/>
    <x v="2"/>
    <x v="2"/>
  </r>
  <r>
    <s v="AX13344"/>
    <s v="ENX2007"/>
    <s v="A119"/>
    <s v="EMP1038"/>
    <s v="C1162"/>
    <x v="299"/>
    <n v="3"/>
    <n v="1405"/>
    <n v="1054"/>
    <n v="3162"/>
    <n v="4215"/>
    <n v="1053"/>
    <s v="Product 8"/>
    <x v="16"/>
    <s v="Scott Mason"/>
    <x v="177"/>
    <n v="3"/>
    <x v="2"/>
    <x v="6"/>
    <x v="6"/>
    <x v="2"/>
    <x v="2"/>
  </r>
  <r>
    <s v="AX13594"/>
    <s v="ENX2065"/>
    <s v="A163"/>
    <s v="EMP1011"/>
    <s v="C1747"/>
    <x v="300"/>
    <n v="1"/>
    <n v="2396"/>
    <n v="1965"/>
    <n v="1965"/>
    <n v="2396"/>
    <n v="431"/>
    <s v="Product 66"/>
    <x v="51"/>
    <s v="Larry Marshall"/>
    <x v="392"/>
    <n v="3"/>
    <x v="2"/>
    <x v="6"/>
    <x v="6"/>
    <x v="2"/>
    <x v="2"/>
  </r>
  <r>
    <s v="AX13601"/>
    <s v="ENX2030"/>
    <s v="A152"/>
    <s v="EMP1011"/>
    <s v="C1203"/>
    <x v="297"/>
    <n v="2"/>
    <n v="1899"/>
    <n v="1044"/>
    <n v="2088"/>
    <n v="3798"/>
    <n v="1710"/>
    <s v="Product 31"/>
    <x v="26"/>
    <s v="Larry Marshall"/>
    <x v="792"/>
    <n v="3"/>
    <x v="2"/>
    <x v="6"/>
    <x v="6"/>
    <x v="2"/>
    <x v="2"/>
  </r>
  <r>
    <s v="AX13909"/>
    <s v="ENX2066"/>
    <s v="A108"/>
    <s v="EMP1002"/>
    <s v="C1086"/>
    <x v="298"/>
    <n v="1"/>
    <n v="2091"/>
    <n v="1485"/>
    <n v="1485"/>
    <n v="2091"/>
    <n v="606"/>
    <s v="Product 67"/>
    <x v="49"/>
    <s v="Andrew Bowman"/>
    <x v="769"/>
    <n v="3"/>
    <x v="2"/>
    <x v="6"/>
    <x v="6"/>
    <x v="2"/>
    <x v="2"/>
  </r>
  <r>
    <s v="AX13976"/>
    <s v="ENX2085"/>
    <s v="A161"/>
    <s v="EMP1035"/>
    <s v="C1187"/>
    <x v="298"/>
    <n v="3"/>
    <n v="1862"/>
    <n v="1173"/>
    <n v="3519"/>
    <n v="5586"/>
    <n v="2067"/>
    <s v="Product 86"/>
    <x v="6"/>
    <s v="Roger Ramos"/>
    <x v="303"/>
    <n v="3"/>
    <x v="2"/>
    <x v="6"/>
    <x v="6"/>
    <x v="2"/>
    <x v="2"/>
  </r>
  <r>
    <s v="AX14029"/>
    <s v="ENX2016"/>
    <s v="A162"/>
    <s v="EMP1002"/>
    <s v="C1597"/>
    <x v="297"/>
    <n v="2"/>
    <n v="1351"/>
    <n v="1108"/>
    <n v="2216"/>
    <n v="2702"/>
    <n v="486"/>
    <s v="Product 17"/>
    <x v="2"/>
    <s v="Andrew Bowman"/>
    <x v="183"/>
    <n v="3"/>
    <x v="2"/>
    <x v="6"/>
    <x v="6"/>
    <x v="2"/>
    <x v="2"/>
  </r>
  <r>
    <s v="AX14410"/>
    <s v="ENX2028"/>
    <s v="A170"/>
    <s v="EMP1006"/>
    <s v="C1235"/>
    <x v="301"/>
    <n v="2"/>
    <n v="2283"/>
    <n v="1484"/>
    <n v="2968"/>
    <n v="4566"/>
    <n v="1598"/>
    <s v="Product 29"/>
    <x v="47"/>
    <s v="Sean Miller"/>
    <x v="353"/>
    <n v="3"/>
    <x v="2"/>
    <x v="6"/>
    <x v="6"/>
    <x v="2"/>
    <x v="2"/>
  </r>
  <r>
    <s v="AX14411"/>
    <s v="ENX2007"/>
    <s v="A154"/>
    <s v="EMP1004"/>
    <s v="C1652"/>
    <x v="300"/>
    <n v="2"/>
    <n v="1405"/>
    <n v="1054"/>
    <n v="2108"/>
    <n v="2810"/>
    <n v="702"/>
    <s v="Product 8"/>
    <x v="24"/>
    <s v="Kenneth Bradley"/>
    <x v="737"/>
    <n v="3"/>
    <x v="2"/>
    <x v="6"/>
    <x v="6"/>
    <x v="2"/>
    <x v="2"/>
  </r>
  <r>
    <s v="AX15296"/>
    <s v="ENX2087"/>
    <s v="A108"/>
    <s v="EMP1039"/>
    <s v="C1000"/>
    <x v="300"/>
    <n v="1"/>
    <n v="1022"/>
    <n v="818"/>
    <n v="818"/>
    <n v="1022"/>
    <n v="204"/>
    <s v="Product 88"/>
    <x v="49"/>
    <s v="Eugene Holmes"/>
    <x v="57"/>
    <n v="3"/>
    <x v="2"/>
    <x v="6"/>
    <x v="6"/>
    <x v="2"/>
    <x v="2"/>
  </r>
  <r>
    <s v="AX15478"/>
    <s v="ENX2055"/>
    <s v="A129"/>
    <s v="EMP1031"/>
    <s v="C1258"/>
    <x v="300"/>
    <n v="1"/>
    <n v="2495"/>
    <n v="1896"/>
    <n v="1896"/>
    <n v="2495"/>
    <n v="599"/>
    <s v="Product 56"/>
    <x v="22"/>
    <s v="Brian Thomas"/>
    <x v="644"/>
    <n v="3"/>
    <x v="2"/>
    <x v="6"/>
    <x v="6"/>
    <x v="2"/>
    <x v="2"/>
  </r>
  <r>
    <s v="AX15502"/>
    <s v="ENX2037"/>
    <s v="A128"/>
    <s v="EMP1005"/>
    <s v="C1433"/>
    <x v="299"/>
    <n v="3"/>
    <n v="880"/>
    <n v="634"/>
    <n v="1902"/>
    <n v="2640"/>
    <n v="738"/>
    <s v="Product 38"/>
    <x v="12"/>
    <s v="Ryan Welch"/>
    <x v="525"/>
    <n v="3"/>
    <x v="2"/>
    <x v="6"/>
    <x v="6"/>
    <x v="2"/>
    <x v="2"/>
  </r>
  <r>
    <s v="AX15826"/>
    <s v="ENX2093"/>
    <s v="A137"/>
    <s v="EMP1017"/>
    <s v="C1541"/>
    <x v="300"/>
    <n v="1"/>
    <n v="112"/>
    <n v="90"/>
    <n v="90"/>
    <n v="112"/>
    <n v="22"/>
    <s v="Product 94"/>
    <x v="68"/>
    <s v="Brian Hansen"/>
    <x v="628"/>
    <n v="3"/>
    <x v="2"/>
    <x v="6"/>
    <x v="6"/>
    <x v="2"/>
    <x v="2"/>
  </r>
  <r>
    <s v="AX15977"/>
    <s v="ENX2077"/>
    <s v="A170"/>
    <s v="EMP1038"/>
    <s v="C1293"/>
    <x v="298"/>
    <n v="4"/>
    <n v="530"/>
    <n v="424"/>
    <n v="1696"/>
    <n v="2120"/>
    <n v="424"/>
    <s v="Product 78"/>
    <x v="47"/>
    <s v="Scott Mason"/>
    <x v="512"/>
    <n v="3"/>
    <x v="2"/>
    <x v="6"/>
    <x v="6"/>
    <x v="2"/>
    <x v="2"/>
  </r>
  <r>
    <s v="AX16072"/>
    <s v="ENX2016"/>
    <s v="A159"/>
    <s v="EMP1022"/>
    <s v="C1571"/>
    <x v="297"/>
    <n v="4"/>
    <n v="1351"/>
    <n v="1108"/>
    <n v="4432"/>
    <n v="5404"/>
    <n v="972"/>
    <s v="Product 17"/>
    <x v="13"/>
    <s v="Walter Cook"/>
    <x v="316"/>
    <n v="3"/>
    <x v="2"/>
    <x v="6"/>
    <x v="6"/>
    <x v="2"/>
    <x v="2"/>
  </r>
  <r>
    <s v="AX16455"/>
    <s v="ENX2057"/>
    <s v="A159"/>
    <s v="EMP1018"/>
    <s v="C1138"/>
    <x v="297"/>
    <n v="1"/>
    <n v="181"/>
    <n v="130"/>
    <n v="130"/>
    <n v="181"/>
    <n v="51"/>
    <s v="Product 58"/>
    <x v="13"/>
    <s v="Jimmy Young"/>
    <x v="325"/>
    <n v="3"/>
    <x v="2"/>
    <x v="6"/>
    <x v="6"/>
    <x v="2"/>
    <x v="2"/>
  </r>
  <r>
    <s v="AX16900"/>
    <s v="ENX2048"/>
    <s v="A106"/>
    <s v="EMP1020"/>
    <s v="C1461"/>
    <x v="298"/>
    <n v="3"/>
    <n v="502"/>
    <n v="296"/>
    <n v="888"/>
    <n v="1506"/>
    <n v="618"/>
    <s v="Product 49"/>
    <x v="11"/>
    <s v="Ryan Butler"/>
    <x v="634"/>
    <n v="3"/>
    <x v="2"/>
    <x v="6"/>
    <x v="6"/>
    <x v="2"/>
    <x v="2"/>
  </r>
  <r>
    <s v="AX16918"/>
    <s v="ENX2057"/>
    <s v="A155"/>
    <s v="EMP1003"/>
    <s v="C1567"/>
    <x v="301"/>
    <n v="3"/>
    <n v="181"/>
    <n v="130"/>
    <n v="390"/>
    <n v="543"/>
    <n v="153"/>
    <s v="Product 58"/>
    <x v="53"/>
    <s v="Christopher Tucker"/>
    <x v="251"/>
    <n v="3"/>
    <x v="2"/>
    <x v="6"/>
    <x v="6"/>
    <x v="2"/>
    <x v="2"/>
  </r>
  <r>
    <s v="AX16935"/>
    <s v="ENX2082"/>
    <s v="A106"/>
    <s v="EMP1002"/>
    <s v="C1690"/>
    <x v="301"/>
    <n v="1"/>
    <n v="1103"/>
    <n v="838"/>
    <n v="838"/>
    <n v="1103"/>
    <n v="265"/>
    <s v="Product 83"/>
    <x v="11"/>
    <s v="Andrew Bowman"/>
    <x v="185"/>
    <n v="3"/>
    <x v="2"/>
    <x v="6"/>
    <x v="6"/>
    <x v="2"/>
    <x v="2"/>
  </r>
  <r>
    <s v="AX16978"/>
    <s v="ENX2087"/>
    <s v="A168"/>
    <s v="EMP1032"/>
    <s v="C1169"/>
    <x v="299"/>
    <n v="1"/>
    <n v="1022"/>
    <n v="818"/>
    <n v="818"/>
    <n v="1022"/>
    <n v="204"/>
    <s v="Product 88"/>
    <x v="40"/>
    <s v="Larry Castillo"/>
    <x v="293"/>
    <n v="3"/>
    <x v="2"/>
    <x v="6"/>
    <x v="6"/>
    <x v="2"/>
    <x v="2"/>
  </r>
  <r>
    <s v="AX17178"/>
    <s v="ENX2040"/>
    <s v="A146"/>
    <s v="EMP1039"/>
    <s v="C1662"/>
    <x v="301"/>
    <n v="1"/>
    <n v="1889"/>
    <n v="945"/>
    <n v="945"/>
    <n v="1889"/>
    <n v="944"/>
    <s v="Product 41"/>
    <x v="27"/>
    <s v="Eugene Holmes"/>
    <x v="649"/>
    <n v="3"/>
    <x v="2"/>
    <x v="6"/>
    <x v="6"/>
    <x v="2"/>
    <x v="2"/>
  </r>
  <r>
    <s v="AX17430"/>
    <s v="ENX2055"/>
    <s v="A136"/>
    <s v="EMP1042"/>
    <s v="C1252"/>
    <x v="298"/>
    <n v="2"/>
    <n v="2495"/>
    <n v="1896"/>
    <n v="3792"/>
    <n v="4990"/>
    <n v="1198"/>
    <s v="Product 56"/>
    <x v="43"/>
    <s v="Scott Clark"/>
    <x v="358"/>
    <n v="3"/>
    <x v="2"/>
    <x v="6"/>
    <x v="6"/>
    <x v="2"/>
    <x v="2"/>
  </r>
  <r>
    <s v="AX17479"/>
    <s v="ENX2005"/>
    <s v="A143"/>
    <s v="EMP1037"/>
    <s v="C1607"/>
    <x v="301"/>
    <n v="2"/>
    <n v="684"/>
    <n v="561"/>
    <n v="1122"/>
    <n v="1368"/>
    <n v="246"/>
    <s v="Product 6"/>
    <x v="39"/>
    <s v="Carl Hall"/>
    <x v="211"/>
    <n v="3"/>
    <x v="2"/>
    <x v="6"/>
    <x v="6"/>
    <x v="2"/>
    <x v="2"/>
  </r>
  <r>
    <s v="AX17827"/>
    <s v="ENX2021"/>
    <s v="A135"/>
    <s v="EMP1027"/>
    <s v="C1557"/>
    <x v="300"/>
    <n v="2"/>
    <n v="217"/>
    <n v="171"/>
    <n v="342"/>
    <n v="434"/>
    <n v="92"/>
    <s v="Product 22"/>
    <x v="10"/>
    <s v="Gary Rodriguez"/>
    <x v="729"/>
    <n v="3"/>
    <x v="2"/>
    <x v="6"/>
    <x v="6"/>
    <x v="2"/>
    <x v="2"/>
  </r>
  <r>
    <s v="AX19038"/>
    <s v="ENX2041"/>
    <s v="A103"/>
    <s v="EMP1024"/>
    <s v="C1207"/>
    <x v="298"/>
    <n v="1"/>
    <n v="1380"/>
    <n v="1090"/>
    <n v="1090"/>
    <n v="1380"/>
    <n v="290"/>
    <s v="Product 42"/>
    <x v="61"/>
    <s v="Ernest Wheeler"/>
    <x v="694"/>
    <n v="3"/>
    <x v="2"/>
    <x v="6"/>
    <x v="6"/>
    <x v="2"/>
    <x v="2"/>
  </r>
  <r>
    <s v="AX19093"/>
    <s v="ENX2070"/>
    <s v="A169"/>
    <s v="EMP1011"/>
    <s v="C1403"/>
    <x v="299"/>
    <n v="1"/>
    <n v="1671"/>
    <n v="1220"/>
    <n v="1220"/>
    <n v="1671"/>
    <n v="451"/>
    <s v="Product 71"/>
    <x v="17"/>
    <s v="Larry Marshall"/>
    <x v="134"/>
    <n v="3"/>
    <x v="2"/>
    <x v="6"/>
    <x v="6"/>
    <x v="2"/>
    <x v="2"/>
  </r>
  <r>
    <s v="AX19133"/>
    <s v="ENX2083"/>
    <s v="A117"/>
    <s v="EMP1032"/>
    <s v="C1681"/>
    <x v="297"/>
    <n v="1"/>
    <n v="2141"/>
    <n v="1777"/>
    <n v="1777"/>
    <n v="2141"/>
    <n v="364"/>
    <s v="Product 84"/>
    <x v="29"/>
    <s v="Larry Castillo"/>
    <x v="235"/>
    <n v="3"/>
    <x v="2"/>
    <x v="6"/>
    <x v="6"/>
    <x v="2"/>
    <x v="2"/>
  </r>
  <r>
    <s v="AX19294"/>
    <s v="ENX2059"/>
    <s v="A133"/>
    <s v="EMP1012"/>
    <s v="C1515"/>
    <x v="301"/>
    <n v="3"/>
    <n v="1494"/>
    <n v="971"/>
    <n v="2913"/>
    <n v="4482"/>
    <n v="1569"/>
    <s v="Product 60"/>
    <x v="46"/>
    <s v="John Reyes"/>
    <x v="570"/>
    <n v="3"/>
    <x v="2"/>
    <x v="6"/>
    <x v="6"/>
    <x v="2"/>
    <x v="2"/>
  </r>
  <r>
    <s v="AX19349"/>
    <s v="ENX2018"/>
    <s v="A104"/>
    <s v="EMP1011"/>
    <s v="C1310"/>
    <x v="300"/>
    <n v="1"/>
    <n v="1972"/>
    <n v="1321"/>
    <n v="1321"/>
    <n v="1972"/>
    <n v="651"/>
    <s v="Product 19"/>
    <x v="50"/>
    <s v="Larry Marshall"/>
    <x v="169"/>
    <n v="3"/>
    <x v="2"/>
    <x v="6"/>
    <x v="6"/>
    <x v="2"/>
    <x v="2"/>
  </r>
  <r>
    <s v="AX19561"/>
    <s v="ENX2063"/>
    <s v="A152"/>
    <s v="EMP1017"/>
    <s v="C1101"/>
    <x v="299"/>
    <n v="2"/>
    <n v="1708"/>
    <n v="871"/>
    <n v="1742"/>
    <n v="3416"/>
    <n v="1674"/>
    <s v="Product 64"/>
    <x v="26"/>
    <s v="Brian Hansen"/>
    <x v="347"/>
    <n v="3"/>
    <x v="2"/>
    <x v="6"/>
    <x v="6"/>
    <x v="2"/>
    <x v="2"/>
  </r>
  <r>
    <s v="AX20246"/>
    <s v="ENX2032"/>
    <s v="A108"/>
    <s v="EMP1004"/>
    <s v="C1244"/>
    <x v="298"/>
    <n v="1"/>
    <n v="1967"/>
    <n v="1397"/>
    <n v="1397"/>
    <n v="1967"/>
    <n v="570"/>
    <s v="Product 33"/>
    <x v="49"/>
    <s v="Kenneth Bradley"/>
    <x v="381"/>
    <n v="3"/>
    <x v="2"/>
    <x v="6"/>
    <x v="6"/>
    <x v="2"/>
    <x v="2"/>
  </r>
  <r>
    <s v="AX20594"/>
    <s v="ENX2022"/>
    <s v="A153"/>
    <s v="EMP1040"/>
    <s v="C1235"/>
    <x v="300"/>
    <n v="1"/>
    <n v="561"/>
    <n v="421"/>
    <n v="421"/>
    <n v="561"/>
    <n v="140"/>
    <s v="Product 23"/>
    <x v="8"/>
    <s v="Patrick Ruiz"/>
    <x v="353"/>
    <n v="3"/>
    <x v="2"/>
    <x v="6"/>
    <x v="6"/>
    <x v="2"/>
    <x v="2"/>
  </r>
  <r>
    <s v="AX20628"/>
    <s v="ENX2013"/>
    <s v="A139"/>
    <s v="EMP1021"/>
    <s v="C1498"/>
    <x v="298"/>
    <n v="3"/>
    <n v="368"/>
    <n v="269"/>
    <n v="807"/>
    <n v="1104"/>
    <n v="297"/>
    <s v="Product 14"/>
    <x v="38"/>
    <s v="Clarence Fox"/>
    <x v="10"/>
    <n v="3"/>
    <x v="2"/>
    <x v="6"/>
    <x v="6"/>
    <x v="2"/>
    <x v="2"/>
  </r>
  <r>
    <s v="AX20807"/>
    <s v="ENX2018"/>
    <s v="A120"/>
    <s v="EMP1031"/>
    <s v="C1561"/>
    <x v="298"/>
    <n v="1"/>
    <n v="1972"/>
    <n v="1321"/>
    <n v="1321"/>
    <n v="1972"/>
    <n v="651"/>
    <s v="Product 19"/>
    <x v="20"/>
    <s v="Brian Thomas"/>
    <x v="114"/>
    <n v="3"/>
    <x v="2"/>
    <x v="6"/>
    <x v="6"/>
    <x v="2"/>
    <x v="2"/>
  </r>
  <r>
    <s v="AX21076"/>
    <s v="ENX2017"/>
    <s v="A145"/>
    <s v="EMP1008"/>
    <s v="C1272"/>
    <x v="297"/>
    <n v="4"/>
    <n v="35"/>
    <n v="22"/>
    <n v="88"/>
    <n v="140"/>
    <n v="52"/>
    <s v="Product 18"/>
    <x v="35"/>
    <s v="Carl Elliott"/>
    <x v="491"/>
    <n v="3"/>
    <x v="2"/>
    <x v="6"/>
    <x v="6"/>
    <x v="2"/>
    <x v="2"/>
  </r>
  <r>
    <s v="AX21333"/>
    <s v="ENX2061"/>
    <s v="A115"/>
    <s v="EMP1013"/>
    <s v="C1309"/>
    <x v="298"/>
    <n v="1"/>
    <n v="913"/>
    <n v="584"/>
    <n v="584"/>
    <n v="913"/>
    <n v="329"/>
    <s v="Product 62"/>
    <x v="33"/>
    <s v="Charles Harper"/>
    <x v="139"/>
    <n v="3"/>
    <x v="2"/>
    <x v="6"/>
    <x v="6"/>
    <x v="2"/>
    <x v="2"/>
  </r>
  <r>
    <s v="AX21815"/>
    <s v="ENX2085"/>
    <s v="A170"/>
    <s v="EMP1002"/>
    <s v="C1063"/>
    <x v="301"/>
    <n v="1"/>
    <n v="1862"/>
    <n v="1173"/>
    <n v="1173"/>
    <n v="1862"/>
    <n v="689"/>
    <s v="Product 86"/>
    <x v="47"/>
    <s v="Andrew Bowman"/>
    <x v="296"/>
    <n v="3"/>
    <x v="2"/>
    <x v="6"/>
    <x v="6"/>
    <x v="2"/>
    <x v="2"/>
  </r>
  <r>
    <s v="AX22318"/>
    <s v="ENX2066"/>
    <s v="A160"/>
    <s v="EMP1027"/>
    <s v="C1289"/>
    <x v="298"/>
    <n v="1"/>
    <n v="2091"/>
    <n v="1485"/>
    <n v="1485"/>
    <n v="2091"/>
    <n v="606"/>
    <s v="Product 67"/>
    <x v="9"/>
    <s v="Gary Rodriguez"/>
    <x v="328"/>
    <n v="3"/>
    <x v="2"/>
    <x v="6"/>
    <x v="6"/>
    <x v="2"/>
    <x v="2"/>
  </r>
  <r>
    <s v="AX22515"/>
    <s v="ENX2019"/>
    <s v="A125"/>
    <s v="EMP1037"/>
    <s v="C1194"/>
    <x v="297"/>
    <n v="1"/>
    <n v="800"/>
    <n v="536"/>
    <n v="536"/>
    <n v="800"/>
    <n v="264"/>
    <s v="Product 20"/>
    <x v="31"/>
    <s v="Carl Hall"/>
    <x v="323"/>
    <n v="3"/>
    <x v="2"/>
    <x v="6"/>
    <x v="6"/>
    <x v="2"/>
    <x v="2"/>
  </r>
  <r>
    <s v="AX22598"/>
    <s v="ENX2070"/>
    <s v="A128"/>
    <s v="EMP1016"/>
    <s v="C1524"/>
    <x v="301"/>
    <n v="2"/>
    <n v="1671"/>
    <n v="1220"/>
    <n v="2440"/>
    <n v="3342"/>
    <n v="902"/>
    <s v="Product 71"/>
    <x v="12"/>
    <s v="Henry Nelson"/>
    <x v="263"/>
    <n v="3"/>
    <x v="2"/>
    <x v="6"/>
    <x v="6"/>
    <x v="2"/>
    <x v="2"/>
  </r>
  <r>
    <s v="AX22929"/>
    <s v="ENX2036"/>
    <s v="A123"/>
    <s v="EMP1015"/>
    <s v="C1783"/>
    <x v="301"/>
    <n v="1"/>
    <n v="1582"/>
    <n v="1234"/>
    <n v="1234"/>
    <n v="1582"/>
    <n v="348"/>
    <s v="Product 37"/>
    <x v="34"/>
    <s v="Justin Lynch"/>
    <x v="272"/>
    <n v="3"/>
    <x v="2"/>
    <x v="6"/>
    <x v="6"/>
    <x v="2"/>
    <x v="2"/>
  </r>
  <r>
    <s v="AX22987"/>
    <s v="ENX2100"/>
    <s v="A138"/>
    <s v="EMP1000"/>
    <s v="C1680"/>
    <x v="297"/>
    <n v="1"/>
    <n v="799"/>
    <n v="455"/>
    <n v="455"/>
    <n v="799"/>
    <n v="344"/>
    <s v="Product 101"/>
    <x v="37"/>
    <s v="Fred Robertson"/>
    <x v="797"/>
    <n v="3"/>
    <x v="2"/>
    <x v="6"/>
    <x v="6"/>
    <x v="2"/>
    <x v="2"/>
  </r>
  <r>
    <s v="AX23142"/>
    <s v="ENX2007"/>
    <s v="A157"/>
    <s v="EMP1024"/>
    <s v="C1777"/>
    <x v="298"/>
    <n v="1"/>
    <n v="1405"/>
    <n v="1054"/>
    <n v="1054"/>
    <n v="1405"/>
    <n v="351"/>
    <s v="Product 8"/>
    <x v="7"/>
    <s v="Ernest Wheeler"/>
    <x v="682"/>
    <n v="3"/>
    <x v="2"/>
    <x v="6"/>
    <x v="6"/>
    <x v="2"/>
    <x v="2"/>
  </r>
  <r>
    <s v="AX23207"/>
    <s v="ENX2006"/>
    <s v="A172"/>
    <s v="EMP1044"/>
    <s v="C1580"/>
    <x v="298"/>
    <n v="3"/>
    <n v="1826"/>
    <n v="1443"/>
    <n v="4329"/>
    <n v="5478"/>
    <n v="1149"/>
    <s v="Product 7"/>
    <x v="36"/>
    <s v="Martin Carr"/>
    <x v="617"/>
    <n v="3"/>
    <x v="2"/>
    <x v="6"/>
    <x v="6"/>
    <x v="2"/>
    <x v="2"/>
  </r>
  <r>
    <s v="AX23318"/>
    <s v="ENX2006"/>
    <s v="A120"/>
    <s v="EMP1007"/>
    <s v="C1660"/>
    <x v="297"/>
    <n v="1"/>
    <n v="1826"/>
    <n v="1443"/>
    <n v="1443"/>
    <n v="1826"/>
    <n v="383"/>
    <s v="Product 7"/>
    <x v="20"/>
    <s v="Jeremy Mendoza"/>
    <x v="146"/>
    <n v="3"/>
    <x v="2"/>
    <x v="6"/>
    <x v="6"/>
    <x v="2"/>
    <x v="2"/>
  </r>
  <r>
    <s v="AX23378"/>
    <s v="ENX2088"/>
    <s v="A158"/>
    <s v="EMP1007"/>
    <s v="C1569"/>
    <x v="298"/>
    <n v="4"/>
    <n v="603"/>
    <n v="416"/>
    <n v="1664"/>
    <n v="2412"/>
    <n v="748"/>
    <s v="Product 89"/>
    <x v="58"/>
    <s v="Jeremy Mendoza"/>
    <x v="485"/>
    <n v="3"/>
    <x v="2"/>
    <x v="6"/>
    <x v="6"/>
    <x v="2"/>
    <x v="2"/>
  </r>
  <r>
    <s v="AX23637"/>
    <s v="ENX2041"/>
    <s v="A130"/>
    <s v="EMP1000"/>
    <s v="C1502"/>
    <x v="298"/>
    <n v="3"/>
    <n v="1380"/>
    <n v="1090"/>
    <n v="3270"/>
    <n v="4140"/>
    <n v="870"/>
    <s v="Product 42"/>
    <x v="4"/>
    <s v="Fred Robertson"/>
    <x v="364"/>
    <n v="3"/>
    <x v="2"/>
    <x v="6"/>
    <x v="6"/>
    <x v="2"/>
    <x v="2"/>
  </r>
  <r>
    <s v="AX24222"/>
    <s v="ENX2078"/>
    <s v="A153"/>
    <s v="EMP1034"/>
    <s v="C1386"/>
    <x v="298"/>
    <n v="4"/>
    <n v="1798"/>
    <n v="971"/>
    <n v="3884"/>
    <n v="7192"/>
    <n v="3308"/>
    <s v="Product 79"/>
    <x v="8"/>
    <s v="Arthur Mccoy"/>
    <x v="123"/>
    <n v="3"/>
    <x v="2"/>
    <x v="6"/>
    <x v="6"/>
    <x v="2"/>
    <x v="2"/>
  </r>
  <r>
    <s v="AX24269"/>
    <s v="ENX2070"/>
    <s v="A155"/>
    <s v="EMP1026"/>
    <s v="C1767"/>
    <x v="298"/>
    <n v="3"/>
    <n v="1671"/>
    <n v="1220"/>
    <n v="3660"/>
    <n v="5013"/>
    <n v="1353"/>
    <s v="Product 71"/>
    <x v="53"/>
    <s v="Martin Perry"/>
    <x v="4"/>
    <n v="3"/>
    <x v="2"/>
    <x v="6"/>
    <x v="6"/>
    <x v="2"/>
    <x v="2"/>
  </r>
  <r>
    <s v="AX24309"/>
    <s v="ENX2072"/>
    <s v="A143"/>
    <s v="EMP1006"/>
    <s v="C1128"/>
    <x v="301"/>
    <n v="1"/>
    <n v="1887"/>
    <n v="1378"/>
    <n v="1378"/>
    <n v="1887"/>
    <n v="509"/>
    <s v="Product 73"/>
    <x v="39"/>
    <s v="Sean Miller"/>
    <x v="553"/>
    <n v="3"/>
    <x v="2"/>
    <x v="6"/>
    <x v="6"/>
    <x v="2"/>
    <x v="2"/>
  </r>
  <r>
    <s v="AX10056"/>
    <s v="ENX2040"/>
    <s v="A118"/>
    <s v="EMP1007"/>
    <s v="C1160"/>
    <x v="302"/>
    <n v="4"/>
    <n v="1889"/>
    <n v="945"/>
    <n v="3780"/>
    <n v="7556"/>
    <n v="3776"/>
    <s v="Product 41"/>
    <x v="19"/>
    <s v="Jeremy Mendoza"/>
    <x v="566"/>
    <n v="3"/>
    <x v="2"/>
    <x v="7"/>
    <x v="7"/>
    <x v="2"/>
    <x v="0"/>
  </r>
  <r>
    <s v="AX10110"/>
    <s v="ENX2066"/>
    <s v="A107"/>
    <s v="EMP1013"/>
    <s v="C1342"/>
    <x v="303"/>
    <n v="4"/>
    <n v="2091"/>
    <n v="1485"/>
    <n v="5940"/>
    <n v="8364"/>
    <n v="2424"/>
    <s v="Product 67"/>
    <x v="21"/>
    <s v="Charles Harper"/>
    <x v="62"/>
    <n v="3"/>
    <x v="2"/>
    <x v="7"/>
    <x v="7"/>
    <x v="2"/>
    <x v="0"/>
  </r>
  <r>
    <s v="AX10789"/>
    <s v="ENX2037"/>
    <s v="A157"/>
    <s v="EMP1005"/>
    <s v="C1476"/>
    <x v="304"/>
    <n v="1"/>
    <n v="880"/>
    <n v="634"/>
    <n v="634"/>
    <n v="880"/>
    <n v="246"/>
    <s v="Product 38"/>
    <x v="7"/>
    <s v="Ryan Welch"/>
    <x v="207"/>
    <n v="3"/>
    <x v="2"/>
    <x v="7"/>
    <x v="7"/>
    <x v="2"/>
    <x v="0"/>
  </r>
  <r>
    <s v="AX11108"/>
    <s v="ENX2091"/>
    <s v="A148"/>
    <s v="EMP1010"/>
    <s v="C1644"/>
    <x v="305"/>
    <n v="1"/>
    <n v="368"/>
    <n v="294"/>
    <n v="294"/>
    <n v="368"/>
    <n v="74"/>
    <s v="Product 92"/>
    <x v="62"/>
    <s v="Joshua Cook"/>
    <x v="109"/>
    <n v="3"/>
    <x v="2"/>
    <x v="7"/>
    <x v="7"/>
    <x v="2"/>
    <x v="0"/>
  </r>
  <r>
    <s v="AX11148"/>
    <s v="ENX2063"/>
    <s v="A140"/>
    <s v="EMP1038"/>
    <s v="C1300"/>
    <x v="302"/>
    <n v="3"/>
    <n v="1708"/>
    <n v="871"/>
    <n v="2613"/>
    <n v="5124"/>
    <n v="2511"/>
    <s v="Product 64"/>
    <x v="18"/>
    <s v="Scott Mason"/>
    <x v="201"/>
    <n v="3"/>
    <x v="2"/>
    <x v="7"/>
    <x v="7"/>
    <x v="2"/>
    <x v="0"/>
  </r>
  <r>
    <s v="AX11162"/>
    <s v="ENX2043"/>
    <s v="A103"/>
    <s v="EMP1021"/>
    <s v="C1343"/>
    <x v="303"/>
    <n v="2"/>
    <n v="545"/>
    <n v="425"/>
    <n v="850"/>
    <n v="1090"/>
    <n v="240"/>
    <s v="Product 44"/>
    <x v="61"/>
    <s v="Clarence Fox"/>
    <x v="175"/>
    <n v="3"/>
    <x v="2"/>
    <x v="7"/>
    <x v="7"/>
    <x v="2"/>
    <x v="0"/>
  </r>
  <r>
    <s v="AX11331"/>
    <s v="ENX2059"/>
    <s v="A166"/>
    <s v="EMP1010"/>
    <s v="C1646"/>
    <x v="304"/>
    <n v="1"/>
    <n v="1494"/>
    <n v="971"/>
    <n v="971"/>
    <n v="1494"/>
    <n v="523"/>
    <s v="Product 60"/>
    <x v="70"/>
    <s v="Joshua Cook"/>
    <x v="789"/>
    <n v="3"/>
    <x v="2"/>
    <x v="7"/>
    <x v="7"/>
    <x v="2"/>
    <x v="0"/>
  </r>
  <r>
    <s v="AX11611"/>
    <s v="ENX2086"/>
    <s v="A166"/>
    <s v="EMP1039"/>
    <s v="C1202"/>
    <x v="304"/>
    <n v="1"/>
    <n v="123"/>
    <n v="84"/>
    <n v="84"/>
    <n v="123"/>
    <n v="39"/>
    <s v="Product 87"/>
    <x v="70"/>
    <s v="Eugene Holmes"/>
    <x v="3"/>
    <n v="3"/>
    <x v="2"/>
    <x v="7"/>
    <x v="7"/>
    <x v="2"/>
    <x v="0"/>
  </r>
  <r>
    <s v="AX11718"/>
    <s v="ENX2052"/>
    <s v="A117"/>
    <s v="EMP1023"/>
    <s v="C1535"/>
    <x v="305"/>
    <n v="1"/>
    <n v="1526"/>
    <n v="1251"/>
    <n v="1251"/>
    <n v="1526"/>
    <n v="275"/>
    <s v="Product 53"/>
    <x v="29"/>
    <s v="Brian Davis"/>
    <x v="85"/>
    <n v="3"/>
    <x v="2"/>
    <x v="7"/>
    <x v="7"/>
    <x v="2"/>
    <x v="0"/>
  </r>
  <r>
    <s v="AX11791"/>
    <s v="ENX2061"/>
    <s v="A128"/>
    <s v="EMP1043"/>
    <s v="C1653"/>
    <x v="302"/>
    <n v="1"/>
    <n v="913"/>
    <n v="584"/>
    <n v="584"/>
    <n v="913"/>
    <n v="329"/>
    <s v="Product 62"/>
    <x v="12"/>
    <s v="Joshua Taylor"/>
    <x v="187"/>
    <n v="3"/>
    <x v="2"/>
    <x v="7"/>
    <x v="7"/>
    <x v="2"/>
    <x v="0"/>
  </r>
  <r>
    <s v="AX12154"/>
    <s v="ENX2098"/>
    <s v="A120"/>
    <s v="EMP1000"/>
    <s v="C1237"/>
    <x v="305"/>
    <n v="1"/>
    <n v="1178"/>
    <n v="683"/>
    <n v="683"/>
    <n v="1178"/>
    <n v="495"/>
    <s v="Product 99"/>
    <x v="20"/>
    <s v="Fred Robertson"/>
    <x v="484"/>
    <n v="3"/>
    <x v="2"/>
    <x v="7"/>
    <x v="7"/>
    <x v="2"/>
    <x v="0"/>
  </r>
  <r>
    <s v="AX12443"/>
    <s v="ENX2097"/>
    <s v="A168"/>
    <s v="EMP1032"/>
    <s v="C1297"/>
    <x v="303"/>
    <n v="1"/>
    <n v="1052"/>
    <n v="589"/>
    <n v="589"/>
    <n v="1052"/>
    <n v="463"/>
    <s v="Product 98"/>
    <x v="40"/>
    <s v="Larry Castillo"/>
    <x v="537"/>
    <n v="3"/>
    <x v="2"/>
    <x v="7"/>
    <x v="7"/>
    <x v="2"/>
    <x v="0"/>
  </r>
  <r>
    <s v="AX13482"/>
    <s v="ENX2021"/>
    <s v="A117"/>
    <s v="EMP1001"/>
    <s v="C1411"/>
    <x v="303"/>
    <n v="1"/>
    <n v="217"/>
    <n v="171"/>
    <n v="171"/>
    <n v="217"/>
    <n v="46"/>
    <s v="Product 22"/>
    <x v="29"/>
    <s v="Kevin Butler"/>
    <x v="600"/>
    <n v="3"/>
    <x v="2"/>
    <x v="7"/>
    <x v="7"/>
    <x v="2"/>
    <x v="0"/>
  </r>
  <r>
    <s v="AX13625"/>
    <s v="ENX2025"/>
    <s v="A124"/>
    <s v="EMP1041"/>
    <s v="C1137"/>
    <x v="305"/>
    <n v="3"/>
    <n v="667"/>
    <n v="387"/>
    <n v="1161"/>
    <n v="2001"/>
    <n v="840"/>
    <s v="Product 26"/>
    <x v="67"/>
    <s v="Joe Sims"/>
    <x v="131"/>
    <n v="3"/>
    <x v="2"/>
    <x v="7"/>
    <x v="7"/>
    <x v="2"/>
    <x v="0"/>
  </r>
  <r>
    <s v="AX13942"/>
    <s v="ENX2028"/>
    <s v="A108"/>
    <s v="EMP1000"/>
    <s v="C1034"/>
    <x v="305"/>
    <n v="3"/>
    <n v="2283"/>
    <n v="1484"/>
    <n v="4452"/>
    <n v="6849"/>
    <n v="2397"/>
    <s v="Product 29"/>
    <x v="49"/>
    <s v="Fred Robertson"/>
    <x v="704"/>
    <n v="3"/>
    <x v="2"/>
    <x v="7"/>
    <x v="7"/>
    <x v="2"/>
    <x v="0"/>
  </r>
  <r>
    <s v="AX13977"/>
    <s v="ENX2087"/>
    <s v="A132"/>
    <s v="EMP1005"/>
    <s v="C1609"/>
    <x v="305"/>
    <n v="3"/>
    <n v="1022"/>
    <n v="818"/>
    <n v="2454"/>
    <n v="3066"/>
    <n v="612"/>
    <s v="Product 88"/>
    <x v="48"/>
    <s v="Ryan Welch"/>
    <x v="757"/>
    <n v="3"/>
    <x v="2"/>
    <x v="7"/>
    <x v="7"/>
    <x v="2"/>
    <x v="0"/>
  </r>
  <r>
    <s v="AX14258"/>
    <s v="ENX2006"/>
    <s v="A145"/>
    <s v="EMP1021"/>
    <s v="C1668"/>
    <x v="302"/>
    <n v="4"/>
    <n v="1826"/>
    <n v="1443"/>
    <n v="5772"/>
    <n v="7304"/>
    <n v="1532"/>
    <s v="Product 7"/>
    <x v="35"/>
    <s v="Clarence Fox"/>
    <x v="727"/>
    <n v="3"/>
    <x v="2"/>
    <x v="7"/>
    <x v="7"/>
    <x v="2"/>
    <x v="0"/>
  </r>
  <r>
    <s v="AX14361"/>
    <s v="ENX2058"/>
    <s v="A118"/>
    <s v="EMP1043"/>
    <s v="C1729"/>
    <x v="303"/>
    <n v="2"/>
    <n v="2257"/>
    <n v="1535"/>
    <n v="3070"/>
    <n v="4514"/>
    <n v="1444"/>
    <s v="Product 59"/>
    <x v="19"/>
    <s v="Joshua Taylor"/>
    <x v="268"/>
    <n v="3"/>
    <x v="2"/>
    <x v="7"/>
    <x v="7"/>
    <x v="2"/>
    <x v="0"/>
  </r>
  <r>
    <s v="AX14601"/>
    <s v="ENX2024"/>
    <s v="A143"/>
    <s v="EMP1041"/>
    <s v="C1675"/>
    <x v="303"/>
    <n v="1"/>
    <n v="356"/>
    <n v="292"/>
    <n v="292"/>
    <n v="356"/>
    <n v="64"/>
    <s v="Product 25"/>
    <x v="39"/>
    <s v="Joe Sims"/>
    <x v="453"/>
    <n v="3"/>
    <x v="2"/>
    <x v="7"/>
    <x v="7"/>
    <x v="2"/>
    <x v="0"/>
  </r>
  <r>
    <s v="AX14605"/>
    <s v="ENX2068"/>
    <s v="A166"/>
    <s v="EMP1007"/>
    <s v="C1769"/>
    <x v="302"/>
    <n v="2"/>
    <n v="1500"/>
    <n v="900"/>
    <n v="1800"/>
    <n v="3000"/>
    <n v="1200"/>
    <s v="Product 69"/>
    <x v="70"/>
    <s v="Jeremy Mendoza"/>
    <x v="269"/>
    <n v="3"/>
    <x v="2"/>
    <x v="7"/>
    <x v="7"/>
    <x v="2"/>
    <x v="0"/>
  </r>
  <r>
    <s v="AX14700"/>
    <s v="ENX2055"/>
    <s v="A159"/>
    <s v="EMP1041"/>
    <s v="C1095"/>
    <x v="302"/>
    <n v="1"/>
    <n v="2495"/>
    <n v="1896"/>
    <n v="1896"/>
    <n v="2495"/>
    <n v="599"/>
    <s v="Product 56"/>
    <x v="13"/>
    <s v="Joe Sims"/>
    <x v="240"/>
    <n v="3"/>
    <x v="2"/>
    <x v="7"/>
    <x v="7"/>
    <x v="2"/>
    <x v="0"/>
  </r>
  <r>
    <s v="AX15594"/>
    <s v="ENX2022"/>
    <s v="A139"/>
    <s v="EMP1015"/>
    <s v="C1151"/>
    <x v="302"/>
    <n v="1"/>
    <n v="561"/>
    <n v="421"/>
    <n v="421"/>
    <n v="561"/>
    <n v="140"/>
    <s v="Product 23"/>
    <x v="38"/>
    <s v="Justin Lynch"/>
    <x v="56"/>
    <n v="3"/>
    <x v="2"/>
    <x v="7"/>
    <x v="7"/>
    <x v="2"/>
    <x v="0"/>
  </r>
  <r>
    <s v="AX16665"/>
    <s v="ENX2056"/>
    <s v="A106"/>
    <s v="EMP1021"/>
    <s v="C1491"/>
    <x v="303"/>
    <n v="2"/>
    <n v="1635"/>
    <n v="1046"/>
    <n v="2092"/>
    <n v="3270"/>
    <n v="1178"/>
    <s v="Product 57"/>
    <x v="11"/>
    <s v="Clarence Fox"/>
    <x v="277"/>
    <n v="3"/>
    <x v="2"/>
    <x v="7"/>
    <x v="7"/>
    <x v="2"/>
    <x v="0"/>
  </r>
  <r>
    <s v="AX16676"/>
    <s v="ENX2029"/>
    <s v="A151"/>
    <s v="EMP1027"/>
    <s v="C1542"/>
    <x v="303"/>
    <n v="1"/>
    <n v="1848"/>
    <n v="1294"/>
    <n v="1294"/>
    <n v="1848"/>
    <n v="554"/>
    <s v="Product 30"/>
    <x v="1"/>
    <s v="Gary Rodriguez"/>
    <x v="712"/>
    <n v="3"/>
    <x v="2"/>
    <x v="7"/>
    <x v="7"/>
    <x v="2"/>
    <x v="0"/>
  </r>
  <r>
    <s v="AX16945"/>
    <s v="ENX2097"/>
    <s v="A106"/>
    <s v="EMP1024"/>
    <s v="C1055"/>
    <x v="304"/>
    <n v="2"/>
    <n v="1052"/>
    <n v="589"/>
    <n v="1178"/>
    <n v="2104"/>
    <n v="926"/>
    <s v="Product 98"/>
    <x v="11"/>
    <s v="Ernest Wheeler"/>
    <x v="593"/>
    <n v="3"/>
    <x v="2"/>
    <x v="7"/>
    <x v="7"/>
    <x v="2"/>
    <x v="0"/>
  </r>
  <r>
    <s v="AX16991"/>
    <s v="ENX2059"/>
    <s v="A104"/>
    <s v="EMP1005"/>
    <s v="C1228"/>
    <x v="303"/>
    <n v="3"/>
    <n v="1494"/>
    <n v="971"/>
    <n v="2913"/>
    <n v="4482"/>
    <n v="1569"/>
    <s v="Product 60"/>
    <x v="50"/>
    <s v="Ryan Welch"/>
    <x v="530"/>
    <n v="3"/>
    <x v="2"/>
    <x v="7"/>
    <x v="7"/>
    <x v="2"/>
    <x v="0"/>
  </r>
  <r>
    <s v="AX17096"/>
    <s v="ENX2003"/>
    <s v="A163"/>
    <s v="EMP1027"/>
    <s v="C1240"/>
    <x v="303"/>
    <n v="1"/>
    <n v="1783"/>
    <n v="1516"/>
    <n v="1516"/>
    <n v="1783"/>
    <n v="267"/>
    <s v="Product 4"/>
    <x v="51"/>
    <s v="Gary Rodriguez"/>
    <x v="455"/>
    <n v="3"/>
    <x v="2"/>
    <x v="7"/>
    <x v="7"/>
    <x v="2"/>
    <x v="0"/>
  </r>
  <r>
    <s v="AX17513"/>
    <s v="ENX2004"/>
    <s v="A171"/>
    <s v="EMP1012"/>
    <s v="C1254"/>
    <x v="305"/>
    <n v="3"/>
    <n v="1278"/>
    <n v="665"/>
    <n v="1995"/>
    <n v="3834"/>
    <n v="1839"/>
    <s v="Product 5"/>
    <x v="0"/>
    <s v="John Reyes"/>
    <x v="104"/>
    <n v="3"/>
    <x v="2"/>
    <x v="7"/>
    <x v="7"/>
    <x v="2"/>
    <x v="0"/>
  </r>
  <r>
    <s v="AX18356"/>
    <s v="ENX2033"/>
    <s v="A161"/>
    <s v="EMP1025"/>
    <s v="C1532"/>
    <x v="305"/>
    <n v="1"/>
    <n v="2182"/>
    <n v="1200"/>
    <n v="1200"/>
    <n v="2182"/>
    <n v="982"/>
    <s v="Product 34"/>
    <x v="6"/>
    <s v="Ernest Wagner"/>
    <x v="103"/>
    <n v="3"/>
    <x v="2"/>
    <x v="7"/>
    <x v="7"/>
    <x v="2"/>
    <x v="0"/>
  </r>
  <r>
    <s v="AX18544"/>
    <s v="ENX2022"/>
    <s v="A104"/>
    <s v="EMP1044"/>
    <s v="C1389"/>
    <x v="302"/>
    <n v="1"/>
    <n v="561"/>
    <n v="421"/>
    <n v="421"/>
    <n v="561"/>
    <n v="140"/>
    <s v="Product 23"/>
    <x v="50"/>
    <s v="Martin Carr"/>
    <x v="38"/>
    <n v="3"/>
    <x v="2"/>
    <x v="7"/>
    <x v="7"/>
    <x v="2"/>
    <x v="0"/>
  </r>
  <r>
    <s v="AX18604"/>
    <s v="ENX2025"/>
    <s v="A117"/>
    <s v="EMP1013"/>
    <s v="C1450"/>
    <x v="304"/>
    <n v="1"/>
    <n v="667"/>
    <n v="387"/>
    <n v="387"/>
    <n v="667"/>
    <n v="280"/>
    <s v="Product 26"/>
    <x v="29"/>
    <s v="Charles Harper"/>
    <x v="13"/>
    <n v="3"/>
    <x v="2"/>
    <x v="7"/>
    <x v="7"/>
    <x v="2"/>
    <x v="0"/>
  </r>
  <r>
    <s v="AX18985"/>
    <s v="ENX2023"/>
    <s v="A113"/>
    <s v="EMP1001"/>
    <s v="C1645"/>
    <x v="302"/>
    <n v="3"/>
    <n v="818"/>
    <n v="450"/>
    <n v="1350"/>
    <n v="2454"/>
    <n v="1104"/>
    <s v="Product 24"/>
    <x v="73"/>
    <s v="Kevin Butler"/>
    <x v="128"/>
    <n v="3"/>
    <x v="2"/>
    <x v="7"/>
    <x v="7"/>
    <x v="2"/>
    <x v="0"/>
  </r>
  <r>
    <s v="AX19200"/>
    <s v="ENX2057"/>
    <s v="A106"/>
    <s v="EMP1035"/>
    <s v="C1379"/>
    <x v="305"/>
    <n v="1"/>
    <n v="181"/>
    <n v="130"/>
    <n v="130"/>
    <n v="181"/>
    <n v="51"/>
    <s v="Product 58"/>
    <x v="11"/>
    <s v="Roger Ramos"/>
    <x v="549"/>
    <n v="3"/>
    <x v="2"/>
    <x v="7"/>
    <x v="7"/>
    <x v="2"/>
    <x v="0"/>
  </r>
  <r>
    <s v="AX19480"/>
    <s v="ENX2009"/>
    <s v="A139"/>
    <s v="EMP1006"/>
    <s v="C1491"/>
    <x v="304"/>
    <n v="1"/>
    <n v="584"/>
    <n v="420"/>
    <n v="420"/>
    <n v="584"/>
    <n v="164"/>
    <s v="Product 10"/>
    <x v="38"/>
    <s v="Sean Miller"/>
    <x v="277"/>
    <n v="3"/>
    <x v="2"/>
    <x v="7"/>
    <x v="7"/>
    <x v="2"/>
    <x v="0"/>
  </r>
  <r>
    <s v="AX19794"/>
    <s v="ENX2055"/>
    <s v="A146"/>
    <s v="EMP1012"/>
    <s v="C1168"/>
    <x v="302"/>
    <n v="3"/>
    <n v="2495"/>
    <n v="1896"/>
    <n v="5688"/>
    <n v="7485"/>
    <n v="1797"/>
    <s v="Product 56"/>
    <x v="27"/>
    <s v="John Reyes"/>
    <x v="532"/>
    <n v="3"/>
    <x v="2"/>
    <x v="7"/>
    <x v="7"/>
    <x v="2"/>
    <x v="0"/>
  </r>
  <r>
    <s v="AX20031"/>
    <s v="ENX2049"/>
    <s v="A157"/>
    <s v="EMP1006"/>
    <s v="C1204"/>
    <x v="303"/>
    <n v="1"/>
    <n v="826"/>
    <n v="562"/>
    <n v="562"/>
    <n v="826"/>
    <n v="264"/>
    <s v="Product 50"/>
    <x v="7"/>
    <s v="Sean Miller"/>
    <x v="654"/>
    <n v="3"/>
    <x v="2"/>
    <x v="7"/>
    <x v="7"/>
    <x v="2"/>
    <x v="0"/>
  </r>
  <r>
    <s v="AX20078"/>
    <s v="ENX2098"/>
    <s v="A102"/>
    <s v="EMP1033"/>
    <s v="C1228"/>
    <x v="302"/>
    <n v="2"/>
    <n v="1178"/>
    <n v="683"/>
    <n v="1366"/>
    <n v="2356"/>
    <n v="990"/>
    <s v="Product 99"/>
    <x v="44"/>
    <s v="Jerry Perry"/>
    <x v="530"/>
    <n v="3"/>
    <x v="2"/>
    <x v="7"/>
    <x v="7"/>
    <x v="2"/>
    <x v="0"/>
  </r>
  <r>
    <s v="AX20113"/>
    <s v="ENX2093"/>
    <s v="A110"/>
    <s v="EMP1012"/>
    <s v="C1753"/>
    <x v="302"/>
    <n v="1"/>
    <n v="112"/>
    <n v="90"/>
    <n v="90"/>
    <n v="112"/>
    <n v="22"/>
    <s v="Product 94"/>
    <x v="63"/>
    <s v="John Reyes"/>
    <x v="696"/>
    <n v="3"/>
    <x v="2"/>
    <x v="7"/>
    <x v="7"/>
    <x v="2"/>
    <x v="0"/>
  </r>
  <r>
    <s v="AX20333"/>
    <s v="ENX2028"/>
    <s v="A103"/>
    <s v="EMP1040"/>
    <s v="C1039"/>
    <x v="303"/>
    <n v="1"/>
    <n v="2283"/>
    <n v="1484"/>
    <n v="1484"/>
    <n v="2283"/>
    <n v="799"/>
    <s v="Product 29"/>
    <x v="61"/>
    <s v="Patrick Ruiz"/>
    <x v="574"/>
    <n v="3"/>
    <x v="2"/>
    <x v="7"/>
    <x v="7"/>
    <x v="2"/>
    <x v="0"/>
  </r>
  <r>
    <s v="AX20689"/>
    <s v="ENX2074"/>
    <s v="A130"/>
    <s v="EMP1008"/>
    <s v="C1661"/>
    <x v="304"/>
    <n v="2"/>
    <n v="504"/>
    <n v="408"/>
    <n v="816"/>
    <n v="1008"/>
    <n v="192"/>
    <s v="Product 75"/>
    <x v="4"/>
    <s v="Carl Elliott"/>
    <x v="767"/>
    <n v="3"/>
    <x v="2"/>
    <x v="7"/>
    <x v="7"/>
    <x v="2"/>
    <x v="0"/>
  </r>
  <r>
    <s v="AX20851"/>
    <s v="ENX2084"/>
    <s v="A108"/>
    <s v="EMP1007"/>
    <s v="C1799"/>
    <x v="303"/>
    <n v="4"/>
    <n v="1783"/>
    <n v="1230"/>
    <n v="4920"/>
    <n v="7132"/>
    <n v="2212"/>
    <s v="Product 85"/>
    <x v="49"/>
    <s v="Jeremy Mendoza"/>
    <x v="390"/>
    <n v="3"/>
    <x v="2"/>
    <x v="7"/>
    <x v="7"/>
    <x v="2"/>
    <x v="0"/>
  </r>
  <r>
    <s v="AX20899"/>
    <s v="ENX2050"/>
    <s v="A141"/>
    <s v="EMP1037"/>
    <s v="C1041"/>
    <x v="305"/>
    <n v="4"/>
    <n v="2391"/>
    <n v="1291"/>
    <n v="5164"/>
    <n v="9564"/>
    <n v="4400"/>
    <s v="Product 51"/>
    <x v="23"/>
    <s v="Carl Hall"/>
    <x v="29"/>
    <n v="3"/>
    <x v="2"/>
    <x v="7"/>
    <x v="7"/>
    <x v="2"/>
    <x v="0"/>
  </r>
  <r>
    <s v="AX21083"/>
    <s v="ENX2099"/>
    <s v="A161"/>
    <s v="EMP1010"/>
    <s v="C1495"/>
    <x v="305"/>
    <n v="2"/>
    <n v="1367"/>
    <n v="984"/>
    <n v="1968"/>
    <n v="2734"/>
    <n v="766"/>
    <s v="Product 100"/>
    <x v="6"/>
    <s v="Joshua Cook"/>
    <x v="780"/>
    <n v="3"/>
    <x v="2"/>
    <x v="7"/>
    <x v="7"/>
    <x v="2"/>
    <x v="0"/>
  </r>
  <r>
    <s v="AX21547"/>
    <s v="ENX2013"/>
    <s v="A126"/>
    <s v="EMP1018"/>
    <s v="C1382"/>
    <x v="302"/>
    <n v="2"/>
    <n v="368"/>
    <n v="269"/>
    <n v="538"/>
    <n v="736"/>
    <n v="198"/>
    <s v="Product 14"/>
    <x v="5"/>
    <s v="Jimmy Young"/>
    <x v="334"/>
    <n v="3"/>
    <x v="2"/>
    <x v="7"/>
    <x v="7"/>
    <x v="2"/>
    <x v="0"/>
  </r>
  <r>
    <s v="AX21633"/>
    <s v="ENX2054"/>
    <s v="A159"/>
    <s v="EMP1008"/>
    <s v="C1259"/>
    <x v="302"/>
    <n v="4"/>
    <n v="127"/>
    <n v="79"/>
    <n v="316"/>
    <n v="508"/>
    <n v="192"/>
    <s v="Product 55"/>
    <x v="13"/>
    <s v="Carl Elliott"/>
    <x v="475"/>
    <n v="3"/>
    <x v="2"/>
    <x v="7"/>
    <x v="7"/>
    <x v="2"/>
    <x v="0"/>
  </r>
  <r>
    <s v="AX21708"/>
    <s v="ENX2059"/>
    <s v="A148"/>
    <s v="EMP1035"/>
    <s v="C1602"/>
    <x v="303"/>
    <n v="3"/>
    <n v="1494"/>
    <n v="971"/>
    <n v="2913"/>
    <n v="4482"/>
    <n v="1569"/>
    <s v="Product 60"/>
    <x v="62"/>
    <s v="Roger Ramos"/>
    <x v="749"/>
    <n v="3"/>
    <x v="2"/>
    <x v="7"/>
    <x v="7"/>
    <x v="2"/>
    <x v="0"/>
  </r>
  <r>
    <s v="AX21991"/>
    <s v="ENX2031"/>
    <s v="A138"/>
    <s v="EMP1021"/>
    <s v="C1742"/>
    <x v="304"/>
    <n v="2"/>
    <n v="1638"/>
    <n v="1261"/>
    <n v="2522"/>
    <n v="3276"/>
    <n v="754"/>
    <s v="Product 32"/>
    <x v="37"/>
    <s v="Clarence Fox"/>
    <x v="434"/>
    <n v="3"/>
    <x v="2"/>
    <x v="7"/>
    <x v="7"/>
    <x v="2"/>
    <x v="0"/>
  </r>
  <r>
    <s v="AX22405"/>
    <s v="ENX2035"/>
    <s v="A130"/>
    <s v="EMP1015"/>
    <s v="C1611"/>
    <x v="302"/>
    <n v="3"/>
    <n v="458"/>
    <n v="376"/>
    <n v="1128"/>
    <n v="1374"/>
    <n v="246"/>
    <s v="Product 36"/>
    <x v="4"/>
    <s v="Justin Lynch"/>
    <x v="306"/>
    <n v="3"/>
    <x v="2"/>
    <x v="7"/>
    <x v="7"/>
    <x v="2"/>
    <x v="0"/>
  </r>
  <r>
    <s v="AX22496"/>
    <s v="ENX2000"/>
    <s v="A127"/>
    <s v="EMP1025"/>
    <s v="C1405"/>
    <x v="302"/>
    <n v="1"/>
    <n v="2241"/>
    <n v="1367"/>
    <n v="1367"/>
    <n v="2241"/>
    <n v="874"/>
    <s v="Product 1"/>
    <x v="69"/>
    <s v="Ernest Wagner"/>
    <x v="544"/>
    <n v="3"/>
    <x v="2"/>
    <x v="7"/>
    <x v="7"/>
    <x v="2"/>
    <x v="0"/>
  </r>
  <r>
    <s v="AX22562"/>
    <s v="ENX2026"/>
    <s v="A116"/>
    <s v="EMP1043"/>
    <s v="C1619"/>
    <x v="303"/>
    <n v="2"/>
    <n v="947"/>
    <n v="786"/>
    <n v="1572"/>
    <n v="1894"/>
    <n v="322"/>
    <s v="Product 27"/>
    <x v="15"/>
    <s v="Joshua Taylor"/>
    <x v="77"/>
    <n v="3"/>
    <x v="2"/>
    <x v="7"/>
    <x v="7"/>
    <x v="2"/>
    <x v="0"/>
  </r>
  <r>
    <s v="AX22611"/>
    <s v="ENX2065"/>
    <s v="A153"/>
    <s v="EMP1006"/>
    <s v="C1659"/>
    <x v="303"/>
    <n v="2"/>
    <n v="2396"/>
    <n v="1965"/>
    <n v="3930"/>
    <n v="4792"/>
    <n v="862"/>
    <s v="Product 66"/>
    <x v="8"/>
    <s v="Sean Miller"/>
    <x v="51"/>
    <n v="3"/>
    <x v="2"/>
    <x v="7"/>
    <x v="7"/>
    <x v="2"/>
    <x v="0"/>
  </r>
  <r>
    <s v="AX22854"/>
    <s v="ENX2086"/>
    <s v="A158"/>
    <s v="EMP1023"/>
    <s v="C1378"/>
    <x v="303"/>
    <n v="3"/>
    <n v="123"/>
    <n v="84"/>
    <n v="252"/>
    <n v="369"/>
    <n v="117"/>
    <s v="Product 87"/>
    <x v="58"/>
    <s v="Brian Davis"/>
    <x v="787"/>
    <n v="3"/>
    <x v="2"/>
    <x v="7"/>
    <x v="7"/>
    <x v="2"/>
    <x v="0"/>
  </r>
  <r>
    <s v="AX23713"/>
    <s v="ENX2025"/>
    <s v="A168"/>
    <s v="EMP1037"/>
    <s v="C1568"/>
    <x v="302"/>
    <n v="1"/>
    <n v="667"/>
    <n v="387"/>
    <n v="387"/>
    <n v="667"/>
    <n v="280"/>
    <s v="Product 26"/>
    <x v="40"/>
    <s v="Carl Hall"/>
    <x v="551"/>
    <n v="3"/>
    <x v="2"/>
    <x v="7"/>
    <x v="7"/>
    <x v="2"/>
    <x v="0"/>
  </r>
  <r>
    <s v="AX23962"/>
    <s v="ENX2036"/>
    <s v="A166"/>
    <s v="EMP1044"/>
    <s v="C1303"/>
    <x v="304"/>
    <n v="1"/>
    <n v="1582"/>
    <n v="1234"/>
    <n v="1234"/>
    <n v="1582"/>
    <n v="348"/>
    <s v="Product 37"/>
    <x v="70"/>
    <s v="Martin Carr"/>
    <x v="531"/>
    <n v="3"/>
    <x v="2"/>
    <x v="7"/>
    <x v="7"/>
    <x v="2"/>
    <x v="0"/>
  </r>
  <r>
    <s v="AX24448"/>
    <s v="ENX2045"/>
    <s v="A141"/>
    <s v="EMP1001"/>
    <s v="C1306"/>
    <x v="305"/>
    <n v="1"/>
    <n v="556"/>
    <n v="395"/>
    <n v="395"/>
    <n v="556"/>
    <n v="161"/>
    <s v="Product 46"/>
    <x v="23"/>
    <s v="Kevin Butler"/>
    <x v="692"/>
    <n v="3"/>
    <x v="2"/>
    <x v="7"/>
    <x v="7"/>
    <x v="2"/>
    <x v="0"/>
  </r>
  <r>
    <s v="AX24665"/>
    <s v="ENX2007"/>
    <s v="A131"/>
    <s v="EMP1013"/>
    <s v="C1376"/>
    <x v="305"/>
    <n v="3"/>
    <n v="1405"/>
    <n v="1054"/>
    <n v="3162"/>
    <n v="4215"/>
    <n v="1053"/>
    <s v="Product 8"/>
    <x v="32"/>
    <s v="Charles Harper"/>
    <x v="356"/>
    <n v="3"/>
    <x v="2"/>
    <x v="7"/>
    <x v="7"/>
    <x v="2"/>
    <x v="0"/>
  </r>
  <r>
    <s v="AX24723"/>
    <s v="ENX2064"/>
    <s v="A108"/>
    <s v="EMP1001"/>
    <s v="C1799"/>
    <x v="303"/>
    <n v="1"/>
    <n v="1414"/>
    <n v="962"/>
    <n v="962"/>
    <n v="1414"/>
    <n v="452"/>
    <s v="Product 65"/>
    <x v="49"/>
    <s v="Kevin Butler"/>
    <x v="390"/>
    <n v="3"/>
    <x v="2"/>
    <x v="7"/>
    <x v="7"/>
    <x v="2"/>
    <x v="0"/>
  </r>
  <r>
    <s v="AX24858"/>
    <s v="ENX2093"/>
    <s v="A141"/>
    <s v="EMP1006"/>
    <s v="C1531"/>
    <x v="304"/>
    <n v="4"/>
    <n v="112"/>
    <n v="90"/>
    <n v="360"/>
    <n v="448"/>
    <n v="88"/>
    <s v="Product 94"/>
    <x v="23"/>
    <s v="Sean Miller"/>
    <x v="743"/>
    <n v="3"/>
    <x v="2"/>
    <x v="7"/>
    <x v="7"/>
    <x v="2"/>
    <x v="0"/>
  </r>
  <r>
    <s v="AX10149"/>
    <s v="ENX2093"/>
    <s v="A119"/>
    <s v="EMP1007"/>
    <s v="C1666"/>
    <x v="306"/>
    <n v="3"/>
    <n v="112"/>
    <n v="90"/>
    <n v="270"/>
    <n v="336"/>
    <n v="66"/>
    <s v="Product 94"/>
    <x v="16"/>
    <s v="Jeremy Mendoza"/>
    <x v="473"/>
    <n v="3"/>
    <x v="2"/>
    <x v="7"/>
    <x v="7"/>
    <x v="2"/>
    <x v="2"/>
  </r>
  <r>
    <s v="AX10348"/>
    <s v="ENX2018"/>
    <s v="A131"/>
    <s v="EMP1020"/>
    <s v="C1019"/>
    <x v="307"/>
    <n v="2"/>
    <n v="1972"/>
    <n v="1321"/>
    <n v="2642"/>
    <n v="3944"/>
    <n v="1302"/>
    <s v="Product 19"/>
    <x v="32"/>
    <s v="Ryan Butler"/>
    <x v="503"/>
    <n v="3"/>
    <x v="2"/>
    <x v="7"/>
    <x v="7"/>
    <x v="2"/>
    <x v="2"/>
  </r>
  <r>
    <s v="AX10499"/>
    <s v="ENX2027"/>
    <s v="A142"/>
    <s v="EMP1013"/>
    <s v="C1793"/>
    <x v="308"/>
    <n v="3"/>
    <n v="2497"/>
    <n v="1473"/>
    <n v="4419"/>
    <n v="7491"/>
    <n v="3072"/>
    <s v="Product 28"/>
    <x v="56"/>
    <s v="Charles Harper"/>
    <x v="677"/>
    <n v="3"/>
    <x v="2"/>
    <x v="7"/>
    <x v="7"/>
    <x v="2"/>
    <x v="2"/>
  </r>
  <r>
    <s v="AX10752"/>
    <s v="ENX2099"/>
    <s v="A137"/>
    <s v="EMP1023"/>
    <s v="C1419"/>
    <x v="306"/>
    <n v="1"/>
    <n v="1367"/>
    <n v="984"/>
    <n v="984"/>
    <n v="1367"/>
    <n v="383"/>
    <s v="Product 100"/>
    <x v="68"/>
    <s v="Brian Davis"/>
    <x v="163"/>
    <n v="3"/>
    <x v="2"/>
    <x v="7"/>
    <x v="7"/>
    <x v="2"/>
    <x v="2"/>
  </r>
  <r>
    <s v="AX10854"/>
    <s v="ENX2006"/>
    <s v="A163"/>
    <s v="EMP1008"/>
    <s v="C1276"/>
    <x v="306"/>
    <n v="1"/>
    <n v="1826"/>
    <n v="1443"/>
    <n v="1443"/>
    <n v="1826"/>
    <n v="383"/>
    <s v="Product 7"/>
    <x v="51"/>
    <s v="Carl Elliott"/>
    <x v="773"/>
    <n v="3"/>
    <x v="2"/>
    <x v="7"/>
    <x v="7"/>
    <x v="2"/>
    <x v="2"/>
  </r>
  <r>
    <s v="AX11032"/>
    <s v="ENX2086"/>
    <s v="A138"/>
    <s v="EMP1019"/>
    <s v="C1469"/>
    <x v="309"/>
    <n v="4"/>
    <n v="123"/>
    <n v="84"/>
    <n v="336"/>
    <n v="492"/>
    <n v="156"/>
    <s v="Product 87"/>
    <x v="37"/>
    <s v="Roger Robertson"/>
    <x v="300"/>
    <n v="3"/>
    <x v="2"/>
    <x v="7"/>
    <x v="7"/>
    <x v="2"/>
    <x v="2"/>
  </r>
  <r>
    <s v="AX11635"/>
    <s v="ENX2099"/>
    <s v="A148"/>
    <s v="EMP1032"/>
    <s v="C1654"/>
    <x v="308"/>
    <n v="2"/>
    <n v="1367"/>
    <n v="984"/>
    <n v="1968"/>
    <n v="2734"/>
    <n v="766"/>
    <s v="Product 100"/>
    <x v="62"/>
    <s v="Larry Castillo"/>
    <x v="351"/>
    <n v="3"/>
    <x v="2"/>
    <x v="7"/>
    <x v="7"/>
    <x v="2"/>
    <x v="2"/>
  </r>
  <r>
    <s v="AX11751"/>
    <s v="ENX2002"/>
    <s v="A158"/>
    <s v="EMP1044"/>
    <s v="C1143"/>
    <x v="309"/>
    <n v="2"/>
    <n v="847"/>
    <n v="534"/>
    <n v="1068"/>
    <n v="1694"/>
    <n v="626"/>
    <s v="Product 3"/>
    <x v="58"/>
    <s v="Martin Carr"/>
    <x v="557"/>
    <n v="3"/>
    <x v="2"/>
    <x v="7"/>
    <x v="7"/>
    <x v="2"/>
    <x v="2"/>
  </r>
  <r>
    <s v="AX11764"/>
    <s v="ENX2018"/>
    <s v="A149"/>
    <s v="EMP1007"/>
    <s v="C1529"/>
    <x v="307"/>
    <n v="3"/>
    <n v="1972"/>
    <n v="1321"/>
    <n v="3963"/>
    <n v="5916"/>
    <n v="1953"/>
    <s v="Product 19"/>
    <x v="59"/>
    <s v="Jeremy Mendoza"/>
    <x v="247"/>
    <n v="3"/>
    <x v="2"/>
    <x v="7"/>
    <x v="7"/>
    <x v="2"/>
    <x v="2"/>
  </r>
  <r>
    <s v="AX12188"/>
    <s v="ENX2041"/>
    <s v="A128"/>
    <s v="EMP1036"/>
    <s v="C1712"/>
    <x v="307"/>
    <n v="1"/>
    <n v="1380"/>
    <n v="1090"/>
    <n v="1090"/>
    <n v="1380"/>
    <n v="290"/>
    <s v="Product 42"/>
    <x v="12"/>
    <s v="Robert Reed"/>
    <x v="21"/>
    <n v="3"/>
    <x v="2"/>
    <x v="7"/>
    <x v="7"/>
    <x v="2"/>
    <x v="2"/>
  </r>
  <r>
    <s v="AX12331"/>
    <s v="ENX2064"/>
    <s v="A124"/>
    <s v="EMP1010"/>
    <s v="C1376"/>
    <x v="307"/>
    <n v="1"/>
    <n v="1414"/>
    <n v="962"/>
    <n v="962"/>
    <n v="1414"/>
    <n v="452"/>
    <s v="Product 65"/>
    <x v="67"/>
    <s v="Joshua Cook"/>
    <x v="356"/>
    <n v="3"/>
    <x v="2"/>
    <x v="7"/>
    <x v="7"/>
    <x v="2"/>
    <x v="2"/>
  </r>
  <r>
    <s v="AX12521"/>
    <s v="ENX2053"/>
    <s v="A117"/>
    <s v="EMP1018"/>
    <s v="C1352"/>
    <x v="307"/>
    <n v="1"/>
    <n v="596"/>
    <n v="358"/>
    <n v="358"/>
    <n v="596"/>
    <n v="238"/>
    <s v="Product 54"/>
    <x v="29"/>
    <s v="Jimmy Young"/>
    <x v="20"/>
    <n v="3"/>
    <x v="2"/>
    <x v="7"/>
    <x v="7"/>
    <x v="2"/>
    <x v="2"/>
  </r>
  <r>
    <s v="AX12690"/>
    <s v="ENX2021"/>
    <s v="A102"/>
    <s v="EMP1000"/>
    <s v="C1410"/>
    <x v="309"/>
    <n v="1"/>
    <n v="217"/>
    <n v="171"/>
    <n v="171"/>
    <n v="217"/>
    <n v="46"/>
    <s v="Product 22"/>
    <x v="44"/>
    <s v="Fred Robertson"/>
    <x v="112"/>
    <n v="3"/>
    <x v="2"/>
    <x v="7"/>
    <x v="7"/>
    <x v="2"/>
    <x v="2"/>
  </r>
  <r>
    <s v="AX12718"/>
    <s v="ENX2034"/>
    <s v="A139"/>
    <s v="EMP1025"/>
    <s v="C1633"/>
    <x v="308"/>
    <n v="2"/>
    <n v="871"/>
    <n v="540"/>
    <n v="1080"/>
    <n v="1742"/>
    <n v="662"/>
    <s v="Product 35"/>
    <x v="38"/>
    <s v="Ernest Wagner"/>
    <x v="558"/>
    <n v="3"/>
    <x v="2"/>
    <x v="7"/>
    <x v="7"/>
    <x v="2"/>
    <x v="2"/>
  </r>
  <r>
    <s v="AX12974"/>
    <s v="ENX2020"/>
    <s v="A102"/>
    <s v="EMP1018"/>
    <s v="C1015"/>
    <x v="306"/>
    <n v="1"/>
    <n v="2005"/>
    <n v="1223"/>
    <n v="1223"/>
    <n v="2005"/>
    <n v="782"/>
    <s v="Product 21"/>
    <x v="44"/>
    <s v="Jimmy Young"/>
    <x v="583"/>
    <n v="3"/>
    <x v="2"/>
    <x v="7"/>
    <x v="7"/>
    <x v="2"/>
    <x v="2"/>
  </r>
  <r>
    <s v="AX13221"/>
    <s v="ENX2026"/>
    <s v="A148"/>
    <s v="EMP1043"/>
    <s v="C1628"/>
    <x v="309"/>
    <n v="3"/>
    <n v="947"/>
    <n v="786"/>
    <n v="2358"/>
    <n v="2841"/>
    <n v="483"/>
    <s v="Product 27"/>
    <x v="62"/>
    <s v="Joshua Taylor"/>
    <x v="161"/>
    <n v="3"/>
    <x v="2"/>
    <x v="7"/>
    <x v="7"/>
    <x v="2"/>
    <x v="2"/>
  </r>
  <r>
    <s v="AX13680"/>
    <s v="ENX2066"/>
    <s v="A103"/>
    <s v="EMP1038"/>
    <s v="C1744"/>
    <x v="306"/>
    <n v="3"/>
    <n v="2091"/>
    <n v="1485"/>
    <n v="4455"/>
    <n v="6273"/>
    <n v="1818"/>
    <s v="Product 67"/>
    <x v="61"/>
    <s v="Scott Mason"/>
    <x v="500"/>
    <n v="3"/>
    <x v="2"/>
    <x v="7"/>
    <x v="7"/>
    <x v="2"/>
    <x v="2"/>
  </r>
  <r>
    <s v="AX14316"/>
    <s v="ENX2099"/>
    <s v="A148"/>
    <s v="EMP1042"/>
    <s v="C1493"/>
    <x v="307"/>
    <n v="4"/>
    <n v="1367"/>
    <n v="984"/>
    <n v="3936"/>
    <n v="5468"/>
    <n v="1532"/>
    <s v="Product 100"/>
    <x v="62"/>
    <s v="Scott Clark"/>
    <x v="380"/>
    <n v="3"/>
    <x v="2"/>
    <x v="7"/>
    <x v="7"/>
    <x v="2"/>
    <x v="2"/>
  </r>
  <r>
    <s v="AX14352"/>
    <s v="ENX2043"/>
    <s v="A145"/>
    <s v="EMP1038"/>
    <s v="C1168"/>
    <x v="307"/>
    <n v="1"/>
    <n v="545"/>
    <n v="425"/>
    <n v="425"/>
    <n v="545"/>
    <n v="120"/>
    <s v="Product 44"/>
    <x v="35"/>
    <s v="Scott Mason"/>
    <x v="532"/>
    <n v="3"/>
    <x v="2"/>
    <x v="7"/>
    <x v="7"/>
    <x v="2"/>
    <x v="2"/>
  </r>
  <r>
    <s v="AX14564"/>
    <s v="ENX2022"/>
    <s v="A164"/>
    <s v="EMP1033"/>
    <s v="C1110"/>
    <x v="308"/>
    <n v="1"/>
    <n v="561"/>
    <n v="421"/>
    <n v="421"/>
    <n v="561"/>
    <n v="140"/>
    <s v="Product 23"/>
    <x v="3"/>
    <s v="Jerry Perry"/>
    <x v="620"/>
    <n v="3"/>
    <x v="2"/>
    <x v="7"/>
    <x v="7"/>
    <x v="2"/>
    <x v="2"/>
  </r>
  <r>
    <s v="AX14820"/>
    <s v="ENX2024"/>
    <s v="A165"/>
    <s v="EMP1024"/>
    <s v="C1211"/>
    <x v="308"/>
    <n v="4"/>
    <n v="356"/>
    <n v="292"/>
    <n v="1168"/>
    <n v="1424"/>
    <n v="256"/>
    <s v="Product 25"/>
    <x v="55"/>
    <s v="Ernest Wheeler"/>
    <x v="137"/>
    <n v="3"/>
    <x v="2"/>
    <x v="7"/>
    <x v="7"/>
    <x v="2"/>
    <x v="2"/>
  </r>
  <r>
    <s v="AX16004"/>
    <s v="ENX2049"/>
    <s v="A153"/>
    <s v="EMP1004"/>
    <s v="C1742"/>
    <x v="309"/>
    <n v="4"/>
    <n v="826"/>
    <n v="562"/>
    <n v="2248"/>
    <n v="3304"/>
    <n v="1056"/>
    <s v="Product 50"/>
    <x v="8"/>
    <s v="Kenneth Bradley"/>
    <x v="434"/>
    <n v="3"/>
    <x v="2"/>
    <x v="7"/>
    <x v="7"/>
    <x v="2"/>
    <x v="2"/>
  </r>
  <r>
    <s v="AX16215"/>
    <s v="ENX2094"/>
    <s v="A164"/>
    <s v="EMP1017"/>
    <s v="C1235"/>
    <x v="308"/>
    <n v="1"/>
    <n v="771"/>
    <n v="648"/>
    <n v="648"/>
    <n v="771"/>
    <n v="123"/>
    <s v="Product 95"/>
    <x v="3"/>
    <s v="Brian Hansen"/>
    <x v="353"/>
    <n v="3"/>
    <x v="2"/>
    <x v="7"/>
    <x v="7"/>
    <x v="2"/>
    <x v="2"/>
  </r>
  <r>
    <s v="AX16590"/>
    <s v="ENX2028"/>
    <s v="A145"/>
    <s v="EMP1002"/>
    <s v="C1645"/>
    <x v="307"/>
    <n v="3"/>
    <n v="2283"/>
    <n v="1484"/>
    <n v="4452"/>
    <n v="6849"/>
    <n v="2397"/>
    <s v="Product 29"/>
    <x v="35"/>
    <s v="Andrew Bowman"/>
    <x v="128"/>
    <n v="3"/>
    <x v="2"/>
    <x v="7"/>
    <x v="7"/>
    <x v="2"/>
    <x v="2"/>
  </r>
  <r>
    <s v="AX17400"/>
    <s v="ENX2065"/>
    <s v="A152"/>
    <s v="EMP1004"/>
    <s v="C1134"/>
    <x v="308"/>
    <n v="4"/>
    <n v="2396"/>
    <n v="1965"/>
    <n v="7860"/>
    <n v="9584"/>
    <n v="1724"/>
    <s v="Product 66"/>
    <x v="26"/>
    <s v="Kenneth Bradley"/>
    <x v="495"/>
    <n v="3"/>
    <x v="2"/>
    <x v="7"/>
    <x v="7"/>
    <x v="2"/>
    <x v="2"/>
  </r>
  <r>
    <s v="AX17707"/>
    <s v="ENX2024"/>
    <s v="A110"/>
    <s v="EMP1025"/>
    <s v="C1161"/>
    <x v="308"/>
    <n v="2"/>
    <n v="356"/>
    <n v="292"/>
    <n v="584"/>
    <n v="712"/>
    <n v="128"/>
    <s v="Product 25"/>
    <x v="63"/>
    <s v="Ernest Wagner"/>
    <x v="732"/>
    <n v="3"/>
    <x v="2"/>
    <x v="7"/>
    <x v="7"/>
    <x v="2"/>
    <x v="2"/>
  </r>
  <r>
    <s v="AX17851"/>
    <s v="ENX2080"/>
    <s v="A157"/>
    <s v="EMP1001"/>
    <s v="C1461"/>
    <x v="309"/>
    <n v="1"/>
    <n v="2353"/>
    <n v="1788"/>
    <n v="1788"/>
    <n v="2353"/>
    <n v="565"/>
    <s v="Product 81"/>
    <x v="7"/>
    <s v="Kevin Butler"/>
    <x v="634"/>
    <n v="3"/>
    <x v="2"/>
    <x v="7"/>
    <x v="7"/>
    <x v="2"/>
    <x v="2"/>
  </r>
  <r>
    <s v="AX17909"/>
    <s v="ENX2095"/>
    <s v="A112"/>
    <s v="EMP1035"/>
    <s v="C1461"/>
    <x v="306"/>
    <n v="1"/>
    <n v="1743"/>
    <n v="872"/>
    <n v="872"/>
    <n v="1743"/>
    <n v="871"/>
    <s v="Product 96"/>
    <x v="66"/>
    <s v="Roger Ramos"/>
    <x v="634"/>
    <n v="3"/>
    <x v="2"/>
    <x v="7"/>
    <x v="7"/>
    <x v="2"/>
    <x v="2"/>
  </r>
  <r>
    <s v="AX17966"/>
    <s v="ENX2012"/>
    <s v="A161"/>
    <s v="EMP1044"/>
    <s v="C1343"/>
    <x v="308"/>
    <n v="1"/>
    <n v="1353"/>
    <n v="947"/>
    <n v="947"/>
    <n v="1353"/>
    <n v="406"/>
    <s v="Product 13"/>
    <x v="6"/>
    <s v="Martin Carr"/>
    <x v="175"/>
    <n v="3"/>
    <x v="2"/>
    <x v="7"/>
    <x v="7"/>
    <x v="2"/>
    <x v="2"/>
  </r>
  <r>
    <s v="AX19543"/>
    <s v="ENX2047"/>
    <s v="A140"/>
    <s v="EMP1038"/>
    <s v="C1343"/>
    <x v="307"/>
    <n v="1"/>
    <n v="290"/>
    <n v="200"/>
    <n v="200"/>
    <n v="290"/>
    <n v="90"/>
    <s v="Product 48"/>
    <x v="18"/>
    <s v="Scott Mason"/>
    <x v="175"/>
    <n v="3"/>
    <x v="2"/>
    <x v="7"/>
    <x v="7"/>
    <x v="2"/>
    <x v="2"/>
  </r>
  <r>
    <s v="AX19544"/>
    <s v="ENX2057"/>
    <s v="A171"/>
    <s v="EMP1043"/>
    <s v="C1048"/>
    <x v="307"/>
    <n v="2"/>
    <n v="181"/>
    <n v="130"/>
    <n v="260"/>
    <n v="362"/>
    <n v="102"/>
    <s v="Product 58"/>
    <x v="0"/>
    <s v="Joshua Taylor"/>
    <x v="391"/>
    <n v="3"/>
    <x v="2"/>
    <x v="7"/>
    <x v="7"/>
    <x v="2"/>
    <x v="2"/>
  </r>
  <r>
    <s v="AX19734"/>
    <s v="ENX2038"/>
    <s v="A100"/>
    <s v="EMP1011"/>
    <s v="C1583"/>
    <x v="309"/>
    <n v="1"/>
    <n v="392"/>
    <n v="255"/>
    <n v="255"/>
    <n v="392"/>
    <n v="137"/>
    <s v="Product 39"/>
    <x v="52"/>
    <s v="Larry Marshall"/>
    <x v="798"/>
    <n v="3"/>
    <x v="2"/>
    <x v="7"/>
    <x v="7"/>
    <x v="2"/>
    <x v="2"/>
  </r>
  <r>
    <s v="AX19854"/>
    <s v="ENX2057"/>
    <s v="A168"/>
    <s v="EMP1023"/>
    <s v="C1265"/>
    <x v="309"/>
    <n v="1"/>
    <n v="181"/>
    <n v="130"/>
    <n v="130"/>
    <n v="181"/>
    <n v="51"/>
    <s v="Product 58"/>
    <x v="40"/>
    <s v="Brian Davis"/>
    <x v="348"/>
    <n v="3"/>
    <x v="2"/>
    <x v="7"/>
    <x v="7"/>
    <x v="2"/>
    <x v="2"/>
  </r>
  <r>
    <s v="AX20117"/>
    <s v="ENX2074"/>
    <s v="A130"/>
    <s v="EMP1016"/>
    <s v="C1104"/>
    <x v="309"/>
    <n v="4"/>
    <n v="504"/>
    <n v="408"/>
    <n v="1632"/>
    <n v="2016"/>
    <n v="384"/>
    <s v="Product 75"/>
    <x v="4"/>
    <s v="Henry Nelson"/>
    <x v="367"/>
    <n v="3"/>
    <x v="2"/>
    <x v="7"/>
    <x v="7"/>
    <x v="2"/>
    <x v="2"/>
  </r>
  <r>
    <s v="AX20576"/>
    <s v="ENX2015"/>
    <s v="A107"/>
    <s v="EMP1012"/>
    <s v="C1080"/>
    <x v="307"/>
    <n v="2"/>
    <n v="637"/>
    <n v="389"/>
    <n v="778"/>
    <n v="1274"/>
    <n v="496"/>
    <s v="Product 16"/>
    <x v="21"/>
    <s v="John Reyes"/>
    <x v="720"/>
    <n v="3"/>
    <x v="2"/>
    <x v="7"/>
    <x v="7"/>
    <x v="2"/>
    <x v="2"/>
  </r>
  <r>
    <s v="AX21116"/>
    <s v="ENX2008"/>
    <s v="A152"/>
    <s v="EMP1002"/>
    <s v="C1022"/>
    <x v="307"/>
    <n v="1"/>
    <n v="315"/>
    <n v="208"/>
    <n v="208"/>
    <n v="315"/>
    <n v="107"/>
    <s v="Product 9"/>
    <x v="26"/>
    <s v="Andrew Bowman"/>
    <x v="249"/>
    <n v="3"/>
    <x v="2"/>
    <x v="7"/>
    <x v="7"/>
    <x v="2"/>
    <x v="2"/>
  </r>
  <r>
    <s v="AX21463"/>
    <s v="ENX2018"/>
    <s v="A101"/>
    <s v="EMP1025"/>
    <s v="C1439"/>
    <x v="309"/>
    <n v="1"/>
    <n v="1972"/>
    <n v="1321"/>
    <n v="1321"/>
    <n v="1972"/>
    <n v="651"/>
    <s v="Product 19"/>
    <x v="60"/>
    <s v="Ernest Wagner"/>
    <x v="172"/>
    <n v="3"/>
    <x v="2"/>
    <x v="7"/>
    <x v="7"/>
    <x v="2"/>
    <x v="2"/>
  </r>
  <r>
    <s v="AX21700"/>
    <s v="ENX2009"/>
    <s v="A145"/>
    <s v="EMP1029"/>
    <s v="C1367"/>
    <x v="309"/>
    <n v="1"/>
    <n v="584"/>
    <n v="420"/>
    <n v="420"/>
    <n v="584"/>
    <n v="164"/>
    <s v="Product 10"/>
    <x v="35"/>
    <s v="Howard Gardner"/>
    <x v="490"/>
    <n v="3"/>
    <x v="2"/>
    <x v="7"/>
    <x v="7"/>
    <x v="2"/>
    <x v="2"/>
  </r>
  <r>
    <s v="AX22317"/>
    <s v="ENX2039"/>
    <s v="A144"/>
    <s v="EMP1034"/>
    <s v="C1716"/>
    <x v="306"/>
    <n v="1"/>
    <n v="817"/>
    <n v="409"/>
    <n v="409"/>
    <n v="817"/>
    <n v="408"/>
    <s v="Product 40"/>
    <x v="65"/>
    <s v="Arthur Mccoy"/>
    <x v="24"/>
    <n v="3"/>
    <x v="2"/>
    <x v="7"/>
    <x v="7"/>
    <x v="2"/>
    <x v="2"/>
  </r>
  <r>
    <s v="AX22398"/>
    <s v="ENX2083"/>
    <s v="A129"/>
    <s v="EMP1013"/>
    <s v="C1374"/>
    <x v="306"/>
    <n v="2"/>
    <n v="2141"/>
    <n v="1777"/>
    <n v="3554"/>
    <n v="4282"/>
    <n v="728"/>
    <s v="Product 84"/>
    <x v="22"/>
    <s v="Charles Harper"/>
    <x v="189"/>
    <n v="3"/>
    <x v="2"/>
    <x v="7"/>
    <x v="7"/>
    <x v="2"/>
    <x v="2"/>
  </r>
  <r>
    <s v="AX22486"/>
    <s v="ENX2050"/>
    <s v="A129"/>
    <s v="EMP1011"/>
    <s v="C1497"/>
    <x v="306"/>
    <n v="3"/>
    <n v="2391"/>
    <n v="1291"/>
    <n v="3873"/>
    <n v="7173"/>
    <n v="3300"/>
    <s v="Product 51"/>
    <x v="22"/>
    <s v="Larry Marshall"/>
    <x v="794"/>
    <n v="3"/>
    <x v="2"/>
    <x v="7"/>
    <x v="7"/>
    <x v="2"/>
    <x v="2"/>
  </r>
  <r>
    <s v="AX23151"/>
    <s v="ENX2067"/>
    <s v="A110"/>
    <s v="EMP1034"/>
    <s v="C1141"/>
    <x v="309"/>
    <n v="1"/>
    <n v="1119"/>
    <n v="683"/>
    <n v="683"/>
    <n v="1119"/>
    <n v="436"/>
    <s v="Product 68"/>
    <x v="63"/>
    <s v="Arthur Mccoy"/>
    <x v="166"/>
    <n v="3"/>
    <x v="2"/>
    <x v="7"/>
    <x v="7"/>
    <x v="2"/>
    <x v="2"/>
  </r>
  <r>
    <s v="AX23631"/>
    <s v="ENX2061"/>
    <s v="A166"/>
    <s v="EMP1004"/>
    <s v="C1294"/>
    <x v="306"/>
    <n v="4"/>
    <n v="913"/>
    <n v="584"/>
    <n v="2336"/>
    <n v="3652"/>
    <n v="1316"/>
    <s v="Product 62"/>
    <x v="70"/>
    <s v="Kenneth Bradley"/>
    <x v="419"/>
    <n v="3"/>
    <x v="2"/>
    <x v="7"/>
    <x v="7"/>
    <x v="2"/>
    <x v="2"/>
  </r>
  <r>
    <s v="AX23737"/>
    <s v="ENX2023"/>
    <s v="A108"/>
    <s v="EMP1043"/>
    <s v="C1142"/>
    <x v="309"/>
    <n v="2"/>
    <n v="818"/>
    <n v="450"/>
    <n v="900"/>
    <n v="1636"/>
    <n v="736"/>
    <s v="Product 24"/>
    <x v="49"/>
    <s v="Joshua Taylor"/>
    <x v="731"/>
    <n v="3"/>
    <x v="2"/>
    <x v="7"/>
    <x v="7"/>
    <x v="2"/>
    <x v="2"/>
  </r>
  <r>
    <s v="AX24413"/>
    <s v="ENX2052"/>
    <s v="A163"/>
    <s v="EMP1041"/>
    <s v="C1795"/>
    <x v="309"/>
    <n v="1"/>
    <n v="1526"/>
    <n v="1251"/>
    <n v="1251"/>
    <n v="1526"/>
    <n v="275"/>
    <s v="Product 53"/>
    <x v="51"/>
    <s v="Joe Sims"/>
    <x v="592"/>
    <n v="3"/>
    <x v="2"/>
    <x v="7"/>
    <x v="7"/>
    <x v="2"/>
    <x v="2"/>
  </r>
  <r>
    <s v="AX24483"/>
    <s v="ENX2026"/>
    <s v="A166"/>
    <s v="EMP1024"/>
    <s v="C1582"/>
    <x v="307"/>
    <n v="4"/>
    <n v="947"/>
    <n v="786"/>
    <n v="3144"/>
    <n v="3788"/>
    <n v="644"/>
    <s v="Product 27"/>
    <x v="70"/>
    <s v="Ernest Wheeler"/>
    <x v="259"/>
    <n v="3"/>
    <x v="2"/>
    <x v="7"/>
    <x v="7"/>
    <x v="2"/>
    <x v="2"/>
  </r>
  <r>
    <s v="AX24547"/>
    <s v="ENX2037"/>
    <s v="A173"/>
    <s v="EMP1044"/>
    <s v="C1114"/>
    <x v="309"/>
    <n v="2"/>
    <n v="880"/>
    <n v="634"/>
    <n v="1268"/>
    <n v="1760"/>
    <n v="492"/>
    <s v="Product 38"/>
    <x v="25"/>
    <s v="Martin Carr"/>
    <x v="405"/>
    <n v="3"/>
    <x v="2"/>
    <x v="7"/>
    <x v="7"/>
    <x v="2"/>
    <x v="2"/>
  </r>
  <r>
    <s v="AX24603"/>
    <s v="ENX2022"/>
    <s v="A165"/>
    <s v="EMP1016"/>
    <s v="C1087"/>
    <x v="308"/>
    <n v="3"/>
    <n v="561"/>
    <n v="421"/>
    <n v="1263"/>
    <n v="1683"/>
    <n v="420"/>
    <s v="Product 23"/>
    <x v="55"/>
    <s v="Henry Nelson"/>
    <x v="156"/>
    <n v="3"/>
    <x v="2"/>
    <x v="7"/>
    <x v="7"/>
    <x v="2"/>
    <x v="2"/>
  </r>
  <r>
    <s v="AX10394"/>
    <s v="ENX2095"/>
    <s v="A136"/>
    <s v="EMP1001"/>
    <s v="C1736"/>
    <x v="310"/>
    <n v="1"/>
    <n v="1743"/>
    <n v="872"/>
    <n v="872"/>
    <n v="1743"/>
    <n v="871"/>
    <s v="Product 96"/>
    <x v="43"/>
    <s v="Kevin Butler"/>
    <x v="472"/>
    <n v="3"/>
    <x v="2"/>
    <x v="8"/>
    <x v="8"/>
    <x v="2"/>
    <x v="0"/>
  </r>
  <r>
    <s v="AX10406"/>
    <s v="ENX2010"/>
    <s v="A149"/>
    <s v="EMP1023"/>
    <s v="C1054"/>
    <x v="311"/>
    <n v="3"/>
    <n v="1812"/>
    <n v="1305"/>
    <n v="3915"/>
    <n v="5436"/>
    <n v="1521"/>
    <s v="Product 11"/>
    <x v="59"/>
    <s v="Brian Davis"/>
    <x v="58"/>
    <n v="3"/>
    <x v="2"/>
    <x v="8"/>
    <x v="8"/>
    <x v="2"/>
    <x v="0"/>
  </r>
  <r>
    <s v="AX10562"/>
    <s v="ENX2081"/>
    <s v="A172"/>
    <s v="EMP1011"/>
    <s v="C1364"/>
    <x v="310"/>
    <n v="1"/>
    <n v="1566"/>
    <n v="1190"/>
    <n v="1190"/>
    <n v="1566"/>
    <n v="376"/>
    <s v="Product 82"/>
    <x v="36"/>
    <s v="Larry Marshall"/>
    <x v="477"/>
    <n v="3"/>
    <x v="2"/>
    <x v="8"/>
    <x v="8"/>
    <x v="2"/>
    <x v="0"/>
  </r>
  <r>
    <s v="AX10655"/>
    <s v="ENX2032"/>
    <s v="A101"/>
    <s v="EMP1040"/>
    <s v="C1532"/>
    <x v="310"/>
    <n v="2"/>
    <n v="1967"/>
    <n v="1397"/>
    <n v="2794"/>
    <n v="3934"/>
    <n v="1140"/>
    <s v="Product 33"/>
    <x v="60"/>
    <s v="Patrick Ruiz"/>
    <x v="103"/>
    <n v="3"/>
    <x v="2"/>
    <x v="8"/>
    <x v="8"/>
    <x v="2"/>
    <x v="0"/>
  </r>
  <r>
    <s v="AX10766"/>
    <s v="ENX2068"/>
    <s v="A153"/>
    <s v="EMP1019"/>
    <s v="C1599"/>
    <x v="312"/>
    <n v="3"/>
    <n v="1500"/>
    <n v="900"/>
    <n v="2700"/>
    <n v="4500"/>
    <n v="1800"/>
    <s v="Product 69"/>
    <x v="8"/>
    <s v="Roger Robertson"/>
    <x v="556"/>
    <n v="3"/>
    <x v="2"/>
    <x v="8"/>
    <x v="8"/>
    <x v="2"/>
    <x v="0"/>
  </r>
  <r>
    <s v="AX11273"/>
    <s v="ENX2001"/>
    <s v="A171"/>
    <s v="EMP1038"/>
    <s v="C1352"/>
    <x v="313"/>
    <n v="4"/>
    <n v="951"/>
    <n v="504"/>
    <n v="2016"/>
    <n v="3804"/>
    <n v="1788"/>
    <s v="Product 2"/>
    <x v="0"/>
    <s v="Scott Mason"/>
    <x v="20"/>
    <n v="3"/>
    <x v="2"/>
    <x v="8"/>
    <x v="8"/>
    <x v="2"/>
    <x v="0"/>
  </r>
  <r>
    <s v="AX11495"/>
    <s v="ENX2090"/>
    <s v="A112"/>
    <s v="EMP1023"/>
    <s v="C1374"/>
    <x v="310"/>
    <n v="4"/>
    <n v="1338"/>
    <n v="682"/>
    <n v="2728"/>
    <n v="5352"/>
    <n v="2624"/>
    <s v="Product 91"/>
    <x v="66"/>
    <s v="Brian Davis"/>
    <x v="189"/>
    <n v="3"/>
    <x v="2"/>
    <x v="8"/>
    <x v="8"/>
    <x v="2"/>
    <x v="0"/>
  </r>
  <r>
    <s v="AX12558"/>
    <s v="ENX2026"/>
    <s v="A147"/>
    <s v="EMP1032"/>
    <s v="C1546"/>
    <x v="310"/>
    <n v="4"/>
    <n v="947"/>
    <n v="786"/>
    <n v="3144"/>
    <n v="3788"/>
    <n v="644"/>
    <s v="Product 27"/>
    <x v="42"/>
    <s v="Larry Castillo"/>
    <x v="119"/>
    <n v="3"/>
    <x v="2"/>
    <x v="8"/>
    <x v="8"/>
    <x v="2"/>
    <x v="0"/>
  </r>
  <r>
    <s v="AX12759"/>
    <s v="ENX2095"/>
    <s v="A125"/>
    <s v="EMP1007"/>
    <s v="C1554"/>
    <x v="312"/>
    <n v="2"/>
    <n v="1743"/>
    <n v="872"/>
    <n v="1744"/>
    <n v="3486"/>
    <n v="1742"/>
    <s v="Product 96"/>
    <x v="31"/>
    <s v="Jeremy Mendoza"/>
    <x v="516"/>
    <n v="3"/>
    <x v="2"/>
    <x v="8"/>
    <x v="8"/>
    <x v="2"/>
    <x v="0"/>
  </r>
  <r>
    <s v="AX12764"/>
    <s v="ENX2010"/>
    <s v="A146"/>
    <s v="EMP1013"/>
    <s v="C1690"/>
    <x v="312"/>
    <n v="2"/>
    <n v="1812"/>
    <n v="1305"/>
    <n v="2610"/>
    <n v="3624"/>
    <n v="1014"/>
    <s v="Product 11"/>
    <x v="27"/>
    <s v="Charles Harper"/>
    <x v="185"/>
    <n v="3"/>
    <x v="2"/>
    <x v="8"/>
    <x v="8"/>
    <x v="2"/>
    <x v="0"/>
  </r>
  <r>
    <s v="AX13018"/>
    <s v="ENX2038"/>
    <s v="A103"/>
    <s v="EMP1038"/>
    <s v="C1631"/>
    <x v="313"/>
    <n v="1"/>
    <n v="392"/>
    <n v="255"/>
    <n v="255"/>
    <n v="392"/>
    <n v="137"/>
    <s v="Product 39"/>
    <x v="61"/>
    <s v="Scott Mason"/>
    <x v="659"/>
    <n v="3"/>
    <x v="2"/>
    <x v="8"/>
    <x v="8"/>
    <x v="2"/>
    <x v="0"/>
  </r>
  <r>
    <s v="AX13557"/>
    <s v="ENX2058"/>
    <s v="A143"/>
    <s v="EMP1044"/>
    <s v="C1446"/>
    <x v="313"/>
    <n v="4"/>
    <n v="2257"/>
    <n v="1535"/>
    <n v="6140"/>
    <n v="9028"/>
    <n v="2888"/>
    <s v="Product 59"/>
    <x v="39"/>
    <s v="Martin Carr"/>
    <x v="345"/>
    <n v="3"/>
    <x v="2"/>
    <x v="8"/>
    <x v="8"/>
    <x v="2"/>
    <x v="0"/>
  </r>
  <r>
    <s v="AX13565"/>
    <s v="ENX2089"/>
    <s v="A156"/>
    <s v="EMP1031"/>
    <s v="C1722"/>
    <x v="311"/>
    <n v="4"/>
    <n v="2294"/>
    <n v="1399"/>
    <n v="5596"/>
    <n v="9176"/>
    <n v="3580"/>
    <s v="Product 90"/>
    <x v="14"/>
    <s v="Brian Thomas"/>
    <x v="257"/>
    <n v="3"/>
    <x v="2"/>
    <x v="8"/>
    <x v="8"/>
    <x v="2"/>
    <x v="0"/>
  </r>
  <r>
    <s v="AX13713"/>
    <s v="ENX2020"/>
    <s v="A142"/>
    <s v="EMP1042"/>
    <s v="C1599"/>
    <x v="312"/>
    <n v="1"/>
    <n v="2005"/>
    <n v="1223"/>
    <n v="1223"/>
    <n v="2005"/>
    <n v="782"/>
    <s v="Product 21"/>
    <x v="56"/>
    <s v="Scott Clark"/>
    <x v="556"/>
    <n v="3"/>
    <x v="2"/>
    <x v="8"/>
    <x v="8"/>
    <x v="2"/>
    <x v="0"/>
  </r>
  <r>
    <s v="AX13730"/>
    <s v="ENX2081"/>
    <s v="A153"/>
    <s v="EMP1037"/>
    <s v="C1694"/>
    <x v="310"/>
    <n v="1"/>
    <n v="1566"/>
    <n v="1190"/>
    <n v="1190"/>
    <n v="1566"/>
    <n v="376"/>
    <s v="Product 82"/>
    <x v="8"/>
    <s v="Carl Hall"/>
    <x v="506"/>
    <n v="3"/>
    <x v="2"/>
    <x v="8"/>
    <x v="8"/>
    <x v="2"/>
    <x v="0"/>
  </r>
  <r>
    <s v="AX13826"/>
    <s v="ENX2071"/>
    <s v="A108"/>
    <s v="EMP1002"/>
    <s v="C1345"/>
    <x v="311"/>
    <n v="1"/>
    <n v="136"/>
    <n v="72"/>
    <n v="72"/>
    <n v="136"/>
    <n v="64"/>
    <s v="Product 72"/>
    <x v="49"/>
    <s v="Andrew Bowman"/>
    <x v="567"/>
    <n v="3"/>
    <x v="2"/>
    <x v="8"/>
    <x v="8"/>
    <x v="2"/>
    <x v="0"/>
  </r>
  <r>
    <s v="AX13981"/>
    <s v="ENX2039"/>
    <s v="A116"/>
    <s v="EMP1001"/>
    <s v="C1504"/>
    <x v="310"/>
    <n v="1"/>
    <n v="817"/>
    <n v="409"/>
    <n v="409"/>
    <n v="817"/>
    <n v="408"/>
    <s v="Product 40"/>
    <x v="15"/>
    <s v="Kevin Butler"/>
    <x v="559"/>
    <n v="3"/>
    <x v="2"/>
    <x v="8"/>
    <x v="8"/>
    <x v="2"/>
    <x v="0"/>
  </r>
  <r>
    <s v="AX14086"/>
    <s v="ENX2059"/>
    <s v="A160"/>
    <s v="EMP1033"/>
    <s v="C1077"/>
    <x v="311"/>
    <n v="1"/>
    <n v="1494"/>
    <n v="971"/>
    <n v="971"/>
    <n v="1494"/>
    <n v="523"/>
    <s v="Product 60"/>
    <x v="9"/>
    <s v="Jerry Perry"/>
    <x v="315"/>
    <n v="3"/>
    <x v="2"/>
    <x v="8"/>
    <x v="8"/>
    <x v="2"/>
    <x v="0"/>
  </r>
  <r>
    <s v="AX14088"/>
    <s v="ENX2078"/>
    <s v="A115"/>
    <s v="EMP1021"/>
    <s v="C1220"/>
    <x v="312"/>
    <n v="2"/>
    <n v="1798"/>
    <n v="971"/>
    <n v="1942"/>
    <n v="3596"/>
    <n v="1654"/>
    <s v="Product 79"/>
    <x v="33"/>
    <s v="Clarence Fox"/>
    <x v="204"/>
    <n v="3"/>
    <x v="2"/>
    <x v="8"/>
    <x v="8"/>
    <x v="2"/>
    <x v="0"/>
  </r>
  <r>
    <s v="AX14205"/>
    <s v="ENX2022"/>
    <s v="A151"/>
    <s v="EMP1036"/>
    <s v="C1465"/>
    <x v="310"/>
    <n v="3"/>
    <n v="561"/>
    <n v="421"/>
    <n v="1263"/>
    <n v="1683"/>
    <n v="420"/>
    <s v="Product 23"/>
    <x v="1"/>
    <s v="Robert Reed"/>
    <x v="88"/>
    <n v="3"/>
    <x v="2"/>
    <x v="8"/>
    <x v="8"/>
    <x v="2"/>
    <x v="0"/>
  </r>
  <r>
    <s v="AX14237"/>
    <s v="ENX2072"/>
    <s v="A133"/>
    <s v="EMP1026"/>
    <s v="C1543"/>
    <x v="311"/>
    <n v="4"/>
    <n v="1887"/>
    <n v="1378"/>
    <n v="5512"/>
    <n v="7548"/>
    <n v="2036"/>
    <s v="Product 73"/>
    <x v="46"/>
    <s v="Martin Perry"/>
    <x v="337"/>
    <n v="3"/>
    <x v="2"/>
    <x v="8"/>
    <x v="8"/>
    <x v="2"/>
    <x v="0"/>
  </r>
  <r>
    <s v="AX14268"/>
    <s v="ENX2072"/>
    <s v="A130"/>
    <s v="EMP1036"/>
    <s v="C1061"/>
    <x v="314"/>
    <n v="1"/>
    <n v="1887"/>
    <n v="1378"/>
    <n v="1378"/>
    <n v="1887"/>
    <n v="509"/>
    <s v="Product 73"/>
    <x v="4"/>
    <s v="Robert Reed"/>
    <x v="228"/>
    <n v="3"/>
    <x v="2"/>
    <x v="8"/>
    <x v="8"/>
    <x v="2"/>
    <x v="0"/>
  </r>
  <r>
    <s v="AX14646"/>
    <s v="ENX2083"/>
    <s v="A124"/>
    <s v="EMP1020"/>
    <s v="C1388"/>
    <x v="312"/>
    <n v="4"/>
    <n v="2141"/>
    <n v="1777"/>
    <n v="7108"/>
    <n v="8564"/>
    <n v="1456"/>
    <s v="Product 84"/>
    <x v="67"/>
    <s v="Ryan Butler"/>
    <x v="120"/>
    <n v="3"/>
    <x v="2"/>
    <x v="8"/>
    <x v="8"/>
    <x v="2"/>
    <x v="0"/>
  </r>
  <r>
    <s v="AX14709"/>
    <s v="ENX2003"/>
    <s v="A100"/>
    <s v="EMP1009"/>
    <s v="C1557"/>
    <x v="314"/>
    <n v="3"/>
    <n v="1783"/>
    <n v="1516"/>
    <n v="4548"/>
    <n v="5349"/>
    <n v="801"/>
    <s v="Product 4"/>
    <x v="52"/>
    <s v="Kenneth Fields"/>
    <x v="729"/>
    <n v="3"/>
    <x v="2"/>
    <x v="8"/>
    <x v="8"/>
    <x v="2"/>
    <x v="0"/>
  </r>
  <r>
    <s v="AX14915"/>
    <s v="ENX2096"/>
    <s v="A133"/>
    <s v="EMP1034"/>
    <s v="C1771"/>
    <x v="313"/>
    <n v="1"/>
    <n v="1587"/>
    <n v="1301"/>
    <n v="1301"/>
    <n v="1587"/>
    <n v="286"/>
    <s v="Product 97"/>
    <x v="46"/>
    <s v="Arthur Mccoy"/>
    <x v="34"/>
    <n v="3"/>
    <x v="2"/>
    <x v="8"/>
    <x v="8"/>
    <x v="2"/>
    <x v="0"/>
  </r>
  <r>
    <s v="AX15383"/>
    <s v="ENX2087"/>
    <s v="A170"/>
    <s v="EMP1020"/>
    <s v="C1179"/>
    <x v="313"/>
    <n v="4"/>
    <n v="1022"/>
    <n v="818"/>
    <n v="3272"/>
    <n v="4088"/>
    <n v="816"/>
    <s v="Product 88"/>
    <x v="47"/>
    <s v="Ryan Butler"/>
    <x v="788"/>
    <n v="3"/>
    <x v="2"/>
    <x v="8"/>
    <x v="8"/>
    <x v="2"/>
    <x v="0"/>
  </r>
  <r>
    <s v="AX15613"/>
    <s v="ENX2072"/>
    <s v="A111"/>
    <s v="EMP1019"/>
    <s v="C1014"/>
    <x v="310"/>
    <n v="3"/>
    <n v="1887"/>
    <n v="1378"/>
    <n v="4134"/>
    <n v="5661"/>
    <n v="1527"/>
    <s v="Product 73"/>
    <x v="54"/>
    <s v="Roger Robertson"/>
    <x v="26"/>
    <n v="3"/>
    <x v="2"/>
    <x v="8"/>
    <x v="8"/>
    <x v="2"/>
    <x v="0"/>
  </r>
  <r>
    <s v="AX15669"/>
    <s v="ENX2076"/>
    <s v="A125"/>
    <s v="EMP1030"/>
    <s v="C1793"/>
    <x v="312"/>
    <n v="2"/>
    <n v="1522"/>
    <n v="791"/>
    <n v="1582"/>
    <n v="3044"/>
    <n v="1462"/>
    <s v="Product 77"/>
    <x v="31"/>
    <s v="Bobby Russell"/>
    <x v="677"/>
    <n v="3"/>
    <x v="2"/>
    <x v="8"/>
    <x v="8"/>
    <x v="2"/>
    <x v="0"/>
  </r>
  <r>
    <s v="AX15672"/>
    <s v="ENX2024"/>
    <s v="A173"/>
    <s v="EMP1037"/>
    <s v="C1659"/>
    <x v="313"/>
    <n v="1"/>
    <n v="356"/>
    <n v="292"/>
    <n v="292"/>
    <n v="356"/>
    <n v="64"/>
    <s v="Product 25"/>
    <x v="25"/>
    <s v="Carl Hall"/>
    <x v="51"/>
    <n v="3"/>
    <x v="2"/>
    <x v="8"/>
    <x v="8"/>
    <x v="2"/>
    <x v="0"/>
  </r>
  <r>
    <s v="AX15894"/>
    <s v="ENX2005"/>
    <s v="A154"/>
    <s v="EMP1034"/>
    <s v="C1745"/>
    <x v="313"/>
    <n v="1"/>
    <n v="684"/>
    <n v="561"/>
    <n v="561"/>
    <n v="684"/>
    <n v="123"/>
    <s v="Product 6"/>
    <x v="24"/>
    <s v="Arthur Mccoy"/>
    <x v="784"/>
    <n v="3"/>
    <x v="2"/>
    <x v="8"/>
    <x v="8"/>
    <x v="2"/>
    <x v="0"/>
  </r>
  <r>
    <s v="AX16098"/>
    <s v="ENX2088"/>
    <s v="A137"/>
    <s v="EMP1043"/>
    <s v="C1049"/>
    <x v="310"/>
    <n v="2"/>
    <n v="603"/>
    <n v="416"/>
    <n v="832"/>
    <n v="1206"/>
    <n v="374"/>
    <s v="Product 89"/>
    <x v="68"/>
    <s v="Joshua Taylor"/>
    <x v="305"/>
    <n v="3"/>
    <x v="2"/>
    <x v="8"/>
    <x v="8"/>
    <x v="2"/>
    <x v="0"/>
  </r>
  <r>
    <s v="AX16291"/>
    <s v="ENX2016"/>
    <s v="A160"/>
    <s v="EMP1026"/>
    <s v="C1089"/>
    <x v="310"/>
    <n v="2"/>
    <n v="1351"/>
    <n v="1108"/>
    <n v="2216"/>
    <n v="2702"/>
    <n v="486"/>
    <s v="Product 17"/>
    <x v="9"/>
    <s v="Martin Perry"/>
    <x v="267"/>
    <n v="3"/>
    <x v="2"/>
    <x v="8"/>
    <x v="8"/>
    <x v="2"/>
    <x v="0"/>
  </r>
  <r>
    <s v="AX16300"/>
    <s v="ENX2038"/>
    <s v="A135"/>
    <s v="EMP1020"/>
    <s v="C1267"/>
    <x v="311"/>
    <n v="2"/>
    <n v="392"/>
    <n v="255"/>
    <n v="510"/>
    <n v="784"/>
    <n v="274"/>
    <s v="Product 39"/>
    <x v="10"/>
    <s v="Ryan Butler"/>
    <x v="657"/>
    <n v="3"/>
    <x v="2"/>
    <x v="8"/>
    <x v="8"/>
    <x v="2"/>
    <x v="0"/>
  </r>
  <r>
    <s v="AX16672"/>
    <s v="ENX2089"/>
    <s v="A118"/>
    <s v="EMP1039"/>
    <s v="C1354"/>
    <x v="311"/>
    <n v="2"/>
    <n v="2294"/>
    <n v="1399"/>
    <n v="2798"/>
    <n v="4588"/>
    <n v="1790"/>
    <s v="Product 90"/>
    <x v="19"/>
    <s v="Eugene Holmes"/>
    <x v="133"/>
    <n v="3"/>
    <x v="2"/>
    <x v="8"/>
    <x v="8"/>
    <x v="2"/>
    <x v="0"/>
  </r>
  <r>
    <s v="AX16923"/>
    <s v="ENX2005"/>
    <s v="A128"/>
    <s v="EMP1018"/>
    <s v="C1694"/>
    <x v="311"/>
    <n v="1"/>
    <n v="684"/>
    <n v="561"/>
    <n v="561"/>
    <n v="684"/>
    <n v="123"/>
    <s v="Product 6"/>
    <x v="12"/>
    <s v="Jimmy Young"/>
    <x v="506"/>
    <n v="3"/>
    <x v="2"/>
    <x v="8"/>
    <x v="8"/>
    <x v="2"/>
    <x v="0"/>
  </r>
  <r>
    <s v="AX17144"/>
    <s v="ENX2006"/>
    <s v="A154"/>
    <s v="EMP1017"/>
    <s v="C1048"/>
    <x v="313"/>
    <n v="1"/>
    <n v="1826"/>
    <n v="1443"/>
    <n v="1443"/>
    <n v="1826"/>
    <n v="383"/>
    <s v="Product 7"/>
    <x v="24"/>
    <s v="Brian Hansen"/>
    <x v="391"/>
    <n v="3"/>
    <x v="2"/>
    <x v="8"/>
    <x v="8"/>
    <x v="2"/>
    <x v="0"/>
  </r>
  <r>
    <s v="AX17726"/>
    <s v="ENX2021"/>
    <s v="A147"/>
    <s v="EMP1011"/>
    <s v="C1133"/>
    <x v="310"/>
    <n v="1"/>
    <n v="217"/>
    <n v="171"/>
    <n v="171"/>
    <n v="217"/>
    <n v="46"/>
    <s v="Product 22"/>
    <x v="42"/>
    <s v="Larry Marshall"/>
    <x v="468"/>
    <n v="3"/>
    <x v="2"/>
    <x v="8"/>
    <x v="8"/>
    <x v="2"/>
    <x v="0"/>
  </r>
  <r>
    <s v="AX17740"/>
    <s v="ENX2088"/>
    <s v="A149"/>
    <s v="EMP1031"/>
    <s v="C1168"/>
    <x v="314"/>
    <n v="1"/>
    <n v="603"/>
    <n v="416"/>
    <n v="416"/>
    <n v="603"/>
    <n v="187"/>
    <s v="Product 89"/>
    <x v="59"/>
    <s v="Brian Thomas"/>
    <x v="532"/>
    <n v="3"/>
    <x v="2"/>
    <x v="8"/>
    <x v="8"/>
    <x v="2"/>
    <x v="0"/>
  </r>
  <r>
    <s v="AX17828"/>
    <s v="ENX2089"/>
    <s v="A166"/>
    <s v="EMP1006"/>
    <s v="C1207"/>
    <x v="311"/>
    <n v="1"/>
    <n v="2294"/>
    <n v="1399"/>
    <n v="1399"/>
    <n v="2294"/>
    <n v="895"/>
    <s v="Product 90"/>
    <x v="70"/>
    <s v="Sean Miller"/>
    <x v="694"/>
    <n v="3"/>
    <x v="2"/>
    <x v="8"/>
    <x v="8"/>
    <x v="2"/>
    <x v="0"/>
  </r>
  <r>
    <s v="AX17925"/>
    <s v="ENX2065"/>
    <s v="A128"/>
    <s v="EMP1015"/>
    <s v="C1653"/>
    <x v="311"/>
    <n v="3"/>
    <n v="2396"/>
    <n v="1965"/>
    <n v="5895"/>
    <n v="7188"/>
    <n v="1293"/>
    <s v="Product 66"/>
    <x v="12"/>
    <s v="Justin Lynch"/>
    <x v="187"/>
    <n v="3"/>
    <x v="2"/>
    <x v="8"/>
    <x v="8"/>
    <x v="2"/>
    <x v="0"/>
  </r>
  <r>
    <s v="AX17945"/>
    <s v="ENX2035"/>
    <s v="A128"/>
    <s v="EMP1035"/>
    <s v="C1507"/>
    <x v="314"/>
    <n v="3"/>
    <n v="458"/>
    <n v="376"/>
    <n v="1128"/>
    <n v="1374"/>
    <n v="246"/>
    <s v="Product 36"/>
    <x v="12"/>
    <s v="Roger Ramos"/>
    <x v="227"/>
    <n v="3"/>
    <x v="2"/>
    <x v="8"/>
    <x v="8"/>
    <x v="2"/>
    <x v="0"/>
  </r>
  <r>
    <s v="AX18046"/>
    <s v="ENX2096"/>
    <s v="A115"/>
    <s v="EMP1040"/>
    <s v="C1027"/>
    <x v="312"/>
    <n v="4"/>
    <n v="1587"/>
    <n v="1301"/>
    <n v="5204"/>
    <n v="6348"/>
    <n v="1144"/>
    <s v="Product 97"/>
    <x v="33"/>
    <s v="Patrick Ruiz"/>
    <x v="528"/>
    <n v="3"/>
    <x v="2"/>
    <x v="8"/>
    <x v="8"/>
    <x v="2"/>
    <x v="0"/>
  </r>
  <r>
    <s v="AX18128"/>
    <s v="ENX2069"/>
    <s v="A138"/>
    <s v="EMP1042"/>
    <s v="C1774"/>
    <x v="313"/>
    <n v="1"/>
    <n v="378"/>
    <n v="291"/>
    <n v="291"/>
    <n v="378"/>
    <n v="87"/>
    <s v="Product 70"/>
    <x v="37"/>
    <s v="Scott Clark"/>
    <x v="232"/>
    <n v="3"/>
    <x v="2"/>
    <x v="8"/>
    <x v="8"/>
    <x v="2"/>
    <x v="0"/>
  </r>
  <r>
    <s v="AX18452"/>
    <s v="ENX2006"/>
    <s v="A119"/>
    <s v="EMP1000"/>
    <s v="C1225"/>
    <x v="312"/>
    <n v="4"/>
    <n v="1826"/>
    <n v="1443"/>
    <n v="5772"/>
    <n v="7304"/>
    <n v="1532"/>
    <s v="Product 7"/>
    <x v="16"/>
    <s v="Fred Robertson"/>
    <x v="588"/>
    <n v="3"/>
    <x v="2"/>
    <x v="8"/>
    <x v="8"/>
    <x v="2"/>
    <x v="0"/>
  </r>
  <r>
    <s v="AX18704"/>
    <s v="ENX2093"/>
    <s v="A152"/>
    <s v="EMP1033"/>
    <s v="C1599"/>
    <x v="314"/>
    <n v="3"/>
    <n v="112"/>
    <n v="90"/>
    <n v="270"/>
    <n v="336"/>
    <n v="66"/>
    <s v="Product 94"/>
    <x v="26"/>
    <s v="Jerry Perry"/>
    <x v="556"/>
    <n v="3"/>
    <x v="2"/>
    <x v="8"/>
    <x v="8"/>
    <x v="2"/>
    <x v="0"/>
  </r>
  <r>
    <s v="AX18903"/>
    <s v="ENX2041"/>
    <s v="A173"/>
    <s v="EMP1028"/>
    <s v="C1384"/>
    <x v="311"/>
    <n v="1"/>
    <n v="1380"/>
    <n v="1090"/>
    <n v="1090"/>
    <n v="1380"/>
    <n v="290"/>
    <s v="Product 42"/>
    <x v="25"/>
    <s v="Howard Sims"/>
    <x v="690"/>
    <n v="3"/>
    <x v="2"/>
    <x v="8"/>
    <x v="8"/>
    <x v="2"/>
    <x v="0"/>
  </r>
  <r>
    <s v="AX18953"/>
    <s v="ENX2000"/>
    <s v="A112"/>
    <s v="EMP1036"/>
    <s v="C1515"/>
    <x v="310"/>
    <n v="2"/>
    <n v="2241"/>
    <n v="1367"/>
    <n v="2734"/>
    <n v="4482"/>
    <n v="1748"/>
    <s v="Product 1"/>
    <x v="66"/>
    <s v="Robert Reed"/>
    <x v="570"/>
    <n v="3"/>
    <x v="2"/>
    <x v="8"/>
    <x v="8"/>
    <x v="2"/>
    <x v="0"/>
  </r>
  <r>
    <s v="AX19074"/>
    <s v="ENX2020"/>
    <s v="A171"/>
    <s v="EMP1004"/>
    <s v="C1295"/>
    <x v="314"/>
    <n v="4"/>
    <n v="2005"/>
    <n v="1223"/>
    <n v="4892"/>
    <n v="8020"/>
    <n v="3128"/>
    <s v="Product 21"/>
    <x v="0"/>
    <s v="Kenneth Bradley"/>
    <x v="373"/>
    <n v="3"/>
    <x v="2"/>
    <x v="8"/>
    <x v="8"/>
    <x v="2"/>
    <x v="0"/>
  </r>
  <r>
    <s v="AX19149"/>
    <s v="ENX2081"/>
    <s v="A143"/>
    <s v="EMP1031"/>
    <s v="C1182"/>
    <x v="314"/>
    <n v="1"/>
    <n v="1566"/>
    <n v="1190"/>
    <n v="1190"/>
    <n v="1566"/>
    <n v="376"/>
    <s v="Product 82"/>
    <x v="39"/>
    <s v="Brian Thomas"/>
    <x v="759"/>
    <n v="3"/>
    <x v="2"/>
    <x v="8"/>
    <x v="8"/>
    <x v="2"/>
    <x v="0"/>
  </r>
  <r>
    <s v="AX19472"/>
    <s v="ENX2071"/>
    <s v="A151"/>
    <s v="EMP1010"/>
    <s v="C1290"/>
    <x v="311"/>
    <n v="2"/>
    <n v="136"/>
    <n v="72"/>
    <n v="144"/>
    <n v="272"/>
    <n v="128"/>
    <s v="Product 72"/>
    <x v="1"/>
    <s v="Joshua Cook"/>
    <x v="675"/>
    <n v="3"/>
    <x v="2"/>
    <x v="8"/>
    <x v="8"/>
    <x v="2"/>
    <x v="0"/>
  </r>
  <r>
    <s v="AX20226"/>
    <s v="ENX2053"/>
    <s v="A127"/>
    <s v="EMP1017"/>
    <s v="C1676"/>
    <x v="312"/>
    <n v="3"/>
    <n v="596"/>
    <n v="358"/>
    <n v="1074"/>
    <n v="1788"/>
    <n v="714"/>
    <s v="Product 54"/>
    <x v="69"/>
    <s v="Brian Hansen"/>
    <x v="497"/>
    <n v="3"/>
    <x v="2"/>
    <x v="8"/>
    <x v="8"/>
    <x v="2"/>
    <x v="0"/>
  </r>
  <r>
    <s v="AX20400"/>
    <s v="ENX2045"/>
    <s v="A159"/>
    <s v="EMP1030"/>
    <s v="C1600"/>
    <x v="310"/>
    <n v="1"/>
    <n v="556"/>
    <n v="395"/>
    <n v="395"/>
    <n v="556"/>
    <n v="161"/>
    <s v="Product 46"/>
    <x v="13"/>
    <s v="Bobby Russell"/>
    <x v="266"/>
    <n v="3"/>
    <x v="2"/>
    <x v="8"/>
    <x v="8"/>
    <x v="2"/>
    <x v="0"/>
  </r>
  <r>
    <s v="AX21067"/>
    <s v="ENX2068"/>
    <s v="A148"/>
    <s v="EMP1023"/>
    <s v="C1247"/>
    <x v="310"/>
    <n v="1"/>
    <n v="1500"/>
    <n v="900"/>
    <n v="900"/>
    <n v="1500"/>
    <n v="600"/>
    <s v="Product 69"/>
    <x v="62"/>
    <s v="Brian Davis"/>
    <x v="552"/>
    <n v="3"/>
    <x v="2"/>
    <x v="8"/>
    <x v="8"/>
    <x v="2"/>
    <x v="0"/>
  </r>
  <r>
    <s v="AX21090"/>
    <s v="ENX2035"/>
    <s v="A111"/>
    <s v="EMP1032"/>
    <s v="C1237"/>
    <x v="314"/>
    <n v="3"/>
    <n v="458"/>
    <n v="376"/>
    <n v="1128"/>
    <n v="1374"/>
    <n v="246"/>
    <s v="Product 36"/>
    <x v="54"/>
    <s v="Larry Castillo"/>
    <x v="484"/>
    <n v="3"/>
    <x v="2"/>
    <x v="8"/>
    <x v="8"/>
    <x v="2"/>
    <x v="0"/>
  </r>
  <r>
    <s v="AX21101"/>
    <s v="ENX2018"/>
    <s v="A150"/>
    <s v="EMP1026"/>
    <s v="C1572"/>
    <x v="310"/>
    <n v="4"/>
    <n v="1972"/>
    <n v="1321"/>
    <n v="5284"/>
    <n v="7888"/>
    <n v="2604"/>
    <s v="Product 19"/>
    <x v="30"/>
    <s v="Martin Perry"/>
    <x v="717"/>
    <n v="3"/>
    <x v="2"/>
    <x v="8"/>
    <x v="8"/>
    <x v="2"/>
    <x v="0"/>
  </r>
  <r>
    <s v="AX21108"/>
    <s v="ENX2030"/>
    <s v="A137"/>
    <s v="EMP1007"/>
    <s v="C1539"/>
    <x v="314"/>
    <n v="1"/>
    <n v="1899"/>
    <n v="1044"/>
    <n v="1044"/>
    <n v="1899"/>
    <n v="855"/>
    <s v="Product 31"/>
    <x v="68"/>
    <s v="Jeremy Mendoza"/>
    <x v="280"/>
    <n v="3"/>
    <x v="2"/>
    <x v="8"/>
    <x v="8"/>
    <x v="2"/>
    <x v="0"/>
  </r>
  <r>
    <s v="AX21397"/>
    <s v="ENX2065"/>
    <s v="A166"/>
    <s v="EMP1039"/>
    <s v="C1011"/>
    <x v="310"/>
    <n v="1"/>
    <n v="2396"/>
    <n v="1965"/>
    <n v="1965"/>
    <n v="2396"/>
    <n v="431"/>
    <s v="Product 66"/>
    <x v="70"/>
    <s v="Eugene Holmes"/>
    <x v="275"/>
    <n v="3"/>
    <x v="2"/>
    <x v="8"/>
    <x v="8"/>
    <x v="2"/>
    <x v="0"/>
  </r>
  <r>
    <s v="AX21528"/>
    <s v="ENX2067"/>
    <s v="A119"/>
    <s v="EMP1031"/>
    <s v="C1685"/>
    <x v="310"/>
    <n v="1"/>
    <n v="1119"/>
    <n v="683"/>
    <n v="683"/>
    <n v="1119"/>
    <n v="436"/>
    <s v="Product 68"/>
    <x v="16"/>
    <s v="Brian Thomas"/>
    <x v="90"/>
    <n v="3"/>
    <x v="2"/>
    <x v="8"/>
    <x v="8"/>
    <x v="2"/>
    <x v="0"/>
  </r>
  <r>
    <s v="AX21623"/>
    <s v="ENX2088"/>
    <s v="A108"/>
    <s v="EMP1006"/>
    <s v="C1328"/>
    <x v="314"/>
    <n v="4"/>
    <n v="603"/>
    <n v="416"/>
    <n v="1664"/>
    <n v="2412"/>
    <n v="748"/>
    <s v="Product 89"/>
    <x v="49"/>
    <s v="Sean Miller"/>
    <x v="488"/>
    <n v="3"/>
    <x v="2"/>
    <x v="8"/>
    <x v="8"/>
    <x v="2"/>
    <x v="0"/>
  </r>
  <r>
    <s v="AX21635"/>
    <s v="ENX2079"/>
    <s v="A131"/>
    <s v="EMP1041"/>
    <s v="C1381"/>
    <x v="312"/>
    <n v="1"/>
    <n v="1725"/>
    <n v="1363"/>
    <n v="1363"/>
    <n v="1725"/>
    <n v="362"/>
    <s v="Product 80"/>
    <x v="32"/>
    <s v="Joe Sims"/>
    <x v="714"/>
    <n v="3"/>
    <x v="2"/>
    <x v="8"/>
    <x v="8"/>
    <x v="2"/>
    <x v="0"/>
  </r>
  <r>
    <s v="AX21737"/>
    <s v="ENX2057"/>
    <s v="A147"/>
    <s v="EMP1014"/>
    <s v="C1391"/>
    <x v="313"/>
    <n v="1"/>
    <n v="181"/>
    <n v="130"/>
    <n v="130"/>
    <n v="181"/>
    <n v="51"/>
    <s v="Product 58"/>
    <x v="42"/>
    <s v="Ronald Reed"/>
    <x v="745"/>
    <n v="3"/>
    <x v="2"/>
    <x v="8"/>
    <x v="8"/>
    <x v="2"/>
    <x v="0"/>
  </r>
  <r>
    <s v="AX21742"/>
    <s v="ENX2052"/>
    <s v="A108"/>
    <s v="EMP1038"/>
    <s v="C1041"/>
    <x v="310"/>
    <n v="2"/>
    <n v="1526"/>
    <n v="1251"/>
    <n v="2502"/>
    <n v="3052"/>
    <n v="550"/>
    <s v="Product 53"/>
    <x v="49"/>
    <s v="Scott Mason"/>
    <x v="29"/>
    <n v="3"/>
    <x v="2"/>
    <x v="8"/>
    <x v="8"/>
    <x v="2"/>
    <x v="0"/>
  </r>
  <r>
    <s v="AX22066"/>
    <s v="ENX2095"/>
    <s v="A132"/>
    <s v="EMP1007"/>
    <s v="C1419"/>
    <x v="310"/>
    <n v="1"/>
    <n v="1743"/>
    <n v="872"/>
    <n v="872"/>
    <n v="1743"/>
    <n v="871"/>
    <s v="Product 96"/>
    <x v="48"/>
    <s v="Jeremy Mendoza"/>
    <x v="163"/>
    <n v="3"/>
    <x v="2"/>
    <x v="8"/>
    <x v="8"/>
    <x v="2"/>
    <x v="0"/>
  </r>
  <r>
    <s v="AX22116"/>
    <s v="ENX2025"/>
    <s v="A105"/>
    <s v="EMP1043"/>
    <s v="C1029"/>
    <x v="313"/>
    <n v="1"/>
    <n v="667"/>
    <n v="387"/>
    <n v="387"/>
    <n v="667"/>
    <n v="280"/>
    <s v="Product 26"/>
    <x v="45"/>
    <s v="Joshua Taylor"/>
    <x v="601"/>
    <n v="3"/>
    <x v="2"/>
    <x v="8"/>
    <x v="8"/>
    <x v="2"/>
    <x v="0"/>
  </r>
  <r>
    <s v="AX22130"/>
    <s v="ENX2058"/>
    <s v="A123"/>
    <s v="EMP1040"/>
    <s v="C1196"/>
    <x v="311"/>
    <n v="1"/>
    <n v="2257"/>
    <n v="1535"/>
    <n v="1535"/>
    <n v="2257"/>
    <n v="722"/>
    <s v="Product 59"/>
    <x v="34"/>
    <s v="Patrick Ruiz"/>
    <x v="65"/>
    <n v="3"/>
    <x v="2"/>
    <x v="8"/>
    <x v="8"/>
    <x v="2"/>
    <x v="0"/>
  </r>
  <r>
    <s v="AX22356"/>
    <s v="ENX2097"/>
    <s v="A104"/>
    <s v="EMP1016"/>
    <s v="C1012"/>
    <x v="312"/>
    <n v="2"/>
    <n v="1052"/>
    <n v="589"/>
    <n v="1178"/>
    <n v="2104"/>
    <n v="926"/>
    <s v="Product 98"/>
    <x v="50"/>
    <s v="Henry Nelson"/>
    <x v="738"/>
    <n v="3"/>
    <x v="2"/>
    <x v="8"/>
    <x v="8"/>
    <x v="2"/>
    <x v="0"/>
  </r>
  <r>
    <s v="AX22444"/>
    <s v="ENX2009"/>
    <s v="A155"/>
    <s v="EMP1034"/>
    <s v="C1005"/>
    <x v="312"/>
    <n v="2"/>
    <n v="584"/>
    <n v="420"/>
    <n v="840"/>
    <n v="1168"/>
    <n v="328"/>
    <s v="Product 10"/>
    <x v="53"/>
    <s v="Arthur Mccoy"/>
    <x v="304"/>
    <n v="3"/>
    <x v="2"/>
    <x v="8"/>
    <x v="8"/>
    <x v="2"/>
    <x v="0"/>
  </r>
  <r>
    <s v="AX22591"/>
    <s v="ENX2082"/>
    <s v="A144"/>
    <s v="EMP1026"/>
    <s v="C1628"/>
    <x v="314"/>
    <n v="2"/>
    <n v="1103"/>
    <n v="838"/>
    <n v="1676"/>
    <n v="2206"/>
    <n v="530"/>
    <s v="Product 83"/>
    <x v="65"/>
    <s v="Martin Perry"/>
    <x v="161"/>
    <n v="3"/>
    <x v="2"/>
    <x v="8"/>
    <x v="8"/>
    <x v="2"/>
    <x v="0"/>
  </r>
  <r>
    <s v="AX22662"/>
    <s v="ENX2013"/>
    <s v="A139"/>
    <s v="EMP1023"/>
    <s v="C1766"/>
    <x v="312"/>
    <n v="1"/>
    <n v="368"/>
    <n v="269"/>
    <n v="269"/>
    <n v="368"/>
    <n v="99"/>
    <s v="Product 14"/>
    <x v="38"/>
    <s v="Brian Davis"/>
    <x v="452"/>
    <n v="3"/>
    <x v="2"/>
    <x v="8"/>
    <x v="8"/>
    <x v="2"/>
    <x v="0"/>
  </r>
  <r>
    <s v="AX22676"/>
    <s v="ENX2014"/>
    <s v="A115"/>
    <s v="EMP1005"/>
    <s v="C1197"/>
    <x v="311"/>
    <n v="2"/>
    <n v="1809"/>
    <n v="1067"/>
    <n v="2134"/>
    <n v="3618"/>
    <n v="1484"/>
    <s v="Product 15"/>
    <x v="33"/>
    <s v="Ryan Welch"/>
    <x v="718"/>
    <n v="3"/>
    <x v="2"/>
    <x v="8"/>
    <x v="8"/>
    <x v="2"/>
    <x v="0"/>
  </r>
  <r>
    <s v="AX22907"/>
    <s v="ENX2006"/>
    <s v="A144"/>
    <s v="EMP1009"/>
    <s v="C1743"/>
    <x v="311"/>
    <n v="2"/>
    <n v="1826"/>
    <n v="1443"/>
    <n v="2886"/>
    <n v="3652"/>
    <n v="766"/>
    <s v="Product 7"/>
    <x v="65"/>
    <s v="Kenneth Fields"/>
    <x v="276"/>
    <n v="3"/>
    <x v="2"/>
    <x v="8"/>
    <x v="8"/>
    <x v="2"/>
    <x v="0"/>
  </r>
  <r>
    <s v="AX23238"/>
    <s v="ENX2070"/>
    <s v="A123"/>
    <s v="EMP1022"/>
    <s v="C1190"/>
    <x v="312"/>
    <n v="2"/>
    <n v="1671"/>
    <n v="1220"/>
    <n v="2440"/>
    <n v="3342"/>
    <n v="902"/>
    <s v="Product 71"/>
    <x v="34"/>
    <s v="Walter Cook"/>
    <x v="1"/>
    <n v="3"/>
    <x v="2"/>
    <x v="8"/>
    <x v="8"/>
    <x v="2"/>
    <x v="0"/>
  </r>
  <r>
    <s v="AX23362"/>
    <s v="ENX2093"/>
    <s v="A144"/>
    <s v="EMP1039"/>
    <s v="C1394"/>
    <x v="312"/>
    <n v="2"/>
    <n v="112"/>
    <n v="90"/>
    <n v="180"/>
    <n v="224"/>
    <n v="44"/>
    <s v="Product 94"/>
    <x v="65"/>
    <s v="Eugene Holmes"/>
    <x v="116"/>
    <n v="3"/>
    <x v="2"/>
    <x v="8"/>
    <x v="8"/>
    <x v="2"/>
    <x v="0"/>
  </r>
  <r>
    <s v="AX23454"/>
    <s v="ENX2030"/>
    <s v="A134"/>
    <s v="EMP1019"/>
    <s v="C1017"/>
    <x v="312"/>
    <n v="4"/>
    <n v="1899"/>
    <n v="1044"/>
    <n v="4176"/>
    <n v="7596"/>
    <n v="3420"/>
    <s v="Product 31"/>
    <x v="41"/>
    <s v="Roger Robertson"/>
    <x v="402"/>
    <n v="3"/>
    <x v="2"/>
    <x v="8"/>
    <x v="8"/>
    <x v="2"/>
    <x v="0"/>
  </r>
  <r>
    <s v="AX24215"/>
    <s v="ENX2011"/>
    <s v="A127"/>
    <s v="EMP1025"/>
    <s v="C1545"/>
    <x v="312"/>
    <n v="3"/>
    <n v="530"/>
    <n v="435"/>
    <n v="1305"/>
    <n v="1590"/>
    <n v="285"/>
    <s v="Product 12"/>
    <x v="69"/>
    <s v="Ernest Wagner"/>
    <x v="646"/>
    <n v="3"/>
    <x v="2"/>
    <x v="8"/>
    <x v="8"/>
    <x v="2"/>
    <x v="0"/>
  </r>
  <r>
    <s v="AX24335"/>
    <s v="ENX2054"/>
    <s v="A128"/>
    <s v="EMP1005"/>
    <s v="C1400"/>
    <x v="314"/>
    <n v="1"/>
    <n v="127"/>
    <n v="79"/>
    <n v="79"/>
    <n v="127"/>
    <n v="48"/>
    <s v="Product 55"/>
    <x v="12"/>
    <s v="Ryan Welch"/>
    <x v="437"/>
    <n v="3"/>
    <x v="2"/>
    <x v="8"/>
    <x v="8"/>
    <x v="2"/>
    <x v="0"/>
  </r>
  <r>
    <s v="AX24432"/>
    <s v="ENX2034"/>
    <s v="A138"/>
    <s v="EMP1036"/>
    <s v="C1506"/>
    <x v="313"/>
    <n v="1"/>
    <n v="871"/>
    <n v="540"/>
    <n v="540"/>
    <n v="871"/>
    <n v="331"/>
    <s v="Product 35"/>
    <x v="37"/>
    <s v="Robert Reed"/>
    <x v="538"/>
    <n v="3"/>
    <x v="2"/>
    <x v="8"/>
    <x v="8"/>
    <x v="2"/>
    <x v="0"/>
  </r>
  <r>
    <s v="AX24587"/>
    <s v="ENX2090"/>
    <s v="A146"/>
    <s v="EMP1033"/>
    <s v="C1652"/>
    <x v="313"/>
    <n v="3"/>
    <n v="1338"/>
    <n v="682"/>
    <n v="2046"/>
    <n v="4014"/>
    <n v="1968"/>
    <s v="Product 91"/>
    <x v="27"/>
    <s v="Jerry Perry"/>
    <x v="737"/>
    <n v="3"/>
    <x v="2"/>
    <x v="8"/>
    <x v="8"/>
    <x v="2"/>
    <x v="0"/>
  </r>
  <r>
    <s v="AX24816"/>
    <s v="ENX2080"/>
    <s v="A145"/>
    <s v="EMP1019"/>
    <s v="C1379"/>
    <x v="313"/>
    <n v="2"/>
    <n v="2353"/>
    <n v="1788"/>
    <n v="3576"/>
    <n v="4706"/>
    <n v="1130"/>
    <s v="Product 81"/>
    <x v="35"/>
    <s v="Roger Robertson"/>
    <x v="549"/>
    <n v="3"/>
    <x v="2"/>
    <x v="8"/>
    <x v="8"/>
    <x v="2"/>
    <x v="0"/>
  </r>
  <r>
    <s v="AX10103"/>
    <s v="ENX2015"/>
    <s v="A121"/>
    <s v="EMP1035"/>
    <s v="C1614"/>
    <x v="315"/>
    <n v="3"/>
    <n v="637"/>
    <n v="389"/>
    <n v="1167"/>
    <n v="1911"/>
    <n v="744"/>
    <s v="Product 16"/>
    <x v="72"/>
    <s v="Roger Ramos"/>
    <x v="11"/>
    <n v="3"/>
    <x v="2"/>
    <x v="8"/>
    <x v="8"/>
    <x v="2"/>
    <x v="2"/>
  </r>
  <r>
    <s v="AX10104"/>
    <s v="ENX2047"/>
    <s v="A168"/>
    <s v="EMP1023"/>
    <s v="C1446"/>
    <x v="316"/>
    <n v="3"/>
    <n v="290"/>
    <n v="200"/>
    <n v="600"/>
    <n v="870"/>
    <n v="270"/>
    <s v="Product 48"/>
    <x v="40"/>
    <s v="Brian Davis"/>
    <x v="345"/>
    <n v="3"/>
    <x v="2"/>
    <x v="8"/>
    <x v="8"/>
    <x v="2"/>
    <x v="2"/>
  </r>
  <r>
    <s v="AX10341"/>
    <s v="ENX2059"/>
    <s v="A155"/>
    <s v="EMP1039"/>
    <s v="C1035"/>
    <x v="317"/>
    <n v="1"/>
    <n v="1494"/>
    <n v="971"/>
    <n v="971"/>
    <n v="1494"/>
    <n v="523"/>
    <s v="Product 60"/>
    <x v="53"/>
    <s v="Eugene Holmes"/>
    <x v="95"/>
    <n v="3"/>
    <x v="2"/>
    <x v="8"/>
    <x v="8"/>
    <x v="2"/>
    <x v="2"/>
  </r>
  <r>
    <s v="AX10356"/>
    <s v="ENX2081"/>
    <s v="A130"/>
    <s v="EMP1030"/>
    <s v="C1671"/>
    <x v="316"/>
    <n v="3"/>
    <n v="1566"/>
    <n v="1190"/>
    <n v="3570"/>
    <n v="4698"/>
    <n v="1128"/>
    <s v="Product 82"/>
    <x v="4"/>
    <s v="Bobby Russell"/>
    <x v="248"/>
    <n v="3"/>
    <x v="2"/>
    <x v="8"/>
    <x v="8"/>
    <x v="2"/>
    <x v="2"/>
  </r>
  <r>
    <s v="AX10486"/>
    <s v="ENX2046"/>
    <s v="A111"/>
    <s v="EMP1016"/>
    <s v="C1196"/>
    <x v="318"/>
    <n v="1"/>
    <n v="2410"/>
    <n v="1518"/>
    <n v="1518"/>
    <n v="2410"/>
    <n v="892"/>
    <s v="Product 47"/>
    <x v="54"/>
    <s v="Henry Nelson"/>
    <x v="65"/>
    <n v="3"/>
    <x v="2"/>
    <x v="8"/>
    <x v="8"/>
    <x v="2"/>
    <x v="2"/>
  </r>
  <r>
    <s v="AX10937"/>
    <s v="ENX2083"/>
    <s v="A164"/>
    <s v="EMP1029"/>
    <s v="C1651"/>
    <x v="315"/>
    <n v="1"/>
    <n v="2141"/>
    <n v="1777"/>
    <n v="1777"/>
    <n v="2141"/>
    <n v="364"/>
    <s v="Product 84"/>
    <x v="3"/>
    <s v="Howard Gardner"/>
    <x v="660"/>
    <n v="3"/>
    <x v="2"/>
    <x v="8"/>
    <x v="8"/>
    <x v="2"/>
    <x v="2"/>
  </r>
  <r>
    <s v="AX11260"/>
    <s v="ENX2025"/>
    <s v="A171"/>
    <s v="EMP1038"/>
    <s v="C1597"/>
    <x v="317"/>
    <n v="4"/>
    <n v="667"/>
    <n v="387"/>
    <n v="1548"/>
    <n v="2668"/>
    <n v="1120"/>
    <s v="Product 26"/>
    <x v="0"/>
    <s v="Scott Mason"/>
    <x v="183"/>
    <n v="3"/>
    <x v="2"/>
    <x v="8"/>
    <x v="8"/>
    <x v="2"/>
    <x v="2"/>
  </r>
  <r>
    <s v="AX11672"/>
    <s v="ENX2005"/>
    <s v="A118"/>
    <s v="EMP1000"/>
    <s v="C1344"/>
    <x v="318"/>
    <n v="2"/>
    <n v="684"/>
    <n v="561"/>
    <n v="1122"/>
    <n v="1368"/>
    <n v="246"/>
    <s v="Product 6"/>
    <x v="19"/>
    <s v="Fred Robertson"/>
    <x v="22"/>
    <n v="3"/>
    <x v="2"/>
    <x v="8"/>
    <x v="8"/>
    <x v="2"/>
    <x v="2"/>
  </r>
  <r>
    <s v="AX11809"/>
    <s v="ENX2008"/>
    <s v="A111"/>
    <s v="EMP1044"/>
    <s v="C1204"/>
    <x v="318"/>
    <n v="3"/>
    <n v="315"/>
    <n v="208"/>
    <n v="624"/>
    <n v="945"/>
    <n v="321"/>
    <s v="Product 9"/>
    <x v="54"/>
    <s v="Martin Carr"/>
    <x v="654"/>
    <n v="3"/>
    <x v="2"/>
    <x v="8"/>
    <x v="8"/>
    <x v="2"/>
    <x v="2"/>
  </r>
  <r>
    <s v="AX11909"/>
    <s v="ENX2044"/>
    <s v="A157"/>
    <s v="EMP1005"/>
    <s v="C1050"/>
    <x v="315"/>
    <n v="1"/>
    <n v="886"/>
    <n v="478"/>
    <n v="478"/>
    <n v="886"/>
    <n v="408"/>
    <s v="Product 45"/>
    <x v="7"/>
    <s v="Ryan Welch"/>
    <x v="684"/>
    <n v="3"/>
    <x v="2"/>
    <x v="8"/>
    <x v="8"/>
    <x v="2"/>
    <x v="2"/>
  </r>
  <r>
    <s v="AX11929"/>
    <s v="ENX2012"/>
    <s v="A148"/>
    <s v="EMP1016"/>
    <s v="C1042"/>
    <x v="316"/>
    <n v="1"/>
    <n v="1353"/>
    <n v="947"/>
    <n v="947"/>
    <n v="1353"/>
    <n v="406"/>
    <s v="Product 13"/>
    <x v="62"/>
    <s v="Henry Nelson"/>
    <x v="459"/>
    <n v="3"/>
    <x v="2"/>
    <x v="8"/>
    <x v="8"/>
    <x v="2"/>
    <x v="2"/>
  </r>
  <r>
    <s v="AX12471"/>
    <s v="ENX2010"/>
    <s v="A125"/>
    <s v="EMP1040"/>
    <s v="C1177"/>
    <x v="315"/>
    <n v="1"/>
    <n v="1812"/>
    <n v="1305"/>
    <n v="1305"/>
    <n v="1812"/>
    <n v="507"/>
    <s v="Product 11"/>
    <x v="31"/>
    <s v="Patrick Ruiz"/>
    <x v="365"/>
    <n v="3"/>
    <x v="2"/>
    <x v="8"/>
    <x v="8"/>
    <x v="2"/>
    <x v="2"/>
  </r>
  <r>
    <s v="AX12975"/>
    <s v="ENX2060"/>
    <s v="A170"/>
    <s v="EMP1008"/>
    <s v="C1591"/>
    <x v="315"/>
    <n v="1"/>
    <n v="1467"/>
    <n v="807"/>
    <n v="807"/>
    <n v="1467"/>
    <n v="660"/>
    <s v="Product 61"/>
    <x v="47"/>
    <s v="Carl Elliott"/>
    <x v="289"/>
    <n v="3"/>
    <x v="2"/>
    <x v="8"/>
    <x v="8"/>
    <x v="2"/>
    <x v="2"/>
  </r>
  <r>
    <s v="AX13006"/>
    <s v="ENX2065"/>
    <s v="A157"/>
    <s v="EMP1022"/>
    <s v="C1583"/>
    <x v="316"/>
    <n v="1"/>
    <n v="2396"/>
    <n v="1965"/>
    <n v="1965"/>
    <n v="2396"/>
    <n v="431"/>
    <s v="Product 66"/>
    <x v="7"/>
    <s v="Walter Cook"/>
    <x v="798"/>
    <n v="3"/>
    <x v="2"/>
    <x v="8"/>
    <x v="8"/>
    <x v="2"/>
    <x v="2"/>
  </r>
  <r>
    <s v="AX13052"/>
    <s v="ENX2048"/>
    <s v="A124"/>
    <s v="EMP1017"/>
    <s v="C1743"/>
    <x v="317"/>
    <n v="2"/>
    <n v="502"/>
    <n v="296"/>
    <n v="592"/>
    <n v="1004"/>
    <n v="412"/>
    <s v="Product 49"/>
    <x v="67"/>
    <s v="Brian Hansen"/>
    <x v="276"/>
    <n v="3"/>
    <x v="2"/>
    <x v="8"/>
    <x v="8"/>
    <x v="2"/>
    <x v="2"/>
  </r>
  <r>
    <s v="AX13158"/>
    <s v="ENX2010"/>
    <s v="A124"/>
    <s v="EMP1030"/>
    <s v="C1701"/>
    <x v="318"/>
    <n v="3"/>
    <n v="1812"/>
    <n v="1305"/>
    <n v="3915"/>
    <n v="5436"/>
    <n v="1521"/>
    <s v="Product 11"/>
    <x v="67"/>
    <s v="Bobby Russell"/>
    <x v="736"/>
    <n v="3"/>
    <x v="2"/>
    <x v="8"/>
    <x v="8"/>
    <x v="2"/>
    <x v="2"/>
  </r>
  <r>
    <s v="AX13575"/>
    <s v="ENX2058"/>
    <s v="A170"/>
    <s v="EMP1011"/>
    <s v="C1545"/>
    <x v="317"/>
    <n v="4"/>
    <n v="2257"/>
    <n v="1535"/>
    <n v="6140"/>
    <n v="9028"/>
    <n v="2888"/>
    <s v="Product 59"/>
    <x v="47"/>
    <s v="Larry Marshall"/>
    <x v="646"/>
    <n v="3"/>
    <x v="2"/>
    <x v="8"/>
    <x v="8"/>
    <x v="2"/>
    <x v="2"/>
  </r>
  <r>
    <s v="AX13648"/>
    <s v="ENX2067"/>
    <s v="A115"/>
    <s v="EMP1037"/>
    <s v="C1241"/>
    <x v="317"/>
    <n v="1"/>
    <n v="1119"/>
    <n v="683"/>
    <n v="683"/>
    <n v="1119"/>
    <n v="436"/>
    <s v="Product 68"/>
    <x v="33"/>
    <s v="Carl Hall"/>
    <x v="190"/>
    <n v="3"/>
    <x v="2"/>
    <x v="8"/>
    <x v="8"/>
    <x v="2"/>
    <x v="2"/>
  </r>
  <r>
    <s v="AX14150"/>
    <s v="ENX2063"/>
    <s v="A171"/>
    <s v="EMP1003"/>
    <s v="C1281"/>
    <x v="317"/>
    <n v="2"/>
    <n v="1708"/>
    <n v="871"/>
    <n v="1742"/>
    <n v="3416"/>
    <n v="1674"/>
    <s v="Product 64"/>
    <x v="0"/>
    <s v="Christopher Tucker"/>
    <x v="216"/>
    <n v="3"/>
    <x v="2"/>
    <x v="8"/>
    <x v="8"/>
    <x v="2"/>
    <x v="2"/>
  </r>
  <r>
    <s v="AX14613"/>
    <s v="ENX2049"/>
    <s v="A169"/>
    <s v="EMP1026"/>
    <s v="C1463"/>
    <x v="315"/>
    <n v="4"/>
    <n v="826"/>
    <n v="562"/>
    <n v="2248"/>
    <n v="3304"/>
    <n v="1056"/>
    <s v="Product 50"/>
    <x v="17"/>
    <s v="Martin Perry"/>
    <x v="535"/>
    <n v="3"/>
    <x v="2"/>
    <x v="8"/>
    <x v="8"/>
    <x v="2"/>
    <x v="2"/>
  </r>
  <r>
    <s v="AX14870"/>
    <s v="ENX2079"/>
    <s v="A139"/>
    <s v="EMP1032"/>
    <s v="C1323"/>
    <x v="316"/>
    <n v="1"/>
    <n v="1725"/>
    <n v="1363"/>
    <n v="1363"/>
    <n v="1725"/>
    <n v="362"/>
    <s v="Product 80"/>
    <x v="38"/>
    <s v="Larry Castillo"/>
    <x v="83"/>
    <n v="3"/>
    <x v="2"/>
    <x v="8"/>
    <x v="8"/>
    <x v="2"/>
    <x v="2"/>
  </r>
  <r>
    <s v="AX14991"/>
    <s v="ENX2077"/>
    <s v="A105"/>
    <s v="EMP1021"/>
    <s v="C1652"/>
    <x v="318"/>
    <n v="4"/>
    <n v="530"/>
    <n v="424"/>
    <n v="1696"/>
    <n v="2120"/>
    <n v="424"/>
    <s v="Product 78"/>
    <x v="45"/>
    <s v="Clarence Fox"/>
    <x v="737"/>
    <n v="3"/>
    <x v="2"/>
    <x v="8"/>
    <x v="8"/>
    <x v="2"/>
    <x v="2"/>
  </r>
  <r>
    <s v="AX15420"/>
    <s v="ENX2044"/>
    <s v="A136"/>
    <s v="EMP1044"/>
    <s v="C1544"/>
    <x v="317"/>
    <n v="1"/>
    <n v="886"/>
    <n v="478"/>
    <n v="478"/>
    <n v="886"/>
    <n v="408"/>
    <s v="Product 45"/>
    <x v="43"/>
    <s v="Martin Carr"/>
    <x v="196"/>
    <n v="3"/>
    <x v="2"/>
    <x v="8"/>
    <x v="8"/>
    <x v="2"/>
    <x v="2"/>
  </r>
  <r>
    <s v="AX15582"/>
    <s v="ENX2041"/>
    <s v="A129"/>
    <s v="EMP1041"/>
    <s v="C1337"/>
    <x v="317"/>
    <n v="1"/>
    <n v="1380"/>
    <n v="1090"/>
    <n v="1090"/>
    <n v="1380"/>
    <n v="290"/>
    <s v="Product 42"/>
    <x v="22"/>
    <s v="Joe Sims"/>
    <x v="417"/>
    <n v="3"/>
    <x v="2"/>
    <x v="8"/>
    <x v="8"/>
    <x v="2"/>
    <x v="2"/>
  </r>
  <r>
    <s v="AX15682"/>
    <s v="ENX2011"/>
    <s v="A133"/>
    <s v="EMP1034"/>
    <s v="C1426"/>
    <x v="318"/>
    <n v="1"/>
    <n v="530"/>
    <n v="435"/>
    <n v="435"/>
    <n v="530"/>
    <n v="95"/>
    <s v="Product 12"/>
    <x v="46"/>
    <s v="Arthur Mccoy"/>
    <x v="127"/>
    <n v="3"/>
    <x v="2"/>
    <x v="8"/>
    <x v="8"/>
    <x v="2"/>
    <x v="2"/>
  </r>
  <r>
    <s v="AX15812"/>
    <s v="ENX2081"/>
    <s v="A159"/>
    <s v="EMP1018"/>
    <s v="C1506"/>
    <x v="316"/>
    <n v="3"/>
    <n v="1566"/>
    <n v="1190"/>
    <n v="3570"/>
    <n v="4698"/>
    <n v="1128"/>
    <s v="Product 82"/>
    <x v="13"/>
    <s v="Jimmy Young"/>
    <x v="538"/>
    <n v="3"/>
    <x v="2"/>
    <x v="8"/>
    <x v="8"/>
    <x v="2"/>
    <x v="2"/>
  </r>
  <r>
    <s v="AX15905"/>
    <s v="ENX2043"/>
    <s v="A110"/>
    <s v="EMP1039"/>
    <s v="C1643"/>
    <x v="315"/>
    <n v="1"/>
    <n v="545"/>
    <n v="425"/>
    <n v="425"/>
    <n v="545"/>
    <n v="120"/>
    <s v="Product 44"/>
    <x v="63"/>
    <s v="Eugene Holmes"/>
    <x v="142"/>
    <n v="3"/>
    <x v="2"/>
    <x v="8"/>
    <x v="8"/>
    <x v="2"/>
    <x v="2"/>
  </r>
  <r>
    <s v="AX15909"/>
    <s v="ENX2097"/>
    <s v="A118"/>
    <s v="EMP1037"/>
    <s v="C1171"/>
    <x v="317"/>
    <n v="1"/>
    <n v="1052"/>
    <n v="589"/>
    <n v="589"/>
    <n v="1052"/>
    <n v="463"/>
    <s v="Product 98"/>
    <x v="19"/>
    <s v="Carl Hall"/>
    <x v="150"/>
    <n v="3"/>
    <x v="2"/>
    <x v="8"/>
    <x v="8"/>
    <x v="2"/>
    <x v="2"/>
  </r>
  <r>
    <s v="AX16752"/>
    <s v="ENX2036"/>
    <s v="A147"/>
    <s v="EMP1041"/>
    <s v="C1169"/>
    <x v="317"/>
    <n v="3"/>
    <n v="1582"/>
    <n v="1234"/>
    <n v="3702"/>
    <n v="4746"/>
    <n v="1044"/>
    <s v="Product 37"/>
    <x v="42"/>
    <s v="Joe Sims"/>
    <x v="293"/>
    <n v="3"/>
    <x v="2"/>
    <x v="8"/>
    <x v="8"/>
    <x v="2"/>
    <x v="2"/>
  </r>
  <r>
    <s v="AX17365"/>
    <s v="ENX2054"/>
    <s v="A167"/>
    <s v="EMP1019"/>
    <s v="C1261"/>
    <x v="318"/>
    <n v="4"/>
    <n v="127"/>
    <n v="79"/>
    <n v="316"/>
    <n v="508"/>
    <n v="192"/>
    <s v="Product 55"/>
    <x v="64"/>
    <s v="Roger Robertson"/>
    <x v="295"/>
    <n v="3"/>
    <x v="2"/>
    <x v="8"/>
    <x v="8"/>
    <x v="2"/>
    <x v="2"/>
  </r>
  <r>
    <s v="AX17588"/>
    <s v="ENX2092"/>
    <s v="A130"/>
    <s v="EMP1024"/>
    <s v="C1766"/>
    <x v="315"/>
    <n v="3"/>
    <n v="1639"/>
    <n v="1295"/>
    <n v="3885"/>
    <n v="4917"/>
    <n v="1032"/>
    <s v="Product 93"/>
    <x v="4"/>
    <s v="Ernest Wheeler"/>
    <x v="452"/>
    <n v="3"/>
    <x v="2"/>
    <x v="8"/>
    <x v="8"/>
    <x v="2"/>
    <x v="2"/>
  </r>
  <r>
    <s v="AX17723"/>
    <s v="ENX2053"/>
    <s v="A141"/>
    <s v="EMP1019"/>
    <s v="C1081"/>
    <x v="318"/>
    <n v="3"/>
    <n v="596"/>
    <n v="358"/>
    <n v="1074"/>
    <n v="1788"/>
    <n v="714"/>
    <s v="Product 54"/>
    <x v="23"/>
    <s v="Roger Robertson"/>
    <x v="168"/>
    <n v="3"/>
    <x v="2"/>
    <x v="8"/>
    <x v="8"/>
    <x v="2"/>
    <x v="2"/>
  </r>
  <r>
    <s v="AX17826"/>
    <s v="ENX2038"/>
    <s v="A117"/>
    <s v="EMP1033"/>
    <s v="C1679"/>
    <x v="316"/>
    <n v="4"/>
    <n v="392"/>
    <n v="255"/>
    <n v="1020"/>
    <n v="1568"/>
    <n v="548"/>
    <s v="Product 39"/>
    <x v="29"/>
    <s v="Jerry Perry"/>
    <x v="664"/>
    <n v="3"/>
    <x v="2"/>
    <x v="8"/>
    <x v="8"/>
    <x v="2"/>
    <x v="2"/>
  </r>
  <r>
    <s v="AX18092"/>
    <s v="ENX2099"/>
    <s v="A104"/>
    <s v="EMP1036"/>
    <s v="C1038"/>
    <x v="317"/>
    <n v="2"/>
    <n v="1367"/>
    <n v="984"/>
    <n v="1968"/>
    <n v="2734"/>
    <n v="766"/>
    <s v="Product 100"/>
    <x v="50"/>
    <s v="Robert Reed"/>
    <x v="545"/>
    <n v="3"/>
    <x v="2"/>
    <x v="8"/>
    <x v="8"/>
    <x v="2"/>
    <x v="2"/>
  </r>
  <r>
    <s v="AX18136"/>
    <s v="ENX2009"/>
    <s v="A132"/>
    <s v="EMP1010"/>
    <s v="C1499"/>
    <x v="316"/>
    <n v="3"/>
    <n v="584"/>
    <n v="420"/>
    <n v="1260"/>
    <n v="1752"/>
    <n v="492"/>
    <s v="Product 10"/>
    <x v="48"/>
    <s v="Joshua Cook"/>
    <x v="610"/>
    <n v="3"/>
    <x v="2"/>
    <x v="8"/>
    <x v="8"/>
    <x v="2"/>
    <x v="2"/>
  </r>
  <r>
    <s v="AX18279"/>
    <s v="ENX2090"/>
    <s v="A153"/>
    <s v="EMP1024"/>
    <s v="C1156"/>
    <x v="315"/>
    <n v="1"/>
    <n v="1338"/>
    <n v="682"/>
    <n v="682"/>
    <n v="1338"/>
    <n v="656"/>
    <s v="Product 91"/>
    <x v="8"/>
    <s v="Ernest Wheeler"/>
    <x v="740"/>
    <n v="3"/>
    <x v="2"/>
    <x v="8"/>
    <x v="8"/>
    <x v="2"/>
    <x v="2"/>
  </r>
  <r>
    <s v="AX18614"/>
    <s v="ENX2035"/>
    <s v="A126"/>
    <s v="EMP1025"/>
    <s v="C1740"/>
    <x v="316"/>
    <n v="4"/>
    <n v="458"/>
    <n v="376"/>
    <n v="1504"/>
    <n v="1832"/>
    <n v="328"/>
    <s v="Product 36"/>
    <x v="5"/>
    <s v="Ernest Wagner"/>
    <x v="699"/>
    <n v="3"/>
    <x v="2"/>
    <x v="8"/>
    <x v="8"/>
    <x v="2"/>
    <x v="2"/>
  </r>
  <r>
    <s v="AX18779"/>
    <s v="ENX2008"/>
    <s v="A141"/>
    <s v="EMP1037"/>
    <s v="C1097"/>
    <x v="315"/>
    <n v="3"/>
    <n v="315"/>
    <n v="208"/>
    <n v="624"/>
    <n v="945"/>
    <n v="321"/>
    <s v="Product 9"/>
    <x v="23"/>
    <s v="Carl Hall"/>
    <x v="662"/>
    <n v="3"/>
    <x v="2"/>
    <x v="8"/>
    <x v="8"/>
    <x v="2"/>
    <x v="2"/>
  </r>
  <r>
    <s v="AX19028"/>
    <s v="ENX2057"/>
    <s v="A141"/>
    <s v="EMP1043"/>
    <s v="C1097"/>
    <x v="316"/>
    <n v="2"/>
    <n v="181"/>
    <n v="130"/>
    <n v="260"/>
    <n v="362"/>
    <n v="102"/>
    <s v="Product 58"/>
    <x v="23"/>
    <s v="Joshua Taylor"/>
    <x v="662"/>
    <n v="3"/>
    <x v="2"/>
    <x v="8"/>
    <x v="8"/>
    <x v="2"/>
    <x v="2"/>
  </r>
  <r>
    <s v="AX19451"/>
    <s v="ENX2092"/>
    <s v="A149"/>
    <s v="EMP1006"/>
    <s v="C1480"/>
    <x v="317"/>
    <n v="1"/>
    <n v="1639"/>
    <n v="1295"/>
    <n v="1295"/>
    <n v="1639"/>
    <n v="344"/>
    <s v="Product 93"/>
    <x v="59"/>
    <s v="Sean Miller"/>
    <x v="64"/>
    <n v="3"/>
    <x v="2"/>
    <x v="8"/>
    <x v="8"/>
    <x v="2"/>
    <x v="2"/>
  </r>
  <r>
    <s v="AX19764"/>
    <s v="ENX2054"/>
    <s v="A101"/>
    <s v="EMP1022"/>
    <s v="C1608"/>
    <x v="316"/>
    <n v="3"/>
    <n v="127"/>
    <n v="79"/>
    <n v="237"/>
    <n v="381"/>
    <n v="144"/>
    <s v="Product 55"/>
    <x v="60"/>
    <s v="Walter Cook"/>
    <x v="463"/>
    <n v="3"/>
    <x v="2"/>
    <x v="8"/>
    <x v="8"/>
    <x v="2"/>
    <x v="2"/>
  </r>
  <r>
    <s v="AX20209"/>
    <s v="ENX2084"/>
    <s v="A106"/>
    <s v="EMP1013"/>
    <s v="C1572"/>
    <x v="315"/>
    <n v="1"/>
    <n v="1783"/>
    <n v="1230"/>
    <n v="1230"/>
    <n v="1783"/>
    <n v="553"/>
    <s v="Product 85"/>
    <x v="11"/>
    <s v="Charles Harper"/>
    <x v="717"/>
    <n v="3"/>
    <x v="2"/>
    <x v="8"/>
    <x v="8"/>
    <x v="2"/>
    <x v="2"/>
  </r>
  <r>
    <s v="AX20658"/>
    <s v="ENX2037"/>
    <s v="A170"/>
    <s v="EMP1015"/>
    <s v="C1654"/>
    <x v="316"/>
    <n v="1"/>
    <n v="880"/>
    <n v="634"/>
    <n v="634"/>
    <n v="880"/>
    <n v="246"/>
    <s v="Product 38"/>
    <x v="47"/>
    <s v="Justin Lynch"/>
    <x v="351"/>
    <n v="3"/>
    <x v="2"/>
    <x v="8"/>
    <x v="8"/>
    <x v="2"/>
    <x v="2"/>
  </r>
  <r>
    <s v="AX20756"/>
    <s v="ENX2071"/>
    <s v="A169"/>
    <s v="EMP1026"/>
    <s v="C1788"/>
    <x v="316"/>
    <n v="3"/>
    <n v="136"/>
    <n v="72"/>
    <n v="216"/>
    <n v="408"/>
    <n v="192"/>
    <s v="Product 72"/>
    <x v="17"/>
    <s v="Martin Perry"/>
    <x v="218"/>
    <n v="3"/>
    <x v="2"/>
    <x v="8"/>
    <x v="8"/>
    <x v="2"/>
    <x v="2"/>
  </r>
  <r>
    <s v="AX21117"/>
    <s v="ENX2021"/>
    <s v="A111"/>
    <s v="EMP1026"/>
    <s v="C1528"/>
    <x v="315"/>
    <n v="1"/>
    <n v="217"/>
    <n v="171"/>
    <n v="171"/>
    <n v="217"/>
    <n v="46"/>
    <s v="Product 22"/>
    <x v="54"/>
    <s v="Martin Perry"/>
    <x v="158"/>
    <n v="3"/>
    <x v="2"/>
    <x v="8"/>
    <x v="8"/>
    <x v="2"/>
    <x v="2"/>
  </r>
  <r>
    <s v="AX21208"/>
    <s v="ENX2091"/>
    <s v="A125"/>
    <s v="EMP1001"/>
    <s v="C1754"/>
    <x v="317"/>
    <n v="1"/>
    <n v="368"/>
    <n v="294"/>
    <n v="294"/>
    <n v="368"/>
    <n v="74"/>
    <s v="Product 92"/>
    <x v="31"/>
    <s v="Kevin Butler"/>
    <x v="742"/>
    <n v="3"/>
    <x v="2"/>
    <x v="8"/>
    <x v="8"/>
    <x v="2"/>
    <x v="2"/>
  </r>
  <r>
    <s v="AX21370"/>
    <s v="ENX2038"/>
    <s v="A167"/>
    <s v="EMP1027"/>
    <s v="C1664"/>
    <x v="317"/>
    <n v="1"/>
    <n v="392"/>
    <n v="255"/>
    <n v="255"/>
    <n v="392"/>
    <n v="137"/>
    <s v="Product 39"/>
    <x v="64"/>
    <s v="Gary Rodriguez"/>
    <x v="12"/>
    <n v="3"/>
    <x v="2"/>
    <x v="8"/>
    <x v="8"/>
    <x v="2"/>
    <x v="2"/>
  </r>
  <r>
    <s v="AX21411"/>
    <s v="ENX2035"/>
    <s v="A132"/>
    <s v="EMP1030"/>
    <s v="C1598"/>
    <x v="316"/>
    <n v="1"/>
    <n v="458"/>
    <n v="376"/>
    <n v="376"/>
    <n v="458"/>
    <n v="82"/>
    <s v="Product 36"/>
    <x v="48"/>
    <s v="Bobby Russell"/>
    <x v="125"/>
    <n v="3"/>
    <x v="2"/>
    <x v="8"/>
    <x v="8"/>
    <x v="2"/>
    <x v="2"/>
  </r>
  <r>
    <s v="AX21532"/>
    <s v="ENX2013"/>
    <s v="A107"/>
    <s v="EMP1034"/>
    <s v="C1732"/>
    <x v="318"/>
    <n v="1"/>
    <n v="368"/>
    <n v="269"/>
    <n v="269"/>
    <n v="368"/>
    <n v="99"/>
    <s v="Product 14"/>
    <x v="21"/>
    <s v="Arthur Mccoy"/>
    <x v="136"/>
    <n v="3"/>
    <x v="2"/>
    <x v="8"/>
    <x v="8"/>
    <x v="2"/>
    <x v="2"/>
  </r>
  <r>
    <s v="AX21658"/>
    <s v="ENX2051"/>
    <s v="A152"/>
    <s v="EMP1009"/>
    <s v="C1746"/>
    <x v="315"/>
    <n v="2"/>
    <n v="1077"/>
    <n v="732"/>
    <n v="1464"/>
    <n v="2154"/>
    <n v="690"/>
    <s v="Product 52"/>
    <x v="26"/>
    <s v="Kenneth Fields"/>
    <x v="693"/>
    <n v="3"/>
    <x v="2"/>
    <x v="8"/>
    <x v="8"/>
    <x v="2"/>
    <x v="2"/>
  </r>
  <r>
    <s v="AX22104"/>
    <s v="ENX2025"/>
    <s v="A140"/>
    <s v="EMP1006"/>
    <s v="C1273"/>
    <x v="317"/>
    <n v="1"/>
    <n v="667"/>
    <n v="387"/>
    <n v="387"/>
    <n v="667"/>
    <n v="280"/>
    <s v="Product 26"/>
    <x v="18"/>
    <s v="Sean Miller"/>
    <x v="469"/>
    <n v="3"/>
    <x v="2"/>
    <x v="8"/>
    <x v="8"/>
    <x v="2"/>
    <x v="2"/>
  </r>
  <r>
    <s v="AX22369"/>
    <s v="ENX2056"/>
    <s v="A140"/>
    <s v="EMP1036"/>
    <s v="C1414"/>
    <x v="316"/>
    <n v="1"/>
    <n v="1635"/>
    <n v="1046"/>
    <n v="1046"/>
    <n v="1635"/>
    <n v="589"/>
    <s v="Product 57"/>
    <x v="18"/>
    <s v="Robert Reed"/>
    <x v="140"/>
    <n v="3"/>
    <x v="2"/>
    <x v="8"/>
    <x v="8"/>
    <x v="2"/>
    <x v="2"/>
  </r>
  <r>
    <s v="AX22450"/>
    <s v="ENX2061"/>
    <s v="A137"/>
    <s v="EMP1033"/>
    <s v="C1162"/>
    <x v="317"/>
    <n v="3"/>
    <n v="913"/>
    <n v="584"/>
    <n v="1752"/>
    <n v="2739"/>
    <n v="987"/>
    <s v="Product 62"/>
    <x v="68"/>
    <s v="Jerry Perry"/>
    <x v="177"/>
    <n v="3"/>
    <x v="2"/>
    <x v="8"/>
    <x v="8"/>
    <x v="2"/>
    <x v="2"/>
  </r>
  <r>
    <s v="AX22649"/>
    <s v="ENX2066"/>
    <s v="A138"/>
    <s v="EMP1000"/>
    <s v="C1141"/>
    <x v="315"/>
    <n v="3"/>
    <n v="2091"/>
    <n v="1485"/>
    <n v="4455"/>
    <n v="6273"/>
    <n v="1818"/>
    <s v="Product 67"/>
    <x v="37"/>
    <s v="Fred Robertson"/>
    <x v="166"/>
    <n v="3"/>
    <x v="2"/>
    <x v="8"/>
    <x v="8"/>
    <x v="2"/>
    <x v="2"/>
  </r>
  <r>
    <s v="AX22802"/>
    <s v="ENX2025"/>
    <s v="A165"/>
    <s v="EMP1011"/>
    <s v="C1316"/>
    <x v="317"/>
    <n v="2"/>
    <n v="667"/>
    <n v="387"/>
    <n v="774"/>
    <n v="1334"/>
    <n v="560"/>
    <s v="Product 26"/>
    <x v="55"/>
    <s v="Larry Marshall"/>
    <x v="771"/>
    <n v="3"/>
    <x v="2"/>
    <x v="8"/>
    <x v="8"/>
    <x v="2"/>
    <x v="2"/>
  </r>
  <r>
    <s v="AX23002"/>
    <s v="ENX2001"/>
    <s v="A115"/>
    <s v="EMP1017"/>
    <s v="C1555"/>
    <x v="318"/>
    <n v="3"/>
    <n v="951"/>
    <n v="504"/>
    <n v="1512"/>
    <n v="2853"/>
    <n v="1341"/>
    <s v="Product 2"/>
    <x v="33"/>
    <s v="Brian Hansen"/>
    <x v="148"/>
    <n v="3"/>
    <x v="2"/>
    <x v="8"/>
    <x v="8"/>
    <x v="2"/>
    <x v="2"/>
  </r>
  <r>
    <s v="AX23030"/>
    <s v="ENX2058"/>
    <s v="A173"/>
    <s v="EMP1017"/>
    <s v="C1788"/>
    <x v="318"/>
    <n v="1"/>
    <n v="2257"/>
    <n v="1535"/>
    <n v="1535"/>
    <n v="2257"/>
    <n v="722"/>
    <s v="Product 59"/>
    <x v="25"/>
    <s v="Brian Hansen"/>
    <x v="218"/>
    <n v="3"/>
    <x v="2"/>
    <x v="8"/>
    <x v="8"/>
    <x v="2"/>
    <x v="2"/>
  </r>
  <r>
    <s v="AX23155"/>
    <s v="ENX2065"/>
    <s v="A103"/>
    <s v="EMP1027"/>
    <s v="C1316"/>
    <x v="316"/>
    <n v="3"/>
    <n v="2396"/>
    <n v="1965"/>
    <n v="5895"/>
    <n v="7188"/>
    <n v="1293"/>
    <s v="Product 66"/>
    <x v="61"/>
    <s v="Gary Rodriguez"/>
    <x v="771"/>
    <n v="3"/>
    <x v="2"/>
    <x v="8"/>
    <x v="8"/>
    <x v="2"/>
    <x v="2"/>
  </r>
  <r>
    <s v="AX23275"/>
    <s v="ENX2095"/>
    <s v="A122"/>
    <s v="EMP1043"/>
    <s v="C1722"/>
    <x v="318"/>
    <n v="2"/>
    <n v="1743"/>
    <n v="872"/>
    <n v="1744"/>
    <n v="3486"/>
    <n v="1742"/>
    <s v="Product 96"/>
    <x v="71"/>
    <s v="Joshua Taylor"/>
    <x v="257"/>
    <n v="3"/>
    <x v="2"/>
    <x v="8"/>
    <x v="8"/>
    <x v="2"/>
    <x v="2"/>
  </r>
  <r>
    <s v="AX23564"/>
    <s v="ENX2038"/>
    <s v="A103"/>
    <s v="EMP1013"/>
    <s v="C1321"/>
    <x v="315"/>
    <n v="4"/>
    <n v="392"/>
    <n v="255"/>
    <n v="1020"/>
    <n v="1568"/>
    <n v="548"/>
    <s v="Product 39"/>
    <x v="61"/>
    <s v="Charles Harper"/>
    <x v="775"/>
    <n v="3"/>
    <x v="2"/>
    <x v="8"/>
    <x v="8"/>
    <x v="2"/>
    <x v="2"/>
  </r>
  <r>
    <s v="AX23860"/>
    <s v="ENX2085"/>
    <s v="A131"/>
    <s v="EMP1001"/>
    <s v="C1231"/>
    <x v="315"/>
    <n v="3"/>
    <n v="1862"/>
    <n v="1173"/>
    <n v="3519"/>
    <n v="5586"/>
    <n v="2067"/>
    <s v="Product 86"/>
    <x v="32"/>
    <s v="Kevin Butler"/>
    <x v="94"/>
    <n v="3"/>
    <x v="2"/>
    <x v="8"/>
    <x v="8"/>
    <x v="2"/>
    <x v="2"/>
  </r>
  <r>
    <s v="AX24098"/>
    <s v="ENX2080"/>
    <s v="A170"/>
    <s v="EMP1022"/>
    <s v="C1775"/>
    <x v="318"/>
    <n v="1"/>
    <n v="2353"/>
    <n v="1788"/>
    <n v="1788"/>
    <n v="2353"/>
    <n v="565"/>
    <s v="Product 81"/>
    <x v="47"/>
    <s v="Walter Cook"/>
    <x v="69"/>
    <n v="3"/>
    <x v="2"/>
    <x v="8"/>
    <x v="8"/>
    <x v="2"/>
    <x v="2"/>
  </r>
  <r>
    <s v="AX24354"/>
    <s v="ENX2010"/>
    <s v="A149"/>
    <s v="EMP1028"/>
    <s v="C1637"/>
    <x v="315"/>
    <n v="1"/>
    <n v="1812"/>
    <n v="1305"/>
    <n v="1305"/>
    <n v="1812"/>
    <n v="507"/>
    <s v="Product 11"/>
    <x v="59"/>
    <s v="Howard Sims"/>
    <x v="326"/>
    <n v="3"/>
    <x v="2"/>
    <x v="8"/>
    <x v="8"/>
    <x v="2"/>
    <x v="2"/>
  </r>
  <r>
    <s v="AX24465"/>
    <s v="ENX2070"/>
    <s v="A118"/>
    <s v="EMP1017"/>
    <s v="C1255"/>
    <x v="317"/>
    <n v="1"/>
    <n v="1671"/>
    <n v="1220"/>
    <n v="1220"/>
    <n v="1671"/>
    <n v="451"/>
    <s v="Product 71"/>
    <x v="19"/>
    <s v="Brian Hansen"/>
    <x v="111"/>
    <n v="3"/>
    <x v="2"/>
    <x v="8"/>
    <x v="8"/>
    <x v="2"/>
    <x v="2"/>
  </r>
  <r>
    <s v="AX10662"/>
    <s v="ENX2055"/>
    <s v="A144"/>
    <s v="EMP1005"/>
    <s v="C1295"/>
    <x v="319"/>
    <n v="2"/>
    <n v="2495"/>
    <n v="1896"/>
    <n v="3792"/>
    <n v="4990"/>
    <n v="1198"/>
    <s v="Product 56"/>
    <x v="65"/>
    <s v="Ryan Welch"/>
    <x v="373"/>
    <n v="3"/>
    <x v="2"/>
    <x v="9"/>
    <x v="9"/>
    <x v="3"/>
    <x v="0"/>
  </r>
  <r>
    <s v="AX10765"/>
    <s v="ENX2027"/>
    <s v="A158"/>
    <s v="EMP1011"/>
    <s v="C1239"/>
    <x v="320"/>
    <n v="1"/>
    <n v="2497"/>
    <n v="1473"/>
    <n v="1473"/>
    <n v="2497"/>
    <n v="1024"/>
    <s v="Product 28"/>
    <x v="58"/>
    <s v="Larry Marshall"/>
    <x v="479"/>
    <n v="3"/>
    <x v="2"/>
    <x v="9"/>
    <x v="9"/>
    <x v="3"/>
    <x v="0"/>
  </r>
  <r>
    <s v="AX11625"/>
    <s v="ENX2030"/>
    <s v="A158"/>
    <s v="EMP1029"/>
    <s v="C1749"/>
    <x v="320"/>
    <n v="3"/>
    <n v="1899"/>
    <n v="1044"/>
    <n v="3132"/>
    <n v="5697"/>
    <n v="2565"/>
    <s v="Product 31"/>
    <x v="58"/>
    <s v="Howard Gardner"/>
    <x v="393"/>
    <n v="3"/>
    <x v="2"/>
    <x v="9"/>
    <x v="9"/>
    <x v="3"/>
    <x v="0"/>
  </r>
  <r>
    <s v="AX11629"/>
    <s v="ENX2055"/>
    <s v="A105"/>
    <s v="EMP1032"/>
    <s v="C1134"/>
    <x v="321"/>
    <n v="3"/>
    <n v="2495"/>
    <n v="1896"/>
    <n v="5688"/>
    <n v="7485"/>
    <n v="1797"/>
    <s v="Product 56"/>
    <x v="45"/>
    <s v="Larry Castillo"/>
    <x v="495"/>
    <n v="3"/>
    <x v="2"/>
    <x v="9"/>
    <x v="9"/>
    <x v="3"/>
    <x v="0"/>
  </r>
  <r>
    <s v="AX11863"/>
    <s v="ENX2050"/>
    <s v="A105"/>
    <s v="EMP1017"/>
    <s v="C1042"/>
    <x v="320"/>
    <n v="1"/>
    <n v="2391"/>
    <n v="1291"/>
    <n v="1291"/>
    <n v="2391"/>
    <n v="1100"/>
    <s v="Product 51"/>
    <x v="45"/>
    <s v="Brian Hansen"/>
    <x v="459"/>
    <n v="3"/>
    <x v="2"/>
    <x v="9"/>
    <x v="9"/>
    <x v="3"/>
    <x v="0"/>
  </r>
  <r>
    <s v="AX11928"/>
    <s v="ENX2072"/>
    <s v="A107"/>
    <s v="EMP1030"/>
    <s v="C1343"/>
    <x v="320"/>
    <n v="4"/>
    <n v="1887"/>
    <n v="1378"/>
    <n v="5512"/>
    <n v="7548"/>
    <n v="2036"/>
    <s v="Product 73"/>
    <x v="21"/>
    <s v="Bobby Russell"/>
    <x v="175"/>
    <n v="3"/>
    <x v="2"/>
    <x v="9"/>
    <x v="9"/>
    <x v="3"/>
    <x v="0"/>
  </r>
  <r>
    <s v="AX12115"/>
    <s v="ENX2048"/>
    <s v="A124"/>
    <s v="EMP1017"/>
    <s v="C1700"/>
    <x v="321"/>
    <n v="1"/>
    <n v="502"/>
    <n v="296"/>
    <n v="296"/>
    <n v="502"/>
    <n v="206"/>
    <s v="Product 49"/>
    <x v="67"/>
    <s v="Brian Hansen"/>
    <x v="271"/>
    <n v="3"/>
    <x v="2"/>
    <x v="9"/>
    <x v="9"/>
    <x v="3"/>
    <x v="0"/>
  </r>
  <r>
    <s v="AX12535"/>
    <s v="ENX2091"/>
    <s v="A130"/>
    <s v="EMP1030"/>
    <s v="C1610"/>
    <x v="320"/>
    <n v="1"/>
    <n v="368"/>
    <n v="294"/>
    <n v="294"/>
    <n v="368"/>
    <n v="74"/>
    <s v="Product 92"/>
    <x v="4"/>
    <s v="Bobby Russell"/>
    <x v="362"/>
    <n v="3"/>
    <x v="2"/>
    <x v="9"/>
    <x v="9"/>
    <x v="3"/>
    <x v="0"/>
  </r>
  <r>
    <s v="AX12605"/>
    <s v="ENX2037"/>
    <s v="A108"/>
    <s v="EMP1024"/>
    <s v="C1542"/>
    <x v="321"/>
    <n v="1"/>
    <n v="880"/>
    <n v="634"/>
    <n v="634"/>
    <n v="880"/>
    <n v="246"/>
    <s v="Product 38"/>
    <x v="49"/>
    <s v="Ernest Wheeler"/>
    <x v="712"/>
    <n v="3"/>
    <x v="2"/>
    <x v="9"/>
    <x v="9"/>
    <x v="3"/>
    <x v="0"/>
  </r>
  <r>
    <s v="AX13219"/>
    <s v="ENX2025"/>
    <s v="A125"/>
    <s v="EMP1033"/>
    <s v="C1105"/>
    <x v="319"/>
    <n v="3"/>
    <n v="667"/>
    <n v="387"/>
    <n v="1161"/>
    <n v="2001"/>
    <n v="840"/>
    <s v="Product 26"/>
    <x v="31"/>
    <s v="Jerry Perry"/>
    <x v="15"/>
    <n v="3"/>
    <x v="2"/>
    <x v="9"/>
    <x v="9"/>
    <x v="3"/>
    <x v="0"/>
  </r>
  <r>
    <s v="AX13367"/>
    <s v="ENX2087"/>
    <s v="A170"/>
    <s v="EMP1031"/>
    <s v="C1173"/>
    <x v="322"/>
    <n v="1"/>
    <n v="1022"/>
    <n v="818"/>
    <n v="818"/>
    <n v="1022"/>
    <n v="204"/>
    <s v="Product 88"/>
    <x v="47"/>
    <s v="Brian Thomas"/>
    <x v="167"/>
    <n v="3"/>
    <x v="2"/>
    <x v="9"/>
    <x v="9"/>
    <x v="3"/>
    <x v="0"/>
  </r>
  <r>
    <s v="AX13524"/>
    <s v="ENX2081"/>
    <s v="A115"/>
    <s v="EMP1030"/>
    <s v="C1324"/>
    <x v="320"/>
    <n v="3"/>
    <n v="1566"/>
    <n v="1190"/>
    <n v="3570"/>
    <n v="4698"/>
    <n v="1128"/>
    <s v="Product 82"/>
    <x v="33"/>
    <s v="Bobby Russell"/>
    <x v="252"/>
    <n v="3"/>
    <x v="2"/>
    <x v="9"/>
    <x v="9"/>
    <x v="3"/>
    <x v="0"/>
  </r>
  <r>
    <s v="AX13642"/>
    <s v="ENX2025"/>
    <s v="A111"/>
    <s v="EMP1020"/>
    <s v="C1167"/>
    <x v="321"/>
    <n v="1"/>
    <n v="667"/>
    <n v="387"/>
    <n v="387"/>
    <n v="667"/>
    <n v="280"/>
    <s v="Product 26"/>
    <x v="54"/>
    <s v="Ryan Butler"/>
    <x v="481"/>
    <n v="3"/>
    <x v="2"/>
    <x v="9"/>
    <x v="9"/>
    <x v="3"/>
    <x v="0"/>
  </r>
  <r>
    <s v="AX13950"/>
    <s v="ENX2081"/>
    <s v="A105"/>
    <s v="EMP1006"/>
    <s v="C1484"/>
    <x v="322"/>
    <n v="1"/>
    <n v="1566"/>
    <n v="1190"/>
    <n v="1190"/>
    <n v="1566"/>
    <n v="376"/>
    <s v="Product 82"/>
    <x v="45"/>
    <s v="Sean Miller"/>
    <x v="466"/>
    <n v="3"/>
    <x v="2"/>
    <x v="9"/>
    <x v="9"/>
    <x v="3"/>
    <x v="0"/>
  </r>
  <r>
    <s v="AX14342"/>
    <s v="ENX2068"/>
    <s v="A109"/>
    <s v="EMP1004"/>
    <s v="C1178"/>
    <x v="321"/>
    <n v="4"/>
    <n v="1500"/>
    <n v="900"/>
    <n v="3600"/>
    <n v="6000"/>
    <n v="2400"/>
    <s v="Product 69"/>
    <x v="57"/>
    <s v="Kenneth Bradley"/>
    <x v="465"/>
    <n v="3"/>
    <x v="2"/>
    <x v="9"/>
    <x v="9"/>
    <x v="3"/>
    <x v="0"/>
  </r>
  <r>
    <s v="AX14385"/>
    <s v="ENX2017"/>
    <s v="A150"/>
    <s v="EMP1007"/>
    <s v="C1774"/>
    <x v="319"/>
    <n v="3"/>
    <n v="35"/>
    <n v="22"/>
    <n v="66"/>
    <n v="105"/>
    <n v="39"/>
    <s v="Product 18"/>
    <x v="30"/>
    <s v="Jeremy Mendoza"/>
    <x v="232"/>
    <n v="3"/>
    <x v="2"/>
    <x v="9"/>
    <x v="9"/>
    <x v="3"/>
    <x v="0"/>
  </r>
  <r>
    <s v="AX14531"/>
    <s v="ENX2041"/>
    <s v="A106"/>
    <s v="EMP1036"/>
    <s v="C1407"/>
    <x v="320"/>
    <n v="1"/>
    <n v="1380"/>
    <n v="1090"/>
    <n v="1090"/>
    <n v="1380"/>
    <n v="290"/>
    <s v="Product 42"/>
    <x v="11"/>
    <s v="Robert Reed"/>
    <x v="294"/>
    <n v="3"/>
    <x v="2"/>
    <x v="9"/>
    <x v="9"/>
    <x v="3"/>
    <x v="0"/>
  </r>
  <r>
    <s v="AX14566"/>
    <s v="ENX2076"/>
    <s v="A147"/>
    <s v="EMP1002"/>
    <s v="C1343"/>
    <x v="319"/>
    <n v="3"/>
    <n v="1522"/>
    <n v="791"/>
    <n v="2373"/>
    <n v="4566"/>
    <n v="2193"/>
    <s v="Product 77"/>
    <x v="42"/>
    <s v="Andrew Bowman"/>
    <x v="175"/>
    <n v="3"/>
    <x v="2"/>
    <x v="9"/>
    <x v="9"/>
    <x v="3"/>
    <x v="0"/>
  </r>
  <r>
    <s v="AX14580"/>
    <s v="ENX2057"/>
    <s v="A172"/>
    <s v="EMP1001"/>
    <s v="C1267"/>
    <x v="320"/>
    <n v="1"/>
    <n v="181"/>
    <n v="130"/>
    <n v="130"/>
    <n v="181"/>
    <n v="51"/>
    <s v="Product 58"/>
    <x v="36"/>
    <s v="Kevin Butler"/>
    <x v="657"/>
    <n v="3"/>
    <x v="2"/>
    <x v="9"/>
    <x v="9"/>
    <x v="3"/>
    <x v="0"/>
  </r>
  <r>
    <s v="AX14714"/>
    <s v="ENX2068"/>
    <s v="A122"/>
    <s v="EMP1039"/>
    <s v="C1787"/>
    <x v="322"/>
    <n v="1"/>
    <n v="1500"/>
    <n v="900"/>
    <n v="900"/>
    <n v="1500"/>
    <n v="600"/>
    <s v="Product 69"/>
    <x v="71"/>
    <s v="Eugene Holmes"/>
    <x v="439"/>
    <n v="3"/>
    <x v="2"/>
    <x v="9"/>
    <x v="9"/>
    <x v="3"/>
    <x v="0"/>
  </r>
  <r>
    <s v="AX14729"/>
    <s v="ENX2037"/>
    <s v="A165"/>
    <s v="EMP1031"/>
    <s v="C1358"/>
    <x v="321"/>
    <n v="1"/>
    <n v="880"/>
    <n v="634"/>
    <n v="634"/>
    <n v="880"/>
    <n v="246"/>
    <s v="Product 38"/>
    <x v="55"/>
    <s v="Brian Thomas"/>
    <x v="242"/>
    <n v="3"/>
    <x v="2"/>
    <x v="9"/>
    <x v="9"/>
    <x v="3"/>
    <x v="0"/>
  </r>
  <r>
    <s v="AX15283"/>
    <s v="ENX2028"/>
    <s v="A140"/>
    <s v="EMP1032"/>
    <s v="C1279"/>
    <x v="319"/>
    <n v="2"/>
    <n v="2283"/>
    <n v="1484"/>
    <n v="2968"/>
    <n v="4566"/>
    <n v="1598"/>
    <s v="Product 29"/>
    <x v="18"/>
    <s v="Larry Castillo"/>
    <x v="210"/>
    <n v="3"/>
    <x v="2"/>
    <x v="9"/>
    <x v="9"/>
    <x v="3"/>
    <x v="0"/>
  </r>
  <r>
    <s v="AX16008"/>
    <s v="ENX2078"/>
    <s v="A126"/>
    <s v="EMP1019"/>
    <s v="C1588"/>
    <x v="321"/>
    <n v="1"/>
    <n v="1798"/>
    <n v="971"/>
    <n v="971"/>
    <n v="1798"/>
    <n v="827"/>
    <s v="Product 79"/>
    <x v="5"/>
    <s v="Roger Robertson"/>
    <x v="653"/>
    <n v="3"/>
    <x v="2"/>
    <x v="9"/>
    <x v="9"/>
    <x v="3"/>
    <x v="0"/>
  </r>
  <r>
    <s v="AX16357"/>
    <s v="ENX2051"/>
    <s v="A162"/>
    <s v="EMP1012"/>
    <s v="C1538"/>
    <x v="322"/>
    <n v="3"/>
    <n v="1077"/>
    <n v="732"/>
    <n v="2196"/>
    <n v="3231"/>
    <n v="1035"/>
    <s v="Product 52"/>
    <x v="2"/>
    <s v="John Reyes"/>
    <x v="384"/>
    <n v="3"/>
    <x v="2"/>
    <x v="9"/>
    <x v="9"/>
    <x v="3"/>
    <x v="0"/>
  </r>
  <r>
    <s v="AX16515"/>
    <s v="ENX2077"/>
    <s v="A151"/>
    <s v="EMP1022"/>
    <s v="C1204"/>
    <x v="320"/>
    <n v="1"/>
    <n v="530"/>
    <n v="424"/>
    <n v="424"/>
    <n v="530"/>
    <n v="106"/>
    <s v="Product 78"/>
    <x v="1"/>
    <s v="Walter Cook"/>
    <x v="654"/>
    <n v="3"/>
    <x v="2"/>
    <x v="9"/>
    <x v="9"/>
    <x v="3"/>
    <x v="0"/>
  </r>
  <r>
    <s v="AX16534"/>
    <s v="ENX2015"/>
    <s v="A143"/>
    <s v="EMP1038"/>
    <s v="C1103"/>
    <x v="322"/>
    <n v="3"/>
    <n v="637"/>
    <n v="389"/>
    <n v="1167"/>
    <n v="1911"/>
    <n v="744"/>
    <s v="Product 16"/>
    <x v="39"/>
    <s v="Scott Mason"/>
    <x v="336"/>
    <n v="3"/>
    <x v="2"/>
    <x v="9"/>
    <x v="9"/>
    <x v="3"/>
    <x v="0"/>
  </r>
  <r>
    <s v="AX16939"/>
    <s v="ENX2010"/>
    <s v="A153"/>
    <s v="EMP1002"/>
    <s v="C1554"/>
    <x v="322"/>
    <n v="2"/>
    <n v="1812"/>
    <n v="1305"/>
    <n v="2610"/>
    <n v="3624"/>
    <n v="1014"/>
    <s v="Product 11"/>
    <x v="8"/>
    <s v="Andrew Bowman"/>
    <x v="516"/>
    <n v="3"/>
    <x v="2"/>
    <x v="9"/>
    <x v="9"/>
    <x v="3"/>
    <x v="0"/>
  </r>
  <r>
    <s v="AX17571"/>
    <s v="ENX2006"/>
    <s v="A163"/>
    <s v="EMP1020"/>
    <s v="C1298"/>
    <x v="319"/>
    <n v="1"/>
    <n v="1826"/>
    <n v="1443"/>
    <n v="1443"/>
    <n v="1826"/>
    <n v="383"/>
    <s v="Product 7"/>
    <x v="51"/>
    <s v="Ryan Butler"/>
    <x v="623"/>
    <n v="3"/>
    <x v="2"/>
    <x v="9"/>
    <x v="9"/>
    <x v="3"/>
    <x v="0"/>
  </r>
  <r>
    <s v="AX17688"/>
    <s v="ENX2045"/>
    <s v="A162"/>
    <s v="EMP1000"/>
    <s v="C1702"/>
    <x v="322"/>
    <n v="3"/>
    <n v="556"/>
    <n v="395"/>
    <n v="1185"/>
    <n v="1668"/>
    <n v="483"/>
    <s v="Product 46"/>
    <x v="2"/>
    <s v="Fred Robertson"/>
    <x v="70"/>
    <n v="3"/>
    <x v="2"/>
    <x v="9"/>
    <x v="9"/>
    <x v="3"/>
    <x v="0"/>
  </r>
  <r>
    <s v="AX18372"/>
    <s v="ENX2063"/>
    <s v="A139"/>
    <s v="EMP1005"/>
    <s v="C1322"/>
    <x v="321"/>
    <n v="3"/>
    <n v="1708"/>
    <n v="871"/>
    <n v="2613"/>
    <n v="5124"/>
    <n v="2511"/>
    <s v="Product 64"/>
    <x v="38"/>
    <s v="Ryan Welch"/>
    <x v="604"/>
    <n v="3"/>
    <x v="2"/>
    <x v="9"/>
    <x v="9"/>
    <x v="3"/>
    <x v="0"/>
  </r>
  <r>
    <s v="AX18401"/>
    <s v="ENX2000"/>
    <s v="A135"/>
    <s v="EMP1026"/>
    <s v="C1548"/>
    <x v="320"/>
    <n v="1"/>
    <n v="2241"/>
    <n v="1367"/>
    <n v="1367"/>
    <n v="2241"/>
    <n v="874"/>
    <s v="Product 1"/>
    <x v="10"/>
    <s v="Martin Perry"/>
    <x v="241"/>
    <n v="3"/>
    <x v="2"/>
    <x v="9"/>
    <x v="9"/>
    <x v="3"/>
    <x v="0"/>
  </r>
  <r>
    <s v="AX18914"/>
    <s v="ENX2003"/>
    <s v="A127"/>
    <s v="EMP1002"/>
    <s v="C1504"/>
    <x v="321"/>
    <n v="3"/>
    <n v="1783"/>
    <n v="1516"/>
    <n v="4548"/>
    <n v="5349"/>
    <n v="801"/>
    <s v="Product 4"/>
    <x v="69"/>
    <s v="Andrew Bowman"/>
    <x v="559"/>
    <n v="3"/>
    <x v="2"/>
    <x v="9"/>
    <x v="9"/>
    <x v="3"/>
    <x v="0"/>
  </r>
  <r>
    <s v="AX19113"/>
    <s v="ENX2054"/>
    <s v="A147"/>
    <s v="EMP1041"/>
    <s v="C1397"/>
    <x v="321"/>
    <n v="3"/>
    <n v="127"/>
    <n v="79"/>
    <n v="237"/>
    <n v="381"/>
    <n v="144"/>
    <s v="Product 55"/>
    <x v="42"/>
    <s v="Joe Sims"/>
    <x v="560"/>
    <n v="3"/>
    <x v="2"/>
    <x v="9"/>
    <x v="9"/>
    <x v="3"/>
    <x v="0"/>
  </r>
  <r>
    <s v="AX19167"/>
    <s v="ENX2021"/>
    <s v="A157"/>
    <s v="EMP1028"/>
    <s v="C1080"/>
    <x v="319"/>
    <n v="2"/>
    <n v="217"/>
    <n v="171"/>
    <n v="342"/>
    <n v="434"/>
    <n v="92"/>
    <s v="Product 22"/>
    <x v="7"/>
    <s v="Howard Sims"/>
    <x v="720"/>
    <n v="3"/>
    <x v="2"/>
    <x v="9"/>
    <x v="9"/>
    <x v="3"/>
    <x v="0"/>
  </r>
  <r>
    <s v="AX19196"/>
    <s v="ENX2002"/>
    <s v="A124"/>
    <s v="EMP1001"/>
    <s v="C1150"/>
    <x v="319"/>
    <n v="1"/>
    <n v="847"/>
    <n v="534"/>
    <n v="534"/>
    <n v="847"/>
    <n v="313"/>
    <s v="Product 3"/>
    <x v="67"/>
    <s v="Kevin Butler"/>
    <x v="456"/>
    <n v="3"/>
    <x v="2"/>
    <x v="9"/>
    <x v="9"/>
    <x v="3"/>
    <x v="0"/>
  </r>
  <r>
    <s v="AX19682"/>
    <s v="ENX2071"/>
    <s v="A157"/>
    <s v="EMP1043"/>
    <s v="C1004"/>
    <x v="321"/>
    <n v="1"/>
    <n v="136"/>
    <n v="72"/>
    <n v="72"/>
    <n v="136"/>
    <n v="64"/>
    <s v="Product 72"/>
    <x v="7"/>
    <s v="Joshua Taylor"/>
    <x v="708"/>
    <n v="3"/>
    <x v="2"/>
    <x v="9"/>
    <x v="9"/>
    <x v="3"/>
    <x v="0"/>
  </r>
  <r>
    <s v="AX20647"/>
    <s v="ENX2097"/>
    <s v="A149"/>
    <s v="EMP1038"/>
    <s v="C1411"/>
    <x v="320"/>
    <n v="4"/>
    <n v="1052"/>
    <n v="589"/>
    <n v="2356"/>
    <n v="4208"/>
    <n v="1852"/>
    <s v="Product 98"/>
    <x v="59"/>
    <s v="Scott Mason"/>
    <x v="600"/>
    <n v="3"/>
    <x v="2"/>
    <x v="9"/>
    <x v="9"/>
    <x v="3"/>
    <x v="0"/>
  </r>
  <r>
    <s v="AX20726"/>
    <s v="ENX2100"/>
    <s v="A127"/>
    <s v="EMP1030"/>
    <s v="C1703"/>
    <x v="319"/>
    <n v="2"/>
    <n v="799"/>
    <n v="455"/>
    <n v="910"/>
    <n v="1598"/>
    <n v="688"/>
    <s v="Product 101"/>
    <x v="69"/>
    <s v="Bobby Russell"/>
    <x v="424"/>
    <n v="3"/>
    <x v="2"/>
    <x v="9"/>
    <x v="9"/>
    <x v="3"/>
    <x v="0"/>
  </r>
  <r>
    <s v="AX21095"/>
    <s v="ENX2024"/>
    <s v="A133"/>
    <s v="EMP1012"/>
    <s v="C1193"/>
    <x v="320"/>
    <n v="3"/>
    <n v="356"/>
    <n v="292"/>
    <n v="876"/>
    <n v="1068"/>
    <n v="192"/>
    <s v="Product 25"/>
    <x v="46"/>
    <s v="John Reyes"/>
    <x v="219"/>
    <n v="3"/>
    <x v="2"/>
    <x v="9"/>
    <x v="9"/>
    <x v="3"/>
    <x v="0"/>
  </r>
  <r>
    <s v="AX21233"/>
    <s v="ENX2054"/>
    <s v="A146"/>
    <s v="EMP1028"/>
    <s v="C1672"/>
    <x v="319"/>
    <n v="1"/>
    <n v="127"/>
    <n v="79"/>
    <n v="79"/>
    <n v="127"/>
    <n v="48"/>
    <s v="Product 55"/>
    <x v="27"/>
    <s v="Howard Sims"/>
    <x v="547"/>
    <n v="3"/>
    <x v="2"/>
    <x v="9"/>
    <x v="9"/>
    <x v="3"/>
    <x v="0"/>
  </r>
  <r>
    <s v="AX21270"/>
    <s v="ENX2066"/>
    <s v="A147"/>
    <s v="EMP1009"/>
    <s v="C1717"/>
    <x v="321"/>
    <n v="1"/>
    <n v="2091"/>
    <n v="1485"/>
    <n v="1485"/>
    <n v="2091"/>
    <n v="606"/>
    <s v="Product 67"/>
    <x v="42"/>
    <s v="Kenneth Fields"/>
    <x v="605"/>
    <n v="3"/>
    <x v="2"/>
    <x v="9"/>
    <x v="9"/>
    <x v="3"/>
    <x v="0"/>
  </r>
  <r>
    <s v="AX21768"/>
    <s v="ENX2013"/>
    <s v="A101"/>
    <s v="EMP1008"/>
    <s v="C1183"/>
    <x v="320"/>
    <n v="3"/>
    <n v="368"/>
    <n v="269"/>
    <n v="807"/>
    <n v="1104"/>
    <n v="297"/>
    <s v="Product 14"/>
    <x v="60"/>
    <s v="Carl Elliott"/>
    <x v="404"/>
    <n v="3"/>
    <x v="2"/>
    <x v="9"/>
    <x v="9"/>
    <x v="3"/>
    <x v="0"/>
  </r>
  <r>
    <s v="AX22213"/>
    <s v="ENX2000"/>
    <s v="A152"/>
    <s v="EMP1023"/>
    <s v="C1399"/>
    <x v="319"/>
    <n v="1"/>
    <n v="2241"/>
    <n v="1367"/>
    <n v="1367"/>
    <n v="2241"/>
    <n v="874"/>
    <s v="Product 1"/>
    <x v="26"/>
    <s v="Brian Davis"/>
    <x v="776"/>
    <n v="3"/>
    <x v="2"/>
    <x v="9"/>
    <x v="9"/>
    <x v="3"/>
    <x v="0"/>
  </r>
  <r>
    <s v="AX22235"/>
    <s v="ENX2099"/>
    <s v="A141"/>
    <s v="EMP1004"/>
    <s v="C1286"/>
    <x v="321"/>
    <n v="1"/>
    <n v="1367"/>
    <n v="984"/>
    <n v="984"/>
    <n v="1367"/>
    <n v="383"/>
    <s v="Product 100"/>
    <x v="23"/>
    <s v="Kenneth Bradley"/>
    <x v="308"/>
    <n v="3"/>
    <x v="2"/>
    <x v="9"/>
    <x v="9"/>
    <x v="3"/>
    <x v="0"/>
  </r>
  <r>
    <s v="AX22346"/>
    <s v="ENX2038"/>
    <s v="A163"/>
    <s v="EMP1018"/>
    <s v="C1699"/>
    <x v="320"/>
    <n v="1"/>
    <n v="392"/>
    <n v="255"/>
    <n v="255"/>
    <n v="392"/>
    <n v="137"/>
    <s v="Product 39"/>
    <x v="51"/>
    <s v="Jimmy Young"/>
    <x v="672"/>
    <n v="3"/>
    <x v="2"/>
    <x v="9"/>
    <x v="9"/>
    <x v="3"/>
    <x v="0"/>
  </r>
  <r>
    <s v="AX22830"/>
    <s v="ENX2083"/>
    <s v="A122"/>
    <s v="EMP1032"/>
    <s v="C1205"/>
    <x v="319"/>
    <n v="3"/>
    <n v="2141"/>
    <n v="1777"/>
    <n v="5331"/>
    <n v="6423"/>
    <n v="1092"/>
    <s v="Product 84"/>
    <x v="71"/>
    <s v="Larry Castillo"/>
    <x v="285"/>
    <n v="3"/>
    <x v="2"/>
    <x v="9"/>
    <x v="9"/>
    <x v="3"/>
    <x v="0"/>
  </r>
  <r>
    <s v="AX23003"/>
    <s v="ENX2067"/>
    <s v="A151"/>
    <s v="EMP1004"/>
    <s v="C1262"/>
    <x v="319"/>
    <n v="1"/>
    <n v="1119"/>
    <n v="683"/>
    <n v="683"/>
    <n v="1119"/>
    <n v="436"/>
    <s v="Product 68"/>
    <x v="1"/>
    <s v="Kenneth Bradley"/>
    <x v="363"/>
    <n v="3"/>
    <x v="2"/>
    <x v="9"/>
    <x v="9"/>
    <x v="3"/>
    <x v="0"/>
  </r>
  <r>
    <s v="AX23436"/>
    <s v="ENX2007"/>
    <s v="A154"/>
    <s v="EMP1022"/>
    <s v="C1602"/>
    <x v="321"/>
    <n v="2"/>
    <n v="1405"/>
    <n v="1054"/>
    <n v="2108"/>
    <n v="2810"/>
    <n v="702"/>
    <s v="Product 8"/>
    <x v="24"/>
    <s v="Walter Cook"/>
    <x v="749"/>
    <n v="3"/>
    <x v="2"/>
    <x v="9"/>
    <x v="9"/>
    <x v="3"/>
    <x v="0"/>
  </r>
  <r>
    <s v="AX23555"/>
    <s v="ENX2045"/>
    <s v="A142"/>
    <s v="EMP1004"/>
    <s v="C1624"/>
    <x v="319"/>
    <n v="2"/>
    <n v="556"/>
    <n v="395"/>
    <n v="790"/>
    <n v="1112"/>
    <n v="322"/>
    <s v="Product 46"/>
    <x v="56"/>
    <s v="Kenneth Bradley"/>
    <x v="339"/>
    <n v="3"/>
    <x v="2"/>
    <x v="9"/>
    <x v="9"/>
    <x v="3"/>
    <x v="0"/>
  </r>
  <r>
    <s v="AX23850"/>
    <s v="ENX2084"/>
    <s v="A140"/>
    <s v="EMP1011"/>
    <s v="C1401"/>
    <x v="319"/>
    <n v="1"/>
    <n v="1783"/>
    <n v="1230"/>
    <n v="1230"/>
    <n v="1783"/>
    <n v="553"/>
    <s v="Product 85"/>
    <x v="18"/>
    <s v="Larry Marshall"/>
    <x v="36"/>
    <n v="3"/>
    <x v="2"/>
    <x v="9"/>
    <x v="9"/>
    <x v="3"/>
    <x v="0"/>
  </r>
  <r>
    <s v="AX10291"/>
    <s v="ENX2066"/>
    <s v="A127"/>
    <s v="EMP1024"/>
    <s v="C1499"/>
    <x v="323"/>
    <n v="3"/>
    <n v="2091"/>
    <n v="1485"/>
    <n v="4455"/>
    <n v="6273"/>
    <n v="1818"/>
    <s v="Product 67"/>
    <x v="69"/>
    <s v="Ernest Wheeler"/>
    <x v="610"/>
    <n v="3"/>
    <x v="2"/>
    <x v="9"/>
    <x v="9"/>
    <x v="3"/>
    <x v="2"/>
  </r>
  <r>
    <s v="AX10352"/>
    <s v="ENX2084"/>
    <s v="A120"/>
    <s v="EMP1029"/>
    <s v="C1724"/>
    <x v="324"/>
    <n v="2"/>
    <n v="1783"/>
    <n v="1230"/>
    <n v="2460"/>
    <n v="3566"/>
    <n v="1106"/>
    <s v="Product 85"/>
    <x v="20"/>
    <s v="Howard Gardner"/>
    <x v="378"/>
    <n v="3"/>
    <x v="2"/>
    <x v="9"/>
    <x v="9"/>
    <x v="3"/>
    <x v="2"/>
  </r>
  <r>
    <s v="AX10414"/>
    <s v="ENX2043"/>
    <s v="A170"/>
    <s v="EMP1039"/>
    <s v="C1096"/>
    <x v="325"/>
    <n v="1"/>
    <n v="545"/>
    <n v="425"/>
    <n v="425"/>
    <n v="545"/>
    <n v="120"/>
    <s v="Product 44"/>
    <x v="47"/>
    <s v="Eugene Holmes"/>
    <x v="91"/>
    <n v="3"/>
    <x v="2"/>
    <x v="9"/>
    <x v="9"/>
    <x v="3"/>
    <x v="2"/>
  </r>
  <r>
    <s v="AX10417"/>
    <s v="ENX2090"/>
    <s v="A151"/>
    <s v="EMP1024"/>
    <s v="C1132"/>
    <x v="323"/>
    <n v="1"/>
    <n v="1338"/>
    <n v="682"/>
    <n v="682"/>
    <n v="1338"/>
    <n v="656"/>
    <s v="Product 91"/>
    <x v="1"/>
    <s v="Ernest Wheeler"/>
    <x v="751"/>
    <n v="3"/>
    <x v="2"/>
    <x v="9"/>
    <x v="9"/>
    <x v="3"/>
    <x v="2"/>
  </r>
  <r>
    <s v="AX11341"/>
    <s v="ENX2052"/>
    <s v="A137"/>
    <s v="EMP1012"/>
    <s v="C1427"/>
    <x v="326"/>
    <n v="1"/>
    <n v="1526"/>
    <n v="1251"/>
    <n v="1251"/>
    <n v="1526"/>
    <n v="275"/>
    <s v="Product 53"/>
    <x v="68"/>
    <s v="John Reyes"/>
    <x v="768"/>
    <n v="3"/>
    <x v="2"/>
    <x v="9"/>
    <x v="9"/>
    <x v="3"/>
    <x v="2"/>
  </r>
  <r>
    <s v="AX11712"/>
    <s v="ENX2023"/>
    <s v="A108"/>
    <s v="EMP1031"/>
    <s v="C1273"/>
    <x v="324"/>
    <n v="3"/>
    <n v="818"/>
    <n v="450"/>
    <n v="1350"/>
    <n v="2454"/>
    <n v="1104"/>
    <s v="Product 24"/>
    <x v="49"/>
    <s v="Brian Thomas"/>
    <x v="469"/>
    <n v="3"/>
    <x v="2"/>
    <x v="9"/>
    <x v="9"/>
    <x v="3"/>
    <x v="2"/>
  </r>
  <r>
    <s v="AX11845"/>
    <s v="ENX2075"/>
    <s v="A101"/>
    <s v="EMP1010"/>
    <s v="C1157"/>
    <x v="327"/>
    <n v="4"/>
    <n v="400"/>
    <n v="208"/>
    <n v="832"/>
    <n v="1600"/>
    <n v="768"/>
    <s v="Product 76"/>
    <x v="60"/>
    <s v="Joshua Cook"/>
    <x v="415"/>
    <n v="3"/>
    <x v="2"/>
    <x v="9"/>
    <x v="9"/>
    <x v="3"/>
    <x v="2"/>
  </r>
  <r>
    <s v="AX11936"/>
    <s v="ENX2057"/>
    <s v="A145"/>
    <s v="EMP1020"/>
    <s v="C1122"/>
    <x v="323"/>
    <n v="1"/>
    <n v="181"/>
    <n v="130"/>
    <n v="130"/>
    <n v="181"/>
    <n v="51"/>
    <s v="Product 58"/>
    <x v="35"/>
    <s v="Ryan Butler"/>
    <x v="84"/>
    <n v="3"/>
    <x v="2"/>
    <x v="9"/>
    <x v="9"/>
    <x v="3"/>
    <x v="2"/>
  </r>
  <r>
    <s v="AX12597"/>
    <s v="ENX2088"/>
    <s v="A137"/>
    <s v="EMP1003"/>
    <s v="C1496"/>
    <x v="327"/>
    <n v="3"/>
    <n v="603"/>
    <n v="416"/>
    <n v="1248"/>
    <n v="1809"/>
    <n v="561"/>
    <s v="Product 89"/>
    <x v="68"/>
    <s v="Christopher Tucker"/>
    <x v="54"/>
    <n v="3"/>
    <x v="2"/>
    <x v="9"/>
    <x v="9"/>
    <x v="3"/>
    <x v="2"/>
  </r>
  <r>
    <s v="AX12809"/>
    <s v="ENX2089"/>
    <s v="A109"/>
    <s v="EMP1005"/>
    <s v="C1285"/>
    <x v="323"/>
    <n v="1"/>
    <n v="2294"/>
    <n v="1399"/>
    <n v="1399"/>
    <n v="2294"/>
    <n v="895"/>
    <s v="Product 90"/>
    <x v="57"/>
    <s v="Ryan Welch"/>
    <x v="440"/>
    <n v="3"/>
    <x v="2"/>
    <x v="9"/>
    <x v="9"/>
    <x v="3"/>
    <x v="2"/>
  </r>
  <r>
    <s v="AX12822"/>
    <s v="ENX2000"/>
    <s v="A150"/>
    <s v="EMP1017"/>
    <s v="C1079"/>
    <x v="325"/>
    <n v="4"/>
    <n v="2241"/>
    <n v="1367"/>
    <n v="5468"/>
    <n v="8964"/>
    <n v="3496"/>
    <s v="Product 1"/>
    <x v="30"/>
    <s v="Brian Hansen"/>
    <x v="370"/>
    <n v="3"/>
    <x v="2"/>
    <x v="9"/>
    <x v="9"/>
    <x v="3"/>
    <x v="2"/>
  </r>
  <r>
    <s v="AX12837"/>
    <s v="ENX2066"/>
    <s v="A121"/>
    <s v="EMP1002"/>
    <s v="C1234"/>
    <x v="327"/>
    <n v="1"/>
    <n v="2091"/>
    <n v="1485"/>
    <n v="1485"/>
    <n v="2091"/>
    <n v="606"/>
    <s v="Product 67"/>
    <x v="72"/>
    <s v="Andrew Bowman"/>
    <x v="636"/>
    <n v="3"/>
    <x v="2"/>
    <x v="9"/>
    <x v="9"/>
    <x v="3"/>
    <x v="2"/>
  </r>
  <r>
    <s v="AX12940"/>
    <s v="ENX2012"/>
    <s v="A105"/>
    <s v="EMP1022"/>
    <s v="C1041"/>
    <x v="324"/>
    <n v="2"/>
    <n v="1353"/>
    <n v="947"/>
    <n v="1894"/>
    <n v="2706"/>
    <n v="812"/>
    <s v="Product 13"/>
    <x v="45"/>
    <s v="Walter Cook"/>
    <x v="29"/>
    <n v="3"/>
    <x v="2"/>
    <x v="9"/>
    <x v="9"/>
    <x v="3"/>
    <x v="2"/>
  </r>
  <r>
    <s v="AX13329"/>
    <s v="ENX2046"/>
    <s v="A163"/>
    <s v="EMP1029"/>
    <s v="C1451"/>
    <x v="324"/>
    <n v="3"/>
    <n v="2410"/>
    <n v="1518"/>
    <n v="4554"/>
    <n v="7230"/>
    <n v="2676"/>
    <s v="Product 47"/>
    <x v="51"/>
    <s v="Howard Gardner"/>
    <x v="80"/>
    <n v="3"/>
    <x v="2"/>
    <x v="9"/>
    <x v="9"/>
    <x v="3"/>
    <x v="2"/>
  </r>
  <r>
    <s v="AX13434"/>
    <s v="ENX2054"/>
    <s v="A166"/>
    <s v="EMP1029"/>
    <s v="C1481"/>
    <x v="325"/>
    <n v="1"/>
    <n v="127"/>
    <n v="79"/>
    <n v="79"/>
    <n v="127"/>
    <n v="48"/>
    <s v="Product 55"/>
    <x v="70"/>
    <s v="Howard Gardner"/>
    <x v="764"/>
    <n v="3"/>
    <x v="2"/>
    <x v="9"/>
    <x v="9"/>
    <x v="3"/>
    <x v="2"/>
  </r>
  <r>
    <s v="AX13507"/>
    <s v="ENX2027"/>
    <s v="A156"/>
    <s v="EMP1008"/>
    <s v="C1339"/>
    <x v="323"/>
    <n v="1"/>
    <n v="2497"/>
    <n v="1473"/>
    <n v="1473"/>
    <n v="2497"/>
    <n v="1024"/>
    <s v="Product 28"/>
    <x v="14"/>
    <s v="Carl Elliott"/>
    <x v="401"/>
    <n v="3"/>
    <x v="2"/>
    <x v="9"/>
    <x v="9"/>
    <x v="3"/>
    <x v="2"/>
  </r>
  <r>
    <s v="AX14222"/>
    <s v="ENX2038"/>
    <s v="A159"/>
    <s v="EMP1005"/>
    <s v="C1043"/>
    <x v="323"/>
    <n v="4"/>
    <n v="392"/>
    <n v="255"/>
    <n v="1020"/>
    <n v="1568"/>
    <n v="548"/>
    <s v="Product 39"/>
    <x v="13"/>
    <s v="Ryan Welch"/>
    <x v="546"/>
    <n v="3"/>
    <x v="2"/>
    <x v="9"/>
    <x v="9"/>
    <x v="3"/>
    <x v="2"/>
  </r>
  <r>
    <s v="AX14454"/>
    <s v="ENX2022"/>
    <s v="A116"/>
    <s v="EMP1004"/>
    <s v="C1793"/>
    <x v="324"/>
    <n v="1"/>
    <n v="561"/>
    <n v="421"/>
    <n v="421"/>
    <n v="561"/>
    <n v="140"/>
    <s v="Product 23"/>
    <x v="15"/>
    <s v="Kenneth Bradley"/>
    <x v="677"/>
    <n v="3"/>
    <x v="2"/>
    <x v="9"/>
    <x v="9"/>
    <x v="3"/>
    <x v="2"/>
  </r>
  <r>
    <s v="AX14632"/>
    <s v="ENX2039"/>
    <s v="A134"/>
    <s v="EMP1043"/>
    <s v="C1582"/>
    <x v="324"/>
    <n v="4"/>
    <n v="817"/>
    <n v="409"/>
    <n v="1636"/>
    <n v="3268"/>
    <n v="1632"/>
    <s v="Product 40"/>
    <x v="41"/>
    <s v="Joshua Taylor"/>
    <x v="259"/>
    <n v="3"/>
    <x v="2"/>
    <x v="9"/>
    <x v="9"/>
    <x v="3"/>
    <x v="2"/>
  </r>
  <r>
    <s v="AX14654"/>
    <s v="ENX2003"/>
    <s v="A162"/>
    <s v="EMP1004"/>
    <s v="C1213"/>
    <x v="325"/>
    <n v="1"/>
    <n v="1783"/>
    <n v="1516"/>
    <n v="1516"/>
    <n v="1783"/>
    <n v="267"/>
    <s v="Product 4"/>
    <x v="2"/>
    <s v="Kenneth Bradley"/>
    <x v="487"/>
    <n v="3"/>
    <x v="2"/>
    <x v="9"/>
    <x v="9"/>
    <x v="3"/>
    <x v="2"/>
  </r>
  <r>
    <s v="AX14680"/>
    <s v="ENX2089"/>
    <s v="A148"/>
    <s v="EMP1024"/>
    <s v="C1721"/>
    <x v="325"/>
    <n v="1"/>
    <n v="2294"/>
    <n v="1399"/>
    <n v="1399"/>
    <n v="2294"/>
    <n v="895"/>
    <s v="Product 90"/>
    <x v="62"/>
    <s v="Ernest Wheeler"/>
    <x v="678"/>
    <n v="3"/>
    <x v="2"/>
    <x v="9"/>
    <x v="9"/>
    <x v="3"/>
    <x v="2"/>
  </r>
  <r>
    <s v="AX14776"/>
    <s v="ENX2013"/>
    <s v="A102"/>
    <s v="EMP1035"/>
    <s v="C1711"/>
    <x v="326"/>
    <n v="1"/>
    <n v="368"/>
    <n v="269"/>
    <n v="269"/>
    <n v="368"/>
    <n v="99"/>
    <s v="Product 14"/>
    <x v="44"/>
    <s v="Roger Ramos"/>
    <x v="66"/>
    <n v="3"/>
    <x v="2"/>
    <x v="9"/>
    <x v="9"/>
    <x v="3"/>
    <x v="2"/>
  </r>
  <r>
    <s v="AX15117"/>
    <s v="ENX2073"/>
    <s v="A100"/>
    <s v="EMP1036"/>
    <s v="C1118"/>
    <x v="325"/>
    <n v="1"/>
    <n v="95"/>
    <n v="61"/>
    <n v="61"/>
    <n v="95"/>
    <n v="34"/>
    <s v="Product 74"/>
    <x v="52"/>
    <s v="Robert Reed"/>
    <x v="633"/>
    <n v="3"/>
    <x v="2"/>
    <x v="9"/>
    <x v="9"/>
    <x v="3"/>
    <x v="2"/>
  </r>
  <r>
    <s v="AX15558"/>
    <s v="ENX2062"/>
    <s v="A112"/>
    <s v="EMP1010"/>
    <s v="C1324"/>
    <x v="326"/>
    <n v="4"/>
    <n v="2464"/>
    <n v="1774"/>
    <n v="7096"/>
    <n v="9856"/>
    <n v="2760"/>
    <s v="Product 63"/>
    <x v="66"/>
    <s v="Joshua Cook"/>
    <x v="252"/>
    <n v="3"/>
    <x v="2"/>
    <x v="9"/>
    <x v="9"/>
    <x v="3"/>
    <x v="2"/>
  </r>
  <r>
    <s v="AX15577"/>
    <s v="ENX2066"/>
    <s v="A171"/>
    <s v="EMP1023"/>
    <s v="C1038"/>
    <x v="327"/>
    <n v="3"/>
    <n v="2091"/>
    <n v="1485"/>
    <n v="4455"/>
    <n v="6273"/>
    <n v="1818"/>
    <s v="Product 67"/>
    <x v="0"/>
    <s v="Brian Davis"/>
    <x v="545"/>
    <n v="3"/>
    <x v="2"/>
    <x v="9"/>
    <x v="9"/>
    <x v="3"/>
    <x v="2"/>
  </r>
  <r>
    <s v="AX16091"/>
    <s v="ENX2004"/>
    <s v="A112"/>
    <s v="EMP1023"/>
    <s v="C1126"/>
    <x v="327"/>
    <n v="2"/>
    <n v="1278"/>
    <n v="665"/>
    <n v="1330"/>
    <n v="2556"/>
    <n v="1226"/>
    <s v="Product 5"/>
    <x v="66"/>
    <s v="Brian Davis"/>
    <x v="374"/>
    <n v="3"/>
    <x v="2"/>
    <x v="9"/>
    <x v="9"/>
    <x v="3"/>
    <x v="2"/>
  </r>
  <r>
    <s v="AX16183"/>
    <s v="ENX2035"/>
    <s v="A147"/>
    <s v="EMP1028"/>
    <s v="C1391"/>
    <x v="325"/>
    <n v="1"/>
    <n v="458"/>
    <n v="376"/>
    <n v="376"/>
    <n v="458"/>
    <n v="82"/>
    <s v="Product 36"/>
    <x v="42"/>
    <s v="Howard Sims"/>
    <x v="745"/>
    <n v="3"/>
    <x v="2"/>
    <x v="9"/>
    <x v="9"/>
    <x v="3"/>
    <x v="2"/>
  </r>
  <r>
    <s v="AX17149"/>
    <s v="ENX2024"/>
    <s v="A173"/>
    <s v="EMP1005"/>
    <s v="C1009"/>
    <x v="326"/>
    <n v="2"/>
    <n v="356"/>
    <n v="292"/>
    <n v="584"/>
    <n v="712"/>
    <n v="128"/>
    <s v="Product 25"/>
    <x v="25"/>
    <s v="Ryan Welch"/>
    <x v="458"/>
    <n v="3"/>
    <x v="2"/>
    <x v="9"/>
    <x v="9"/>
    <x v="3"/>
    <x v="2"/>
  </r>
  <r>
    <s v="AX17258"/>
    <s v="ENX2047"/>
    <s v="A121"/>
    <s v="EMP1000"/>
    <s v="C1165"/>
    <x v="323"/>
    <n v="1"/>
    <n v="290"/>
    <n v="200"/>
    <n v="200"/>
    <n v="290"/>
    <n v="90"/>
    <s v="Product 48"/>
    <x v="72"/>
    <s v="Fred Robertson"/>
    <x v="82"/>
    <n v="3"/>
    <x v="2"/>
    <x v="9"/>
    <x v="9"/>
    <x v="3"/>
    <x v="2"/>
  </r>
  <r>
    <s v="AX17375"/>
    <s v="ENX2055"/>
    <s v="A135"/>
    <s v="EMP1035"/>
    <s v="C1405"/>
    <x v="327"/>
    <n v="3"/>
    <n v="2495"/>
    <n v="1896"/>
    <n v="5688"/>
    <n v="7485"/>
    <n v="1797"/>
    <s v="Product 56"/>
    <x v="10"/>
    <s v="Roger Ramos"/>
    <x v="544"/>
    <n v="3"/>
    <x v="2"/>
    <x v="9"/>
    <x v="9"/>
    <x v="3"/>
    <x v="2"/>
  </r>
  <r>
    <s v="AX17580"/>
    <s v="ENX2002"/>
    <s v="A138"/>
    <s v="EMP1029"/>
    <s v="C1677"/>
    <x v="324"/>
    <n v="1"/>
    <n v="847"/>
    <n v="534"/>
    <n v="534"/>
    <n v="847"/>
    <n v="313"/>
    <s v="Product 3"/>
    <x v="37"/>
    <s v="Howard Gardner"/>
    <x v="641"/>
    <n v="3"/>
    <x v="2"/>
    <x v="9"/>
    <x v="9"/>
    <x v="3"/>
    <x v="2"/>
  </r>
  <r>
    <s v="AX18333"/>
    <s v="ENX2003"/>
    <s v="A105"/>
    <s v="EMP1032"/>
    <s v="C1453"/>
    <x v="324"/>
    <n v="1"/>
    <n v="1783"/>
    <n v="1516"/>
    <n v="1516"/>
    <n v="1783"/>
    <n v="267"/>
    <s v="Product 4"/>
    <x v="45"/>
    <s v="Larry Castillo"/>
    <x v="194"/>
    <n v="3"/>
    <x v="2"/>
    <x v="9"/>
    <x v="9"/>
    <x v="3"/>
    <x v="2"/>
  </r>
  <r>
    <s v="AX18505"/>
    <s v="ENX2041"/>
    <s v="A121"/>
    <s v="EMP1019"/>
    <s v="C1119"/>
    <x v="325"/>
    <n v="1"/>
    <n v="1380"/>
    <n v="1090"/>
    <n v="1090"/>
    <n v="1380"/>
    <n v="290"/>
    <s v="Product 42"/>
    <x v="72"/>
    <s v="Roger Robertson"/>
    <x v="614"/>
    <n v="3"/>
    <x v="2"/>
    <x v="9"/>
    <x v="9"/>
    <x v="3"/>
    <x v="2"/>
  </r>
  <r>
    <s v="AX18891"/>
    <s v="ENX2035"/>
    <s v="A159"/>
    <s v="EMP1042"/>
    <s v="C1152"/>
    <x v="324"/>
    <n v="2"/>
    <n v="458"/>
    <n v="376"/>
    <n v="752"/>
    <n v="916"/>
    <n v="164"/>
    <s v="Product 36"/>
    <x v="13"/>
    <s v="Scott Clark"/>
    <x v="198"/>
    <n v="3"/>
    <x v="2"/>
    <x v="9"/>
    <x v="9"/>
    <x v="3"/>
    <x v="2"/>
  </r>
  <r>
    <s v="AX20383"/>
    <s v="ENX2089"/>
    <s v="A116"/>
    <s v="EMP1027"/>
    <s v="C1040"/>
    <x v="323"/>
    <n v="3"/>
    <n v="2294"/>
    <n v="1399"/>
    <n v="4197"/>
    <n v="6882"/>
    <n v="2685"/>
    <s v="Product 90"/>
    <x v="15"/>
    <s v="Gary Rodriguez"/>
    <x v="221"/>
    <n v="3"/>
    <x v="2"/>
    <x v="9"/>
    <x v="9"/>
    <x v="3"/>
    <x v="2"/>
  </r>
  <r>
    <s v="AX20803"/>
    <s v="ENX2005"/>
    <s v="A158"/>
    <s v="EMP1017"/>
    <s v="C1373"/>
    <x v="325"/>
    <n v="1"/>
    <n v="684"/>
    <n v="561"/>
    <n v="561"/>
    <n v="684"/>
    <n v="123"/>
    <s v="Product 6"/>
    <x v="58"/>
    <s v="Brian Hansen"/>
    <x v="471"/>
    <n v="3"/>
    <x v="2"/>
    <x v="9"/>
    <x v="9"/>
    <x v="3"/>
    <x v="2"/>
  </r>
  <r>
    <s v="AX21158"/>
    <s v="ENX2033"/>
    <s v="A110"/>
    <s v="EMP1013"/>
    <s v="C1273"/>
    <x v="325"/>
    <n v="2"/>
    <n v="2182"/>
    <n v="1200"/>
    <n v="2400"/>
    <n v="4364"/>
    <n v="1964"/>
    <s v="Product 34"/>
    <x v="63"/>
    <s v="Charles Harper"/>
    <x v="469"/>
    <n v="3"/>
    <x v="2"/>
    <x v="9"/>
    <x v="9"/>
    <x v="3"/>
    <x v="2"/>
  </r>
  <r>
    <s v="AX21240"/>
    <s v="ENX2079"/>
    <s v="A173"/>
    <s v="EMP1004"/>
    <s v="C1112"/>
    <x v="326"/>
    <n v="1"/>
    <n v="1725"/>
    <n v="1363"/>
    <n v="1363"/>
    <n v="1725"/>
    <n v="362"/>
    <s v="Product 80"/>
    <x v="25"/>
    <s v="Kenneth Bradley"/>
    <x v="590"/>
    <n v="3"/>
    <x v="2"/>
    <x v="9"/>
    <x v="9"/>
    <x v="3"/>
    <x v="2"/>
  </r>
  <r>
    <s v="AX21374"/>
    <s v="ENX2061"/>
    <s v="A160"/>
    <s v="EMP1019"/>
    <s v="C1138"/>
    <x v="327"/>
    <n v="1"/>
    <n v="913"/>
    <n v="584"/>
    <n v="584"/>
    <n v="913"/>
    <n v="329"/>
    <s v="Product 62"/>
    <x v="9"/>
    <s v="Roger Robertson"/>
    <x v="325"/>
    <n v="3"/>
    <x v="2"/>
    <x v="9"/>
    <x v="9"/>
    <x v="3"/>
    <x v="2"/>
  </r>
  <r>
    <s v="AX21441"/>
    <s v="ENX2047"/>
    <s v="A127"/>
    <s v="EMP1031"/>
    <s v="C1757"/>
    <x v="325"/>
    <n v="2"/>
    <n v="290"/>
    <n v="200"/>
    <n v="400"/>
    <n v="580"/>
    <n v="180"/>
    <s v="Product 48"/>
    <x v="69"/>
    <s v="Brian Thomas"/>
    <x v="376"/>
    <n v="3"/>
    <x v="2"/>
    <x v="9"/>
    <x v="9"/>
    <x v="3"/>
    <x v="2"/>
  </r>
  <r>
    <s v="AX21448"/>
    <s v="ENX2045"/>
    <s v="A115"/>
    <s v="EMP1025"/>
    <s v="C1591"/>
    <x v="325"/>
    <n v="3"/>
    <n v="556"/>
    <n v="395"/>
    <n v="1185"/>
    <n v="1668"/>
    <n v="483"/>
    <s v="Product 46"/>
    <x v="33"/>
    <s v="Ernest Wagner"/>
    <x v="289"/>
    <n v="3"/>
    <x v="2"/>
    <x v="9"/>
    <x v="9"/>
    <x v="3"/>
    <x v="2"/>
  </r>
  <r>
    <s v="AX21861"/>
    <s v="ENX2061"/>
    <s v="A136"/>
    <s v="EMP1007"/>
    <s v="C1598"/>
    <x v="327"/>
    <n v="3"/>
    <n v="913"/>
    <n v="584"/>
    <n v="1752"/>
    <n v="2739"/>
    <n v="987"/>
    <s v="Product 62"/>
    <x v="43"/>
    <s v="Jeremy Mendoza"/>
    <x v="125"/>
    <n v="3"/>
    <x v="2"/>
    <x v="9"/>
    <x v="9"/>
    <x v="3"/>
    <x v="2"/>
  </r>
  <r>
    <s v="AX22069"/>
    <s v="ENX2099"/>
    <s v="A146"/>
    <s v="EMP1011"/>
    <s v="C1125"/>
    <x v="323"/>
    <n v="2"/>
    <n v="1367"/>
    <n v="984"/>
    <n v="1968"/>
    <n v="2734"/>
    <n v="766"/>
    <s v="Product 100"/>
    <x v="27"/>
    <s v="Larry Marshall"/>
    <x v="539"/>
    <n v="3"/>
    <x v="2"/>
    <x v="9"/>
    <x v="9"/>
    <x v="3"/>
    <x v="2"/>
  </r>
  <r>
    <s v="AX22107"/>
    <s v="ENX2065"/>
    <s v="A132"/>
    <s v="EMP1044"/>
    <s v="C1530"/>
    <x v="324"/>
    <n v="3"/>
    <n v="2396"/>
    <n v="1965"/>
    <n v="5895"/>
    <n v="7188"/>
    <n v="1293"/>
    <s v="Product 66"/>
    <x v="48"/>
    <s v="Martin Carr"/>
    <x v="224"/>
    <n v="3"/>
    <x v="2"/>
    <x v="9"/>
    <x v="9"/>
    <x v="3"/>
    <x v="2"/>
  </r>
  <r>
    <s v="AX22292"/>
    <s v="ENX2073"/>
    <s v="A105"/>
    <s v="EMP1026"/>
    <s v="C1174"/>
    <x v="324"/>
    <n v="1"/>
    <n v="95"/>
    <n v="61"/>
    <n v="61"/>
    <n v="95"/>
    <n v="34"/>
    <s v="Product 74"/>
    <x v="45"/>
    <s v="Martin Perry"/>
    <x v="715"/>
    <n v="3"/>
    <x v="2"/>
    <x v="9"/>
    <x v="9"/>
    <x v="3"/>
    <x v="2"/>
  </r>
  <r>
    <s v="AX22293"/>
    <s v="ENX2073"/>
    <s v="A114"/>
    <s v="EMP1017"/>
    <s v="C1533"/>
    <x v="324"/>
    <n v="2"/>
    <n v="95"/>
    <n v="61"/>
    <n v="122"/>
    <n v="190"/>
    <n v="68"/>
    <s v="Product 74"/>
    <x v="28"/>
    <s v="Brian Hansen"/>
    <x v="179"/>
    <n v="3"/>
    <x v="2"/>
    <x v="9"/>
    <x v="9"/>
    <x v="3"/>
    <x v="2"/>
  </r>
  <r>
    <s v="AX22312"/>
    <s v="ENX2099"/>
    <s v="A102"/>
    <s v="EMP1006"/>
    <s v="C1629"/>
    <x v="324"/>
    <n v="2"/>
    <n v="1367"/>
    <n v="984"/>
    <n v="1968"/>
    <n v="2734"/>
    <n v="766"/>
    <s v="Product 100"/>
    <x v="44"/>
    <s v="Sean Miller"/>
    <x v="734"/>
    <n v="3"/>
    <x v="2"/>
    <x v="9"/>
    <x v="9"/>
    <x v="3"/>
    <x v="2"/>
  </r>
  <r>
    <s v="AX22367"/>
    <s v="ENX2082"/>
    <s v="A134"/>
    <s v="EMP1019"/>
    <s v="C1047"/>
    <x v="326"/>
    <n v="1"/>
    <n v="1103"/>
    <n v="838"/>
    <n v="838"/>
    <n v="1103"/>
    <n v="265"/>
    <s v="Product 83"/>
    <x v="41"/>
    <s v="Roger Robertson"/>
    <x v="486"/>
    <n v="3"/>
    <x v="2"/>
    <x v="9"/>
    <x v="9"/>
    <x v="3"/>
    <x v="2"/>
  </r>
  <r>
    <s v="AX22441"/>
    <s v="ENX2083"/>
    <s v="A125"/>
    <s v="EMP1042"/>
    <s v="C1221"/>
    <x v="324"/>
    <n v="1"/>
    <n v="2141"/>
    <n v="1777"/>
    <n v="1777"/>
    <n v="2141"/>
    <n v="364"/>
    <s v="Product 84"/>
    <x v="31"/>
    <s v="Scott Clark"/>
    <x v="429"/>
    <n v="3"/>
    <x v="2"/>
    <x v="9"/>
    <x v="9"/>
    <x v="3"/>
    <x v="2"/>
  </r>
  <r>
    <s v="AX23273"/>
    <s v="ENX2021"/>
    <s v="A114"/>
    <s v="EMP1004"/>
    <s v="C1238"/>
    <x v="327"/>
    <n v="2"/>
    <n v="217"/>
    <n v="171"/>
    <n v="342"/>
    <n v="434"/>
    <n v="92"/>
    <s v="Product 22"/>
    <x v="28"/>
    <s v="Kenneth Bradley"/>
    <x v="627"/>
    <n v="3"/>
    <x v="2"/>
    <x v="9"/>
    <x v="9"/>
    <x v="3"/>
    <x v="2"/>
  </r>
  <r>
    <s v="AX23307"/>
    <s v="ENX2062"/>
    <s v="A158"/>
    <s v="EMP1023"/>
    <s v="C1778"/>
    <x v="325"/>
    <n v="3"/>
    <n v="2464"/>
    <n v="1774"/>
    <n v="5322"/>
    <n v="7392"/>
    <n v="2070"/>
    <s v="Product 63"/>
    <x v="58"/>
    <s v="Brian Davis"/>
    <x v="420"/>
    <n v="3"/>
    <x v="2"/>
    <x v="9"/>
    <x v="9"/>
    <x v="3"/>
    <x v="2"/>
  </r>
  <r>
    <s v="AX23324"/>
    <s v="ENX2052"/>
    <s v="A142"/>
    <s v="EMP1004"/>
    <s v="C1157"/>
    <x v="325"/>
    <n v="1"/>
    <n v="1526"/>
    <n v="1251"/>
    <n v="1251"/>
    <n v="1526"/>
    <n v="275"/>
    <s v="Product 53"/>
    <x v="56"/>
    <s v="Kenneth Bradley"/>
    <x v="415"/>
    <n v="3"/>
    <x v="2"/>
    <x v="9"/>
    <x v="9"/>
    <x v="3"/>
    <x v="2"/>
  </r>
  <r>
    <s v="AX23497"/>
    <s v="ENX2054"/>
    <s v="A172"/>
    <s v="EMP1026"/>
    <s v="C1531"/>
    <x v="324"/>
    <n v="2"/>
    <n v="127"/>
    <n v="79"/>
    <n v="158"/>
    <n v="254"/>
    <n v="96"/>
    <s v="Product 55"/>
    <x v="36"/>
    <s v="Martin Perry"/>
    <x v="743"/>
    <n v="3"/>
    <x v="2"/>
    <x v="9"/>
    <x v="9"/>
    <x v="3"/>
    <x v="2"/>
  </r>
  <r>
    <s v="AX23650"/>
    <s v="ENX2064"/>
    <s v="A112"/>
    <s v="EMP1038"/>
    <s v="C1471"/>
    <x v="327"/>
    <n v="1"/>
    <n v="1414"/>
    <n v="962"/>
    <n v="962"/>
    <n v="1414"/>
    <n v="452"/>
    <s v="Product 65"/>
    <x v="66"/>
    <s v="Scott Mason"/>
    <x v="586"/>
    <n v="3"/>
    <x v="2"/>
    <x v="9"/>
    <x v="9"/>
    <x v="3"/>
    <x v="2"/>
  </r>
  <r>
    <s v="AX23666"/>
    <s v="ENX2025"/>
    <s v="A172"/>
    <s v="EMP1009"/>
    <s v="C1408"/>
    <x v="326"/>
    <n v="1"/>
    <n v="667"/>
    <n v="387"/>
    <n v="387"/>
    <n v="667"/>
    <n v="280"/>
    <s v="Product 26"/>
    <x v="36"/>
    <s v="Kenneth Fields"/>
    <x v="647"/>
    <n v="3"/>
    <x v="2"/>
    <x v="9"/>
    <x v="9"/>
    <x v="3"/>
    <x v="2"/>
  </r>
  <r>
    <s v="AX23741"/>
    <s v="ENX2097"/>
    <s v="A123"/>
    <s v="EMP1040"/>
    <s v="C1107"/>
    <x v="324"/>
    <n v="1"/>
    <n v="1052"/>
    <n v="589"/>
    <n v="589"/>
    <n v="1052"/>
    <n v="463"/>
    <s v="Product 98"/>
    <x v="34"/>
    <s v="Patrick Ruiz"/>
    <x v="278"/>
    <n v="3"/>
    <x v="2"/>
    <x v="9"/>
    <x v="9"/>
    <x v="3"/>
    <x v="2"/>
  </r>
  <r>
    <s v="AX24013"/>
    <s v="ENX2035"/>
    <s v="A118"/>
    <s v="EMP1031"/>
    <s v="C1739"/>
    <x v="324"/>
    <n v="1"/>
    <n v="458"/>
    <n v="376"/>
    <n v="376"/>
    <n v="458"/>
    <n v="82"/>
    <s v="Product 36"/>
    <x v="19"/>
    <s v="Brian Thomas"/>
    <x v="286"/>
    <n v="3"/>
    <x v="2"/>
    <x v="9"/>
    <x v="9"/>
    <x v="3"/>
    <x v="2"/>
  </r>
  <r>
    <s v="AX24159"/>
    <s v="ENX2067"/>
    <s v="A116"/>
    <s v="EMP1000"/>
    <s v="C1078"/>
    <x v="325"/>
    <n v="1"/>
    <n v="1119"/>
    <n v="683"/>
    <n v="683"/>
    <n v="1119"/>
    <n v="436"/>
    <s v="Product 68"/>
    <x v="15"/>
    <s v="Fred Robertson"/>
    <x v="565"/>
    <n v="3"/>
    <x v="2"/>
    <x v="9"/>
    <x v="9"/>
    <x v="3"/>
    <x v="2"/>
  </r>
  <r>
    <s v="AX24175"/>
    <s v="ENX2009"/>
    <s v="A120"/>
    <s v="EMP1021"/>
    <s v="C1605"/>
    <x v="326"/>
    <n v="1"/>
    <n v="584"/>
    <n v="420"/>
    <n v="420"/>
    <n v="584"/>
    <n v="164"/>
    <s v="Product 10"/>
    <x v="20"/>
    <s v="Clarence Fox"/>
    <x v="676"/>
    <n v="3"/>
    <x v="2"/>
    <x v="9"/>
    <x v="9"/>
    <x v="3"/>
    <x v="2"/>
  </r>
  <r>
    <s v="AX24323"/>
    <s v="ENX2022"/>
    <s v="A162"/>
    <s v="EMP1033"/>
    <s v="C1302"/>
    <x v="326"/>
    <n v="2"/>
    <n v="561"/>
    <n v="421"/>
    <n v="842"/>
    <n v="1122"/>
    <n v="280"/>
    <s v="Product 23"/>
    <x v="2"/>
    <s v="Jerry Perry"/>
    <x v="451"/>
    <n v="3"/>
    <x v="2"/>
    <x v="9"/>
    <x v="9"/>
    <x v="3"/>
    <x v="2"/>
  </r>
  <r>
    <s v="AX24357"/>
    <s v="ENX2092"/>
    <s v="A166"/>
    <s v="EMP1037"/>
    <s v="C1080"/>
    <x v="325"/>
    <n v="1"/>
    <n v="1639"/>
    <n v="1295"/>
    <n v="1295"/>
    <n v="1639"/>
    <n v="344"/>
    <s v="Product 93"/>
    <x v="70"/>
    <s v="Carl Hall"/>
    <x v="720"/>
    <n v="3"/>
    <x v="2"/>
    <x v="9"/>
    <x v="9"/>
    <x v="3"/>
    <x v="2"/>
  </r>
  <r>
    <s v="AX24732"/>
    <s v="ENX2040"/>
    <s v="A143"/>
    <s v="EMP1042"/>
    <s v="C1322"/>
    <x v="324"/>
    <n v="1"/>
    <n v="1889"/>
    <n v="945"/>
    <n v="945"/>
    <n v="1889"/>
    <n v="944"/>
    <s v="Product 41"/>
    <x v="39"/>
    <s v="Scott Clark"/>
    <x v="604"/>
    <n v="3"/>
    <x v="2"/>
    <x v="9"/>
    <x v="9"/>
    <x v="3"/>
    <x v="2"/>
  </r>
  <r>
    <s v="AX10183"/>
    <s v="ENX2035"/>
    <s v="A106"/>
    <s v="EMP1014"/>
    <s v="C1444"/>
    <x v="328"/>
    <n v="2"/>
    <n v="458"/>
    <n v="376"/>
    <n v="752"/>
    <n v="916"/>
    <n v="164"/>
    <s v="Product 36"/>
    <x v="11"/>
    <s v="Ronald Reed"/>
    <x v="454"/>
    <n v="3"/>
    <x v="2"/>
    <x v="10"/>
    <x v="10"/>
    <x v="3"/>
    <x v="0"/>
  </r>
  <r>
    <s v="AX10300"/>
    <s v="ENX2032"/>
    <s v="A126"/>
    <s v="EMP1043"/>
    <s v="C1376"/>
    <x v="328"/>
    <n v="1"/>
    <n v="1967"/>
    <n v="1397"/>
    <n v="1397"/>
    <n v="1967"/>
    <n v="570"/>
    <s v="Product 33"/>
    <x v="5"/>
    <s v="Joshua Taylor"/>
    <x v="356"/>
    <n v="3"/>
    <x v="2"/>
    <x v="10"/>
    <x v="10"/>
    <x v="3"/>
    <x v="0"/>
  </r>
  <r>
    <s v="AX10584"/>
    <s v="ENX2019"/>
    <s v="A142"/>
    <s v="EMP1039"/>
    <s v="C1682"/>
    <x v="328"/>
    <n v="1"/>
    <n v="800"/>
    <n v="536"/>
    <n v="536"/>
    <n v="800"/>
    <n v="264"/>
    <s v="Product 20"/>
    <x v="56"/>
    <s v="Eugene Holmes"/>
    <x v="313"/>
    <n v="3"/>
    <x v="2"/>
    <x v="10"/>
    <x v="10"/>
    <x v="3"/>
    <x v="0"/>
  </r>
  <r>
    <s v="AX11078"/>
    <s v="ENX2049"/>
    <s v="A126"/>
    <s v="EMP1038"/>
    <s v="C1249"/>
    <x v="329"/>
    <n v="1"/>
    <n v="826"/>
    <n v="562"/>
    <n v="562"/>
    <n v="826"/>
    <n v="264"/>
    <s v="Product 50"/>
    <x v="5"/>
    <s v="Scott Mason"/>
    <x v="709"/>
    <n v="3"/>
    <x v="2"/>
    <x v="10"/>
    <x v="10"/>
    <x v="3"/>
    <x v="0"/>
  </r>
  <r>
    <s v="AX11184"/>
    <s v="ENX2051"/>
    <s v="A140"/>
    <s v="EMP1028"/>
    <s v="C1463"/>
    <x v="330"/>
    <n v="1"/>
    <n v="1077"/>
    <n v="732"/>
    <n v="732"/>
    <n v="1077"/>
    <n v="345"/>
    <s v="Product 52"/>
    <x v="18"/>
    <s v="Howard Sims"/>
    <x v="535"/>
    <n v="3"/>
    <x v="2"/>
    <x v="10"/>
    <x v="10"/>
    <x v="3"/>
    <x v="0"/>
  </r>
  <r>
    <s v="AX11195"/>
    <s v="ENX2091"/>
    <s v="A168"/>
    <s v="EMP1032"/>
    <s v="C1687"/>
    <x v="331"/>
    <n v="4"/>
    <n v="368"/>
    <n v="294"/>
    <n v="1176"/>
    <n v="1472"/>
    <n v="296"/>
    <s v="Product 92"/>
    <x v="40"/>
    <s v="Larry Castillo"/>
    <x v="389"/>
    <n v="3"/>
    <x v="2"/>
    <x v="10"/>
    <x v="10"/>
    <x v="3"/>
    <x v="0"/>
  </r>
  <r>
    <s v="AX11788"/>
    <s v="ENX2060"/>
    <s v="A123"/>
    <s v="EMP1035"/>
    <s v="C1252"/>
    <x v="330"/>
    <n v="3"/>
    <n v="1467"/>
    <n v="807"/>
    <n v="2421"/>
    <n v="4401"/>
    <n v="1980"/>
    <s v="Product 61"/>
    <x v="34"/>
    <s v="Roger Ramos"/>
    <x v="358"/>
    <n v="3"/>
    <x v="2"/>
    <x v="10"/>
    <x v="10"/>
    <x v="3"/>
    <x v="0"/>
  </r>
  <r>
    <s v="AX12175"/>
    <s v="ENX2052"/>
    <s v="A111"/>
    <s v="EMP1002"/>
    <s v="C1352"/>
    <x v="331"/>
    <n v="1"/>
    <n v="1526"/>
    <n v="1251"/>
    <n v="1251"/>
    <n v="1526"/>
    <n v="275"/>
    <s v="Product 53"/>
    <x v="54"/>
    <s v="Andrew Bowman"/>
    <x v="20"/>
    <n v="3"/>
    <x v="2"/>
    <x v="10"/>
    <x v="10"/>
    <x v="3"/>
    <x v="0"/>
  </r>
  <r>
    <s v="AX12262"/>
    <s v="ENX2028"/>
    <s v="A103"/>
    <s v="EMP1028"/>
    <s v="C1574"/>
    <x v="328"/>
    <n v="3"/>
    <n v="2283"/>
    <n v="1484"/>
    <n v="4452"/>
    <n v="6849"/>
    <n v="2397"/>
    <s v="Product 29"/>
    <x v="61"/>
    <s v="Howard Sims"/>
    <x v="521"/>
    <n v="3"/>
    <x v="2"/>
    <x v="10"/>
    <x v="10"/>
    <x v="3"/>
    <x v="0"/>
  </r>
  <r>
    <s v="AX12304"/>
    <s v="ENX2007"/>
    <s v="A138"/>
    <s v="EMP1011"/>
    <s v="C1239"/>
    <x v="328"/>
    <n v="3"/>
    <n v="1405"/>
    <n v="1054"/>
    <n v="3162"/>
    <n v="4215"/>
    <n v="1053"/>
    <s v="Product 8"/>
    <x v="37"/>
    <s v="Larry Marshall"/>
    <x v="479"/>
    <n v="3"/>
    <x v="2"/>
    <x v="10"/>
    <x v="10"/>
    <x v="3"/>
    <x v="0"/>
  </r>
  <r>
    <s v="AX12577"/>
    <s v="ENX2015"/>
    <s v="A161"/>
    <s v="EMP1009"/>
    <s v="C1643"/>
    <x v="330"/>
    <n v="1"/>
    <n v="637"/>
    <n v="389"/>
    <n v="389"/>
    <n v="637"/>
    <n v="248"/>
    <s v="Product 16"/>
    <x v="6"/>
    <s v="Kenneth Fields"/>
    <x v="142"/>
    <n v="3"/>
    <x v="2"/>
    <x v="10"/>
    <x v="10"/>
    <x v="3"/>
    <x v="0"/>
  </r>
  <r>
    <s v="AX12712"/>
    <s v="ENX2099"/>
    <s v="A160"/>
    <s v="EMP1023"/>
    <s v="C1609"/>
    <x v="328"/>
    <n v="2"/>
    <n v="1367"/>
    <n v="984"/>
    <n v="1968"/>
    <n v="2734"/>
    <n v="766"/>
    <s v="Product 100"/>
    <x v="9"/>
    <s v="Brian Davis"/>
    <x v="757"/>
    <n v="3"/>
    <x v="2"/>
    <x v="10"/>
    <x v="10"/>
    <x v="3"/>
    <x v="0"/>
  </r>
  <r>
    <s v="AX13080"/>
    <s v="ENX2080"/>
    <s v="A126"/>
    <s v="EMP1016"/>
    <s v="C1163"/>
    <x v="328"/>
    <n v="2"/>
    <n v="2353"/>
    <n v="1788"/>
    <n v="3576"/>
    <n v="4706"/>
    <n v="1130"/>
    <s v="Product 81"/>
    <x v="5"/>
    <s v="Henry Nelson"/>
    <x v="23"/>
    <n v="3"/>
    <x v="2"/>
    <x v="10"/>
    <x v="10"/>
    <x v="3"/>
    <x v="0"/>
  </r>
  <r>
    <s v="AX13168"/>
    <s v="ENX2064"/>
    <s v="A103"/>
    <s v="EMP1034"/>
    <s v="C1115"/>
    <x v="330"/>
    <n v="1"/>
    <n v="1414"/>
    <n v="962"/>
    <n v="962"/>
    <n v="1414"/>
    <n v="452"/>
    <s v="Product 65"/>
    <x v="61"/>
    <s v="Arthur Mccoy"/>
    <x v="338"/>
    <n v="3"/>
    <x v="2"/>
    <x v="10"/>
    <x v="10"/>
    <x v="3"/>
    <x v="0"/>
  </r>
  <r>
    <s v="AX13380"/>
    <s v="ENX2046"/>
    <s v="A128"/>
    <s v="EMP1044"/>
    <s v="C1234"/>
    <x v="330"/>
    <n v="1"/>
    <n v="2410"/>
    <n v="1518"/>
    <n v="1518"/>
    <n v="2410"/>
    <n v="892"/>
    <s v="Product 47"/>
    <x v="12"/>
    <s v="Martin Carr"/>
    <x v="636"/>
    <n v="3"/>
    <x v="2"/>
    <x v="10"/>
    <x v="10"/>
    <x v="3"/>
    <x v="0"/>
  </r>
  <r>
    <s v="AX13685"/>
    <s v="ENX2056"/>
    <s v="A152"/>
    <s v="EMP1006"/>
    <s v="C1712"/>
    <x v="329"/>
    <n v="3"/>
    <n v="1635"/>
    <n v="1046"/>
    <n v="3138"/>
    <n v="4905"/>
    <n v="1767"/>
    <s v="Product 57"/>
    <x v="26"/>
    <s v="Sean Miller"/>
    <x v="21"/>
    <n v="3"/>
    <x v="2"/>
    <x v="10"/>
    <x v="10"/>
    <x v="3"/>
    <x v="0"/>
  </r>
  <r>
    <s v="AX14172"/>
    <s v="ENX2092"/>
    <s v="A141"/>
    <s v="EMP1019"/>
    <s v="C1049"/>
    <x v="329"/>
    <n v="1"/>
    <n v="1639"/>
    <n v="1295"/>
    <n v="1295"/>
    <n v="1639"/>
    <n v="344"/>
    <s v="Product 93"/>
    <x v="23"/>
    <s v="Roger Robertson"/>
    <x v="305"/>
    <n v="3"/>
    <x v="2"/>
    <x v="10"/>
    <x v="10"/>
    <x v="3"/>
    <x v="0"/>
  </r>
  <r>
    <s v="AX14176"/>
    <s v="ENX2096"/>
    <s v="A168"/>
    <s v="EMP1000"/>
    <s v="C1120"/>
    <x v="330"/>
    <n v="1"/>
    <n v="1587"/>
    <n v="1301"/>
    <n v="1301"/>
    <n v="1587"/>
    <n v="286"/>
    <s v="Product 97"/>
    <x v="40"/>
    <s v="Fred Robertson"/>
    <x v="685"/>
    <n v="3"/>
    <x v="2"/>
    <x v="10"/>
    <x v="10"/>
    <x v="3"/>
    <x v="0"/>
  </r>
  <r>
    <s v="AX14312"/>
    <s v="ENX2077"/>
    <s v="A146"/>
    <s v="EMP1042"/>
    <s v="C1279"/>
    <x v="329"/>
    <n v="1"/>
    <n v="530"/>
    <n v="424"/>
    <n v="424"/>
    <n v="530"/>
    <n v="106"/>
    <s v="Product 78"/>
    <x v="27"/>
    <s v="Scott Clark"/>
    <x v="210"/>
    <n v="3"/>
    <x v="2"/>
    <x v="10"/>
    <x v="10"/>
    <x v="3"/>
    <x v="0"/>
  </r>
  <r>
    <s v="AX14347"/>
    <s v="ENX2011"/>
    <s v="A106"/>
    <s v="EMP1018"/>
    <s v="C1408"/>
    <x v="328"/>
    <n v="1"/>
    <n v="530"/>
    <n v="435"/>
    <n v="435"/>
    <n v="530"/>
    <n v="95"/>
    <s v="Product 12"/>
    <x v="11"/>
    <s v="Jimmy Young"/>
    <x v="647"/>
    <n v="3"/>
    <x v="2"/>
    <x v="10"/>
    <x v="10"/>
    <x v="3"/>
    <x v="0"/>
  </r>
  <r>
    <s v="AX14588"/>
    <s v="ENX2090"/>
    <s v="A144"/>
    <s v="EMP1003"/>
    <s v="C1419"/>
    <x v="329"/>
    <n v="1"/>
    <n v="1338"/>
    <n v="682"/>
    <n v="682"/>
    <n v="1338"/>
    <n v="656"/>
    <s v="Product 91"/>
    <x v="65"/>
    <s v="Christopher Tucker"/>
    <x v="163"/>
    <n v="3"/>
    <x v="2"/>
    <x v="10"/>
    <x v="10"/>
    <x v="3"/>
    <x v="0"/>
  </r>
  <r>
    <s v="AX14903"/>
    <s v="ENX2052"/>
    <s v="A116"/>
    <s v="EMP1026"/>
    <s v="C1059"/>
    <x v="331"/>
    <n v="1"/>
    <n v="1526"/>
    <n v="1251"/>
    <n v="1251"/>
    <n v="1526"/>
    <n v="275"/>
    <s v="Product 53"/>
    <x v="15"/>
    <s v="Martin Perry"/>
    <x v="297"/>
    <n v="3"/>
    <x v="2"/>
    <x v="10"/>
    <x v="10"/>
    <x v="3"/>
    <x v="0"/>
  </r>
  <r>
    <s v="AX15229"/>
    <s v="ENX2017"/>
    <s v="A171"/>
    <s v="EMP1009"/>
    <s v="C1136"/>
    <x v="328"/>
    <n v="1"/>
    <n v="35"/>
    <n v="22"/>
    <n v="22"/>
    <n v="35"/>
    <n v="13"/>
    <s v="Product 18"/>
    <x v="0"/>
    <s v="Kenneth Fields"/>
    <x v="425"/>
    <n v="3"/>
    <x v="2"/>
    <x v="10"/>
    <x v="10"/>
    <x v="3"/>
    <x v="0"/>
  </r>
  <r>
    <s v="AX15456"/>
    <s v="ENX2090"/>
    <s v="A115"/>
    <s v="EMP1006"/>
    <s v="C1667"/>
    <x v="331"/>
    <n v="2"/>
    <n v="1338"/>
    <n v="682"/>
    <n v="1364"/>
    <n v="2676"/>
    <n v="1312"/>
    <s v="Product 91"/>
    <x v="33"/>
    <s v="Sean Miller"/>
    <x v="462"/>
    <n v="3"/>
    <x v="2"/>
    <x v="10"/>
    <x v="10"/>
    <x v="3"/>
    <x v="0"/>
  </r>
  <r>
    <s v="AX15492"/>
    <s v="ENX2012"/>
    <s v="A170"/>
    <s v="EMP1020"/>
    <s v="C1174"/>
    <x v="328"/>
    <n v="1"/>
    <n v="1353"/>
    <n v="947"/>
    <n v="947"/>
    <n v="1353"/>
    <n v="406"/>
    <s v="Product 13"/>
    <x v="47"/>
    <s v="Ryan Butler"/>
    <x v="715"/>
    <n v="3"/>
    <x v="2"/>
    <x v="10"/>
    <x v="10"/>
    <x v="3"/>
    <x v="0"/>
  </r>
  <r>
    <s v="AX15501"/>
    <s v="ENX2044"/>
    <s v="A113"/>
    <s v="EMP1026"/>
    <s v="C1413"/>
    <x v="329"/>
    <n v="1"/>
    <n v="886"/>
    <n v="478"/>
    <n v="478"/>
    <n v="886"/>
    <n v="408"/>
    <s v="Product 45"/>
    <x v="73"/>
    <s v="Martin Perry"/>
    <x v="571"/>
    <n v="3"/>
    <x v="2"/>
    <x v="10"/>
    <x v="10"/>
    <x v="3"/>
    <x v="0"/>
  </r>
  <r>
    <s v="AX15631"/>
    <s v="ENX2069"/>
    <s v="A170"/>
    <s v="EMP1023"/>
    <s v="C1140"/>
    <x v="329"/>
    <n v="1"/>
    <n v="378"/>
    <n v="291"/>
    <n v="291"/>
    <n v="378"/>
    <n v="87"/>
    <s v="Product 70"/>
    <x v="47"/>
    <s v="Brian Davis"/>
    <x v="40"/>
    <n v="3"/>
    <x v="2"/>
    <x v="10"/>
    <x v="10"/>
    <x v="3"/>
    <x v="0"/>
  </r>
  <r>
    <s v="AX15632"/>
    <s v="ENX2083"/>
    <s v="A106"/>
    <s v="EMP1035"/>
    <s v="C1255"/>
    <x v="330"/>
    <n v="2"/>
    <n v="2141"/>
    <n v="1777"/>
    <n v="3554"/>
    <n v="4282"/>
    <n v="728"/>
    <s v="Product 84"/>
    <x v="11"/>
    <s v="Roger Ramos"/>
    <x v="111"/>
    <n v="3"/>
    <x v="2"/>
    <x v="10"/>
    <x v="10"/>
    <x v="3"/>
    <x v="0"/>
  </r>
  <r>
    <s v="AX15761"/>
    <s v="ENX2094"/>
    <s v="A113"/>
    <s v="EMP1042"/>
    <s v="C1662"/>
    <x v="330"/>
    <n v="4"/>
    <n v="771"/>
    <n v="648"/>
    <n v="2592"/>
    <n v="3084"/>
    <n v="492"/>
    <s v="Product 95"/>
    <x v="73"/>
    <s v="Scott Clark"/>
    <x v="649"/>
    <n v="3"/>
    <x v="2"/>
    <x v="10"/>
    <x v="10"/>
    <x v="3"/>
    <x v="0"/>
  </r>
  <r>
    <s v="AX16449"/>
    <s v="ENX2088"/>
    <s v="A172"/>
    <s v="EMP1015"/>
    <s v="C1391"/>
    <x v="330"/>
    <n v="3"/>
    <n v="603"/>
    <n v="416"/>
    <n v="1248"/>
    <n v="1809"/>
    <n v="561"/>
    <s v="Product 89"/>
    <x v="36"/>
    <s v="Justin Lynch"/>
    <x v="745"/>
    <n v="3"/>
    <x v="2"/>
    <x v="10"/>
    <x v="10"/>
    <x v="3"/>
    <x v="0"/>
  </r>
  <r>
    <s v="AX16458"/>
    <s v="ENX2095"/>
    <s v="A124"/>
    <s v="EMP1010"/>
    <s v="C1630"/>
    <x v="328"/>
    <n v="3"/>
    <n v="1743"/>
    <n v="872"/>
    <n v="2616"/>
    <n v="5229"/>
    <n v="2613"/>
    <s v="Product 96"/>
    <x v="67"/>
    <s v="Joshua Cook"/>
    <x v="154"/>
    <n v="3"/>
    <x v="2"/>
    <x v="10"/>
    <x v="10"/>
    <x v="3"/>
    <x v="0"/>
  </r>
  <r>
    <s v="AX16668"/>
    <s v="ENX2056"/>
    <s v="A142"/>
    <s v="EMP1009"/>
    <s v="C1671"/>
    <x v="329"/>
    <n v="2"/>
    <n v="1635"/>
    <n v="1046"/>
    <n v="2092"/>
    <n v="3270"/>
    <n v="1178"/>
    <s v="Product 57"/>
    <x v="56"/>
    <s v="Kenneth Fields"/>
    <x v="248"/>
    <n v="3"/>
    <x v="2"/>
    <x v="10"/>
    <x v="10"/>
    <x v="3"/>
    <x v="0"/>
  </r>
  <r>
    <s v="AX16869"/>
    <s v="ENX2042"/>
    <s v="A106"/>
    <s v="EMP1026"/>
    <s v="C1346"/>
    <x v="330"/>
    <n v="4"/>
    <n v="203"/>
    <n v="154"/>
    <n v="616"/>
    <n v="812"/>
    <n v="196"/>
    <s v="Product 43"/>
    <x v="11"/>
    <s v="Martin Perry"/>
    <x v="340"/>
    <n v="3"/>
    <x v="2"/>
    <x v="10"/>
    <x v="10"/>
    <x v="3"/>
    <x v="0"/>
  </r>
  <r>
    <s v="AX17009"/>
    <s v="ENX2042"/>
    <s v="A117"/>
    <s v="EMP1039"/>
    <s v="C1022"/>
    <x v="330"/>
    <n v="1"/>
    <n v="203"/>
    <n v="154"/>
    <n v="154"/>
    <n v="203"/>
    <n v="49"/>
    <s v="Product 43"/>
    <x v="29"/>
    <s v="Eugene Holmes"/>
    <x v="249"/>
    <n v="3"/>
    <x v="2"/>
    <x v="10"/>
    <x v="10"/>
    <x v="3"/>
    <x v="0"/>
  </r>
  <r>
    <s v="AX17290"/>
    <s v="ENX2003"/>
    <s v="A156"/>
    <s v="EMP1026"/>
    <s v="C1487"/>
    <x v="331"/>
    <n v="3"/>
    <n v="1783"/>
    <n v="1516"/>
    <n v="4548"/>
    <n v="5349"/>
    <n v="801"/>
    <s v="Product 4"/>
    <x v="14"/>
    <s v="Martin Perry"/>
    <x v="461"/>
    <n v="3"/>
    <x v="2"/>
    <x v="10"/>
    <x v="10"/>
    <x v="3"/>
    <x v="0"/>
  </r>
  <r>
    <s v="AX17465"/>
    <s v="ENX2028"/>
    <s v="A133"/>
    <s v="EMP1028"/>
    <s v="C1072"/>
    <x v="331"/>
    <n v="3"/>
    <n v="2283"/>
    <n v="1484"/>
    <n v="4452"/>
    <n v="6849"/>
    <n v="2397"/>
    <s v="Product 29"/>
    <x v="46"/>
    <s v="Howard Sims"/>
    <x v="529"/>
    <n v="3"/>
    <x v="2"/>
    <x v="10"/>
    <x v="10"/>
    <x v="3"/>
    <x v="0"/>
  </r>
  <r>
    <s v="AX17475"/>
    <s v="ENX2052"/>
    <s v="A132"/>
    <s v="EMP1001"/>
    <s v="C1303"/>
    <x v="330"/>
    <n v="1"/>
    <n v="1526"/>
    <n v="1251"/>
    <n v="1251"/>
    <n v="1526"/>
    <n v="275"/>
    <s v="Product 53"/>
    <x v="48"/>
    <s v="Kevin Butler"/>
    <x v="531"/>
    <n v="3"/>
    <x v="2"/>
    <x v="10"/>
    <x v="10"/>
    <x v="3"/>
    <x v="0"/>
  </r>
  <r>
    <s v="AX17750"/>
    <s v="ENX2030"/>
    <s v="A161"/>
    <s v="EMP1026"/>
    <s v="C1180"/>
    <x v="328"/>
    <n v="1"/>
    <n v="1899"/>
    <n v="1044"/>
    <n v="1044"/>
    <n v="1899"/>
    <n v="855"/>
    <s v="Product 31"/>
    <x v="6"/>
    <s v="Martin Perry"/>
    <x v="212"/>
    <n v="3"/>
    <x v="2"/>
    <x v="10"/>
    <x v="10"/>
    <x v="3"/>
    <x v="0"/>
  </r>
  <r>
    <s v="AX18026"/>
    <s v="ENX2091"/>
    <s v="A150"/>
    <s v="EMP1010"/>
    <s v="C1719"/>
    <x v="329"/>
    <n v="1"/>
    <n v="368"/>
    <n v="294"/>
    <n v="294"/>
    <n v="368"/>
    <n v="74"/>
    <s v="Product 92"/>
    <x v="30"/>
    <s v="Joshua Cook"/>
    <x v="666"/>
    <n v="3"/>
    <x v="2"/>
    <x v="10"/>
    <x v="10"/>
    <x v="3"/>
    <x v="0"/>
  </r>
  <r>
    <s v="AX18275"/>
    <s v="ENX2089"/>
    <s v="A139"/>
    <s v="EMP1039"/>
    <s v="C1650"/>
    <x v="329"/>
    <n v="4"/>
    <n v="2294"/>
    <n v="1399"/>
    <n v="5596"/>
    <n v="9176"/>
    <n v="3580"/>
    <s v="Product 90"/>
    <x v="38"/>
    <s v="Eugene Holmes"/>
    <x v="645"/>
    <n v="3"/>
    <x v="2"/>
    <x v="10"/>
    <x v="10"/>
    <x v="3"/>
    <x v="0"/>
  </r>
  <r>
    <s v="AX18900"/>
    <s v="ENX2003"/>
    <s v="A146"/>
    <s v="EMP1001"/>
    <s v="C1795"/>
    <x v="329"/>
    <n v="4"/>
    <n v="1783"/>
    <n v="1516"/>
    <n v="6064"/>
    <n v="7132"/>
    <n v="1068"/>
    <s v="Product 4"/>
    <x v="27"/>
    <s v="Kevin Butler"/>
    <x v="592"/>
    <n v="3"/>
    <x v="2"/>
    <x v="10"/>
    <x v="10"/>
    <x v="3"/>
    <x v="0"/>
  </r>
  <r>
    <s v="AX19061"/>
    <s v="ENX2035"/>
    <s v="A125"/>
    <s v="EMP1020"/>
    <s v="C1729"/>
    <x v="331"/>
    <n v="1"/>
    <n v="458"/>
    <n v="376"/>
    <n v="376"/>
    <n v="458"/>
    <n v="82"/>
    <s v="Product 36"/>
    <x v="31"/>
    <s v="Ryan Butler"/>
    <x v="268"/>
    <n v="3"/>
    <x v="2"/>
    <x v="10"/>
    <x v="10"/>
    <x v="3"/>
    <x v="0"/>
  </r>
  <r>
    <s v="AX19489"/>
    <s v="ENX2040"/>
    <s v="A130"/>
    <s v="EMP1042"/>
    <s v="C1652"/>
    <x v="331"/>
    <n v="1"/>
    <n v="1889"/>
    <n v="945"/>
    <n v="945"/>
    <n v="1889"/>
    <n v="944"/>
    <s v="Product 41"/>
    <x v="4"/>
    <s v="Scott Clark"/>
    <x v="737"/>
    <n v="3"/>
    <x v="2"/>
    <x v="10"/>
    <x v="10"/>
    <x v="3"/>
    <x v="0"/>
  </r>
  <r>
    <s v="AX19928"/>
    <s v="ENX2095"/>
    <s v="A125"/>
    <s v="EMP1015"/>
    <s v="C1554"/>
    <x v="330"/>
    <n v="1"/>
    <n v="1743"/>
    <n v="872"/>
    <n v="872"/>
    <n v="1743"/>
    <n v="871"/>
    <s v="Product 96"/>
    <x v="31"/>
    <s v="Justin Lynch"/>
    <x v="516"/>
    <n v="3"/>
    <x v="2"/>
    <x v="10"/>
    <x v="10"/>
    <x v="3"/>
    <x v="0"/>
  </r>
  <r>
    <s v="AX20146"/>
    <s v="ENX2027"/>
    <s v="A128"/>
    <s v="EMP1009"/>
    <s v="C1486"/>
    <x v="330"/>
    <n v="2"/>
    <n v="2497"/>
    <n v="1473"/>
    <n v="2946"/>
    <n v="4994"/>
    <n v="2048"/>
    <s v="Product 28"/>
    <x v="12"/>
    <s v="Kenneth Fields"/>
    <x v="357"/>
    <n v="3"/>
    <x v="2"/>
    <x v="10"/>
    <x v="10"/>
    <x v="3"/>
    <x v="0"/>
  </r>
  <r>
    <s v="AX20740"/>
    <s v="ENX2030"/>
    <s v="A131"/>
    <s v="EMP1016"/>
    <s v="C1363"/>
    <x v="329"/>
    <n v="2"/>
    <n v="1899"/>
    <n v="1044"/>
    <n v="2088"/>
    <n v="3798"/>
    <n v="1710"/>
    <s v="Product 31"/>
    <x v="32"/>
    <s v="Henry Nelson"/>
    <x v="505"/>
    <n v="3"/>
    <x v="2"/>
    <x v="10"/>
    <x v="10"/>
    <x v="3"/>
    <x v="0"/>
  </r>
  <r>
    <s v="AX21684"/>
    <s v="ENX2060"/>
    <s v="A144"/>
    <s v="EMP1020"/>
    <s v="C1689"/>
    <x v="329"/>
    <n v="1"/>
    <n v="1467"/>
    <n v="807"/>
    <n v="807"/>
    <n v="1467"/>
    <n v="660"/>
    <s v="Product 61"/>
    <x v="65"/>
    <s v="Ryan Butler"/>
    <x v="181"/>
    <n v="3"/>
    <x v="2"/>
    <x v="10"/>
    <x v="10"/>
    <x v="3"/>
    <x v="0"/>
  </r>
  <r>
    <s v="AX22005"/>
    <s v="ENX2048"/>
    <s v="A136"/>
    <s v="EMP1027"/>
    <s v="C1340"/>
    <x v="330"/>
    <n v="2"/>
    <n v="502"/>
    <n v="296"/>
    <n v="592"/>
    <n v="1004"/>
    <n v="412"/>
    <s v="Product 49"/>
    <x v="43"/>
    <s v="Gary Rodriguez"/>
    <x v="433"/>
    <n v="3"/>
    <x v="2"/>
    <x v="10"/>
    <x v="10"/>
    <x v="3"/>
    <x v="0"/>
  </r>
  <r>
    <s v="AX22156"/>
    <s v="ENX2052"/>
    <s v="A133"/>
    <s v="EMP1013"/>
    <s v="C1518"/>
    <x v="330"/>
    <n v="4"/>
    <n v="1526"/>
    <n v="1251"/>
    <n v="5004"/>
    <n v="6104"/>
    <n v="1100"/>
    <s v="Product 53"/>
    <x v="46"/>
    <s v="Charles Harper"/>
    <x v="703"/>
    <n v="3"/>
    <x v="2"/>
    <x v="10"/>
    <x v="10"/>
    <x v="3"/>
    <x v="0"/>
  </r>
  <r>
    <s v="AX22171"/>
    <s v="ENX2041"/>
    <s v="A112"/>
    <s v="EMP1007"/>
    <s v="C1123"/>
    <x v="328"/>
    <n v="2"/>
    <n v="1380"/>
    <n v="1090"/>
    <n v="2180"/>
    <n v="2760"/>
    <n v="580"/>
    <s v="Product 42"/>
    <x v="66"/>
    <s v="Jeremy Mendoza"/>
    <x v="222"/>
    <n v="3"/>
    <x v="2"/>
    <x v="10"/>
    <x v="10"/>
    <x v="3"/>
    <x v="0"/>
  </r>
  <r>
    <s v="AX22274"/>
    <s v="ENX2005"/>
    <s v="A152"/>
    <s v="EMP1026"/>
    <s v="C1055"/>
    <x v="328"/>
    <n v="1"/>
    <n v="684"/>
    <n v="561"/>
    <n v="561"/>
    <n v="684"/>
    <n v="123"/>
    <s v="Product 6"/>
    <x v="26"/>
    <s v="Martin Perry"/>
    <x v="593"/>
    <n v="3"/>
    <x v="2"/>
    <x v="10"/>
    <x v="10"/>
    <x v="3"/>
    <x v="0"/>
  </r>
  <r>
    <s v="AX22621"/>
    <s v="ENX2074"/>
    <s v="A122"/>
    <s v="EMP1032"/>
    <s v="C1012"/>
    <x v="330"/>
    <n v="3"/>
    <n v="504"/>
    <n v="408"/>
    <n v="1224"/>
    <n v="1512"/>
    <n v="288"/>
    <s v="Product 75"/>
    <x v="71"/>
    <s v="Larry Castillo"/>
    <x v="738"/>
    <n v="3"/>
    <x v="2"/>
    <x v="10"/>
    <x v="10"/>
    <x v="3"/>
    <x v="0"/>
  </r>
  <r>
    <s v="AX22687"/>
    <s v="ENX2066"/>
    <s v="A112"/>
    <s v="EMP1027"/>
    <s v="C1718"/>
    <x v="328"/>
    <n v="1"/>
    <n v="2091"/>
    <n v="1485"/>
    <n v="1485"/>
    <n v="2091"/>
    <n v="606"/>
    <s v="Product 67"/>
    <x v="66"/>
    <s v="Gary Rodriguez"/>
    <x v="14"/>
    <n v="3"/>
    <x v="2"/>
    <x v="10"/>
    <x v="10"/>
    <x v="3"/>
    <x v="0"/>
  </r>
  <r>
    <s v="AX22984"/>
    <s v="ENX2057"/>
    <s v="A114"/>
    <s v="EMP1002"/>
    <s v="C1344"/>
    <x v="331"/>
    <n v="3"/>
    <n v="181"/>
    <n v="130"/>
    <n v="390"/>
    <n v="543"/>
    <n v="153"/>
    <s v="Product 58"/>
    <x v="28"/>
    <s v="Andrew Bowman"/>
    <x v="22"/>
    <n v="3"/>
    <x v="2"/>
    <x v="10"/>
    <x v="10"/>
    <x v="3"/>
    <x v="0"/>
  </r>
  <r>
    <s v="AX23117"/>
    <s v="ENX2090"/>
    <s v="A152"/>
    <s v="EMP1042"/>
    <s v="C1589"/>
    <x v="331"/>
    <n v="3"/>
    <n v="1338"/>
    <n v="682"/>
    <n v="2046"/>
    <n v="4014"/>
    <n v="1968"/>
    <s v="Product 91"/>
    <x v="26"/>
    <s v="Scott Clark"/>
    <x v="39"/>
    <n v="3"/>
    <x v="2"/>
    <x v="10"/>
    <x v="10"/>
    <x v="3"/>
    <x v="0"/>
  </r>
  <r>
    <s v="AX23640"/>
    <s v="ENX2001"/>
    <s v="A168"/>
    <s v="EMP1017"/>
    <s v="C1688"/>
    <x v="329"/>
    <n v="1"/>
    <n v="951"/>
    <n v="504"/>
    <n v="504"/>
    <n v="951"/>
    <n v="447"/>
    <s v="Product 2"/>
    <x v="40"/>
    <s v="Brian Hansen"/>
    <x v="213"/>
    <n v="3"/>
    <x v="2"/>
    <x v="10"/>
    <x v="10"/>
    <x v="3"/>
    <x v="0"/>
  </r>
  <r>
    <s v="AX23658"/>
    <s v="ENX2051"/>
    <s v="A123"/>
    <s v="EMP1012"/>
    <s v="C1127"/>
    <x v="331"/>
    <n v="1"/>
    <n v="1077"/>
    <n v="732"/>
    <n v="732"/>
    <n v="1077"/>
    <n v="345"/>
    <s v="Product 52"/>
    <x v="34"/>
    <s v="John Reyes"/>
    <x v="438"/>
    <n v="3"/>
    <x v="2"/>
    <x v="10"/>
    <x v="10"/>
    <x v="3"/>
    <x v="0"/>
  </r>
  <r>
    <s v="AX23879"/>
    <s v="ENX2009"/>
    <s v="A138"/>
    <s v="EMP1016"/>
    <s v="C1717"/>
    <x v="329"/>
    <n v="4"/>
    <n v="584"/>
    <n v="420"/>
    <n v="1680"/>
    <n v="2336"/>
    <n v="656"/>
    <s v="Product 10"/>
    <x v="37"/>
    <s v="Henry Nelson"/>
    <x v="605"/>
    <n v="3"/>
    <x v="2"/>
    <x v="10"/>
    <x v="10"/>
    <x v="3"/>
    <x v="0"/>
  </r>
  <r>
    <s v="AX24077"/>
    <s v="ENX2078"/>
    <s v="A129"/>
    <s v="EMP1016"/>
    <s v="C1232"/>
    <x v="330"/>
    <n v="1"/>
    <n v="1798"/>
    <n v="971"/>
    <n v="971"/>
    <n v="1798"/>
    <n v="827"/>
    <s v="Product 79"/>
    <x v="22"/>
    <s v="Henry Nelson"/>
    <x v="584"/>
    <n v="3"/>
    <x v="2"/>
    <x v="10"/>
    <x v="10"/>
    <x v="3"/>
    <x v="0"/>
  </r>
  <r>
    <s v="AX24160"/>
    <s v="ENX2054"/>
    <s v="A142"/>
    <s v="EMP1020"/>
    <s v="C1705"/>
    <x v="329"/>
    <n v="2"/>
    <n v="127"/>
    <n v="79"/>
    <n v="158"/>
    <n v="254"/>
    <n v="96"/>
    <s v="Product 55"/>
    <x v="56"/>
    <s v="Ryan Butler"/>
    <x v="507"/>
    <n v="3"/>
    <x v="2"/>
    <x v="10"/>
    <x v="10"/>
    <x v="3"/>
    <x v="0"/>
  </r>
  <r>
    <s v="AX24562"/>
    <s v="ENX2023"/>
    <s v="A168"/>
    <s v="EMP1034"/>
    <s v="C1449"/>
    <x v="328"/>
    <n v="3"/>
    <n v="818"/>
    <n v="450"/>
    <n v="1350"/>
    <n v="2454"/>
    <n v="1104"/>
    <s v="Product 24"/>
    <x v="40"/>
    <s v="Arthur Mccoy"/>
    <x v="230"/>
    <n v="3"/>
    <x v="2"/>
    <x v="10"/>
    <x v="10"/>
    <x v="3"/>
    <x v="0"/>
  </r>
  <r>
    <s v="AX24759"/>
    <s v="ENX2043"/>
    <s v="A111"/>
    <s v="EMP1011"/>
    <s v="C1162"/>
    <x v="329"/>
    <n v="1"/>
    <n v="545"/>
    <n v="425"/>
    <n v="425"/>
    <n v="545"/>
    <n v="120"/>
    <s v="Product 44"/>
    <x v="54"/>
    <s v="Larry Marshall"/>
    <x v="177"/>
    <n v="3"/>
    <x v="2"/>
    <x v="10"/>
    <x v="10"/>
    <x v="3"/>
    <x v="0"/>
  </r>
  <r>
    <s v="AX10395"/>
    <s v="ENX2085"/>
    <s v="A111"/>
    <s v="EMP1017"/>
    <s v="C1402"/>
    <x v="332"/>
    <n v="1"/>
    <n v="1862"/>
    <n v="1173"/>
    <n v="1173"/>
    <n v="1862"/>
    <n v="689"/>
    <s v="Product 86"/>
    <x v="54"/>
    <s v="Brian Hansen"/>
    <x v="79"/>
    <n v="3"/>
    <x v="2"/>
    <x v="10"/>
    <x v="10"/>
    <x v="3"/>
    <x v="2"/>
  </r>
  <r>
    <s v="AX10616"/>
    <s v="ENX2042"/>
    <s v="A108"/>
    <s v="EMP1032"/>
    <s v="C1442"/>
    <x v="332"/>
    <n v="3"/>
    <n v="203"/>
    <n v="154"/>
    <n v="462"/>
    <n v="609"/>
    <n v="147"/>
    <s v="Product 43"/>
    <x v="49"/>
    <s v="Larry Castillo"/>
    <x v="299"/>
    <n v="3"/>
    <x v="2"/>
    <x v="10"/>
    <x v="10"/>
    <x v="3"/>
    <x v="2"/>
  </r>
  <r>
    <s v="AX10637"/>
    <s v="ENX2051"/>
    <s v="A170"/>
    <s v="EMP1021"/>
    <s v="C1653"/>
    <x v="333"/>
    <n v="2"/>
    <n v="1077"/>
    <n v="732"/>
    <n v="1464"/>
    <n v="2154"/>
    <n v="690"/>
    <s v="Product 52"/>
    <x v="47"/>
    <s v="Clarence Fox"/>
    <x v="187"/>
    <n v="3"/>
    <x v="2"/>
    <x v="10"/>
    <x v="10"/>
    <x v="3"/>
    <x v="2"/>
  </r>
  <r>
    <s v="AX10754"/>
    <s v="ENX2024"/>
    <s v="A133"/>
    <s v="EMP1003"/>
    <s v="C1326"/>
    <x v="333"/>
    <n v="1"/>
    <n v="356"/>
    <n v="292"/>
    <n v="292"/>
    <n v="356"/>
    <n v="64"/>
    <s v="Product 25"/>
    <x v="46"/>
    <s v="Christopher Tucker"/>
    <x v="98"/>
    <n v="3"/>
    <x v="2"/>
    <x v="10"/>
    <x v="10"/>
    <x v="3"/>
    <x v="2"/>
  </r>
  <r>
    <s v="AX10805"/>
    <s v="ENX2023"/>
    <s v="A110"/>
    <s v="EMP1008"/>
    <s v="C1221"/>
    <x v="334"/>
    <n v="1"/>
    <n v="818"/>
    <n v="450"/>
    <n v="450"/>
    <n v="818"/>
    <n v="368"/>
    <s v="Product 24"/>
    <x v="63"/>
    <s v="Carl Elliott"/>
    <x v="429"/>
    <n v="3"/>
    <x v="2"/>
    <x v="10"/>
    <x v="10"/>
    <x v="3"/>
    <x v="2"/>
  </r>
  <r>
    <s v="AX11022"/>
    <s v="ENX2091"/>
    <s v="A154"/>
    <s v="EMP1034"/>
    <s v="C1418"/>
    <x v="333"/>
    <n v="1"/>
    <n v="368"/>
    <n v="294"/>
    <n v="294"/>
    <n v="368"/>
    <n v="74"/>
    <s v="Product 92"/>
    <x v="24"/>
    <s v="Arthur Mccoy"/>
    <x v="441"/>
    <n v="3"/>
    <x v="2"/>
    <x v="10"/>
    <x v="10"/>
    <x v="3"/>
    <x v="2"/>
  </r>
  <r>
    <s v="AX12640"/>
    <s v="ENX2092"/>
    <s v="A102"/>
    <s v="EMP1040"/>
    <s v="C1406"/>
    <x v="333"/>
    <n v="1"/>
    <n v="1639"/>
    <n v="1295"/>
    <n v="1295"/>
    <n v="1639"/>
    <n v="344"/>
    <s v="Product 93"/>
    <x v="44"/>
    <s v="Patrick Ruiz"/>
    <x v="783"/>
    <n v="3"/>
    <x v="2"/>
    <x v="10"/>
    <x v="10"/>
    <x v="3"/>
    <x v="2"/>
  </r>
  <r>
    <s v="AX12811"/>
    <s v="ENX2000"/>
    <s v="A125"/>
    <s v="EMP1034"/>
    <s v="C1016"/>
    <x v="335"/>
    <n v="1"/>
    <n v="2241"/>
    <n v="1367"/>
    <n v="1367"/>
    <n v="2241"/>
    <n v="874"/>
    <s v="Product 1"/>
    <x v="31"/>
    <s v="Arthur Mccoy"/>
    <x v="335"/>
    <n v="3"/>
    <x v="2"/>
    <x v="10"/>
    <x v="10"/>
    <x v="3"/>
    <x v="2"/>
  </r>
  <r>
    <s v="AX13354"/>
    <s v="ENX2019"/>
    <s v="A154"/>
    <s v="EMP1013"/>
    <s v="C1726"/>
    <x v="333"/>
    <n v="3"/>
    <n v="800"/>
    <n v="536"/>
    <n v="1608"/>
    <n v="2400"/>
    <n v="792"/>
    <s v="Product 20"/>
    <x v="24"/>
    <s v="Charles Harper"/>
    <x v="755"/>
    <n v="3"/>
    <x v="2"/>
    <x v="10"/>
    <x v="10"/>
    <x v="3"/>
    <x v="2"/>
  </r>
  <r>
    <s v="AX13581"/>
    <s v="ENX2076"/>
    <s v="A161"/>
    <s v="EMP1001"/>
    <s v="C1619"/>
    <x v="333"/>
    <n v="4"/>
    <n v="1522"/>
    <n v="791"/>
    <n v="3164"/>
    <n v="6088"/>
    <n v="2924"/>
    <s v="Product 77"/>
    <x v="6"/>
    <s v="Kevin Butler"/>
    <x v="77"/>
    <n v="3"/>
    <x v="2"/>
    <x v="10"/>
    <x v="10"/>
    <x v="3"/>
    <x v="2"/>
  </r>
  <r>
    <s v="AX13894"/>
    <s v="ENX2088"/>
    <s v="A113"/>
    <s v="EMP1014"/>
    <s v="C1752"/>
    <x v="333"/>
    <n v="4"/>
    <n v="603"/>
    <n v="416"/>
    <n v="1664"/>
    <n v="2412"/>
    <n v="748"/>
    <s v="Product 89"/>
    <x v="73"/>
    <s v="Ronald Reed"/>
    <x v="233"/>
    <n v="3"/>
    <x v="2"/>
    <x v="10"/>
    <x v="10"/>
    <x v="3"/>
    <x v="2"/>
  </r>
  <r>
    <s v="AX14011"/>
    <s v="ENX2100"/>
    <s v="A159"/>
    <s v="EMP1032"/>
    <s v="C1441"/>
    <x v="333"/>
    <n v="1"/>
    <n v="799"/>
    <n v="455"/>
    <n v="455"/>
    <n v="799"/>
    <n v="344"/>
    <s v="Product 101"/>
    <x v="13"/>
    <s v="Larry Castillo"/>
    <x v="667"/>
    <n v="3"/>
    <x v="2"/>
    <x v="10"/>
    <x v="10"/>
    <x v="3"/>
    <x v="2"/>
  </r>
  <r>
    <s v="AX14189"/>
    <s v="ENX2012"/>
    <s v="A173"/>
    <s v="EMP1024"/>
    <s v="C1631"/>
    <x v="334"/>
    <n v="1"/>
    <n v="1353"/>
    <n v="947"/>
    <n v="947"/>
    <n v="1353"/>
    <n v="406"/>
    <s v="Product 13"/>
    <x v="25"/>
    <s v="Ernest Wheeler"/>
    <x v="659"/>
    <n v="3"/>
    <x v="2"/>
    <x v="10"/>
    <x v="10"/>
    <x v="3"/>
    <x v="2"/>
  </r>
  <r>
    <s v="AX14360"/>
    <s v="ENX2055"/>
    <s v="A120"/>
    <s v="EMP1027"/>
    <s v="C1304"/>
    <x v="334"/>
    <n v="4"/>
    <n v="2495"/>
    <n v="1896"/>
    <n v="7584"/>
    <n v="9980"/>
    <n v="2396"/>
    <s v="Product 56"/>
    <x v="20"/>
    <s v="Gary Rodriguez"/>
    <x v="298"/>
    <n v="3"/>
    <x v="2"/>
    <x v="10"/>
    <x v="10"/>
    <x v="3"/>
    <x v="2"/>
  </r>
  <r>
    <s v="AX14518"/>
    <s v="ENX2076"/>
    <s v="A169"/>
    <s v="EMP1038"/>
    <s v="C1227"/>
    <x v="332"/>
    <n v="1"/>
    <n v="1522"/>
    <n v="791"/>
    <n v="791"/>
    <n v="1522"/>
    <n v="731"/>
    <s v="Product 77"/>
    <x v="17"/>
    <s v="Scott Mason"/>
    <x v="765"/>
    <n v="3"/>
    <x v="2"/>
    <x v="10"/>
    <x v="10"/>
    <x v="3"/>
    <x v="2"/>
  </r>
  <r>
    <s v="AX14791"/>
    <s v="ENX2025"/>
    <s v="A149"/>
    <s v="EMP1039"/>
    <s v="C1716"/>
    <x v="334"/>
    <n v="3"/>
    <n v="667"/>
    <n v="387"/>
    <n v="1161"/>
    <n v="2001"/>
    <n v="840"/>
    <s v="Product 26"/>
    <x v="59"/>
    <s v="Eugene Holmes"/>
    <x v="24"/>
    <n v="3"/>
    <x v="2"/>
    <x v="10"/>
    <x v="10"/>
    <x v="3"/>
    <x v="2"/>
  </r>
  <r>
    <s v="AX15369"/>
    <s v="ENX2060"/>
    <s v="A123"/>
    <s v="EMP1021"/>
    <s v="C1372"/>
    <x v="332"/>
    <n v="1"/>
    <n v="1467"/>
    <n v="807"/>
    <n v="807"/>
    <n v="1467"/>
    <n v="660"/>
    <s v="Product 61"/>
    <x v="34"/>
    <s v="Clarence Fox"/>
    <x v="60"/>
    <n v="3"/>
    <x v="2"/>
    <x v="10"/>
    <x v="10"/>
    <x v="3"/>
    <x v="2"/>
  </r>
  <r>
    <s v="AX15455"/>
    <s v="ENX2092"/>
    <s v="A116"/>
    <s v="EMP1005"/>
    <s v="C1650"/>
    <x v="334"/>
    <n v="1"/>
    <n v="1639"/>
    <n v="1295"/>
    <n v="1295"/>
    <n v="1639"/>
    <n v="344"/>
    <s v="Product 93"/>
    <x v="15"/>
    <s v="Ryan Welch"/>
    <x v="645"/>
    <n v="3"/>
    <x v="2"/>
    <x v="10"/>
    <x v="10"/>
    <x v="3"/>
    <x v="2"/>
  </r>
  <r>
    <s v="AX15799"/>
    <s v="ENX2034"/>
    <s v="A124"/>
    <s v="EMP1008"/>
    <s v="C1196"/>
    <x v="334"/>
    <n v="2"/>
    <n v="871"/>
    <n v="540"/>
    <n v="1080"/>
    <n v="1742"/>
    <n v="662"/>
    <s v="Product 35"/>
    <x v="67"/>
    <s v="Carl Elliott"/>
    <x v="65"/>
    <n v="3"/>
    <x v="2"/>
    <x v="10"/>
    <x v="10"/>
    <x v="3"/>
    <x v="2"/>
  </r>
  <r>
    <s v="AX15804"/>
    <s v="ENX2100"/>
    <s v="A149"/>
    <s v="EMP1038"/>
    <s v="C1620"/>
    <x v="333"/>
    <n v="3"/>
    <n v="799"/>
    <n v="455"/>
    <n v="1365"/>
    <n v="2397"/>
    <n v="1032"/>
    <s v="Product 101"/>
    <x v="59"/>
    <s v="Scott Mason"/>
    <x v="445"/>
    <n v="3"/>
    <x v="2"/>
    <x v="10"/>
    <x v="10"/>
    <x v="3"/>
    <x v="2"/>
  </r>
  <r>
    <s v="AX16034"/>
    <s v="ENX2080"/>
    <s v="A147"/>
    <s v="EMP1036"/>
    <s v="C1266"/>
    <x v="332"/>
    <n v="1"/>
    <n v="2353"/>
    <n v="1788"/>
    <n v="1788"/>
    <n v="2353"/>
    <n v="565"/>
    <s v="Product 81"/>
    <x v="42"/>
    <s v="Robert Reed"/>
    <x v="254"/>
    <n v="3"/>
    <x v="2"/>
    <x v="10"/>
    <x v="10"/>
    <x v="3"/>
    <x v="2"/>
  </r>
  <r>
    <s v="AX16102"/>
    <s v="ENX2046"/>
    <s v="A153"/>
    <s v="EMP1002"/>
    <s v="C1368"/>
    <x v="332"/>
    <n v="3"/>
    <n v="2410"/>
    <n v="1518"/>
    <n v="4554"/>
    <n v="7230"/>
    <n v="2676"/>
    <s v="Product 47"/>
    <x v="8"/>
    <s v="Andrew Bowman"/>
    <x v="200"/>
    <n v="3"/>
    <x v="2"/>
    <x v="10"/>
    <x v="10"/>
    <x v="3"/>
    <x v="2"/>
  </r>
  <r>
    <s v="AX16634"/>
    <s v="ENX2023"/>
    <s v="A145"/>
    <s v="EMP1030"/>
    <s v="C1662"/>
    <x v="332"/>
    <n v="3"/>
    <n v="818"/>
    <n v="450"/>
    <n v="1350"/>
    <n v="2454"/>
    <n v="1104"/>
    <s v="Product 24"/>
    <x v="35"/>
    <s v="Bobby Russell"/>
    <x v="649"/>
    <n v="3"/>
    <x v="2"/>
    <x v="10"/>
    <x v="10"/>
    <x v="3"/>
    <x v="2"/>
  </r>
  <r>
    <s v="AX16708"/>
    <s v="ENX2050"/>
    <s v="A166"/>
    <s v="EMP1026"/>
    <s v="C1135"/>
    <x v="335"/>
    <n v="2"/>
    <n v="2391"/>
    <n v="1291"/>
    <n v="2582"/>
    <n v="4782"/>
    <n v="2200"/>
    <s v="Product 51"/>
    <x v="70"/>
    <s v="Martin Perry"/>
    <x v="669"/>
    <n v="3"/>
    <x v="2"/>
    <x v="10"/>
    <x v="10"/>
    <x v="3"/>
    <x v="2"/>
  </r>
  <r>
    <s v="AX16772"/>
    <s v="ENX2076"/>
    <s v="A112"/>
    <s v="EMP1012"/>
    <s v="C1761"/>
    <x v="335"/>
    <n v="2"/>
    <n v="1522"/>
    <n v="791"/>
    <n v="1582"/>
    <n v="3044"/>
    <n v="1462"/>
    <s v="Product 77"/>
    <x v="66"/>
    <s v="John Reyes"/>
    <x v="618"/>
    <n v="3"/>
    <x v="2"/>
    <x v="10"/>
    <x v="10"/>
    <x v="3"/>
    <x v="2"/>
  </r>
  <r>
    <s v="AX16783"/>
    <s v="ENX2061"/>
    <s v="A103"/>
    <s v="EMP1031"/>
    <s v="C1693"/>
    <x v="334"/>
    <n v="1"/>
    <n v="913"/>
    <n v="584"/>
    <n v="584"/>
    <n v="913"/>
    <n v="329"/>
    <s v="Product 62"/>
    <x v="61"/>
    <s v="Brian Thomas"/>
    <x v="724"/>
    <n v="3"/>
    <x v="2"/>
    <x v="10"/>
    <x v="10"/>
    <x v="3"/>
    <x v="2"/>
  </r>
  <r>
    <s v="AX16807"/>
    <s v="ENX2044"/>
    <s v="A158"/>
    <s v="EMP1011"/>
    <s v="C1452"/>
    <x v="332"/>
    <n v="1"/>
    <n v="886"/>
    <n v="478"/>
    <n v="478"/>
    <n v="886"/>
    <n v="408"/>
    <s v="Product 45"/>
    <x v="58"/>
    <s v="Larry Marshall"/>
    <x v="234"/>
    <n v="3"/>
    <x v="2"/>
    <x v="10"/>
    <x v="10"/>
    <x v="3"/>
    <x v="2"/>
  </r>
  <r>
    <s v="AX17078"/>
    <s v="ENX2028"/>
    <s v="A133"/>
    <s v="EMP1026"/>
    <s v="C1072"/>
    <x v="333"/>
    <n v="3"/>
    <n v="2283"/>
    <n v="1484"/>
    <n v="4452"/>
    <n v="6849"/>
    <n v="2397"/>
    <s v="Product 29"/>
    <x v="46"/>
    <s v="Martin Perry"/>
    <x v="529"/>
    <n v="3"/>
    <x v="2"/>
    <x v="10"/>
    <x v="10"/>
    <x v="3"/>
    <x v="2"/>
  </r>
  <r>
    <s v="AX17413"/>
    <s v="ENX2074"/>
    <s v="A169"/>
    <s v="EMP1012"/>
    <s v="C1341"/>
    <x v="333"/>
    <n v="2"/>
    <n v="504"/>
    <n v="408"/>
    <n v="816"/>
    <n v="1008"/>
    <n v="192"/>
    <s v="Product 75"/>
    <x v="17"/>
    <s v="John Reyes"/>
    <x v="750"/>
    <n v="3"/>
    <x v="2"/>
    <x v="10"/>
    <x v="10"/>
    <x v="3"/>
    <x v="2"/>
  </r>
  <r>
    <s v="AX17734"/>
    <s v="ENX2076"/>
    <s v="A108"/>
    <s v="EMP1013"/>
    <s v="C1159"/>
    <x v="333"/>
    <n v="1"/>
    <n v="1522"/>
    <n v="791"/>
    <n v="791"/>
    <n v="1522"/>
    <n v="731"/>
    <s v="Product 77"/>
    <x v="49"/>
    <s v="Charles Harper"/>
    <x v="793"/>
    <n v="3"/>
    <x v="2"/>
    <x v="10"/>
    <x v="10"/>
    <x v="3"/>
    <x v="2"/>
  </r>
  <r>
    <s v="AX18237"/>
    <s v="ENX2002"/>
    <s v="A104"/>
    <s v="EMP1029"/>
    <s v="C1090"/>
    <x v="332"/>
    <n v="1"/>
    <n v="847"/>
    <n v="534"/>
    <n v="534"/>
    <n v="847"/>
    <n v="313"/>
    <s v="Product 3"/>
    <x v="50"/>
    <s v="Howard Gardner"/>
    <x v="0"/>
    <n v="3"/>
    <x v="2"/>
    <x v="10"/>
    <x v="10"/>
    <x v="3"/>
    <x v="2"/>
  </r>
  <r>
    <s v="AX18533"/>
    <s v="ENX2087"/>
    <s v="A121"/>
    <s v="EMP1033"/>
    <s v="C1769"/>
    <x v="334"/>
    <n v="1"/>
    <n v="1022"/>
    <n v="818"/>
    <n v="818"/>
    <n v="1022"/>
    <n v="204"/>
    <s v="Product 88"/>
    <x v="72"/>
    <s v="Jerry Perry"/>
    <x v="269"/>
    <n v="3"/>
    <x v="2"/>
    <x v="10"/>
    <x v="10"/>
    <x v="3"/>
    <x v="2"/>
  </r>
  <r>
    <s v="AX18787"/>
    <s v="ENX2023"/>
    <s v="A167"/>
    <s v="EMP1031"/>
    <s v="C1600"/>
    <x v="334"/>
    <n v="1"/>
    <n v="818"/>
    <n v="450"/>
    <n v="450"/>
    <n v="818"/>
    <n v="368"/>
    <s v="Product 24"/>
    <x v="64"/>
    <s v="Brian Thomas"/>
    <x v="266"/>
    <n v="3"/>
    <x v="2"/>
    <x v="10"/>
    <x v="10"/>
    <x v="3"/>
    <x v="2"/>
  </r>
  <r>
    <s v="AX18816"/>
    <s v="ENX2071"/>
    <s v="A165"/>
    <s v="EMP1022"/>
    <s v="C1049"/>
    <x v="335"/>
    <n v="3"/>
    <n v="136"/>
    <n v="72"/>
    <n v="216"/>
    <n v="408"/>
    <n v="192"/>
    <s v="Product 72"/>
    <x v="55"/>
    <s v="Walter Cook"/>
    <x v="305"/>
    <n v="3"/>
    <x v="2"/>
    <x v="10"/>
    <x v="10"/>
    <x v="3"/>
    <x v="2"/>
  </r>
  <r>
    <s v="AX19569"/>
    <s v="ENX2043"/>
    <s v="A133"/>
    <s v="EMP1044"/>
    <s v="C1486"/>
    <x v="335"/>
    <n v="2"/>
    <n v="545"/>
    <n v="425"/>
    <n v="850"/>
    <n v="1090"/>
    <n v="240"/>
    <s v="Product 44"/>
    <x v="46"/>
    <s v="Martin Carr"/>
    <x v="357"/>
    <n v="3"/>
    <x v="2"/>
    <x v="10"/>
    <x v="10"/>
    <x v="3"/>
    <x v="2"/>
  </r>
  <r>
    <s v="AX20023"/>
    <s v="ENX2093"/>
    <s v="A155"/>
    <s v="EMP1037"/>
    <s v="C1662"/>
    <x v="334"/>
    <n v="2"/>
    <n v="112"/>
    <n v="90"/>
    <n v="180"/>
    <n v="224"/>
    <n v="44"/>
    <s v="Product 94"/>
    <x v="53"/>
    <s v="Carl Hall"/>
    <x v="649"/>
    <n v="3"/>
    <x v="2"/>
    <x v="10"/>
    <x v="10"/>
    <x v="3"/>
    <x v="2"/>
  </r>
  <r>
    <s v="AX20584"/>
    <s v="ENX2039"/>
    <s v="A145"/>
    <s v="EMP1029"/>
    <s v="C1246"/>
    <x v="335"/>
    <n v="4"/>
    <n v="817"/>
    <n v="409"/>
    <n v="1636"/>
    <n v="3268"/>
    <n v="1632"/>
    <s v="Product 40"/>
    <x v="35"/>
    <s v="Howard Gardner"/>
    <x v="665"/>
    <n v="3"/>
    <x v="2"/>
    <x v="10"/>
    <x v="10"/>
    <x v="3"/>
    <x v="2"/>
  </r>
  <r>
    <s v="AX20715"/>
    <s v="ENX2080"/>
    <s v="A112"/>
    <s v="EMP1030"/>
    <s v="C1201"/>
    <x v="334"/>
    <n v="1"/>
    <n v="2353"/>
    <n v="1788"/>
    <n v="1788"/>
    <n v="2353"/>
    <n v="565"/>
    <s v="Product 81"/>
    <x v="66"/>
    <s v="Bobby Russell"/>
    <x v="760"/>
    <n v="3"/>
    <x v="2"/>
    <x v="10"/>
    <x v="10"/>
    <x v="3"/>
    <x v="2"/>
  </r>
  <r>
    <s v="AX20806"/>
    <s v="ENX2026"/>
    <s v="A155"/>
    <s v="EMP1039"/>
    <s v="C1491"/>
    <x v="335"/>
    <n v="3"/>
    <n v="947"/>
    <n v="786"/>
    <n v="2358"/>
    <n v="2841"/>
    <n v="483"/>
    <s v="Product 27"/>
    <x v="53"/>
    <s v="Eugene Holmes"/>
    <x v="277"/>
    <n v="3"/>
    <x v="2"/>
    <x v="10"/>
    <x v="10"/>
    <x v="3"/>
    <x v="2"/>
  </r>
  <r>
    <s v="AX20985"/>
    <s v="ENX2094"/>
    <s v="A159"/>
    <s v="EMP1003"/>
    <s v="C1756"/>
    <x v="332"/>
    <n v="2"/>
    <n v="771"/>
    <n v="648"/>
    <n v="1296"/>
    <n v="1542"/>
    <n v="246"/>
    <s v="Product 95"/>
    <x v="13"/>
    <s v="Christopher Tucker"/>
    <x v="371"/>
    <n v="3"/>
    <x v="2"/>
    <x v="10"/>
    <x v="10"/>
    <x v="3"/>
    <x v="2"/>
  </r>
  <r>
    <s v="AX21078"/>
    <s v="ENX2045"/>
    <s v="A108"/>
    <s v="EMP1034"/>
    <s v="C1273"/>
    <x v="335"/>
    <n v="3"/>
    <n v="556"/>
    <n v="395"/>
    <n v="1185"/>
    <n v="1668"/>
    <n v="483"/>
    <s v="Product 46"/>
    <x v="49"/>
    <s v="Arthur Mccoy"/>
    <x v="469"/>
    <n v="3"/>
    <x v="2"/>
    <x v="10"/>
    <x v="10"/>
    <x v="3"/>
    <x v="2"/>
  </r>
  <r>
    <s v="AX21119"/>
    <s v="ENX2085"/>
    <s v="A168"/>
    <s v="EMP1001"/>
    <s v="C1442"/>
    <x v="334"/>
    <n v="1"/>
    <n v="1862"/>
    <n v="1173"/>
    <n v="1173"/>
    <n v="1862"/>
    <n v="689"/>
    <s v="Product 86"/>
    <x v="40"/>
    <s v="Kevin Butler"/>
    <x v="299"/>
    <n v="3"/>
    <x v="2"/>
    <x v="10"/>
    <x v="10"/>
    <x v="3"/>
    <x v="2"/>
  </r>
  <r>
    <s v="AX21162"/>
    <s v="ENX2026"/>
    <s v="A100"/>
    <s v="EMP1019"/>
    <s v="C1246"/>
    <x v="334"/>
    <n v="1"/>
    <n v="947"/>
    <n v="786"/>
    <n v="786"/>
    <n v="947"/>
    <n v="161"/>
    <s v="Product 27"/>
    <x v="52"/>
    <s v="Roger Robertson"/>
    <x v="665"/>
    <n v="3"/>
    <x v="2"/>
    <x v="10"/>
    <x v="10"/>
    <x v="3"/>
    <x v="2"/>
  </r>
  <r>
    <s v="AX21272"/>
    <s v="ENX2057"/>
    <s v="A168"/>
    <s v="EMP1004"/>
    <s v="C1542"/>
    <x v="334"/>
    <n v="4"/>
    <n v="181"/>
    <n v="130"/>
    <n v="520"/>
    <n v="724"/>
    <n v="204"/>
    <s v="Product 58"/>
    <x v="40"/>
    <s v="Kenneth Bradley"/>
    <x v="712"/>
    <n v="3"/>
    <x v="2"/>
    <x v="10"/>
    <x v="10"/>
    <x v="3"/>
    <x v="2"/>
  </r>
  <r>
    <s v="AX21311"/>
    <s v="ENX2039"/>
    <s v="A124"/>
    <s v="EMP1027"/>
    <s v="C1410"/>
    <x v="332"/>
    <n v="4"/>
    <n v="817"/>
    <n v="409"/>
    <n v="1636"/>
    <n v="3268"/>
    <n v="1632"/>
    <s v="Product 40"/>
    <x v="67"/>
    <s v="Gary Rodriguez"/>
    <x v="112"/>
    <n v="3"/>
    <x v="2"/>
    <x v="10"/>
    <x v="10"/>
    <x v="3"/>
    <x v="2"/>
  </r>
  <r>
    <s v="AX21974"/>
    <s v="ENX2012"/>
    <s v="A168"/>
    <s v="EMP1021"/>
    <s v="C1693"/>
    <x v="333"/>
    <n v="3"/>
    <n v="1353"/>
    <n v="947"/>
    <n v="2841"/>
    <n v="4059"/>
    <n v="1218"/>
    <s v="Product 13"/>
    <x v="40"/>
    <s v="Clarence Fox"/>
    <x v="724"/>
    <n v="3"/>
    <x v="2"/>
    <x v="10"/>
    <x v="10"/>
    <x v="3"/>
    <x v="2"/>
  </r>
  <r>
    <s v="AX22018"/>
    <s v="ENX2027"/>
    <s v="A165"/>
    <s v="EMP1015"/>
    <s v="C1665"/>
    <x v="333"/>
    <n v="1"/>
    <n v="2497"/>
    <n v="1473"/>
    <n v="1473"/>
    <n v="2497"/>
    <n v="1024"/>
    <s v="Product 28"/>
    <x v="55"/>
    <s v="Justin Lynch"/>
    <x v="615"/>
    <n v="3"/>
    <x v="2"/>
    <x v="10"/>
    <x v="10"/>
    <x v="3"/>
    <x v="2"/>
  </r>
  <r>
    <s v="AX22206"/>
    <s v="ENX2021"/>
    <s v="A171"/>
    <s v="EMP1010"/>
    <s v="C1488"/>
    <x v="334"/>
    <n v="1"/>
    <n v="217"/>
    <n v="171"/>
    <n v="171"/>
    <n v="217"/>
    <n v="46"/>
    <s v="Product 22"/>
    <x v="0"/>
    <s v="Joshua Cook"/>
    <x v="763"/>
    <n v="3"/>
    <x v="2"/>
    <x v="10"/>
    <x v="10"/>
    <x v="3"/>
    <x v="2"/>
  </r>
  <r>
    <s v="AX22362"/>
    <s v="ENX2021"/>
    <s v="A154"/>
    <s v="EMP1015"/>
    <s v="C1191"/>
    <x v="333"/>
    <n v="3"/>
    <n v="217"/>
    <n v="171"/>
    <n v="513"/>
    <n v="651"/>
    <n v="138"/>
    <s v="Product 22"/>
    <x v="24"/>
    <s v="Justin Lynch"/>
    <x v="739"/>
    <n v="3"/>
    <x v="2"/>
    <x v="10"/>
    <x v="10"/>
    <x v="3"/>
    <x v="2"/>
  </r>
  <r>
    <s v="AX22514"/>
    <s v="ENX2094"/>
    <s v="A163"/>
    <s v="EMP1013"/>
    <s v="C1651"/>
    <x v="332"/>
    <n v="2"/>
    <n v="771"/>
    <n v="648"/>
    <n v="1296"/>
    <n v="1542"/>
    <n v="246"/>
    <s v="Product 95"/>
    <x v="51"/>
    <s v="Charles Harper"/>
    <x v="660"/>
    <n v="3"/>
    <x v="2"/>
    <x v="10"/>
    <x v="10"/>
    <x v="3"/>
    <x v="2"/>
  </r>
  <r>
    <s v="AX22874"/>
    <s v="ENX2040"/>
    <s v="A153"/>
    <s v="EMP1001"/>
    <s v="C1561"/>
    <x v="332"/>
    <n v="2"/>
    <n v="1889"/>
    <n v="945"/>
    <n v="1890"/>
    <n v="3778"/>
    <n v="1888"/>
    <s v="Product 41"/>
    <x v="8"/>
    <s v="Kevin Butler"/>
    <x v="114"/>
    <n v="3"/>
    <x v="2"/>
    <x v="10"/>
    <x v="10"/>
    <x v="3"/>
    <x v="2"/>
  </r>
  <r>
    <s v="AX22895"/>
    <s v="ENX2016"/>
    <s v="A148"/>
    <s v="EMP1041"/>
    <s v="C1707"/>
    <x v="332"/>
    <n v="1"/>
    <n v="1351"/>
    <n v="1108"/>
    <n v="1108"/>
    <n v="1351"/>
    <n v="243"/>
    <s v="Product 17"/>
    <x v="62"/>
    <s v="Joe Sims"/>
    <x v="192"/>
    <n v="3"/>
    <x v="2"/>
    <x v="10"/>
    <x v="10"/>
    <x v="3"/>
    <x v="2"/>
  </r>
  <r>
    <s v="AX22935"/>
    <s v="ENX2003"/>
    <s v="A151"/>
    <s v="EMP1007"/>
    <s v="C1264"/>
    <x v="334"/>
    <n v="2"/>
    <n v="1783"/>
    <n v="1516"/>
    <n v="3032"/>
    <n v="3566"/>
    <n v="534"/>
    <s v="Product 4"/>
    <x v="1"/>
    <s v="Jeremy Mendoza"/>
    <x v="206"/>
    <n v="3"/>
    <x v="2"/>
    <x v="10"/>
    <x v="10"/>
    <x v="3"/>
    <x v="2"/>
  </r>
  <r>
    <s v="AX23127"/>
    <s v="ENX2091"/>
    <s v="A153"/>
    <s v="EMP1005"/>
    <s v="C1307"/>
    <x v="333"/>
    <n v="1"/>
    <n v="368"/>
    <n v="294"/>
    <n v="294"/>
    <n v="368"/>
    <n v="74"/>
    <s v="Product 92"/>
    <x v="8"/>
    <s v="Ryan Welch"/>
    <x v="416"/>
    <n v="3"/>
    <x v="2"/>
    <x v="10"/>
    <x v="10"/>
    <x v="3"/>
    <x v="2"/>
  </r>
  <r>
    <s v="AX23374"/>
    <s v="ENX2064"/>
    <s v="A148"/>
    <s v="EMP1036"/>
    <s v="C1074"/>
    <x v="333"/>
    <n v="1"/>
    <n v="1414"/>
    <n v="962"/>
    <n v="962"/>
    <n v="1414"/>
    <n v="452"/>
    <s v="Product 65"/>
    <x v="62"/>
    <s v="Robert Reed"/>
    <x v="96"/>
    <n v="3"/>
    <x v="2"/>
    <x v="10"/>
    <x v="10"/>
    <x v="3"/>
    <x v="2"/>
  </r>
  <r>
    <s v="AX23473"/>
    <s v="ENX2027"/>
    <s v="A150"/>
    <s v="EMP1023"/>
    <s v="C1658"/>
    <x v="332"/>
    <n v="4"/>
    <n v="2497"/>
    <n v="1473"/>
    <n v="5892"/>
    <n v="9988"/>
    <n v="4096"/>
    <s v="Product 28"/>
    <x v="30"/>
    <s v="Brian Davis"/>
    <x v="612"/>
    <n v="3"/>
    <x v="2"/>
    <x v="10"/>
    <x v="10"/>
    <x v="3"/>
    <x v="2"/>
  </r>
  <r>
    <s v="AX23601"/>
    <s v="ENX2095"/>
    <s v="A150"/>
    <s v="EMP1029"/>
    <s v="C1038"/>
    <x v="334"/>
    <n v="1"/>
    <n v="1743"/>
    <n v="872"/>
    <n v="872"/>
    <n v="1743"/>
    <n v="871"/>
    <s v="Product 96"/>
    <x v="30"/>
    <s v="Howard Gardner"/>
    <x v="545"/>
    <n v="3"/>
    <x v="2"/>
    <x v="10"/>
    <x v="10"/>
    <x v="3"/>
    <x v="2"/>
  </r>
  <r>
    <s v="AX23751"/>
    <s v="ENX2059"/>
    <s v="A114"/>
    <s v="EMP1044"/>
    <s v="C1253"/>
    <x v="332"/>
    <n v="2"/>
    <n v="1494"/>
    <n v="971"/>
    <n v="1942"/>
    <n v="2988"/>
    <n v="1046"/>
    <s v="Product 60"/>
    <x v="28"/>
    <s v="Martin Carr"/>
    <x v="209"/>
    <n v="3"/>
    <x v="2"/>
    <x v="10"/>
    <x v="10"/>
    <x v="3"/>
    <x v="2"/>
  </r>
  <r>
    <s v="AX23835"/>
    <s v="ENX2033"/>
    <s v="A168"/>
    <s v="EMP1040"/>
    <s v="C1052"/>
    <x v="333"/>
    <n v="3"/>
    <n v="2182"/>
    <n v="1200"/>
    <n v="3600"/>
    <n v="6546"/>
    <n v="2946"/>
    <s v="Product 34"/>
    <x v="40"/>
    <s v="Patrick Ruiz"/>
    <x v="638"/>
    <n v="3"/>
    <x v="2"/>
    <x v="10"/>
    <x v="10"/>
    <x v="3"/>
    <x v="2"/>
  </r>
  <r>
    <s v="AX24144"/>
    <s v="ENX2094"/>
    <s v="A104"/>
    <s v="EMP1043"/>
    <s v="C1712"/>
    <x v="332"/>
    <n v="4"/>
    <n v="771"/>
    <n v="648"/>
    <n v="2592"/>
    <n v="3084"/>
    <n v="492"/>
    <s v="Product 95"/>
    <x v="50"/>
    <s v="Joshua Taylor"/>
    <x v="21"/>
    <n v="3"/>
    <x v="2"/>
    <x v="10"/>
    <x v="10"/>
    <x v="3"/>
    <x v="2"/>
  </r>
  <r>
    <s v="AX24208"/>
    <s v="ENX2010"/>
    <s v="A129"/>
    <s v="EMP1022"/>
    <s v="C1522"/>
    <x v="333"/>
    <n v="3"/>
    <n v="1812"/>
    <n v="1305"/>
    <n v="3915"/>
    <n v="5436"/>
    <n v="1521"/>
    <s v="Product 11"/>
    <x v="22"/>
    <s v="Walter Cook"/>
    <x v="121"/>
    <n v="3"/>
    <x v="2"/>
    <x v="10"/>
    <x v="10"/>
    <x v="3"/>
    <x v="2"/>
  </r>
  <r>
    <s v="AX24502"/>
    <s v="ENX2057"/>
    <s v="A171"/>
    <s v="EMP1028"/>
    <s v="C1258"/>
    <x v="335"/>
    <n v="3"/>
    <n v="181"/>
    <n v="130"/>
    <n v="390"/>
    <n v="543"/>
    <n v="153"/>
    <s v="Product 58"/>
    <x v="0"/>
    <s v="Howard Sims"/>
    <x v="644"/>
    <n v="3"/>
    <x v="2"/>
    <x v="10"/>
    <x v="10"/>
    <x v="3"/>
    <x v="2"/>
  </r>
  <r>
    <s v="AX24730"/>
    <s v="ENX2064"/>
    <s v="A148"/>
    <s v="EMP1010"/>
    <s v="C1147"/>
    <x v="332"/>
    <n v="2"/>
    <n v="1414"/>
    <n v="962"/>
    <n v="1924"/>
    <n v="2828"/>
    <n v="904"/>
    <s v="Product 65"/>
    <x v="62"/>
    <s v="Joshua Cook"/>
    <x v="427"/>
    <n v="3"/>
    <x v="2"/>
    <x v="10"/>
    <x v="10"/>
    <x v="3"/>
    <x v="2"/>
  </r>
  <r>
    <s v="AX24840"/>
    <s v="ENX2036"/>
    <s v="A162"/>
    <s v="EMP1006"/>
    <s v="C1078"/>
    <x v="333"/>
    <n v="1"/>
    <n v="1582"/>
    <n v="1234"/>
    <n v="1234"/>
    <n v="1582"/>
    <n v="348"/>
    <s v="Product 37"/>
    <x v="2"/>
    <s v="Sean Miller"/>
    <x v="565"/>
    <n v="3"/>
    <x v="2"/>
    <x v="10"/>
    <x v="10"/>
    <x v="3"/>
    <x v="2"/>
  </r>
  <r>
    <s v="AX10392"/>
    <s v="ENX2090"/>
    <s v="A155"/>
    <s v="EMP1038"/>
    <s v="C1084"/>
    <x v="336"/>
    <n v="1"/>
    <n v="1338"/>
    <n v="682"/>
    <n v="682"/>
    <n v="1338"/>
    <n v="656"/>
    <s v="Product 91"/>
    <x v="53"/>
    <s v="Scott Mason"/>
    <x v="631"/>
    <n v="3"/>
    <x v="2"/>
    <x v="11"/>
    <x v="11"/>
    <x v="3"/>
    <x v="0"/>
  </r>
  <r>
    <s v="AX10619"/>
    <s v="ENX2098"/>
    <s v="A121"/>
    <s v="EMP1038"/>
    <s v="C1247"/>
    <x v="336"/>
    <n v="2"/>
    <n v="1178"/>
    <n v="683"/>
    <n v="1366"/>
    <n v="2356"/>
    <n v="990"/>
    <s v="Product 99"/>
    <x v="72"/>
    <s v="Scott Mason"/>
    <x v="552"/>
    <n v="3"/>
    <x v="2"/>
    <x v="11"/>
    <x v="11"/>
    <x v="3"/>
    <x v="0"/>
  </r>
  <r>
    <s v="AX10877"/>
    <s v="ENX2063"/>
    <s v="A166"/>
    <s v="EMP1022"/>
    <s v="C1515"/>
    <x v="336"/>
    <n v="1"/>
    <n v="1708"/>
    <n v="871"/>
    <n v="871"/>
    <n v="1708"/>
    <n v="837"/>
    <s v="Product 64"/>
    <x v="70"/>
    <s v="Walter Cook"/>
    <x v="570"/>
    <n v="3"/>
    <x v="2"/>
    <x v="11"/>
    <x v="11"/>
    <x v="3"/>
    <x v="0"/>
  </r>
  <r>
    <s v="AX10934"/>
    <s v="ENX2013"/>
    <s v="A115"/>
    <s v="EMP1034"/>
    <s v="C1704"/>
    <x v="337"/>
    <n v="1"/>
    <n v="368"/>
    <n v="269"/>
    <n v="269"/>
    <n v="368"/>
    <n v="99"/>
    <s v="Product 14"/>
    <x v="33"/>
    <s v="Arthur Mccoy"/>
    <x v="28"/>
    <n v="3"/>
    <x v="2"/>
    <x v="11"/>
    <x v="11"/>
    <x v="3"/>
    <x v="0"/>
  </r>
  <r>
    <s v="AX11216"/>
    <s v="ENX2090"/>
    <s v="A118"/>
    <s v="EMP1043"/>
    <s v="C1454"/>
    <x v="338"/>
    <n v="2"/>
    <n v="1338"/>
    <n v="682"/>
    <n v="1364"/>
    <n v="2676"/>
    <n v="1312"/>
    <s v="Product 91"/>
    <x v="19"/>
    <s v="Joshua Taylor"/>
    <x v="68"/>
    <n v="3"/>
    <x v="2"/>
    <x v="11"/>
    <x v="11"/>
    <x v="3"/>
    <x v="0"/>
  </r>
  <r>
    <s v="AX11248"/>
    <s v="ENX2064"/>
    <s v="A171"/>
    <s v="EMP1008"/>
    <s v="C1082"/>
    <x v="336"/>
    <n v="3"/>
    <n v="1414"/>
    <n v="962"/>
    <n v="2886"/>
    <n v="4242"/>
    <n v="1356"/>
    <s v="Product 65"/>
    <x v="0"/>
    <s v="Carl Elliott"/>
    <x v="145"/>
    <n v="3"/>
    <x v="2"/>
    <x v="11"/>
    <x v="11"/>
    <x v="3"/>
    <x v="0"/>
  </r>
  <r>
    <s v="AX11777"/>
    <s v="ENX2090"/>
    <s v="A106"/>
    <s v="EMP1014"/>
    <s v="C1412"/>
    <x v="337"/>
    <n v="1"/>
    <n v="1338"/>
    <n v="682"/>
    <n v="682"/>
    <n v="1338"/>
    <n v="656"/>
    <s v="Product 91"/>
    <x v="11"/>
    <s v="Ronald Reed"/>
    <x v="460"/>
    <n v="3"/>
    <x v="2"/>
    <x v="11"/>
    <x v="11"/>
    <x v="3"/>
    <x v="0"/>
  </r>
  <r>
    <s v="AX12274"/>
    <s v="ENX2048"/>
    <s v="A168"/>
    <s v="EMP1042"/>
    <s v="C1058"/>
    <x v="338"/>
    <n v="1"/>
    <n v="502"/>
    <n v="296"/>
    <n v="296"/>
    <n v="502"/>
    <n v="206"/>
    <s v="Product 49"/>
    <x v="40"/>
    <s v="Scott Clark"/>
    <x v="611"/>
    <n v="3"/>
    <x v="2"/>
    <x v="11"/>
    <x v="11"/>
    <x v="3"/>
    <x v="0"/>
  </r>
  <r>
    <s v="AX13239"/>
    <s v="ENX2031"/>
    <s v="A128"/>
    <s v="EMP1033"/>
    <s v="C1032"/>
    <x v="337"/>
    <n v="1"/>
    <n v="1638"/>
    <n v="1261"/>
    <n v="1261"/>
    <n v="1638"/>
    <n v="377"/>
    <s v="Product 32"/>
    <x v="12"/>
    <s v="Jerry Perry"/>
    <x v="270"/>
    <n v="3"/>
    <x v="2"/>
    <x v="11"/>
    <x v="11"/>
    <x v="3"/>
    <x v="0"/>
  </r>
  <r>
    <s v="AX13244"/>
    <s v="ENX2010"/>
    <s v="A153"/>
    <s v="EMP1000"/>
    <s v="C1673"/>
    <x v="338"/>
    <n v="1"/>
    <n v="1812"/>
    <n v="1305"/>
    <n v="1305"/>
    <n v="1812"/>
    <n v="507"/>
    <s v="Product 11"/>
    <x v="8"/>
    <s v="Fred Robertson"/>
    <x v="87"/>
    <n v="3"/>
    <x v="2"/>
    <x v="11"/>
    <x v="11"/>
    <x v="3"/>
    <x v="0"/>
  </r>
  <r>
    <s v="AX13252"/>
    <s v="ENX2081"/>
    <s v="A159"/>
    <s v="EMP1022"/>
    <s v="C1540"/>
    <x v="339"/>
    <n v="1"/>
    <n v="1566"/>
    <n v="1190"/>
    <n v="1190"/>
    <n v="1566"/>
    <n v="376"/>
    <s v="Product 82"/>
    <x v="13"/>
    <s v="Walter Cook"/>
    <x v="493"/>
    <n v="3"/>
    <x v="2"/>
    <x v="11"/>
    <x v="11"/>
    <x v="3"/>
    <x v="0"/>
  </r>
  <r>
    <s v="AX13374"/>
    <s v="ENX2080"/>
    <s v="A143"/>
    <s v="EMP1002"/>
    <s v="C1252"/>
    <x v="339"/>
    <n v="2"/>
    <n v="2353"/>
    <n v="1788"/>
    <n v="3576"/>
    <n v="4706"/>
    <n v="1130"/>
    <s v="Product 81"/>
    <x v="39"/>
    <s v="Andrew Bowman"/>
    <x v="358"/>
    <n v="3"/>
    <x v="2"/>
    <x v="11"/>
    <x v="11"/>
    <x v="3"/>
    <x v="0"/>
  </r>
  <r>
    <s v="AX13616"/>
    <s v="ENX2040"/>
    <s v="A115"/>
    <s v="EMP1002"/>
    <s v="C1477"/>
    <x v="339"/>
    <n v="4"/>
    <n v="1889"/>
    <n v="945"/>
    <n v="3780"/>
    <n v="7556"/>
    <n v="3776"/>
    <s v="Product 41"/>
    <x v="33"/>
    <s v="Andrew Bowman"/>
    <x v="408"/>
    <n v="3"/>
    <x v="2"/>
    <x v="11"/>
    <x v="11"/>
    <x v="3"/>
    <x v="0"/>
  </r>
  <r>
    <s v="AX13697"/>
    <s v="ENX2094"/>
    <s v="A116"/>
    <s v="EMP1037"/>
    <s v="C1470"/>
    <x v="337"/>
    <n v="4"/>
    <n v="771"/>
    <n v="648"/>
    <n v="2592"/>
    <n v="3084"/>
    <n v="492"/>
    <s v="Product 95"/>
    <x v="15"/>
    <s v="Carl Hall"/>
    <x v="621"/>
    <n v="3"/>
    <x v="2"/>
    <x v="11"/>
    <x v="11"/>
    <x v="3"/>
    <x v="0"/>
  </r>
  <r>
    <s v="AX13772"/>
    <s v="ENX2099"/>
    <s v="A136"/>
    <s v="EMP1009"/>
    <s v="C1500"/>
    <x v="336"/>
    <n v="3"/>
    <n v="1367"/>
    <n v="984"/>
    <n v="2952"/>
    <n v="4101"/>
    <n v="1149"/>
    <s v="Product 100"/>
    <x v="43"/>
    <s v="Kenneth Fields"/>
    <x v="639"/>
    <n v="3"/>
    <x v="2"/>
    <x v="11"/>
    <x v="11"/>
    <x v="3"/>
    <x v="0"/>
  </r>
  <r>
    <s v="AX13998"/>
    <s v="ENX2020"/>
    <s v="A127"/>
    <s v="EMP1014"/>
    <s v="C1374"/>
    <x v="339"/>
    <n v="1"/>
    <n v="2005"/>
    <n v="1223"/>
    <n v="1223"/>
    <n v="2005"/>
    <n v="782"/>
    <s v="Product 21"/>
    <x v="69"/>
    <s v="Ronald Reed"/>
    <x v="189"/>
    <n v="3"/>
    <x v="2"/>
    <x v="11"/>
    <x v="11"/>
    <x v="3"/>
    <x v="0"/>
  </r>
  <r>
    <s v="AX14054"/>
    <s v="ENX2048"/>
    <s v="A117"/>
    <s v="EMP1000"/>
    <s v="C1568"/>
    <x v="340"/>
    <n v="4"/>
    <n v="502"/>
    <n v="296"/>
    <n v="1184"/>
    <n v="2008"/>
    <n v="824"/>
    <s v="Product 49"/>
    <x v="29"/>
    <s v="Fred Robertson"/>
    <x v="551"/>
    <n v="3"/>
    <x v="2"/>
    <x v="11"/>
    <x v="11"/>
    <x v="3"/>
    <x v="0"/>
  </r>
  <r>
    <s v="AX14055"/>
    <s v="ENX2098"/>
    <s v="A141"/>
    <s v="EMP1006"/>
    <s v="C1724"/>
    <x v="336"/>
    <n v="4"/>
    <n v="1178"/>
    <n v="683"/>
    <n v="2732"/>
    <n v="4712"/>
    <n v="1980"/>
    <s v="Product 99"/>
    <x v="23"/>
    <s v="Sean Miller"/>
    <x v="378"/>
    <n v="3"/>
    <x v="2"/>
    <x v="11"/>
    <x v="11"/>
    <x v="3"/>
    <x v="0"/>
  </r>
  <r>
    <s v="AX14108"/>
    <s v="ENX2010"/>
    <s v="A111"/>
    <s v="EMP1024"/>
    <s v="C1365"/>
    <x v="340"/>
    <n v="1"/>
    <n v="1812"/>
    <n v="1305"/>
    <n v="1305"/>
    <n v="1812"/>
    <n v="507"/>
    <s v="Product 11"/>
    <x v="54"/>
    <s v="Ernest Wheeler"/>
    <x v="450"/>
    <n v="3"/>
    <x v="2"/>
    <x v="11"/>
    <x v="11"/>
    <x v="3"/>
    <x v="0"/>
  </r>
  <r>
    <s v="AX14133"/>
    <s v="ENX2054"/>
    <s v="A164"/>
    <s v="EMP1004"/>
    <s v="C1419"/>
    <x v="337"/>
    <n v="3"/>
    <n v="127"/>
    <n v="79"/>
    <n v="237"/>
    <n v="381"/>
    <n v="144"/>
    <s v="Product 55"/>
    <x v="3"/>
    <s v="Kenneth Bradley"/>
    <x v="163"/>
    <n v="3"/>
    <x v="2"/>
    <x v="11"/>
    <x v="11"/>
    <x v="3"/>
    <x v="0"/>
  </r>
  <r>
    <s v="AX14137"/>
    <s v="ENX2023"/>
    <s v="A162"/>
    <s v="EMP1030"/>
    <s v="C1620"/>
    <x v="339"/>
    <n v="1"/>
    <n v="818"/>
    <n v="450"/>
    <n v="450"/>
    <n v="818"/>
    <n v="368"/>
    <s v="Product 24"/>
    <x v="2"/>
    <s v="Bobby Russell"/>
    <x v="445"/>
    <n v="3"/>
    <x v="2"/>
    <x v="11"/>
    <x v="11"/>
    <x v="3"/>
    <x v="0"/>
  </r>
  <r>
    <s v="AX14545"/>
    <s v="ENX2083"/>
    <s v="A154"/>
    <s v="EMP1020"/>
    <s v="C1697"/>
    <x v="336"/>
    <n v="1"/>
    <n v="2141"/>
    <n v="1777"/>
    <n v="1777"/>
    <n v="2141"/>
    <n v="364"/>
    <s v="Product 84"/>
    <x v="24"/>
    <s v="Ryan Butler"/>
    <x v="589"/>
    <n v="3"/>
    <x v="2"/>
    <x v="11"/>
    <x v="11"/>
    <x v="3"/>
    <x v="0"/>
  </r>
  <r>
    <s v="AX14591"/>
    <s v="ENX2044"/>
    <s v="A146"/>
    <s v="EMP1026"/>
    <s v="C1469"/>
    <x v="336"/>
    <n v="3"/>
    <n v="886"/>
    <n v="478"/>
    <n v="1434"/>
    <n v="2658"/>
    <n v="1224"/>
    <s v="Product 45"/>
    <x v="27"/>
    <s v="Martin Perry"/>
    <x v="300"/>
    <n v="3"/>
    <x v="2"/>
    <x v="11"/>
    <x v="11"/>
    <x v="3"/>
    <x v="0"/>
  </r>
  <r>
    <s v="AX14897"/>
    <s v="ENX2041"/>
    <s v="A118"/>
    <s v="EMP1032"/>
    <s v="C1530"/>
    <x v="339"/>
    <n v="2"/>
    <n v="1380"/>
    <n v="1090"/>
    <n v="2180"/>
    <n v="2760"/>
    <n v="580"/>
    <s v="Product 42"/>
    <x v="19"/>
    <s v="Larry Castillo"/>
    <x v="224"/>
    <n v="3"/>
    <x v="2"/>
    <x v="11"/>
    <x v="11"/>
    <x v="3"/>
    <x v="0"/>
  </r>
  <r>
    <s v="AX14912"/>
    <s v="ENX2087"/>
    <s v="A148"/>
    <s v="EMP1001"/>
    <s v="C1301"/>
    <x v="340"/>
    <n v="4"/>
    <n v="1022"/>
    <n v="818"/>
    <n v="3272"/>
    <n v="4088"/>
    <n v="816"/>
    <s v="Product 88"/>
    <x v="62"/>
    <s v="Kevin Butler"/>
    <x v="231"/>
    <n v="3"/>
    <x v="2"/>
    <x v="11"/>
    <x v="11"/>
    <x v="3"/>
    <x v="0"/>
  </r>
  <r>
    <s v="AX15021"/>
    <s v="ENX2013"/>
    <s v="A160"/>
    <s v="EMP1029"/>
    <s v="C1708"/>
    <x v="340"/>
    <n v="1"/>
    <n v="368"/>
    <n v="269"/>
    <n v="269"/>
    <n v="368"/>
    <n v="99"/>
    <s v="Product 14"/>
    <x v="9"/>
    <s v="Howard Gardner"/>
    <x v="579"/>
    <n v="3"/>
    <x v="2"/>
    <x v="11"/>
    <x v="11"/>
    <x v="3"/>
    <x v="0"/>
  </r>
  <r>
    <s v="AX15146"/>
    <s v="ENX2051"/>
    <s v="A158"/>
    <s v="EMP1038"/>
    <s v="C1611"/>
    <x v="336"/>
    <n v="3"/>
    <n v="1077"/>
    <n v="732"/>
    <n v="2196"/>
    <n v="3231"/>
    <n v="1035"/>
    <s v="Product 52"/>
    <x v="58"/>
    <s v="Scott Mason"/>
    <x v="306"/>
    <n v="3"/>
    <x v="2"/>
    <x v="11"/>
    <x v="11"/>
    <x v="3"/>
    <x v="0"/>
  </r>
  <r>
    <s v="AX15277"/>
    <s v="ENX2017"/>
    <s v="A166"/>
    <s v="EMP1016"/>
    <s v="C1647"/>
    <x v="339"/>
    <n v="1"/>
    <n v="35"/>
    <n v="22"/>
    <n v="22"/>
    <n v="35"/>
    <n v="13"/>
    <s v="Product 18"/>
    <x v="70"/>
    <s v="Henry Nelson"/>
    <x v="318"/>
    <n v="3"/>
    <x v="2"/>
    <x v="11"/>
    <x v="11"/>
    <x v="3"/>
    <x v="0"/>
  </r>
  <r>
    <s v="AX15814"/>
    <s v="ENX2032"/>
    <s v="A159"/>
    <s v="EMP1019"/>
    <s v="C1009"/>
    <x v="336"/>
    <n v="3"/>
    <n v="1967"/>
    <n v="1397"/>
    <n v="4191"/>
    <n v="5901"/>
    <n v="1710"/>
    <s v="Product 33"/>
    <x v="13"/>
    <s v="Roger Robertson"/>
    <x v="458"/>
    <n v="3"/>
    <x v="2"/>
    <x v="11"/>
    <x v="11"/>
    <x v="3"/>
    <x v="0"/>
  </r>
  <r>
    <s v="AX15825"/>
    <s v="ENX2010"/>
    <s v="A102"/>
    <s v="EMP1018"/>
    <s v="C1696"/>
    <x v="338"/>
    <n v="2"/>
    <n v="1812"/>
    <n v="1305"/>
    <n v="2610"/>
    <n v="3624"/>
    <n v="1014"/>
    <s v="Product 11"/>
    <x v="44"/>
    <s v="Jimmy Young"/>
    <x v="436"/>
    <n v="3"/>
    <x v="2"/>
    <x v="11"/>
    <x v="11"/>
    <x v="3"/>
    <x v="0"/>
  </r>
  <r>
    <s v="AX15933"/>
    <s v="ENX2034"/>
    <s v="A158"/>
    <s v="EMP1021"/>
    <s v="C1289"/>
    <x v="338"/>
    <n v="1"/>
    <n v="871"/>
    <n v="540"/>
    <n v="540"/>
    <n v="871"/>
    <n v="331"/>
    <s v="Product 35"/>
    <x v="58"/>
    <s v="Clarence Fox"/>
    <x v="328"/>
    <n v="3"/>
    <x v="2"/>
    <x v="11"/>
    <x v="11"/>
    <x v="3"/>
    <x v="0"/>
  </r>
  <r>
    <s v="AX15950"/>
    <s v="ENX2043"/>
    <s v="A131"/>
    <s v="EMP1042"/>
    <s v="C1265"/>
    <x v="337"/>
    <n v="3"/>
    <n v="545"/>
    <n v="425"/>
    <n v="1275"/>
    <n v="1635"/>
    <n v="360"/>
    <s v="Product 44"/>
    <x v="32"/>
    <s v="Scott Clark"/>
    <x v="348"/>
    <n v="3"/>
    <x v="2"/>
    <x v="11"/>
    <x v="11"/>
    <x v="3"/>
    <x v="0"/>
  </r>
  <r>
    <s v="AX16168"/>
    <s v="ENX2029"/>
    <s v="A146"/>
    <s v="EMP1044"/>
    <s v="C1251"/>
    <x v="337"/>
    <n v="1"/>
    <n v="1848"/>
    <n v="1294"/>
    <n v="1294"/>
    <n v="1848"/>
    <n v="554"/>
    <s v="Product 30"/>
    <x v="27"/>
    <s v="Martin Carr"/>
    <x v="199"/>
    <n v="3"/>
    <x v="2"/>
    <x v="11"/>
    <x v="11"/>
    <x v="3"/>
    <x v="0"/>
  </r>
  <r>
    <s v="AX16486"/>
    <s v="ENX2018"/>
    <s v="A119"/>
    <s v="EMP1032"/>
    <s v="C1664"/>
    <x v="338"/>
    <n v="4"/>
    <n v="1972"/>
    <n v="1321"/>
    <n v="5284"/>
    <n v="7888"/>
    <n v="2604"/>
    <s v="Product 19"/>
    <x v="16"/>
    <s v="Larry Castillo"/>
    <x v="12"/>
    <n v="3"/>
    <x v="2"/>
    <x v="11"/>
    <x v="11"/>
    <x v="3"/>
    <x v="0"/>
  </r>
  <r>
    <s v="AX16512"/>
    <s v="ENX2014"/>
    <s v="A105"/>
    <s v="EMP1043"/>
    <s v="C1627"/>
    <x v="339"/>
    <n v="1"/>
    <n v="1809"/>
    <n v="1067"/>
    <n v="1067"/>
    <n v="1809"/>
    <n v="742"/>
    <s v="Product 15"/>
    <x v="45"/>
    <s v="Joshua Taylor"/>
    <x v="785"/>
    <n v="3"/>
    <x v="2"/>
    <x v="11"/>
    <x v="11"/>
    <x v="3"/>
    <x v="0"/>
  </r>
  <r>
    <s v="AX16617"/>
    <s v="ENX2083"/>
    <s v="A104"/>
    <s v="EMP1034"/>
    <s v="C1147"/>
    <x v="340"/>
    <n v="1"/>
    <n v="2141"/>
    <n v="1777"/>
    <n v="1777"/>
    <n v="2141"/>
    <n v="364"/>
    <s v="Product 84"/>
    <x v="50"/>
    <s v="Arthur Mccoy"/>
    <x v="427"/>
    <n v="3"/>
    <x v="2"/>
    <x v="11"/>
    <x v="11"/>
    <x v="3"/>
    <x v="0"/>
  </r>
  <r>
    <s v="AX16958"/>
    <s v="ENX2030"/>
    <s v="A149"/>
    <s v="EMP1038"/>
    <s v="C1260"/>
    <x v="337"/>
    <n v="2"/>
    <n v="1899"/>
    <n v="1044"/>
    <n v="2088"/>
    <n v="3798"/>
    <n v="1710"/>
    <s v="Product 31"/>
    <x v="59"/>
    <s v="Scott Mason"/>
    <x v="27"/>
    <n v="3"/>
    <x v="2"/>
    <x v="11"/>
    <x v="11"/>
    <x v="3"/>
    <x v="0"/>
  </r>
  <r>
    <s v="AX17191"/>
    <s v="ENX2055"/>
    <s v="A153"/>
    <s v="EMP1040"/>
    <s v="C1249"/>
    <x v="336"/>
    <n v="1"/>
    <n v="2495"/>
    <n v="1896"/>
    <n v="1896"/>
    <n v="2495"/>
    <n v="599"/>
    <s v="Product 56"/>
    <x v="8"/>
    <s v="Patrick Ruiz"/>
    <x v="709"/>
    <n v="3"/>
    <x v="2"/>
    <x v="11"/>
    <x v="11"/>
    <x v="3"/>
    <x v="0"/>
  </r>
  <r>
    <s v="AX17323"/>
    <s v="ENX2004"/>
    <s v="A149"/>
    <s v="EMP1013"/>
    <s v="C1406"/>
    <x v="339"/>
    <n v="1"/>
    <n v="1278"/>
    <n v="665"/>
    <n v="665"/>
    <n v="1278"/>
    <n v="613"/>
    <s v="Product 5"/>
    <x v="59"/>
    <s v="Charles Harper"/>
    <x v="783"/>
    <n v="3"/>
    <x v="2"/>
    <x v="11"/>
    <x v="11"/>
    <x v="3"/>
    <x v="0"/>
  </r>
  <r>
    <s v="AX17433"/>
    <s v="ENX2034"/>
    <s v="A170"/>
    <s v="EMP1034"/>
    <s v="C1503"/>
    <x v="339"/>
    <n v="1"/>
    <n v="871"/>
    <n v="540"/>
    <n v="540"/>
    <n v="871"/>
    <n v="331"/>
    <s v="Product 35"/>
    <x v="47"/>
    <s v="Arthur Mccoy"/>
    <x v="569"/>
    <n v="3"/>
    <x v="2"/>
    <x v="11"/>
    <x v="11"/>
    <x v="3"/>
    <x v="0"/>
  </r>
  <r>
    <s v="AX17527"/>
    <s v="ENX2100"/>
    <s v="A151"/>
    <s v="EMP1026"/>
    <s v="C1516"/>
    <x v="336"/>
    <n v="3"/>
    <n v="799"/>
    <n v="455"/>
    <n v="1365"/>
    <n v="2397"/>
    <n v="1032"/>
    <s v="Product 101"/>
    <x v="1"/>
    <s v="Martin Perry"/>
    <x v="568"/>
    <n v="3"/>
    <x v="2"/>
    <x v="11"/>
    <x v="11"/>
    <x v="3"/>
    <x v="0"/>
  </r>
  <r>
    <s v="AX17565"/>
    <s v="ENX2036"/>
    <s v="A113"/>
    <s v="EMP1014"/>
    <s v="C1175"/>
    <x v="337"/>
    <n v="4"/>
    <n v="1582"/>
    <n v="1234"/>
    <n v="4936"/>
    <n v="6328"/>
    <n v="1392"/>
    <s v="Product 37"/>
    <x v="73"/>
    <s v="Ronald Reed"/>
    <x v="89"/>
    <n v="3"/>
    <x v="2"/>
    <x v="11"/>
    <x v="11"/>
    <x v="3"/>
    <x v="0"/>
  </r>
  <r>
    <s v="AX17578"/>
    <s v="ENX2076"/>
    <s v="A125"/>
    <s v="EMP1019"/>
    <s v="C1577"/>
    <x v="336"/>
    <n v="1"/>
    <n v="1522"/>
    <n v="791"/>
    <n v="791"/>
    <n v="1522"/>
    <n v="731"/>
    <s v="Product 77"/>
    <x v="31"/>
    <s v="Roger Robertson"/>
    <x v="50"/>
    <n v="3"/>
    <x v="2"/>
    <x v="11"/>
    <x v="11"/>
    <x v="3"/>
    <x v="0"/>
  </r>
  <r>
    <s v="AX17819"/>
    <s v="ENX2020"/>
    <s v="A108"/>
    <s v="EMP1023"/>
    <s v="C1778"/>
    <x v="337"/>
    <n v="1"/>
    <n v="2005"/>
    <n v="1223"/>
    <n v="1223"/>
    <n v="2005"/>
    <n v="782"/>
    <s v="Product 21"/>
    <x v="49"/>
    <s v="Brian Davis"/>
    <x v="420"/>
    <n v="3"/>
    <x v="2"/>
    <x v="11"/>
    <x v="11"/>
    <x v="3"/>
    <x v="0"/>
  </r>
  <r>
    <s v="AX18154"/>
    <s v="ENX2060"/>
    <s v="A129"/>
    <s v="EMP1000"/>
    <s v="C1586"/>
    <x v="336"/>
    <n v="1"/>
    <n v="1467"/>
    <n v="807"/>
    <n v="807"/>
    <n v="1467"/>
    <n v="660"/>
    <s v="Product 61"/>
    <x v="22"/>
    <s v="Fred Robertson"/>
    <x v="585"/>
    <n v="3"/>
    <x v="2"/>
    <x v="11"/>
    <x v="11"/>
    <x v="3"/>
    <x v="0"/>
  </r>
  <r>
    <s v="AX18322"/>
    <s v="ENX2081"/>
    <s v="A134"/>
    <s v="EMP1038"/>
    <s v="C1791"/>
    <x v="339"/>
    <n v="1"/>
    <n v="1566"/>
    <n v="1190"/>
    <n v="1190"/>
    <n v="1566"/>
    <n v="376"/>
    <s v="Product 82"/>
    <x v="41"/>
    <s v="Scott Mason"/>
    <x v="193"/>
    <n v="3"/>
    <x v="2"/>
    <x v="11"/>
    <x v="11"/>
    <x v="3"/>
    <x v="0"/>
  </r>
  <r>
    <s v="AX18705"/>
    <s v="ENX2026"/>
    <s v="A105"/>
    <s v="EMP1019"/>
    <s v="C1329"/>
    <x v="336"/>
    <n v="3"/>
    <n v="947"/>
    <n v="786"/>
    <n v="2358"/>
    <n v="2841"/>
    <n v="483"/>
    <s v="Product 27"/>
    <x v="45"/>
    <s v="Roger Robertson"/>
    <x v="244"/>
    <n v="3"/>
    <x v="2"/>
    <x v="11"/>
    <x v="11"/>
    <x v="3"/>
    <x v="0"/>
  </r>
  <r>
    <s v="AX19027"/>
    <s v="ENX2082"/>
    <s v="A140"/>
    <s v="EMP1000"/>
    <s v="C1410"/>
    <x v="336"/>
    <n v="1"/>
    <n v="1103"/>
    <n v="838"/>
    <n v="838"/>
    <n v="1103"/>
    <n v="265"/>
    <s v="Product 83"/>
    <x v="18"/>
    <s v="Fred Robertson"/>
    <x v="112"/>
    <n v="3"/>
    <x v="2"/>
    <x v="11"/>
    <x v="11"/>
    <x v="3"/>
    <x v="0"/>
  </r>
  <r>
    <s v="AX19385"/>
    <s v="ENX2040"/>
    <s v="A124"/>
    <s v="EMP1009"/>
    <s v="C1469"/>
    <x v="339"/>
    <n v="4"/>
    <n v="1889"/>
    <n v="945"/>
    <n v="3780"/>
    <n v="7556"/>
    <n v="3776"/>
    <s v="Product 41"/>
    <x v="67"/>
    <s v="Kenneth Fields"/>
    <x v="300"/>
    <n v="3"/>
    <x v="2"/>
    <x v="11"/>
    <x v="11"/>
    <x v="3"/>
    <x v="0"/>
  </r>
  <r>
    <s v="AX19446"/>
    <s v="ENX2053"/>
    <s v="A124"/>
    <s v="EMP1016"/>
    <s v="C1320"/>
    <x v="340"/>
    <n v="1"/>
    <n v="596"/>
    <n v="358"/>
    <n v="358"/>
    <n v="596"/>
    <n v="238"/>
    <s v="Product 54"/>
    <x v="67"/>
    <s v="Henry Nelson"/>
    <x v="480"/>
    <n v="3"/>
    <x v="2"/>
    <x v="11"/>
    <x v="11"/>
    <x v="3"/>
    <x v="0"/>
  </r>
  <r>
    <s v="AX19615"/>
    <s v="ENX2083"/>
    <s v="A100"/>
    <s v="EMP1006"/>
    <s v="C1774"/>
    <x v="339"/>
    <n v="1"/>
    <n v="2141"/>
    <n v="1777"/>
    <n v="1777"/>
    <n v="2141"/>
    <n v="364"/>
    <s v="Product 84"/>
    <x v="52"/>
    <s v="Sean Miller"/>
    <x v="232"/>
    <n v="3"/>
    <x v="2"/>
    <x v="11"/>
    <x v="11"/>
    <x v="3"/>
    <x v="0"/>
  </r>
  <r>
    <s v="AX19726"/>
    <s v="ENX2065"/>
    <s v="A165"/>
    <s v="EMP1041"/>
    <s v="C1357"/>
    <x v="336"/>
    <n v="1"/>
    <n v="2396"/>
    <n v="1965"/>
    <n v="1965"/>
    <n v="2396"/>
    <n v="431"/>
    <s v="Product 66"/>
    <x v="55"/>
    <s v="Joe Sims"/>
    <x v="327"/>
    <n v="3"/>
    <x v="2"/>
    <x v="11"/>
    <x v="11"/>
    <x v="3"/>
    <x v="0"/>
  </r>
  <r>
    <s v="AX19841"/>
    <s v="ENX2048"/>
    <s v="A116"/>
    <s v="EMP1031"/>
    <s v="C1340"/>
    <x v="338"/>
    <n v="1"/>
    <n v="502"/>
    <n v="296"/>
    <n v="296"/>
    <n v="502"/>
    <n v="206"/>
    <s v="Product 49"/>
    <x v="15"/>
    <s v="Brian Thomas"/>
    <x v="433"/>
    <n v="3"/>
    <x v="2"/>
    <x v="11"/>
    <x v="11"/>
    <x v="3"/>
    <x v="0"/>
  </r>
  <r>
    <s v="AX20082"/>
    <s v="ENX2073"/>
    <s v="A123"/>
    <s v="EMP1039"/>
    <s v="C1748"/>
    <x v="336"/>
    <n v="1"/>
    <n v="95"/>
    <n v="61"/>
    <n v="61"/>
    <n v="95"/>
    <n v="34"/>
    <s v="Product 74"/>
    <x v="34"/>
    <s v="Eugene Holmes"/>
    <x v="162"/>
    <n v="3"/>
    <x v="2"/>
    <x v="11"/>
    <x v="11"/>
    <x v="3"/>
    <x v="0"/>
  </r>
  <r>
    <s v="AX20214"/>
    <s v="ENX2085"/>
    <s v="A165"/>
    <s v="EMP1017"/>
    <s v="C1182"/>
    <x v="339"/>
    <n v="1"/>
    <n v="1862"/>
    <n v="1173"/>
    <n v="1173"/>
    <n v="1862"/>
    <n v="689"/>
    <s v="Product 86"/>
    <x v="55"/>
    <s v="Brian Hansen"/>
    <x v="759"/>
    <n v="3"/>
    <x v="2"/>
    <x v="11"/>
    <x v="11"/>
    <x v="3"/>
    <x v="0"/>
  </r>
  <r>
    <s v="AX20477"/>
    <s v="ENX2082"/>
    <s v="A148"/>
    <s v="EMP1041"/>
    <s v="C1141"/>
    <x v="340"/>
    <n v="1"/>
    <n v="1103"/>
    <n v="838"/>
    <n v="838"/>
    <n v="1103"/>
    <n v="265"/>
    <s v="Product 83"/>
    <x v="62"/>
    <s v="Joe Sims"/>
    <x v="166"/>
    <n v="3"/>
    <x v="2"/>
    <x v="11"/>
    <x v="11"/>
    <x v="3"/>
    <x v="0"/>
  </r>
  <r>
    <s v="AX20536"/>
    <s v="ENX2043"/>
    <s v="A163"/>
    <s v="EMP1027"/>
    <s v="C1638"/>
    <x v="337"/>
    <n v="1"/>
    <n v="545"/>
    <n v="425"/>
    <n v="425"/>
    <n v="545"/>
    <n v="120"/>
    <s v="Product 44"/>
    <x v="51"/>
    <s v="Gary Rodriguez"/>
    <x v="395"/>
    <n v="3"/>
    <x v="2"/>
    <x v="11"/>
    <x v="11"/>
    <x v="3"/>
    <x v="0"/>
  </r>
  <r>
    <s v="AX20776"/>
    <s v="ENX2084"/>
    <s v="A125"/>
    <s v="EMP1039"/>
    <s v="C1759"/>
    <x v="337"/>
    <n v="1"/>
    <n v="1783"/>
    <n v="1230"/>
    <n v="1230"/>
    <n v="1783"/>
    <n v="553"/>
    <s v="Product 85"/>
    <x v="31"/>
    <s v="Eugene Holmes"/>
    <x v="355"/>
    <n v="3"/>
    <x v="2"/>
    <x v="11"/>
    <x v="11"/>
    <x v="3"/>
    <x v="0"/>
  </r>
  <r>
    <s v="AX21081"/>
    <s v="ENX2094"/>
    <s v="A121"/>
    <s v="EMP1027"/>
    <s v="C1504"/>
    <x v="338"/>
    <n v="1"/>
    <n v="771"/>
    <n v="648"/>
    <n v="648"/>
    <n v="771"/>
    <n v="123"/>
    <s v="Product 95"/>
    <x v="72"/>
    <s v="Gary Rodriguez"/>
    <x v="559"/>
    <n v="3"/>
    <x v="2"/>
    <x v="11"/>
    <x v="11"/>
    <x v="3"/>
    <x v="0"/>
  </r>
  <r>
    <s v="AX21367"/>
    <s v="ENX2077"/>
    <s v="A169"/>
    <s v="EMP1011"/>
    <s v="C1046"/>
    <x v="337"/>
    <n v="3"/>
    <n v="530"/>
    <n v="424"/>
    <n v="1272"/>
    <n v="1590"/>
    <n v="318"/>
    <s v="Product 78"/>
    <x v="17"/>
    <s v="Larry Marshall"/>
    <x v="719"/>
    <n v="3"/>
    <x v="2"/>
    <x v="11"/>
    <x v="11"/>
    <x v="3"/>
    <x v="0"/>
  </r>
  <r>
    <s v="AX21465"/>
    <s v="ENX2052"/>
    <s v="A168"/>
    <s v="EMP1031"/>
    <s v="C1570"/>
    <x v="340"/>
    <n v="4"/>
    <n v="1526"/>
    <n v="1251"/>
    <n v="5004"/>
    <n v="6104"/>
    <n v="1100"/>
    <s v="Product 53"/>
    <x v="40"/>
    <s v="Brian Thomas"/>
    <x v="695"/>
    <n v="3"/>
    <x v="2"/>
    <x v="11"/>
    <x v="11"/>
    <x v="3"/>
    <x v="0"/>
  </r>
  <r>
    <s v="AX22277"/>
    <s v="ENX2017"/>
    <s v="A115"/>
    <s v="EMP1033"/>
    <s v="C1118"/>
    <x v="340"/>
    <n v="1"/>
    <n v="35"/>
    <n v="22"/>
    <n v="22"/>
    <n v="35"/>
    <n v="13"/>
    <s v="Product 18"/>
    <x v="33"/>
    <s v="Jerry Perry"/>
    <x v="633"/>
    <n v="3"/>
    <x v="2"/>
    <x v="11"/>
    <x v="11"/>
    <x v="3"/>
    <x v="0"/>
  </r>
  <r>
    <s v="AX22389"/>
    <s v="ENX2007"/>
    <s v="A130"/>
    <s v="EMP1024"/>
    <s v="C1568"/>
    <x v="338"/>
    <n v="4"/>
    <n v="1405"/>
    <n v="1054"/>
    <n v="4216"/>
    <n v="5620"/>
    <n v="1404"/>
    <s v="Product 8"/>
    <x v="4"/>
    <s v="Ernest Wheeler"/>
    <x v="551"/>
    <n v="3"/>
    <x v="2"/>
    <x v="11"/>
    <x v="11"/>
    <x v="3"/>
    <x v="0"/>
  </r>
  <r>
    <s v="AX22526"/>
    <s v="ENX2043"/>
    <s v="A132"/>
    <s v="EMP1044"/>
    <s v="C1712"/>
    <x v="337"/>
    <n v="4"/>
    <n v="545"/>
    <n v="425"/>
    <n v="1700"/>
    <n v="2180"/>
    <n v="480"/>
    <s v="Product 44"/>
    <x v="48"/>
    <s v="Martin Carr"/>
    <x v="21"/>
    <n v="3"/>
    <x v="2"/>
    <x v="11"/>
    <x v="11"/>
    <x v="3"/>
    <x v="0"/>
  </r>
  <r>
    <s v="AX22977"/>
    <s v="ENX2047"/>
    <s v="A153"/>
    <s v="EMP1012"/>
    <s v="C1619"/>
    <x v="338"/>
    <n v="1"/>
    <n v="290"/>
    <n v="200"/>
    <n v="200"/>
    <n v="290"/>
    <n v="90"/>
    <s v="Product 48"/>
    <x v="8"/>
    <s v="John Reyes"/>
    <x v="77"/>
    <n v="3"/>
    <x v="2"/>
    <x v="11"/>
    <x v="11"/>
    <x v="3"/>
    <x v="0"/>
  </r>
  <r>
    <s v="AX23225"/>
    <s v="ENX2083"/>
    <s v="A169"/>
    <s v="EMP1036"/>
    <s v="C1523"/>
    <x v="339"/>
    <n v="1"/>
    <n v="2141"/>
    <n v="1777"/>
    <n v="1777"/>
    <n v="2141"/>
    <n v="364"/>
    <s v="Product 84"/>
    <x v="17"/>
    <s v="Robert Reed"/>
    <x v="543"/>
    <n v="3"/>
    <x v="2"/>
    <x v="11"/>
    <x v="11"/>
    <x v="3"/>
    <x v="0"/>
  </r>
  <r>
    <s v="AX23258"/>
    <s v="ENX2001"/>
    <s v="A125"/>
    <s v="EMP1005"/>
    <s v="C1664"/>
    <x v="340"/>
    <n v="2"/>
    <n v="951"/>
    <n v="504"/>
    <n v="1008"/>
    <n v="1902"/>
    <n v="894"/>
    <s v="Product 2"/>
    <x v="31"/>
    <s v="Ryan Welch"/>
    <x v="12"/>
    <n v="3"/>
    <x v="2"/>
    <x v="11"/>
    <x v="11"/>
    <x v="3"/>
    <x v="0"/>
  </r>
  <r>
    <s v="AX23438"/>
    <s v="ENX2015"/>
    <s v="A158"/>
    <s v="EMP1023"/>
    <s v="C1483"/>
    <x v="337"/>
    <n v="3"/>
    <n v="637"/>
    <n v="389"/>
    <n v="1167"/>
    <n v="1911"/>
    <n v="744"/>
    <s v="Product 16"/>
    <x v="58"/>
    <s v="Brian Davis"/>
    <x v="255"/>
    <n v="3"/>
    <x v="2"/>
    <x v="11"/>
    <x v="11"/>
    <x v="3"/>
    <x v="0"/>
  </r>
  <r>
    <s v="AX23588"/>
    <s v="ENX2016"/>
    <s v="A148"/>
    <s v="EMP1016"/>
    <s v="C1270"/>
    <x v="336"/>
    <n v="2"/>
    <n v="1351"/>
    <n v="1108"/>
    <n v="2216"/>
    <n v="2702"/>
    <n v="486"/>
    <s v="Product 17"/>
    <x v="62"/>
    <s v="Henry Nelson"/>
    <x v="517"/>
    <n v="3"/>
    <x v="2"/>
    <x v="11"/>
    <x v="11"/>
    <x v="3"/>
    <x v="0"/>
  </r>
  <r>
    <s v="AX23696"/>
    <s v="ENX2027"/>
    <s v="A149"/>
    <s v="EMP1039"/>
    <s v="C1752"/>
    <x v="340"/>
    <n v="4"/>
    <n v="2497"/>
    <n v="1473"/>
    <n v="5892"/>
    <n v="9988"/>
    <n v="4096"/>
    <s v="Product 28"/>
    <x v="59"/>
    <s v="Eugene Holmes"/>
    <x v="233"/>
    <n v="3"/>
    <x v="2"/>
    <x v="11"/>
    <x v="11"/>
    <x v="3"/>
    <x v="0"/>
  </r>
  <r>
    <s v="AX23906"/>
    <s v="ENX2008"/>
    <s v="A168"/>
    <s v="EMP1039"/>
    <s v="C1548"/>
    <x v="339"/>
    <n v="3"/>
    <n v="315"/>
    <n v="208"/>
    <n v="624"/>
    <n v="945"/>
    <n v="321"/>
    <s v="Product 9"/>
    <x v="40"/>
    <s v="Eugene Holmes"/>
    <x v="241"/>
    <n v="3"/>
    <x v="2"/>
    <x v="11"/>
    <x v="11"/>
    <x v="3"/>
    <x v="0"/>
  </r>
  <r>
    <s v="AX23992"/>
    <s v="ENX2039"/>
    <s v="A154"/>
    <s v="EMP1022"/>
    <s v="C1342"/>
    <x v="340"/>
    <n v="2"/>
    <n v="817"/>
    <n v="409"/>
    <n v="818"/>
    <n v="1634"/>
    <n v="816"/>
    <s v="Product 40"/>
    <x v="24"/>
    <s v="Walter Cook"/>
    <x v="62"/>
    <n v="3"/>
    <x v="2"/>
    <x v="11"/>
    <x v="11"/>
    <x v="3"/>
    <x v="0"/>
  </r>
  <r>
    <s v="AX10081"/>
    <s v="ENX2056"/>
    <s v="A120"/>
    <s v="EMP1008"/>
    <s v="C1749"/>
    <x v="341"/>
    <n v="1"/>
    <n v="1635"/>
    <n v="1046"/>
    <n v="1046"/>
    <n v="1635"/>
    <n v="589"/>
    <s v="Product 57"/>
    <x v="20"/>
    <s v="Carl Elliott"/>
    <x v="393"/>
    <n v="3"/>
    <x v="2"/>
    <x v="11"/>
    <x v="11"/>
    <x v="3"/>
    <x v="2"/>
  </r>
  <r>
    <s v="AX10226"/>
    <s v="ENX2019"/>
    <s v="A125"/>
    <s v="EMP1021"/>
    <s v="C1259"/>
    <x v="342"/>
    <n v="1"/>
    <n v="800"/>
    <n v="536"/>
    <n v="536"/>
    <n v="800"/>
    <n v="264"/>
    <s v="Product 20"/>
    <x v="31"/>
    <s v="Clarence Fox"/>
    <x v="475"/>
    <n v="3"/>
    <x v="2"/>
    <x v="11"/>
    <x v="11"/>
    <x v="3"/>
    <x v="2"/>
  </r>
  <r>
    <s v="AX10279"/>
    <s v="ENX2049"/>
    <s v="A140"/>
    <s v="EMP1001"/>
    <s v="C1434"/>
    <x v="343"/>
    <n v="1"/>
    <n v="826"/>
    <n v="562"/>
    <n v="562"/>
    <n v="826"/>
    <n v="264"/>
    <s v="Product 50"/>
    <x v="18"/>
    <s v="Kevin Butler"/>
    <x v="722"/>
    <n v="3"/>
    <x v="2"/>
    <x v="11"/>
    <x v="11"/>
    <x v="3"/>
    <x v="2"/>
  </r>
  <r>
    <s v="AX10717"/>
    <s v="ENX2063"/>
    <s v="A104"/>
    <s v="EMP1003"/>
    <s v="C1626"/>
    <x v="342"/>
    <n v="3"/>
    <n v="1708"/>
    <n v="871"/>
    <n v="2613"/>
    <n v="5124"/>
    <n v="2511"/>
    <s v="Product 64"/>
    <x v="50"/>
    <s v="Christopher Tucker"/>
    <x v="153"/>
    <n v="3"/>
    <x v="2"/>
    <x v="11"/>
    <x v="11"/>
    <x v="3"/>
    <x v="2"/>
  </r>
  <r>
    <s v="AX10774"/>
    <s v="ENX2021"/>
    <s v="A118"/>
    <s v="EMP1002"/>
    <s v="C1635"/>
    <x v="343"/>
    <n v="2"/>
    <n v="217"/>
    <n v="171"/>
    <n v="342"/>
    <n v="434"/>
    <n v="92"/>
    <s v="Product 22"/>
    <x v="19"/>
    <s v="Andrew Bowman"/>
    <x v="31"/>
    <n v="3"/>
    <x v="2"/>
    <x v="11"/>
    <x v="11"/>
    <x v="3"/>
    <x v="2"/>
  </r>
  <r>
    <s v="AX10976"/>
    <s v="ENX2099"/>
    <s v="A143"/>
    <s v="EMP1005"/>
    <s v="C1789"/>
    <x v="344"/>
    <n v="3"/>
    <n v="1367"/>
    <n v="984"/>
    <n v="2952"/>
    <n v="4101"/>
    <n v="1149"/>
    <s v="Product 100"/>
    <x v="39"/>
    <s v="Ryan Welch"/>
    <x v="701"/>
    <n v="3"/>
    <x v="2"/>
    <x v="11"/>
    <x v="11"/>
    <x v="3"/>
    <x v="2"/>
  </r>
  <r>
    <s v="AX11402"/>
    <s v="ENX2099"/>
    <s v="A143"/>
    <s v="EMP1024"/>
    <s v="C1034"/>
    <x v="342"/>
    <n v="1"/>
    <n v="1367"/>
    <n v="984"/>
    <n v="984"/>
    <n v="1367"/>
    <n v="383"/>
    <s v="Product 100"/>
    <x v="39"/>
    <s v="Ernest Wheeler"/>
    <x v="704"/>
    <n v="3"/>
    <x v="2"/>
    <x v="11"/>
    <x v="11"/>
    <x v="3"/>
    <x v="2"/>
  </r>
  <r>
    <s v="AX11459"/>
    <s v="ENX2073"/>
    <s v="A140"/>
    <s v="EMP1030"/>
    <s v="C1003"/>
    <x v="343"/>
    <n v="1"/>
    <n v="95"/>
    <n v="61"/>
    <n v="61"/>
    <n v="95"/>
    <n v="34"/>
    <s v="Product 74"/>
    <x v="18"/>
    <s v="Bobby Russell"/>
    <x v="494"/>
    <n v="3"/>
    <x v="2"/>
    <x v="11"/>
    <x v="11"/>
    <x v="3"/>
    <x v="2"/>
  </r>
  <r>
    <s v="AX11550"/>
    <s v="ENX2007"/>
    <s v="A146"/>
    <s v="EMP1042"/>
    <s v="C1287"/>
    <x v="341"/>
    <n v="2"/>
    <n v="1405"/>
    <n v="1054"/>
    <n v="2108"/>
    <n v="2810"/>
    <n v="702"/>
    <s v="Product 8"/>
    <x v="27"/>
    <s v="Scott Clark"/>
    <x v="443"/>
    <n v="3"/>
    <x v="2"/>
    <x v="11"/>
    <x v="11"/>
    <x v="3"/>
    <x v="2"/>
  </r>
  <r>
    <s v="AX11691"/>
    <s v="ENX2095"/>
    <s v="A104"/>
    <s v="EMP1044"/>
    <s v="C1515"/>
    <x v="342"/>
    <n v="2"/>
    <n v="1743"/>
    <n v="872"/>
    <n v="1744"/>
    <n v="3486"/>
    <n v="1742"/>
    <s v="Product 96"/>
    <x v="50"/>
    <s v="Martin Carr"/>
    <x v="570"/>
    <n v="3"/>
    <x v="2"/>
    <x v="11"/>
    <x v="11"/>
    <x v="3"/>
    <x v="2"/>
  </r>
  <r>
    <s v="AX11692"/>
    <s v="ENX2038"/>
    <s v="A118"/>
    <s v="EMP1022"/>
    <s v="C1088"/>
    <x v="343"/>
    <n v="1"/>
    <n v="392"/>
    <n v="255"/>
    <n v="255"/>
    <n v="392"/>
    <n v="137"/>
    <s v="Product 39"/>
    <x v="19"/>
    <s v="Walter Cook"/>
    <x v="498"/>
    <n v="3"/>
    <x v="2"/>
    <x v="11"/>
    <x v="11"/>
    <x v="3"/>
    <x v="2"/>
  </r>
  <r>
    <s v="AX11943"/>
    <s v="ENX2022"/>
    <s v="A140"/>
    <s v="EMP1025"/>
    <s v="C1469"/>
    <x v="342"/>
    <n v="1"/>
    <n v="561"/>
    <n v="421"/>
    <n v="421"/>
    <n v="561"/>
    <n v="140"/>
    <s v="Product 23"/>
    <x v="18"/>
    <s v="Ernest Wagner"/>
    <x v="300"/>
    <n v="3"/>
    <x v="2"/>
    <x v="11"/>
    <x v="11"/>
    <x v="3"/>
    <x v="2"/>
  </r>
  <r>
    <s v="AX12103"/>
    <s v="ENX2008"/>
    <s v="A142"/>
    <s v="EMP1013"/>
    <s v="C1227"/>
    <x v="341"/>
    <n v="3"/>
    <n v="315"/>
    <n v="208"/>
    <n v="624"/>
    <n v="945"/>
    <n v="321"/>
    <s v="Product 9"/>
    <x v="56"/>
    <s v="Charles Harper"/>
    <x v="765"/>
    <n v="3"/>
    <x v="2"/>
    <x v="11"/>
    <x v="11"/>
    <x v="3"/>
    <x v="2"/>
  </r>
  <r>
    <s v="AX12287"/>
    <s v="ENX2057"/>
    <s v="A110"/>
    <s v="EMP1039"/>
    <s v="C1562"/>
    <x v="342"/>
    <n v="4"/>
    <n v="181"/>
    <n v="130"/>
    <n v="520"/>
    <n v="724"/>
    <n v="204"/>
    <s v="Product 58"/>
    <x v="63"/>
    <s v="Eugene Holmes"/>
    <x v="312"/>
    <n v="3"/>
    <x v="2"/>
    <x v="11"/>
    <x v="11"/>
    <x v="3"/>
    <x v="2"/>
  </r>
  <r>
    <s v="AX12784"/>
    <s v="ENX2064"/>
    <s v="A112"/>
    <s v="EMP1015"/>
    <s v="C1708"/>
    <x v="343"/>
    <n v="1"/>
    <n v="1414"/>
    <n v="962"/>
    <n v="962"/>
    <n v="1414"/>
    <n v="452"/>
    <s v="Product 65"/>
    <x v="66"/>
    <s v="Justin Lynch"/>
    <x v="579"/>
    <n v="3"/>
    <x v="2"/>
    <x v="11"/>
    <x v="11"/>
    <x v="3"/>
    <x v="2"/>
  </r>
  <r>
    <s v="AX13410"/>
    <s v="ENX2038"/>
    <s v="A161"/>
    <s v="EMP1008"/>
    <s v="C1234"/>
    <x v="342"/>
    <n v="1"/>
    <n v="392"/>
    <n v="255"/>
    <n v="255"/>
    <n v="392"/>
    <n v="137"/>
    <s v="Product 39"/>
    <x v="6"/>
    <s v="Carl Elliott"/>
    <x v="636"/>
    <n v="3"/>
    <x v="2"/>
    <x v="11"/>
    <x v="11"/>
    <x v="3"/>
    <x v="2"/>
  </r>
  <r>
    <s v="AX13583"/>
    <s v="ENX2064"/>
    <s v="A167"/>
    <s v="EMP1040"/>
    <s v="C1250"/>
    <x v="341"/>
    <n v="1"/>
    <n v="1414"/>
    <n v="962"/>
    <n v="962"/>
    <n v="1414"/>
    <n v="452"/>
    <s v="Product 65"/>
    <x v="64"/>
    <s v="Patrick Ruiz"/>
    <x v="705"/>
    <n v="3"/>
    <x v="2"/>
    <x v="11"/>
    <x v="11"/>
    <x v="3"/>
    <x v="2"/>
  </r>
  <r>
    <s v="AX13785"/>
    <s v="ENX2008"/>
    <s v="A148"/>
    <s v="EMP1030"/>
    <s v="C1102"/>
    <x v="343"/>
    <n v="2"/>
    <n v="315"/>
    <n v="208"/>
    <n v="416"/>
    <n v="630"/>
    <n v="214"/>
    <s v="Product 9"/>
    <x v="62"/>
    <s v="Bobby Russell"/>
    <x v="766"/>
    <n v="3"/>
    <x v="2"/>
    <x v="11"/>
    <x v="11"/>
    <x v="3"/>
    <x v="2"/>
  </r>
  <r>
    <s v="AX14273"/>
    <s v="ENX2090"/>
    <s v="A152"/>
    <s v="EMP1018"/>
    <s v="C1421"/>
    <x v="343"/>
    <n v="3"/>
    <n v="1338"/>
    <n v="682"/>
    <n v="2046"/>
    <n v="4014"/>
    <n v="1968"/>
    <s v="Product 91"/>
    <x v="26"/>
    <s v="Jimmy Young"/>
    <x v="564"/>
    <n v="3"/>
    <x v="2"/>
    <x v="11"/>
    <x v="11"/>
    <x v="3"/>
    <x v="2"/>
  </r>
  <r>
    <s v="AX14440"/>
    <s v="ENX2035"/>
    <s v="A139"/>
    <s v="EMP1005"/>
    <s v="C1393"/>
    <x v="344"/>
    <n v="1"/>
    <n v="458"/>
    <n v="376"/>
    <n v="376"/>
    <n v="458"/>
    <n v="82"/>
    <s v="Product 36"/>
    <x v="38"/>
    <s v="Ryan Welch"/>
    <x v="93"/>
    <n v="3"/>
    <x v="2"/>
    <x v="11"/>
    <x v="11"/>
    <x v="3"/>
    <x v="2"/>
  </r>
  <r>
    <s v="AX14971"/>
    <s v="ENX2047"/>
    <s v="A125"/>
    <s v="EMP1041"/>
    <s v="C1780"/>
    <x v="344"/>
    <n v="2"/>
    <n v="290"/>
    <n v="200"/>
    <n v="400"/>
    <n v="580"/>
    <n v="180"/>
    <s v="Product 48"/>
    <x v="31"/>
    <s v="Joe Sims"/>
    <x v="320"/>
    <n v="3"/>
    <x v="2"/>
    <x v="11"/>
    <x v="11"/>
    <x v="3"/>
    <x v="2"/>
  </r>
  <r>
    <s v="AX15073"/>
    <s v="ENX2081"/>
    <s v="A170"/>
    <s v="EMP1034"/>
    <s v="C1714"/>
    <x v="341"/>
    <n v="3"/>
    <n v="1566"/>
    <n v="1190"/>
    <n v="3570"/>
    <n v="4698"/>
    <n v="1128"/>
    <s v="Product 82"/>
    <x v="47"/>
    <s v="Arthur Mccoy"/>
    <x v="317"/>
    <n v="3"/>
    <x v="2"/>
    <x v="11"/>
    <x v="11"/>
    <x v="3"/>
    <x v="2"/>
  </r>
  <r>
    <s v="AX15183"/>
    <s v="ENX2053"/>
    <s v="A169"/>
    <s v="EMP1010"/>
    <s v="C1036"/>
    <x v="341"/>
    <n v="3"/>
    <n v="596"/>
    <n v="358"/>
    <n v="1074"/>
    <n v="1788"/>
    <n v="714"/>
    <s v="Product 54"/>
    <x v="17"/>
    <s v="Joshua Cook"/>
    <x v="256"/>
    <n v="3"/>
    <x v="2"/>
    <x v="11"/>
    <x v="11"/>
    <x v="3"/>
    <x v="2"/>
  </r>
  <r>
    <s v="AX15505"/>
    <s v="ENX2091"/>
    <s v="A151"/>
    <s v="EMP1006"/>
    <s v="C1711"/>
    <x v="341"/>
    <n v="1"/>
    <n v="368"/>
    <n v="294"/>
    <n v="294"/>
    <n v="368"/>
    <n v="74"/>
    <s v="Product 92"/>
    <x v="1"/>
    <s v="Sean Miller"/>
    <x v="66"/>
    <n v="3"/>
    <x v="2"/>
    <x v="11"/>
    <x v="11"/>
    <x v="3"/>
    <x v="2"/>
  </r>
  <r>
    <s v="AX15646"/>
    <s v="ENX2024"/>
    <s v="A116"/>
    <s v="EMP1032"/>
    <s v="C1656"/>
    <x v="341"/>
    <n v="1"/>
    <n v="356"/>
    <n v="292"/>
    <n v="292"/>
    <n v="356"/>
    <n v="64"/>
    <s v="Product 25"/>
    <x v="15"/>
    <s v="Larry Castillo"/>
    <x v="115"/>
    <n v="3"/>
    <x v="2"/>
    <x v="11"/>
    <x v="11"/>
    <x v="3"/>
    <x v="2"/>
  </r>
  <r>
    <s v="AX15694"/>
    <s v="ENX2087"/>
    <s v="A138"/>
    <s v="EMP1023"/>
    <s v="C1468"/>
    <x v="343"/>
    <n v="1"/>
    <n v="1022"/>
    <n v="818"/>
    <n v="818"/>
    <n v="1022"/>
    <n v="204"/>
    <s v="Product 88"/>
    <x v="37"/>
    <s v="Brian Davis"/>
    <x v="688"/>
    <n v="3"/>
    <x v="2"/>
    <x v="11"/>
    <x v="11"/>
    <x v="3"/>
    <x v="2"/>
  </r>
  <r>
    <s v="AX15973"/>
    <s v="ENX2043"/>
    <s v="A148"/>
    <s v="EMP1011"/>
    <s v="C1615"/>
    <x v="342"/>
    <n v="2"/>
    <n v="545"/>
    <n v="425"/>
    <n v="850"/>
    <n v="1090"/>
    <n v="240"/>
    <s v="Product 44"/>
    <x v="62"/>
    <s v="Larry Marshall"/>
    <x v="457"/>
    <n v="3"/>
    <x v="2"/>
    <x v="11"/>
    <x v="11"/>
    <x v="3"/>
    <x v="2"/>
  </r>
  <r>
    <s v="AX16002"/>
    <s v="ENX2078"/>
    <s v="A109"/>
    <s v="EMP1007"/>
    <s v="C1300"/>
    <x v="344"/>
    <n v="3"/>
    <n v="1798"/>
    <n v="971"/>
    <n v="2913"/>
    <n v="5394"/>
    <n v="2481"/>
    <s v="Product 79"/>
    <x v="57"/>
    <s v="Jeremy Mendoza"/>
    <x v="201"/>
    <n v="3"/>
    <x v="2"/>
    <x v="11"/>
    <x v="11"/>
    <x v="3"/>
    <x v="2"/>
  </r>
  <r>
    <s v="AX16222"/>
    <s v="ENX2035"/>
    <s v="A166"/>
    <s v="EMP1025"/>
    <s v="C1751"/>
    <x v="342"/>
    <n v="1"/>
    <n v="458"/>
    <n v="376"/>
    <n v="376"/>
    <n v="458"/>
    <n v="82"/>
    <s v="Product 36"/>
    <x v="70"/>
    <s v="Ernest Wagner"/>
    <x v="332"/>
    <n v="3"/>
    <x v="2"/>
    <x v="11"/>
    <x v="11"/>
    <x v="3"/>
    <x v="2"/>
  </r>
  <r>
    <s v="AX16451"/>
    <s v="ENX2041"/>
    <s v="A130"/>
    <s v="EMP1020"/>
    <s v="C1260"/>
    <x v="342"/>
    <n v="1"/>
    <n v="1380"/>
    <n v="1090"/>
    <n v="1090"/>
    <n v="1380"/>
    <n v="290"/>
    <s v="Product 42"/>
    <x v="4"/>
    <s v="Ryan Butler"/>
    <x v="27"/>
    <n v="3"/>
    <x v="2"/>
    <x v="11"/>
    <x v="11"/>
    <x v="3"/>
    <x v="2"/>
  </r>
  <r>
    <s v="AX16561"/>
    <s v="ENX2000"/>
    <s v="A109"/>
    <s v="EMP1021"/>
    <s v="C1659"/>
    <x v="343"/>
    <n v="2"/>
    <n v="2241"/>
    <n v="1367"/>
    <n v="2734"/>
    <n v="4482"/>
    <n v="1748"/>
    <s v="Product 1"/>
    <x v="57"/>
    <s v="Clarence Fox"/>
    <x v="51"/>
    <n v="3"/>
    <x v="2"/>
    <x v="11"/>
    <x v="11"/>
    <x v="3"/>
    <x v="2"/>
  </r>
  <r>
    <s v="AX16679"/>
    <s v="ENX2072"/>
    <s v="A163"/>
    <s v="EMP1038"/>
    <s v="C1443"/>
    <x v="343"/>
    <n v="2"/>
    <n v="1887"/>
    <n v="1378"/>
    <n v="2756"/>
    <n v="3774"/>
    <n v="1018"/>
    <s v="Product 73"/>
    <x v="51"/>
    <s v="Scott Mason"/>
    <x v="683"/>
    <n v="3"/>
    <x v="2"/>
    <x v="11"/>
    <x v="11"/>
    <x v="3"/>
    <x v="2"/>
  </r>
  <r>
    <s v="AX17293"/>
    <s v="ENX2078"/>
    <s v="A157"/>
    <s v="EMP1024"/>
    <s v="C1262"/>
    <x v="342"/>
    <n v="1"/>
    <n v="1798"/>
    <n v="971"/>
    <n v="971"/>
    <n v="1798"/>
    <n v="827"/>
    <s v="Product 79"/>
    <x v="7"/>
    <s v="Ernest Wheeler"/>
    <x v="363"/>
    <n v="3"/>
    <x v="2"/>
    <x v="11"/>
    <x v="11"/>
    <x v="3"/>
    <x v="2"/>
  </r>
  <r>
    <s v="AX17307"/>
    <s v="ENX2093"/>
    <s v="A169"/>
    <s v="EMP1008"/>
    <s v="C1204"/>
    <x v="343"/>
    <n v="4"/>
    <n v="112"/>
    <n v="90"/>
    <n v="360"/>
    <n v="448"/>
    <n v="88"/>
    <s v="Product 94"/>
    <x v="17"/>
    <s v="Carl Elliott"/>
    <x v="654"/>
    <n v="3"/>
    <x v="2"/>
    <x v="11"/>
    <x v="11"/>
    <x v="3"/>
    <x v="2"/>
  </r>
  <r>
    <s v="AX17322"/>
    <s v="ENX2064"/>
    <s v="A131"/>
    <s v="EMP1028"/>
    <s v="C1448"/>
    <x v="344"/>
    <n v="2"/>
    <n v="1414"/>
    <n v="962"/>
    <n v="1924"/>
    <n v="2828"/>
    <n v="904"/>
    <s v="Product 65"/>
    <x v="32"/>
    <s v="Howard Sims"/>
    <x v="716"/>
    <n v="3"/>
    <x v="2"/>
    <x v="11"/>
    <x v="11"/>
    <x v="3"/>
    <x v="2"/>
  </r>
  <r>
    <s v="AX17528"/>
    <s v="ENX2034"/>
    <s v="A171"/>
    <s v="EMP1021"/>
    <s v="C1650"/>
    <x v="344"/>
    <n v="2"/>
    <n v="871"/>
    <n v="540"/>
    <n v="1080"/>
    <n v="1742"/>
    <n v="662"/>
    <s v="Product 35"/>
    <x v="0"/>
    <s v="Clarence Fox"/>
    <x v="645"/>
    <n v="3"/>
    <x v="2"/>
    <x v="11"/>
    <x v="11"/>
    <x v="3"/>
    <x v="2"/>
  </r>
  <r>
    <s v="AX17889"/>
    <s v="ENX2044"/>
    <s v="A113"/>
    <s v="EMP1003"/>
    <s v="C1174"/>
    <x v="342"/>
    <n v="1"/>
    <n v="886"/>
    <n v="478"/>
    <n v="478"/>
    <n v="886"/>
    <n v="408"/>
    <s v="Product 45"/>
    <x v="73"/>
    <s v="Christopher Tucker"/>
    <x v="715"/>
    <n v="3"/>
    <x v="2"/>
    <x v="11"/>
    <x v="11"/>
    <x v="3"/>
    <x v="2"/>
  </r>
  <r>
    <s v="AX18098"/>
    <s v="ENX2001"/>
    <s v="A107"/>
    <s v="EMP1034"/>
    <s v="C1712"/>
    <x v="344"/>
    <n v="1"/>
    <n v="951"/>
    <n v="504"/>
    <n v="504"/>
    <n v="951"/>
    <n v="447"/>
    <s v="Product 2"/>
    <x v="21"/>
    <s v="Arthur Mccoy"/>
    <x v="21"/>
    <n v="3"/>
    <x v="2"/>
    <x v="11"/>
    <x v="11"/>
    <x v="3"/>
    <x v="2"/>
  </r>
  <r>
    <s v="AX18375"/>
    <s v="ENX2001"/>
    <s v="A135"/>
    <s v="EMP1015"/>
    <s v="C1794"/>
    <x v="343"/>
    <n v="3"/>
    <n v="951"/>
    <n v="504"/>
    <n v="1512"/>
    <n v="2853"/>
    <n v="1341"/>
    <s v="Product 2"/>
    <x v="10"/>
    <s v="Justin Lynch"/>
    <x v="411"/>
    <n v="3"/>
    <x v="2"/>
    <x v="11"/>
    <x v="11"/>
    <x v="3"/>
    <x v="2"/>
  </r>
  <r>
    <s v="AX18407"/>
    <s v="ENX2012"/>
    <s v="A161"/>
    <s v="EMP1013"/>
    <s v="C1017"/>
    <x v="343"/>
    <n v="1"/>
    <n v="1353"/>
    <n v="947"/>
    <n v="947"/>
    <n v="1353"/>
    <n v="406"/>
    <s v="Product 13"/>
    <x v="6"/>
    <s v="Charles Harper"/>
    <x v="402"/>
    <n v="3"/>
    <x v="2"/>
    <x v="11"/>
    <x v="11"/>
    <x v="3"/>
    <x v="2"/>
  </r>
  <r>
    <s v="AX19319"/>
    <s v="ENX2096"/>
    <s v="A137"/>
    <s v="EMP1004"/>
    <s v="C1240"/>
    <x v="342"/>
    <n v="1"/>
    <n v="1587"/>
    <n v="1301"/>
    <n v="1301"/>
    <n v="1587"/>
    <n v="286"/>
    <s v="Product 97"/>
    <x v="68"/>
    <s v="Kenneth Bradley"/>
    <x v="455"/>
    <n v="3"/>
    <x v="2"/>
    <x v="11"/>
    <x v="11"/>
    <x v="3"/>
    <x v="2"/>
  </r>
  <r>
    <s v="AX19393"/>
    <s v="ENX2034"/>
    <s v="A170"/>
    <s v="EMP1036"/>
    <s v="C1575"/>
    <x v="343"/>
    <n v="3"/>
    <n v="871"/>
    <n v="540"/>
    <n v="1620"/>
    <n v="2613"/>
    <n v="993"/>
    <s v="Product 35"/>
    <x v="47"/>
    <s v="Robert Reed"/>
    <x v="99"/>
    <n v="3"/>
    <x v="2"/>
    <x v="11"/>
    <x v="11"/>
    <x v="3"/>
    <x v="2"/>
  </r>
  <r>
    <s v="AX19409"/>
    <s v="ENX2022"/>
    <s v="A103"/>
    <s v="EMP1000"/>
    <s v="C1074"/>
    <x v="344"/>
    <n v="1"/>
    <n v="561"/>
    <n v="421"/>
    <n v="421"/>
    <n v="561"/>
    <n v="140"/>
    <s v="Product 23"/>
    <x v="61"/>
    <s v="Fred Robertson"/>
    <x v="96"/>
    <n v="3"/>
    <x v="2"/>
    <x v="11"/>
    <x v="11"/>
    <x v="3"/>
    <x v="2"/>
  </r>
  <r>
    <s v="AX19669"/>
    <s v="ENX2093"/>
    <s v="A161"/>
    <s v="EMP1010"/>
    <s v="C1310"/>
    <x v="341"/>
    <n v="1"/>
    <n v="112"/>
    <n v="90"/>
    <n v="90"/>
    <n v="112"/>
    <n v="22"/>
    <s v="Product 94"/>
    <x v="6"/>
    <s v="Joshua Cook"/>
    <x v="169"/>
    <n v="3"/>
    <x v="2"/>
    <x v="11"/>
    <x v="11"/>
    <x v="3"/>
    <x v="2"/>
  </r>
  <r>
    <s v="AX19744"/>
    <s v="ENX2004"/>
    <s v="A108"/>
    <s v="EMP1006"/>
    <s v="C1244"/>
    <x v="341"/>
    <n v="3"/>
    <n v="1278"/>
    <n v="665"/>
    <n v="1995"/>
    <n v="3834"/>
    <n v="1839"/>
    <s v="Product 5"/>
    <x v="49"/>
    <s v="Sean Miller"/>
    <x v="381"/>
    <n v="3"/>
    <x v="2"/>
    <x v="11"/>
    <x v="11"/>
    <x v="3"/>
    <x v="2"/>
  </r>
  <r>
    <s v="AX19949"/>
    <s v="ENX2025"/>
    <s v="A147"/>
    <s v="EMP1027"/>
    <s v="C1466"/>
    <x v="343"/>
    <n v="2"/>
    <n v="667"/>
    <n v="387"/>
    <n v="774"/>
    <n v="1334"/>
    <n v="560"/>
    <s v="Product 26"/>
    <x v="42"/>
    <s v="Gary Rodriguez"/>
    <x v="132"/>
    <n v="3"/>
    <x v="2"/>
    <x v="11"/>
    <x v="11"/>
    <x v="3"/>
    <x v="2"/>
  </r>
  <r>
    <s v="AX20007"/>
    <s v="ENX2096"/>
    <s v="A113"/>
    <s v="EMP1020"/>
    <s v="C1427"/>
    <x v="344"/>
    <n v="2"/>
    <n v="1587"/>
    <n v="1301"/>
    <n v="2602"/>
    <n v="3174"/>
    <n v="572"/>
    <s v="Product 97"/>
    <x v="73"/>
    <s v="Ryan Butler"/>
    <x v="768"/>
    <n v="3"/>
    <x v="2"/>
    <x v="11"/>
    <x v="11"/>
    <x v="3"/>
    <x v="2"/>
  </r>
  <r>
    <s v="AX20143"/>
    <s v="ENX2028"/>
    <s v="A112"/>
    <s v="EMP1041"/>
    <s v="C1025"/>
    <x v="344"/>
    <n v="3"/>
    <n v="2283"/>
    <n v="1484"/>
    <n v="4452"/>
    <n v="6849"/>
    <n v="2397"/>
    <s v="Product 29"/>
    <x v="66"/>
    <s v="Joe Sims"/>
    <x v="350"/>
    <n v="3"/>
    <x v="2"/>
    <x v="11"/>
    <x v="11"/>
    <x v="3"/>
    <x v="2"/>
  </r>
  <r>
    <s v="AX20149"/>
    <s v="ENX2081"/>
    <s v="A162"/>
    <s v="EMP1022"/>
    <s v="C1185"/>
    <x v="341"/>
    <n v="2"/>
    <n v="1566"/>
    <n v="1190"/>
    <n v="2380"/>
    <n v="3132"/>
    <n v="752"/>
    <s v="Product 82"/>
    <x v="2"/>
    <s v="Walter Cook"/>
    <x v="215"/>
    <n v="3"/>
    <x v="2"/>
    <x v="11"/>
    <x v="11"/>
    <x v="3"/>
    <x v="2"/>
  </r>
  <r>
    <s v="AX20338"/>
    <s v="ENX2037"/>
    <s v="A137"/>
    <s v="EMP1035"/>
    <s v="C1210"/>
    <x v="342"/>
    <n v="2"/>
    <n v="880"/>
    <n v="634"/>
    <n v="1268"/>
    <n v="1760"/>
    <n v="492"/>
    <s v="Product 38"/>
    <x v="68"/>
    <s v="Roger Ramos"/>
    <x v="629"/>
    <n v="3"/>
    <x v="2"/>
    <x v="11"/>
    <x v="11"/>
    <x v="3"/>
    <x v="2"/>
  </r>
  <r>
    <s v="AX20402"/>
    <s v="ENX2072"/>
    <s v="A126"/>
    <s v="EMP1030"/>
    <s v="C1689"/>
    <x v="344"/>
    <n v="1"/>
    <n v="1887"/>
    <n v="1378"/>
    <n v="1378"/>
    <n v="1887"/>
    <n v="509"/>
    <s v="Product 73"/>
    <x v="5"/>
    <s v="Bobby Russell"/>
    <x v="181"/>
    <n v="3"/>
    <x v="2"/>
    <x v="11"/>
    <x v="11"/>
    <x v="3"/>
    <x v="2"/>
  </r>
  <r>
    <s v="AX21896"/>
    <s v="ENX2067"/>
    <s v="A156"/>
    <s v="EMP1044"/>
    <s v="C1282"/>
    <x v="341"/>
    <n v="1"/>
    <n v="1119"/>
    <n v="683"/>
    <n v="683"/>
    <n v="1119"/>
    <n v="436"/>
    <s v="Product 68"/>
    <x v="14"/>
    <s v="Martin Carr"/>
    <x v="520"/>
    <n v="3"/>
    <x v="2"/>
    <x v="11"/>
    <x v="11"/>
    <x v="3"/>
    <x v="2"/>
  </r>
  <r>
    <s v="AX22014"/>
    <s v="ENX2096"/>
    <s v="A139"/>
    <s v="EMP1030"/>
    <s v="C1706"/>
    <x v="342"/>
    <n v="3"/>
    <n v="1587"/>
    <n v="1301"/>
    <n v="3903"/>
    <n v="4761"/>
    <n v="858"/>
    <s v="Product 97"/>
    <x v="38"/>
    <s v="Bobby Russell"/>
    <x v="171"/>
    <n v="3"/>
    <x v="2"/>
    <x v="11"/>
    <x v="11"/>
    <x v="3"/>
    <x v="2"/>
  </r>
  <r>
    <s v="AX22139"/>
    <s v="ENX2051"/>
    <s v="A108"/>
    <s v="EMP1008"/>
    <s v="C1318"/>
    <x v="344"/>
    <n v="1"/>
    <n v="1077"/>
    <n v="732"/>
    <n v="732"/>
    <n v="1077"/>
    <n v="345"/>
    <s v="Product 52"/>
    <x v="49"/>
    <s v="Carl Elliott"/>
    <x v="730"/>
    <n v="3"/>
    <x v="2"/>
    <x v="11"/>
    <x v="11"/>
    <x v="3"/>
    <x v="2"/>
  </r>
  <r>
    <s v="AX22190"/>
    <s v="ENX2020"/>
    <s v="A106"/>
    <s v="EMP1024"/>
    <s v="C1036"/>
    <x v="342"/>
    <n v="1"/>
    <n v="2005"/>
    <n v="1223"/>
    <n v="1223"/>
    <n v="2005"/>
    <n v="782"/>
    <s v="Product 21"/>
    <x v="11"/>
    <s v="Ernest Wheeler"/>
    <x v="256"/>
    <n v="3"/>
    <x v="2"/>
    <x v="11"/>
    <x v="11"/>
    <x v="3"/>
    <x v="2"/>
  </r>
  <r>
    <s v="AX22474"/>
    <s v="ENX2032"/>
    <s v="A116"/>
    <s v="EMP1010"/>
    <s v="C1137"/>
    <x v="344"/>
    <n v="4"/>
    <n v="1967"/>
    <n v="1397"/>
    <n v="5588"/>
    <n v="7868"/>
    <n v="2280"/>
    <s v="Product 33"/>
    <x v="15"/>
    <s v="Joshua Cook"/>
    <x v="131"/>
    <n v="3"/>
    <x v="2"/>
    <x v="11"/>
    <x v="11"/>
    <x v="3"/>
    <x v="2"/>
  </r>
  <r>
    <s v="AX23308"/>
    <s v="ENX2085"/>
    <s v="A159"/>
    <s v="EMP1024"/>
    <s v="C1248"/>
    <x v="342"/>
    <n v="1"/>
    <n v="1862"/>
    <n v="1173"/>
    <n v="1173"/>
    <n v="1862"/>
    <n v="689"/>
    <s v="Product 86"/>
    <x v="13"/>
    <s v="Ernest Wheeler"/>
    <x v="354"/>
    <n v="3"/>
    <x v="2"/>
    <x v="11"/>
    <x v="11"/>
    <x v="3"/>
    <x v="2"/>
  </r>
  <r>
    <s v="AX23580"/>
    <s v="ENX2060"/>
    <s v="A127"/>
    <s v="EMP1027"/>
    <s v="C1096"/>
    <x v="341"/>
    <n v="1"/>
    <n v="1467"/>
    <n v="807"/>
    <n v="807"/>
    <n v="1467"/>
    <n v="660"/>
    <s v="Product 61"/>
    <x v="69"/>
    <s v="Gary Rodriguez"/>
    <x v="91"/>
    <n v="3"/>
    <x v="2"/>
    <x v="11"/>
    <x v="11"/>
    <x v="3"/>
    <x v="2"/>
  </r>
  <r>
    <s v="AX23599"/>
    <s v="ENX2004"/>
    <s v="A135"/>
    <s v="EMP1035"/>
    <s v="C1460"/>
    <x v="343"/>
    <n v="4"/>
    <n v="1278"/>
    <n v="665"/>
    <n v="2660"/>
    <n v="5112"/>
    <n v="2452"/>
    <s v="Product 5"/>
    <x v="10"/>
    <s v="Roger Ramos"/>
    <x v="613"/>
    <n v="3"/>
    <x v="2"/>
    <x v="11"/>
    <x v="11"/>
    <x v="3"/>
    <x v="2"/>
  </r>
  <r>
    <s v="AX23654"/>
    <s v="ENX2052"/>
    <s v="A144"/>
    <s v="EMP1033"/>
    <s v="C1289"/>
    <x v="341"/>
    <n v="3"/>
    <n v="1526"/>
    <n v="1251"/>
    <n v="3753"/>
    <n v="4578"/>
    <n v="825"/>
    <s v="Product 53"/>
    <x v="65"/>
    <s v="Jerry Perry"/>
    <x v="328"/>
    <n v="3"/>
    <x v="2"/>
    <x v="11"/>
    <x v="11"/>
    <x v="3"/>
    <x v="2"/>
  </r>
  <r>
    <s v="AX23893"/>
    <s v="ENX2030"/>
    <s v="A104"/>
    <s v="EMP1030"/>
    <s v="C1230"/>
    <x v="343"/>
    <n v="1"/>
    <n v="1899"/>
    <n v="1044"/>
    <n v="1044"/>
    <n v="1899"/>
    <n v="855"/>
    <s v="Product 31"/>
    <x v="50"/>
    <s v="Bobby Russell"/>
    <x v="578"/>
    <n v="3"/>
    <x v="2"/>
    <x v="11"/>
    <x v="11"/>
    <x v="3"/>
    <x v="2"/>
  </r>
  <r>
    <s v="AX24070"/>
    <s v="ENX2099"/>
    <s v="A157"/>
    <s v="EMP1007"/>
    <s v="C1251"/>
    <x v="344"/>
    <n v="1"/>
    <n v="1367"/>
    <n v="984"/>
    <n v="984"/>
    <n v="1367"/>
    <n v="383"/>
    <s v="Product 100"/>
    <x v="7"/>
    <s v="Jeremy Mendoza"/>
    <x v="199"/>
    <n v="3"/>
    <x v="2"/>
    <x v="11"/>
    <x v="11"/>
    <x v="3"/>
    <x v="2"/>
  </r>
  <r>
    <s v="AX24093"/>
    <s v="ENX2060"/>
    <s v="A164"/>
    <s v="EMP1033"/>
    <s v="C1266"/>
    <x v="341"/>
    <n v="3"/>
    <n v="1467"/>
    <n v="807"/>
    <n v="2421"/>
    <n v="4401"/>
    <n v="1980"/>
    <s v="Product 61"/>
    <x v="3"/>
    <s v="Jerry Perry"/>
    <x v="254"/>
    <n v="3"/>
    <x v="2"/>
    <x v="11"/>
    <x v="11"/>
    <x v="3"/>
    <x v="2"/>
  </r>
  <r>
    <s v="AX24499"/>
    <s v="ENX2053"/>
    <s v="A170"/>
    <s v="EMP1024"/>
    <s v="C1336"/>
    <x v="341"/>
    <n v="3"/>
    <n v="596"/>
    <n v="358"/>
    <n v="1074"/>
    <n v="1788"/>
    <n v="714"/>
    <s v="Product 54"/>
    <x v="47"/>
    <s v="Ernest Wheeler"/>
    <x v="721"/>
    <n v="3"/>
    <x v="2"/>
    <x v="11"/>
    <x v="11"/>
    <x v="3"/>
    <x v="2"/>
  </r>
  <r>
    <s v="AX24775"/>
    <s v="ENX2011"/>
    <s v="A133"/>
    <s v="EMP1019"/>
    <s v="C1747"/>
    <x v="344"/>
    <n v="4"/>
    <n v="530"/>
    <n v="435"/>
    <n v="1740"/>
    <n v="2120"/>
    <n v="380"/>
    <s v="Product 12"/>
    <x v="46"/>
    <s v="Roger Robertson"/>
    <x v="392"/>
    <n v="3"/>
    <x v="2"/>
    <x v="11"/>
    <x v="11"/>
    <x v="3"/>
    <x v="2"/>
  </r>
  <r>
    <s v="AX24878"/>
    <s v="ENX2064"/>
    <s v="A150"/>
    <s v="EMP1015"/>
    <s v="C1772"/>
    <x v="344"/>
    <n v="1"/>
    <n v="1414"/>
    <n v="962"/>
    <n v="962"/>
    <n v="1414"/>
    <n v="452"/>
    <s v="Product 65"/>
    <x v="30"/>
    <s v="Justin Lynch"/>
    <x v="643"/>
    <n v="3"/>
    <x v="2"/>
    <x v="11"/>
    <x v="11"/>
    <x v="3"/>
    <x v="2"/>
  </r>
  <r>
    <s v="AX10091"/>
    <s v="ENX2051"/>
    <s v="A115"/>
    <s v="EMP1017"/>
    <s v="C1707"/>
    <x v="345"/>
    <n v="1"/>
    <n v="1077"/>
    <n v="732"/>
    <n v="732"/>
    <n v="1077"/>
    <n v="345"/>
    <s v="Product 52"/>
    <x v="33"/>
    <s v="Brian Hansen"/>
    <x v="192"/>
    <n v="4"/>
    <x v="3"/>
    <x v="0"/>
    <x v="0"/>
    <x v="0"/>
    <x v="0"/>
  </r>
  <r>
    <s v="AX10415"/>
    <s v="ENX2029"/>
    <s v="A159"/>
    <s v="EMP1006"/>
    <s v="C1625"/>
    <x v="346"/>
    <n v="1"/>
    <n v="1848"/>
    <n v="1294"/>
    <n v="1294"/>
    <n v="1848"/>
    <n v="554"/>
    <s v="Product 30"/>
    <x v="13"/>
    <s v="Sean Miller"/>
    <x v="575"/>
    <n v="4"/>
    <x v="3"/>
    <x v="0"/>
    <x v="0"/>
    <x v="0"/>
    <x v="0"/>
  </r>
  <r>
    <s v="AX10448"/>
    <s v="ENX2005"/>
    <s v="A128"/>
    <s v="EMP1028"/>
    <s v="C1208"/>
    <x v="347"/>
    <n v="2"/>
    <n v="684"/>
    <n v="561"/>
    <n v="1122"/>
    <n v="1368"/>
    <n v="246"/>
    <s v="Product 6"/>
    <x v="12"/>
    <s v="Howard Sims"/>
    <x v="582"/>
    <n v="4"/>
    <x v="3"/>
    <x v="0"/>
    <x v="0"/>
    <x v="0"/>
    <x v="0"/>
  </r>
  <r>
    <s v="AX10563"/>
    <s v="ENX2004"/>
    <s v="A164"/>
    <s v="EMP1025"/>
    <s v="C1045"/>
    <x v="346"/>
    <n v="1"/>
    <n v="1278"/>
    <n v="665"/>
    <n v="665"/>
    <n v="1278"/>
    <n v="613"/>
    <s v="Product 5"/>
    <x v="3"/>
    <s v="Ernest Wagner"/>
    <x v="444"/>
    <n v="4"/>
    <x v="3"/>
    <x v="0"/>
    <x v="0"/>
    <x v="0"/>
    <x v="0"/>
  </r>
  <r>
    <s v="AX10624"/>
    <s v="ENX2068"/>
    <s v="A121"/>
    <s v="EMP1021"/>
    <s v="C1659"/>
    <x v="346"/>
    <n v="2"/>
    <n v="1500"/>
    <n v="900"/>
    <n v="1800"/>
    <n v="3000"/>
    <n v="1200"/>
    <s v="Product 69"/>
    <x v="72"/>
    <s v="Clarence Fox"/>
    <x v="51"/>
    <n v="4"/>
    <x v="3"/>
    <x v="0"/>
    <x v="0"/>
    <x v="0"/>
    <x v="0"/>
  </r>
  <r>
    <s v="AX10729"/>
    <s v="ENX2021"/>
    <s v="A115"/>
    <s v="EMP1034"/>
    <s v="C1148"/>
    <x v="348"/>
    <n v="2"/>
    <n v="217"/>
    <n v="171"/>
    <n v="342"/>
    <n v="434"/>
    <n v="92"/>
    <s v="Product 22"/>
    <x v="33"/>
    <s v="Arthur Mccoy"/>
    <x v="55"/>
    <n v="4"/>
    <x v="3"/>
    <x v="0"/>
    <x v="0"/>
    <x v="0"/>
    <x v="0"/>
  </r>
  <r>
    <s v="AX10748"/>
    <s v="ENX2000"/>
    <s v="A141"/>
    <s v="EMP1022"/>
    <s v="C1346"/>
    <x v="348"/>
    <n v="4"/>
    <n v="2241"/>
    <n v="1367"/>
    <n v="5468"/>
    <n v="8964"/>
    <n v="3496"/>
    <s v="Product 1"/>
    <x v="23"/>
    <s v="Walter Cook"/>
    <x v="340"/>
    <n v="4"/>
    <x v="3"/>
    <x v="0"/>
    <x v="0"/>
    <x v="0"/>
    <x v="0"/>
  </r>
  <r>
    <s v="AX11023"/>
    <s v="ENX2099"/>
    <s v="A166"/>
    <s v="EMP1011"/>
    <s v="C1512"/>
    <x v="347"/>
    <n v="4"/>
    <n v="1367"/>
    <n v="984"/>
    <n v="3936"/>
    <n v="5468"/>
    <n v="1532"/>
    <s v="Product 100"/>
    <x v="70"/>
    <s v="Larry Marshall"/>
    <x v="671"/>
    <n v="4"/>
    <x v="3"/>
    <x v="0"/>
    <x v="0"/>
    <x v="0"/>
    <x v="0"/>
  </r>
  <r>
    <s v="AX11232"/>
    <s v="ENX2029"/>
    <s v="A111"/>
    <s v="EMP1034"/>
    <s v="C1311"/>
    <x v="348"/>
    <n v="1"/>
    <n v="1848"/>
    <n v="1294"/>
    <n v="1294"/>
    <n v="1848"/>
    <n v="554"/>
    <s v="Product 30"/>
    <x v="54"/>
    <s v="Arthur Mccoy"/>
    <x v="309"/>
    <n v="4"/>
    <x v="3"/>
    <x v="0"/>
    <x v="0"/>
    <x v="0"/>
    <x v="0"/>
  </r>
  <r>
    <s v="AX11518"/>
    <s v="ENX2049"/>
    <s v="A113"/>
    <s v="EMP1012"/>
    <s v="C1137"/>
    <x v="346"/>
    <n v="4"/>
    <n v="826"/>
    <n v="562"/>
    <n v="2248"/>
    <n v="3304"/>
    <n v="1056"/>
    <s v="Product 50"/>
    <x v="73"/>
    <s v="John Reyes"/>
    <x v="131"/>
    <n v="4"/>
    <x v="3"/>
    <x v="0"/>
    <x v="0"/>
    <x v="0"/>
    <x v="0"/>
  </r>
  <r>
    <s v="AX11565"/>
    <s v="ENX2094"/>
    <s v="A170"/>
    <s v="EMP1043"/>
    <s v="C1406"/>
    <x v="346"/>
    <n v="3"/>
    <n v="771"/>
    <n v="648"/>
    <n v="1944"/>
    <n v="2313"/>
    <n v="369"/>
    <s v="Product 95"/>
    <x v="47"/>
    <s v="Joshua Taylor"/>
    <x v="783"/>
    <n v="4"/>
    <x v="3"/>
    <x v="0"/>
    <x v="0"/>
    <x v="0"/>
    <x v="0"/>
  </r>
  <r>
    <s v="AX11756"/>
    <s v="ENX2073"/>
    <s v="A149"/>
    <s v="EMP1004"/>
    <s v="C1704"/>
    <x v="347"/>
    <n v="2"/>
    <n v="95"/>
    <n v="61"/>
    <n v="122"/>
    <n v="190"/>
    <n v="68"/>
    <s v="Product 74"/>
    <x v="59"/>
    <s v="Kenneth Bradley"/>
    <x v="28"/>
    <n v="4"/>
    <x v="3"/>
    <x v="0"/>
    <x v="0"/>
    <x v="0"/>
    <x v="0"/>
  </r>
  <r>
    <s v="AX11773"/>
    <s v="ENX2035"/>
    <s v="A145"/>
    <s v="EMP1005"/>
    <s v="C1597"/>
    <x v="349"/>
    <n v="4"/>
    <n v="458"/>
    <n v="376"/>
    <n v="1504"/>
    <n v="1832"/>
    <n v="328"/>
    <s v="Product 36"/>
    <x v="35"/>
    <s v="Ryan Welch"/>
    <x v="183"/>
    <n v="4"/>
    <x v="3"/>
    <x v="0"/>
    <x v="0"/>
    <x v="0"/>
    <x v="0"/>
  </r>
  <r>
    <s v="AX12014"/>
    <s v="ENX2012"/>
    <s v="A146"/>
    <s v="EMP1040"/>
    <s v="C1523"/>
    <x v="348"/>
    <n v="2"/>
    <n v="1353"/>
    <n v="947"/>
    <n v="1894"/>
    <n v="2706"/>
    <n v="812"/>
    <s v="Product 13"/>
    <x v="27"/>
    <s v="Patrick Ruiz"/>
    <x v="543"/>
    <n v="4"/>
    <x v="3"/>
    <x v="0"/>
    <x v="0"/>
    <x v="0"/>
    <x v="0"/>
  </r>
  <r>
    <s v="AX12186"/>
    <s v="ENX2058"/>
    <s v="A128"/>
    <s v="EMP1026"/>
    <s v="C1494"/>
    <x v="347"/>
    <n v="2"/>
    <n v="2257"/>
    <n v="1535"/>
    <n v="3070"/>
    <n v="4514"/>
    <n v="1444"/>
    <s v="Product 59"/>
    <x v="12"/>
    <s v="Martin Perry"/>
    <x v="698"/>
    <n v="4"/>
    <x v="3"/>
    <x v="0"/>
    <x v="0"/>
    <x v="0"/>
    <x v="0"/>
  </r>
  <r>
    <s v="AX12649"/>
    <s v="ENX2003"/>
    <s v="A151"/>
    <s v="EMP1006"/>
    <s v="C1623"/>
    <x v="349"/>
    <n v="1"/>
    <n v="1783"/>
    <n v="1516"/>
    <n v="1516"/>
    <n v="1783"/>
    <n v="267"/>
    <s v="Product 4"/>
    <x v="1"/>
    <s v="Sean Miller"/>
    <x v="282"/>
    <n v="4"/>
    <x v="3"/>
    <x v="0"/>
    <x v="0"/>
    <x v="0"/>
    <x v="0"/>
  </r>
  <r>
    <s v="AX13032"/>
    <s v="ENX2100"/>
    <s v="A145"/>
    <s v="EMP1022"/>
    <s v="C1698"/>
    <x v="349"/>
    <n v="1"/>
    <n v="799"/>
    <n v="455"/>
    <n v="455"/>
    <n v="799"/>
    <n v="344"/>
    <s v="Product 101"/>
    <x v="35"/>
    <s v="Walter Cook"/>
    <x v="86"/>
    <n v="4"/>
    <x v="3"/>
    <x v="0"/>
    <x v="0"/>
    <x v="0"/>
    <x v="0"/>
  </r>
  <r>
    <s v="AX13128"/>
    <s v="ENX2074"/>
    <s v="A135"/>
    <s v="EMP1010"/>
    <s v="C1543"/>
    <x v="349"/>
    <n v="3"/>
    <n v="504"/>
    <n v="408"/>
    <n v="1224"/>
    <n v="1512"/>
    <n v="288"/>
    <s v="Product 75"/>
    <x v="10"/>
    <s v="Joshua Cook"/>
    <x v="337"/>
    <n v="4"/>
    <x v="3"/>
    <x v="0"/>
    <x v="0"/>
    <x v="0"/>
    <x v="0"/>
  </r>
  <r>
    <s v="AX13418"/>
    <s v="ENX2018"/>
    <s v="A142"/>
    <s v="EMP1035"/>
    <s v="C1138"/>
    <x v="345"/>
    <n v="3"/>
    <n v="1972"/>
    <n v="1321"/>
    <n v="3963"/>
    <n v="5916"/>
    <n v="1953"/>
    <s v="Product 19"/>
    <x v="56"/>
    <s v="Roger Ramos"/>
    <x v="325"/>
    <n v="4"/>
    <x v="3"/>
    <x v="0"/>
    <x v="0"/>
    <x v="0"/>
    <x v="0"/>
  </r>
  <r>
    <s v="AX13744"/>
    <s v="ENX2095"/>
    <s v="A121"/>
    <s v="EMP1039"/>
    <s v="C1065"/>
    <x v="348"/>
    <n v="2"/>
    <n v="1743"/>
    <n v="872"/>
    <n v="1744"/>
    <n v="3486"/>
    <n v="1742"/>
    <s v="Product 96"/>
    <x v="72"/>
    <s v="Eugene Holmes"/>
    <x v="637"/>
    <n v="4"/>
    <x v="3"/>
    <x v="0"/>
    <x v="0"/>
    <x v="0"/>
    <x v="0"/>
  </r>
  <r>
    <s v="AX13792"/>
    <s v="ENX2012"/>
    <s v="A122"/>
    <s v="EMP1001"/>
    <s v="C1581"/>
    <x v="347"/>
    <n v="3"/>
    <n v="1353"/>
    <n v="947"/>
    <n v="2841"/>
    <n v="4059"/>
    <n v="1218"/>
    <s v="Product 13"/>
    <x v="71"/>
    <s v="Kevin Butler"/>
    <x v="510"/>
    <n v="4"/>
    <x v="3"/>
    <x v="0"/>
    <x v="0"/>
    <x v="0"/>
    <x v="0"/>
  </r>
  <r>
    <s v="AX14044"/>
    <s v="ENX2036"/>
    <s v="A136"/>
    <s v="EMP1041"/>
    <s v="C1170"/>
    <x v="347"/>
    <n v="4"/>
    <n v="1582"/>
    <n v="1234"/>
    <n v="4936"/>
    <n v="6328"/>
    <n v="1392"/>
    <s v="Product 37"/>
    <x v="43"/>
    <s v="Joe Sims"/>
    <x v="616"/>
    <n v="4"/>
    <x v="3"/>
    <x v="0"/>
    <x v="0"/>
    <x v="0"/>
    <x v="0"/>
  </r>
  <r>
    <s v="AX14179"/>
    <s v="ENX2040"/>
    <s v="A100"/>
    <s v="EMP1020"/>
    <s v="C1454"/>
    <x v="345"/>
    <n v="3"/>
    <n v="1889"/>
    <n v="945"/>
    <n v="2835"/>
    <n v="5667"/>
    <n v="2832"/>
    <s v="Product 41"/>
    <x v="52"/>
    <s v="Ryan Butler"/>
    <x v="68"/>
    <n v="4"/>
    <x v="3"/>
    <x v="0"/>
    <x v="0"/>
    <x v="0"/>
    <x v="0"/>
  </r>
  <r>
    <s v="AX14272"/>
    <s v="ENX2041"/>
    <s v="A118"/>
    <s v="EMP1024"/>
    <s v="C1314"/>
    <x v="346"/>
    <n v="3"/>
    <n v="1380"/>
    <n v="1090"/>
    <n v="3270"/>
    <n v="4140"/>
    <n v="870"/>
    <s v="Product 42"/>
    <x v="19"/>
    <s v="Ernest Wheeler"/>
    <x v="421"/>
    <n v="4"/>
    <x v="3"/>
    <x v="0"/>
    <x v="0"/>
    <x v="0"/>
    <x v="0"/>
  </r>
  <r>
    <s v="AX14366"/>
    <s v="ENX2004"/>
    <s v="A101"/>
    <s v="EMP1026"/>
    <s v="C1172"/>
    <x v="346"/>
    <n v="2"/>
    <n v="1278"/>
    <n v="665"/>
    <n v="1330"/>
    <n v="2556"/>
    <n v="1226"/>
    <s v="Product 5"/>
    <x v="60"/>
    <s v="Martin Perry"/>
    <x v="63"/>
    <n v="4"/>
    <x v="3"/>
    <x v="0"/>
    <x v="0"/>
    <x v="0"/>
    <x v="0"/>
  </r>
  <r>
    <s v="AX14574"/>
    <s v="ENX2047"/>
    <s v="A134"/>
    <s v="EMP1022"/>
    <s v="C1299"/>
    <x v="347"/>
    <n v="1"/>
    <n v="290"/>
    <n v="200"/>
    <n v="200"/>
    <n v="290"/>
    <n v="90"/>
    <s v="Product 48"/>
    <x v="41"/>
    <s v="Walter Cook"/>
    <x v="655"/>
    <n v="4"/>
    <x v="3"/>
    <x v="0"/>
    <x v="0"/>
    <x v="0"/>
    <x v="0"/>
  </r>
  <r>
    <s v="AX14686"/>
    <s v="ENX2020"/>
    <s v="A158"/>
    <s v="EMP1008"/>
    <s v="C1043"/>
    <x v="349"/>
    <n v="1"/>
    <n v="2005"/>
    <n v="1223"/>
    <n v="1223"/>
    <n v="2005"/>
    <n v="782"/>
    <s v="Product 21"/>
    <x v="58"/>
    <s v="Carl Elliott"/>
    <x v="546"/>
    <n v="4"/>
    <x v="3"/>
    <x v="0"/>
    <x v="0"/>
    <x v="0"/>
    <x v="0"/>
  </r>
  <r>
    <s v="AX14990"/>
    <s v="ENX2052"/>
    <s v="A151"/>
    <s v="EMP1002"/>
    <s v="C1470"/>
    <x v="349"/>
    <n v="3"/>
    <n v="1526"/>
    <n v="1251"/>
    <n v="3753"/>
    <n v="4578"/>
    <n v="825"/>
    <s v="Product 53"/>
    <x v="1"/>
    <s v="Andrew Bowman"/>
    <x v="621"/>
    <n v="4"/>
    <x v="3"/>
    <x v="0"/>
    <x v="0"/>
    <x v="0"/>
    <x v="0"/>
  </r>
  <r>
    <s v="AX15011"/>
    <s v="ENX2003"/>
    <s v="A159"/>
    <s v="EMP1021"/>
    <s v="C1094"/>
    <x v="347"/>
    <n v="1"/>
    <n v="1783"/>
    <n v="1516"/>
    <n v="1516"/>
    <n v="1783"/>
    <n v="267"/>
    <s v="Product 4"/>
    <x v="13"/>
    <s v="Clarence Fox"/>
    <x v="261"/>
    <n v="4"/>
    <x v="3"/>
    <x v="0"/>
    <x v="0"/>
    <x v="0"/>
    <x v="0"/>
  </r>
  <r>
    <s v="AX15069"/>
    <s v="ENX2038"/>
    <s v="A110"/>
    <s v="EMP1028"/>
    <s v="C1766"/>
    <x v="345"/>
    <n v="3"/>
    <n v="392"/>
    <n v="255"/>
    <n v="765"/>
    <n v="1176"/>
    <n v="411"/>
    <s v="Product 39"/>
    <x v="63"/>
    <s v="Howard Sims"/>
    <x v="452"/>
    <n v="4"/>
    <x v="3"/>
    <x v="0"/>
    <x v="0"/>
    <x v="0"/>
    <x v="0"/>
  </r>
  <r>
    <s v="AX15105"/>
    <s v="ENX2038"/>
    <s v="A111"/>
    <s v="EMP1036"/>
    <s v="C1129"/>
    <x v="347"/>
    <n v="1"/>
    <n v="392"/>
    <n v="255"/>
    <n v="255"/>
    <n v="392"/>
    <n v="137"/>
    <s v="Product 39"/>
    <x v="54"/>
    <s v="Robert Reed"/>
    <x v="281"/>
    <n v="4"/>
    <x v="3"/>
    <x v="0"/>
    <x v="0"/>
    <x v="0"/>
    <x v="0"/>
  </r>
  <r>
    <s v="AX15215"/>
    <s v="ENX2044"/>
    <s v="A116"/>
    <s v="EMP1022"/>
    <s v="C1778"/>
    <x v="349"/>
    <n v="1"/>
    <n v="886"/>
    <n v="478"/>
    <n v="478"/>
    <n v="886"/>
    <n v="408"/>
    <s v="Product 45"/>
    <x v="15"/>
    <s v="Walter Cook"/>
    <x v="420"/>
    <n v="4"/>
    <x v="3"/>
    <x v="0"/>
    <x v="0"/>
    <x v="0"/>
    <x v="0"/>
  </r>
  <r>
    <s v="AX15320"/>
    <s v="ENX2049"/>
    <s v="A109"/>
    <s v="EMP1018"/>
    <s v="C1372"/>
    <x v="348"/>
    <n v="1"/>
    <n v="826"/>
    <n v="562"/>
    <n v="562"/>
    <n v="826"/>
    <n v="264"/>
    <s v="Product 50"/>
    <x v="57"/>
    <s v="Jimmy Young"/>
    <x v="60"/>
    <n v="4"/>
    <x v="3"/>
    <x v="0"/>
    <x v="0"/>
    <x v="0"/>
    <x v="0"/>
  </r>
  <r>
    <s v="AX15655"/>
    <s v="ENX2074"/>
    <s v="A115"/>
    <s v="EMP1020"/>
    <s v="C1581"/>
    <x v="348"/>
    <n v="4"/>
    <n v="504"/>
    <n v="408"/>
    <n v="1632"/>
    <n v="2016"/>
    <n v="384"/>
    <s v="Product 75"/>
    <x v="33"/>
    <s v="Ryan Butler"/>
    <x v="510"/>
    <n v="4"/>
    <x v="3"/>
    <x v="0"/>
    <x v="0"/>
    <x v="0"/>
    <x v="0"/>
  </r>
  <r>
    <s v="AX16336"/>
    <s v="ENX2054"/>
    <s v="A162"/>
    <s v="EMP1031"/>
    <s v="C1464"/>
    <x v="346"/>
    <n v="3"/>
    <n v="127"/>
    <n v="79"/>
    <n v="237"/>
    <n v="381"/>
    <n v="144"/>
    <s v="Product 55"/>
    <x v="2"/>
    <s v="Brian Thomas"/>
    <x v="322"/>
    <n v="4"/>
    <x v="3"/>
    <x v="0"/>
    <x v="0"/>
    <x v="0"/>
    <x v="0"/>
  </r>
  <r>
    <s v="AX16549"/>
    <s v="ENX2092"/>
    <s v="A135"/>
    <s v="EMP1002"/>
    <s v="C1085"/>
    <x v="347"/>
    <n v="1"/>
    <n v="1639"/>
    <n v="1295"/>
    <n v="1295"/>
    <n v="1639"/>
    <n v="344"/>
    <s v="Product 93"/>
    <x v="10"/>
    <s v="Andrew Bowman"/>
    <x v="412"/>
    <n v="4"/>
    <x v="3"/>
    <x v="0"/>
    <x v="0"/>
    <x v="0"/>
    <x v="0"/>
  </r>
  <r>
    <s v="AX16811"/>
    <s v="ENX2041"/>
    <s v="A167"/>
    <s v="EMP1033"/>
    <s v="C1493"/>
    <x v="345"/>
    <n v="1"/>
    <n v="1380"/>
    <n v="1090"/>
    <n v="1090"/>
    <n v="1380"/>
    <n v="290"/>
    <s v="Product 42"/>
    <x v="64"/>
    <s v="Jerry Perry"/>
    <x v="380"/>
    <n v="4"/>
    <x v="3"/>
    <x v="0"/>
    <x v="0"/>
    <x v="0"/>
    <x v="0"/>
  </r>
  <r>
    <s v="AX16846"/>
    <s v="ENX2019"/>
    <s v="A114"/>
    <s v="EMP1013"/>
    <s v="C1511"/>
    <x v="345"/>
    <n v="2"/>
    <n v="800"/>
    <n v="536"/>
    <n v="1072"/>
    <n v="1600"/>
    <n v="528"/>
    <s v="Product 20"/>
    <x v="28"/>
    <s v="Charles Harper"/>
    <x v="754"/>
    <n v="4"/>
    <x v="3"/>
    <x v="0"/>
    <x v="0"/>
    <x v="0"/>
    <x v="0"/>
  </r>
  <r>
    <s v="AX16889"/>
    <s v="ENX2011"/>
    <s v="A145"/>
    <s v="EMP1009"/>
    <s v="C1148"/>
    <x v="348"/>
    <n v="3"/>
    <n v="530"/>
    <n v="435"/>
    <n v="1305"/>
    <n v="1590"/>
    <n v="285"/>
    <s v="Product 12"/>
    <x v="35"/>
    <s v="Kenneth Fields"/>
    <x v="55"/>
    <n v="4"/>
    <x v="3"/>
    <x v="0"/>
    <x v="0"/>
    <x v="0"/>
    <x v="0"/>
  </r>
  <r>
    <s v="AX17166"/>
    <s v="ENX2023"/>
    <s v="A132"/>
    <s v="EMP1022"/>
    <s v="C1028"/>
    <x v="349"/>
    <n v="1"/>
    <n v="818"/>
    <n v="450"/>
    <n v="450"/>
    <n v="818"/>
    <n v="368"/>
    <s v="Product 24"/>
    <x v="48"/>
    <s v="Walter Cook"/>
    <x v="135"/>
    <n v="4"/>
    <x v="3"/>
    <x v="0"/>
    <x v="0"/>
    <x v="0"/>
    <x v="0"/>
  </r>
  <r>
    <s v="AX17549"/>
    <s v="ENX2046"/>
    <s v="A119"/>
    <s v="EMP1000"/>
    <s v="C1062"/>
    <x v="347"/>
    <n v="3"/>
    <n v="2410"/>
    <n v="1518"/>
    <n v="4554"/>
    <n v="7230"/>
    <n v="2676"/>
    <s v="Product 47"/>
    <x v="16"/>
    <s v="Fred Robertson"/>
    <x v="595"/>
    <n v="4"/>
    <x v="3"/>
    <x v="0"/>
    <x v="0"/>
    <x v="0"/>
    <x v="0"/>
  </r>
  <r>
    <s v="AX17643"/>
    <s v="ENX2079"/>
    <s v="A120"/>
    <s v="EMP1004"/>
    <s v="C1186"/>
    <x v="348"/>
    <n v="1"/>
    <n v="1725"/>
    <n v="1363"/>
    <n v="1363"/>
    <n v="1725"/>
    <n v="362"/>
    <s v="Product 80"/>
    <x v="20"/>
    <s v="Kenneth Bradley"/>
    <x v="467"/>
    <n v="4"/>
    <x v="3"/>
    <x v="0"/>
    <x v="0"/>
    <x v="0"/>
    <x v="0"/>
  </r>
  <r>
    <s v="AX17967"/>
    <s v="ENX2053"/>
    <s v="A172"/>
    <s v="EMP1030"/>
    <s v="C1753"/>
    <x v="349"/>
    <n v="2"/>
    <n v="596"/>
    <n v="358"/>
    <n v="716"/>
    <n v="1192"/>
    <n v="476"/>
    <s v="Product 54"/>
    <x v="36"/>
    <s v="Bobby Russell"/>
    <x v="696"/>
    <n v="4"/>
    <x v="3"/>
    <x v="0"/>
    <x v="0"/>
    <x v="0"/>
    <x v="0"/>
  </r>
  <r>
    <s v="AX17971"/>
    <s v="ENX2069"/>
    <s v="A132"/>
    <s v="EMP1024"/>
    <s v="C1009"/>
    <x v="348"/>
    <n v="2"/>
    <n v="378"/>
    <n v="291"/>
    <n v="582"/>
    <n v="756"/>
    <n v="174"/>
    <s v="Product 70"/>
    <x v="48"/>
    <s v="Ernest Wheeler"/>
    <x v="458"/>
    <n v="4"/>
    <x v="3"/>
    <x v="0"/>
    <x v="0"/>
    <x v="0"/>
    <x v="0"/>
  </r>
  <r>
    <s v="AX18020"/>
    <s v="ENX2071"/>
    <s v="A167"/>
    <s v="EMP1008"/>
    <s v="C1619"/>
    <x v="347"/>
    <n v="1"/>
    <n v="136"/>
    <n v="72"/>
    <n v="72"/>
    <n v="136"/>
    <n v="64"/>
    <s v="Product 72"/>
    <x v="64"/>
    <s v="Carl Elliott"/>
    <x v="77"/>
    <n v="4"/>
    <x v="3"/>
    <x v="0"/>
    <x v="0"/>
    <x v="0"/>
    <x v="0"/>
  </r>
  <r>
    <s v="AX18195"/>
    <s v="ENX2065"/>
    <s v="A133"/>
    <s v="EMP1008"/>
    <s v="C1725"/>
    <x v="345"/>
    <n v="4"/>
    <n v="2396"/>
    <n v="1965"/>
    <n v="7860"/>
    <n v="9584"/>
    <n v="1724"/>
    <s v="Product 66"/>
    <x v="46"/>
    <s v="Carl Elliott"/>
    <x v="81"/>
    <n v="4"/>
    <x v="3"/>
    <x v="0"/>
    <x v="0"/>
    <x v="0"/>
    <x v="0"/>
  </r>
  <r>
    <s v="AX19602"/>
    <s v="ENX2084"/>
    <s v="A169"/>
    <s v="EMP1005"/>
    <s v="C1190"/>
    <x v="347"/>
    <n v="1"/>
    <n v="1783"/>
    <n v="1230"/>
    <n v="1230"/>
    <n v="1783"/>
    <n v="553"/>
    <s v="Product 85"/>
    <x v="17"/>
    <s v="Ryan Welch"/>
    <x v="1"/>
    <n v="4"/>
    <x v="3"/>
    <x v="0"/>
    <x v="0"/>
    <x v="0"/>
    <x v="0"/>
  </r>
  <r>
    <s v="AX20227"/>
    <s v="ENX2007"/>
    <s v="A164"/>
    <s v="EMP1030"/>
    <s v="C1381"/>
    <x v="346"/>
    <n v="4"/>
    <n v="1405"/>
    <n v="1054"/>
    <n v="4216"/>
    <n v="5620"/>
    <n v="1404"/>
    <s v="Product 8"/>
    <x v="3"/>
    <s v="Bobby Russell"/>
    <x v="714"/>
    <n v="4"/>
    <x v="3"/>
    <x v="0"/>
    <x v="0"/>
    <x v="0"/>
    <x v="0"/>
  </r>
  <r>
    <s v="AX20304"/>
    <s v="ENX2079"/>
    <s v="A132"/>
    <s v="EMP1044"/>
    <s v="C1567"/>
    <x v="346"/>
    <n v="1"/>
    <n v="1725"/>
    <n v="1363"/>
    <n v="1363"/>
    <n v="1725"/>
    <n v="362"/>
    <s v="Product 80"/>
    <x v="48"/>
    <s v="Martin Carr"/>
    <x v="251"/>
    <n v="4"/>
    <x v="3"/>
    <x v="0"/>
    <x v="0"/>
    <x v="0"/>
    <x v="0"/>
  </r>
  <r>
    <s v="AX20306"/>
    <s v="ENX2059"/>
    <s v="A134"/>
    <s v="EMP1005"/>
    <s v="C1791"/>
    <x v="346"/>
    <n v="2"/>
    <n v="1494"/>
    <n v="971"/>
    <n v="1942"/>
    <n v="2988"/>
    <n v="1046"/>
    <s v="Product 60"/>
    <x v="41"/>
    <s v="Ryan Welch"/>
    <x v="193"/>
    <n v="4"/>
    <x v="3"/>
    <x v="0"/>
    <x v="0"/>
    <x v="0"/>
    <x v="0"/>
  </r>
  <r>
    <s v="AX20638"/>
    <s v="ENX2064"/>
    <s v="A123"/>
    <s v="EMP1027"/>
    <s v="C1176"/>
    <x v="347"/>
    <n v="1"/>
    <n v="1414"/>
    <n v="962"/>
    <n v="962"/>
    <n v="1414"/>
    <n v="452"/>
    <s v="Product 65"/>
    <x v="34"/>
    <s v="Gary Rodriguez"/>
    <x v="117"/>
    <n v="4"/>
    <x v="3"/>
    <x v="0"/>
    <x v="0"/>
    <x v="0"/>
    <x v="0"/>
  </r>
  <r>
    <s v="AX21203"/>
    <s v="ENX2055"/>
    <s v="A161"/>
    <s v="EMP1044"/>
    <s v="C1706"/>
    <x v="347"/>
    <n v="1"/>
    <n v="2495"/>
    <n v="1896"/>
    <n v="1896"/>
    <n v="2495"/>
    <n v="599"/>
    <s v="Product 56"/>
    <x v="6"/>
    <s v="Martin Carr"/>
    <x v="171"/>
    <n v="4"/>
    <x v="3"/>
    <x v="0"/>
    <x v="0"/>
    <x v="0"/>
    <x v="0"/>
  </r>
  <r>
    <s v="AX21433"/>
    <s v="ENX2052"/>
    <s v="A137"/>
    <s v="EMP1016"/>
    <s v="C1147"/>
    <x v="349"/>
    <n v="2"/>
    <n v="1526"/>
    <n v="1251"/>
    <n v="2502"/>
    <n v="3052"/>
    <n v="550"/>
    <s v="Product 53"/>
    <x v="68"/>
    <s v="Henry Nelson"/>
    <x v="427"/>
    <n v="4"/>
    <x v="3"/>
    <x v="0"/>
    <x v="0"/>
    <x v="0"/>
    <x v="0"/>
  </r>
  <r>
    <s v="AX21694"/>
    <s v="ENX2063"/>
    <s v="A100"/>
    <s v="EMP1014"/>
    <s v="C1589"/>
    <x v="345"/>
    <n v="1"/>
    <n v="1708"/>
    <n v="871"/>
    <n v="871"/>
    <n v="1708"/>
    <n v="837"/>
    <s v="Product 64"/>
    <x v="52"/>
    <s v="Ronald Reed"/>
    <x v="39"/>
    <n v="4"/>
    <x v="3"/>
    <x v="0"/>
    <x v="0"/>
    <x v="0"/>
    <x v="0"/>
  </r>
  <r>
    <s v="AX21697"/>
    <s v="ENX2031"/>
    <s v="A165"/>
    <s v="EMP1028"/>
    <s v="C1136"/>
    <x v="348"/>
    <n v="1"/>
    <n v="1638"/>
    <n v="1261"/>
    <n v="1261"/>
    <n v="1638"/>
    <n v="377"/>
    <s v="Product 32"/>
    <x v="55"/>
    <s v="Howard Sims"/>
    <x v="425"/>
    <n v="4"/>
    <x v="3"/>
    <x v="0"/>
    <x v="0"/>
    <x v="0"/>
    <x v="0"/>
  </r>
  <r>
    <s v="AX21909"/>
    <s v="ENX2042"/>
    <s v="A165"/>
    <s v="EMP1030"/>
    <s v="C1062"/>
    <x v="348"/>
    <n v="3"/>
    <n v="203"/>
    <n v="154"/>
    <n v="462"/>
    <n v="609"/>
    <n v="147"/>
    <s v="Product 43"/>
    <x v="55"/>
    <s v="Bobby Russell"/>
    <x v="595"/>
    <n v="4"/>
    <x v="3"/>
    <x v="0"/>
    <x v="0"/>
    <x v="0"/>
    <x v="0"/>
  </r>
  <r>
    <s v="AX22576"/>
    <s v="ENX2060"/>
    <s v="A115"/>
    <s v="EMP1003"/>
    <s v="C1408"/>
    <x v="348"/>
    <n v="1"/>
    <n v="1467"/>
    <n v="807"/>
    <n v="807"/>
    <n v="1467"/>
    <n v="660"/>
    <s v="Product 61"/>
    <x v="33"/>
    <s v="Christopher Tucker"/>
    <x v="647"/>
    <n v="4"/>
    <x v="3"/>
    <x v="0"/>
    <x v="0"/>
    <x v="0"/>
    <x v="0"/>
  </r>
  <r>
    <s v="AX23168"/>
    <s v="ENX2099"/>
    <s v="A169"/>
    <s v="EMP1021"/>
    <s v="C1683"/>
    <x v="345"/>
    <n v="1"/>
    <n v="1367"/>
    <n v="984"/>
    <n v="984"/>
    <n v="1367"/>
    <n v="383"/>
    <s v="Product 100"/>
    <x v="17"/>
    <s v="Clarence Fox"/>
    <x v="379"/>
    <n v="4"/>
    <x v="3"/>
    <x v="0"/>
    <x v="0"/>
    <x v="0"/>
    <x v="0"/>
  </r>
  <r>
    <s v="AX23180"/>
    <s v="ENX2071"/>
    <s v="A160"/>
    <s v="EMP1018"/>
    <s v="C1060"/>
    <x v="349"/>
    <n v="1"/>
    <n v="136"/>
    <n v="72"/>
    <n v="72"/>
    <n v="136"/>
    <n v="64"/>
    <s v="Product 72"/>
    <x v="9"/>
    <s v="Jimmy Young"/>
    <x v="603"/>
    <n v="4"/>
    <x v="3"/>
    <x v="0"/>
    <x v="0"/>
    <x v="0"/>
    <x v="0"/>
  </r>
  <r>
    <s v="AX23486"/>
    <s v="ENX2037"/>
    <s v="A166"/>
    <s v="EMP1031"/>
    <s v="C1580"/>
    <x v="347"/>
    <n v="1"/>
    <n v="880"/>
    <n v="634"/>
    <n v="634"/>
    <n v="880"/>
    <n v="246"/>
    <s v="Product 38"/>
    <x v="70"/>
    <s v="Brian Thomas"/>
    <x v="617"/>
    <n v="4"/>
    <x v="3"/>
    <x v="0"/>
    <x v="0"/>
    <x v="0"/>
    <x v="0"/>
  </r>
  <r>
    <s v="AX24007"/>
    <s v="ENX2076"/>
    <s v="A124"/>
    <s v="EMP1028"/>
    <s v="C1208"/>
    <x v="348"/>
    <n v="2"/>
    <n v="1522"/>
    <n v="791"/>
    <n v="1582"/>
    <n v="3044"/>
    <n v="1462"/>
    <s v="Product 77"/>
    <x v="67"/>
    <s v="Howard Sims"/>
    <x v="582"/>
    <n v="4"/>
    <x v="3"/>
    <x v="0"/>
    <x v="0"/>
    <x v="0"/>
    <x v="0"/>
  </r>
  <r>
    <s v="AX24205"/>
    <s v="ENX2070"/>
    <s v="A155"/>
    <s v="EMP1002"/>
    <s v="C1446"/>
    <x v="347"/>
    <n v="1"/>
    <n v="1671"/>
    <n v="1220"/>
    <n v="1220"/>
    <n v="1671"/>
    <n v="451"/>
    <s v="Product 71"/>
    <x v="53"/>
    <s v="Andrew Bowman"/>
    <x v="345"/>
    <n v="4"/>
    <x v="3"/>
    <x v="0"/>
    <x v="0"/>
    <x v="0"/>
    <x v="0"/>
  </r>
  <r>
    <s v="AX24282"/>
    <s v="ENX2005"/>
    <s v="A111"/>
    <s v="EMP1005"/>
    <s v="C1327"/>
    <x v="347"/>
    <n v="1"/>
    <n v="684"/>
    <n v="561"/>
    <n v="561"/>
    <n v="684"/>
    <n v="123"/>
    <s v="Product 6"/>
    <x v="54"/>
    <s v="Ryan Welch"/>
    <x v="321"/>
    <n v="4"/>
    <x v="3"/>
    <x v="0"/>
    <x v="0"/>
    <x v="0"/>
    <x v="0"/>
  </r>
  <r>
    <s v="AX24519"/>
    <s v="ENX2002"/>
    <s v="A119"/>
    <s v="EMP1038"/>
    <s v="C1455"/>
    <x v="349"/>
    <n v="1"/>
    <n v="847"/>
    <n v="534"/>
    <n v="534"/>
    <n v="847"/>
    <n v="313"/>
    <s v="Product 3"/>
    <x v="16"/>
    <s v="Scott Mason"/>
    <x v="47"/>
    <n v="4"/>
    <x v="3"/>
    <x v="0"/>
    <x v="0"/>
    <x v="0"/>
    <x v="0"/>
  </r>
  <r>
    <s v="AX24580"/>
    <s v="ENX2045"/>
    <s v="A116"/>
    <s v="EMP1027"/>
    <s v="C1128"/>
    <x v="345"/>
    <n v="1"/>
    <n v="556"/>
    <n v="395"/>
    <n v="395"/>
    <n v="556"/>
    <n v="161"/>
    <s v="Product 46"/>
    <x v="15"/>
    <s v="Gary Rodriguez"/>
    <x v="553"/>
    <n v="4"/>
    <x v="3"/>
    <x v="0"/>
    <x v="0"/>
    <x v="0"/>
    <x v="0"/>
  </r>
  <r>
    <s v="AX24755"/>
    <s v="ENX2034"/>
    <s v="A114"/>
    <s v="EMP1013"/>
    <s v="C1653"/>
    <x v="345"/>
    <n v="1"/>
    <n v="871"/>
    <n v="540"/>
    <n v="540"/>
    <n v="871"/>
    <n v="331"/>
    <s v="Product 35"/>
    <x v="28"/>
    <s v="Charles Harper"/>
    <x v="187"/>
    <n v="4"/>
    <x v="3"/>
    <x v="0"/>
    <x v="0"/>
    <x v="0"/>
    <x v="0"/>
  </r>
  <r>
    <s v="AX24770"/>
    <s v="ENX2032"/>
    <s v="A158"/>
    <s v="EMP1002"/>
    <s v="C1048"/>
    <x v="347"/>
    <n v="2"/>
    <n v="1967"/>
    <n v="1397"/>
    <n v="2794"/>
    <n v="3934"/>
    <n v="1140"/>
    <s v="Product 33"/>
    <x v="58"/>
    <s v="Andrew Bowman"/>
    <x v="391"/>
    <n v="4"/>
    <x v="3"/>
    <x v="0"/>
    <x v="0"/>
    <x v="0"/>
    <x v="0"/>
  </r>
  <r>
    <s v="AX24933"/>
    <s v="ENX2002"/>
    <s v="A154"/>
    <s v="EMP1002"/>
    <s v="C1222"/>
    <x v="349"/>
    <n v="1"/>
    <n v="847"/>
    <n v="534"/>
    <n v="534"/>
    <n v="847"/>
    <n v="313"/>
    <s v="Product 3"/>
    <x v="24"/>
    <s v="Andrew Bowman"/>
    <x v="691"/>
    <n v="4"/>
    <x v="3"/>
    <x v="0"/>
    <x v="0"/>
    <x v="0"/>
    <x v="0"/>
  </r>
  <r>
    <s v="AX10086"/>
    <s v="ENX2054"/>
    <s v="A130"/>
    <s v="EMP1023"/>
    <s v="C1526"/>
    <x v="350"/>
    <n v="1"/>
    <n v="127"/>
    <n v="79"/>
    <n v="79"/>
    <n v="127"/>
    <n v="48"/>
    <s v="Product 55"/>
    <x v="4"/>
    <s v="Brian Davis"/>
    <x v="6"/>
    <n v="4"/>
    <x v="3"/>
    <x v="0"/>
    <x v="0"/>
    <x v="0"/>
    <x v="1"/>
  </r>
  <r>
    <s v="AX10452"/>
    <s v="ENX2094"/>
    <s v="A168"/>
    <s v="EMP1039"/>
    <s v="C1488"/>
    <x v="351"/>
    <n v="1"/>
    <n v="771"/>
    <n v="648"/>
    <n v="648"/>
    <n v="771"/>
    <n v="123"/>
    <s v="Product 95"/>
    <x v="40"/>
    <s v="Eugene Holmes"/>
    <x v="763"/>
    <n v="4"/>
    <x v="3"/>
    <x v="0"/>
    <x v="0"/>
    <x v="0"/>
    <x v="1"/>
  </r>
  <r>
    <s v="AX10710"/>
    <s v="ENX2041"/>
    <s v="A124"/>
    <s v="EMP1010"/>
    <s v="C1639"/>
    <x v="352"/>
    <n v="2"/>
    <n v="1380"/>
    <n v="1090"/>
    <n v="2180"/>
    <n v="2760"/>
    <n v="580"/>
    <s v="Product 42"/>
    <x v="67"/>
    <s v="Joshua Cook"/>
    <x v="30"/>
    <n v="4"/>
    <x v="3"/>
    <x v="0"/>
    <x v="0"/>
    <x v="0"/>
    <x v="1"/>
  </r>
  <r>
    <s v="AX10715"/>
    <s v="ENX2054"/>
    <s v="A154"/>
    <s v="EMP1032"/>
    <s v="C1542"/>
    <x v="352"/>
    <n v="1"/>
    <n v="127"/>
    <n v="79"/>
    <n v="79"/>
    <n v="127"/>
    <n v="48"/>
    <s v="Product 55"/>
    <x v="24"/>
    <s v="Larry Castillo"/>
    <x v="712"/>
    <n v="4"/>
    <x v="3"/>
    <x v="0"/>
    <x v="0"/>
    <x v="0"/>
    <x v="1"/>
  </r>
  <r>
    <s v="AX10920"/>
    <s v="ENX2077"/>
    <s v="A132"/>
    <s v="EMP1000"/>
    <s v="C1586"/>
    <x v="350"/>
    <n v="1"/>
    <n v="530"/>
    <n v="424"/>
    <n v="424"/>
    <n v="530"/>
    <n v="106"/>
    <s v="Product 78"/>
    <x v="48"/>
    <s v="Fred Robertson"/>
    <x v="585"/>
    <n v="4"/>
    <x v="3"/>
    <x v="0"/>
    <x v="0"/>
    <x v="0"/>
    <x v="1"/>
  </r>
  <r>
    <s v="AX10925"/>
    <s v="ENX2055"/>
    <s v="A151"/>
    <s v="EMP1012"/>
    <s v="C1185"/>
    <x v="350"/>
    <n v="1"/>
    <n v="2495"/>
    <n v="1896"/>
    <n v="1896"/>
    <n v="2495"/>
    <n v="599"/>
    <s v="Product 56"/>
    <x v="1"/>
    <s v="John Reyes"/>
    <x v="215"/>
    <n v="4"/>
    <x v="3"/>
    <x v="0"/>
    <x v="0"/>
    <x v="0"/>
    <x v="1"/>
  </r>
  <r>
    <s v="AX11128"/>
    <s v="ENX2069"/>
    <s v="A134"/>
    <s v="EMP1010"/>
    <s v="C1687"/>
    <x v="350"/>
    <n v="1"/>
    <n v="378"/>
    <n v="291"/>
    <n v="291"/>
    <n v="378"/>
    <n v="87"/>
    <s v="Product 70"/>
    <x v="41"/>
    <s v="Joshua Cook"/>
    <x v="389"/>
    <n v="4"/>
    <x v="3"/>
    <x v="0"/>
    <x v="0"/>
    <x v="0"/>
    <x v="1"/>
  </r>
  <r>
    <s v="AX11713"/>
    <s v="ENX2051"/>
    <s v="A120"/>
    <s v="EMP1003"/>
    <s v="C1619"/>
    <x v="352"/>
    <n v="2"/>
    <n v="1077"/>
    <n v="732"/>
    <n v="1464"/>
    <n v="2154"/>
    <n v="690"/>
    <s v="Product 52"/>
    <x v="20"/>
    <s v="Christopher Tucker"/>
    <x v="77"/>
    <n v="4"/>
    <x v="3"/>
    <x v="0"/>
    <x v="0"/>
    <x v="0"/>
    <x v="1"/>
  </r>
  <r>
    <s v="AX12207"/>
    <s v="ENX2003"/>
    <s v="A125"/>
    <s v="EMP1017"/>
    <s v="C1340"/>
    <x v="353"/>
    <n v="3"/>
    <n v="1783"/>
    <n v="1516"/>
    <n v="4548"/>
    <n v="5349"/>
    <n v="801"/>
    <s v="Product 4"/>
    <x v="31"/>
    <s v="Brian Hansen"/>
    <x v="433"/>
    <n v="4"/>
    <x v="3"/>
    <x v="0"/>
    <x v="0"/>
    <x v="0"/>
    <x v="1"/>
  </r>
  <r>
    <s v="AX13090"/>
    <s v="ENX2001"/>
    <s v="A132"/>
    <s v="EMP1036"/>
    <s v="C1454"/>
    <x v="350"/>
    <n v="1"/>
    <n v="951"/>
    <n v="504"/>
    <n v="504"/>
    <n v="951"/>
    <n v="447"/>
    <s v="Product 2"/>
    <x v="48"/>
    <s v="Robert Reed"/>
    <x v="68"/>
    <n v="4"/>
    <x v="3"/>
    <x v="0"/>
    <x v="0"/>
    <x v="0"/>
    <x v="1"/>
  </r>
  <r>
    <s v="AX13709"/>
    <s v="ENX2086"/>
    <s v="A159"/>
    <s v="EMP1018"/>
    <s v="C1777"/>
    <x v="350"/>
    <n v="3"/>
    <n v="123"/>
    <n v="84"/>
    <n v="252"/>
    <n v="369"/>
    <n v="117"/>
    <s v="Product 87"/>
    <x v="13"/>
    <s v="Jimmy Young"/>
    <x v="682"/>
    <n v="4"/>
    <x v="3"/>
    <x v="0"/>
    <x v="0"/>
    <x v="0"/>
    <x v="1"/>
  </r>
  <r>
    <s v="AX13717"/>
    <s v="ENX2055"/>
    <s v="A155"/>
    <s v="EMP1009"/>
    <s v="C1454"/>
    <x v="353"/>
    <n v="1"/>
    <n v="2495"/>
    <n v="1896"/>
    <n v="1896"/>
    <n v="2495"/>
    <n v="599"/>
    <s v="Product 56"/>
    <x v="53"/>
    <s v="Kenneth Fields"/>
    <x v="68"/>
    <n v="4"/>
    <x v="3"/>
    <x v="0"/>
    <x v="0"/>
    <x v="0"/>
    <x v="1"/>
  </r>
  <r>
    <s v="AX13862"/>
    <s v="ENX2097"/>
    <s v="A123"/>
    <s v="EMP1036"/>
    <s v="C1038"/>
    <x v="352"/>
    <n v="1"/>
    <n v="1052"/>
    <n v="589"/>
    <n v="589"/>
    <n v="1052"/>
    <n v="463"/>
    <s v="Product 98"/>
    <x v="34"/>
    <s v="Robert Reed"/>
    <x v="545"/>
    <n v="4"/>
    <x v="3"/>
    <x v="0"/>
    <x v="0"/>
    <x v="0"/>
    <x v="1"/>
  </r>
  <r>
    <s v="AX14688"/>
    <s v="ENX2060"/>
    <s v="A167"/>
    <s v="EMP1014"/>
    <s v="C1792"/>
    <x v="353"/>
    <n v="1"/>
    <n v="1467"/>
    <n v="807"/>
    <n v="807"/>
    <n v="1467"/>
    <n v="660"/>
    <s v="Product 61"/>
    <x v="64"/>
    <s v="Ronald Reed"/>
    <x v="536"/>
    <n v="4"/>
    <x v="3"/>
    <x v="0"/>
    <x v="0"/>
    <x v="0"/>
    <x v="1"/>
  </r>
  <r>
    <s v="AX15052"/>
    <s v="ENX2030"/>
    <s v="A159"/>
    <s v="EMP1042"/>
    <s v="C1499"/>
    <x v="352"/>
    <n v="4"/>
    <n v="1899"/>
    <n v="1044"/>
    <n v="4176"/>
    <n v="7596"/>
    <n v="3420"/>
    <s v="Product 31"/>
    <x v="13"/>
    <s v="Scott Clark"/>
    <x v="610"/>
    <n v="4"/>
    <x v="3"/>
    <x v="0"/>
    <x v="0"/>
    <x v="0"/>
    <x v="1"/>
  </r>
  <r>
    <s v="AX15802"/>
    <s v="ENX2045"/>
    <s v="A142"/>
    <s v="EMP1000"/>
    <s v="C1590"/>
    <x v="351"/>
    <n v="1"/>
    <n v="556"/>
    <n v="395"/>
    <n v="395"/>
    <n v="556"/>
    <n v="161"/>
    <s v="Product 46"/>
    <x v="56"/>
    <s v="Fred Robertson"/>
    <x v="735"/>
    <n v="4"/>
    <x v="3"/>
    <x v="0"/>
    <x v="0"/>
    <x v="0"/>
    <x v="1"/>
  </r>
  <r>
    <s v="AX16033"/>
    <s v="ENX2045"/>
    <s v="A157"/>
    <s v="EMP1017"/>
    <s v="C1133"/>
    <x v="352"/>
    <n v="4"/>
    <n v="556"/>
    <n v="395"/>
    <n v="1580"/>
    <n v="2224"/>
    <n v="644"/>
    <s v="Product 46"/>
    <x v="7"/>
    <s v="Brian Hansen"/>
    <x v="468"/>
    <n v="4"/>
    <x v="3"/>
    <x v="0"/>
    <x v="0"/>
    <x v="0"/>
    <x v="1"/>
  </r>
  <r>
    <s v="AX16379"/>
    <s v="ENX2005"/>
    <s v="A115"/>
    <s v="EMP1020"/>
    <s v="C1682"/>
    <x v="350"/>
    <n v="3"/>
    <n v="684"/>
    <n v="561"/>
    <n v="1683"/>
    <n v="2052"/>
    <n v="369"/>
    <s v="Product 6"/>
    <x v="33"/>
    <s v="Ryan Butler"/>
    <x v="313"/>
    <n v="4"/>
    <x v="3"/>
    <x v="0"/>
    <x v="0"/>
    <x v="0"/>
    <x v="1"/>
  </r>
  <r>
    <s v="AX16466"/>
    <s v="ENX2010"/>
    <s v="A111"/>
    <s v="EMP1007"/>
    <s v="C1573"/>
    <x v="352"/>
    <n v="3"/>
    <n v="1812"/>
    <n v="1305"/>
    <n v="3915"/>
    <n v="5436"/>
    <n v="1521"/>
    <s v="Product 11"/>
    <x v="54"/>
    <s v="Jeremy Mendoza"/>
    <x v="383"/>
    <n v="4"/>
    <x v="3"/>
    <x v="0"/>
    <x v="0"/>
    <x v="0"/>
    <x v="1"/>
  </r>
  <r>
    <s v="AX16565"/>
    <s v="ENX2084"/>
    <s v="A136"/>
    <s v="EMP1000"/>
    <s v="C1686"/>
    <x v="351"/>
    <n v="3"/>
    <n v="1783"/>
    <n v="1230"/>
    <n v="3690"/>
    <n v="5349"/>
    <n v="1659"/>
    <s v="Product 85"/>
    <x v="43"/>
    <s v="Fred Robertson"/>
    <x v="748"/>
    <n v="4"/>
    <x v="3"/>
    <x v="0"/>
    <x v="0"/>
    <x v="0"/>
    <x v="1"/>
  </r>
  <r>
    <s v="AX17328"/>
    <s v="ENX2089"/>
    <s v="A173"/>
    <s v="EMP1033"/>
    <s v="C1088"/>
    <x v="350"/>
    <n v="1"/>
    <n v="2294"/>
    <n v="1399"/>
    <n v="1399"/>
    <n v="2294"/>
    <n v="895"/>
    <s v="Product 90"/>
    <x v="25"/>
    <s v="Jerry Perry"/>
    <x v="498"/>
    <n v="4"/>
    <x v="3"/>
    <x v="0"/>
    <x v="0"/>
    <x v="0"/>
    <x v="1"/>
  </r>
  <r>
    <s v="AX17346"/>
    <s v="ENX2087"/>
    <s v="A146"/>
    <s v="EMP1000"/>
    <s v="C1632"/>
    <x v="352"/>
    <n v="3"/>
    <n v="1022"/>
    <n v="818"/>
    <n v="2454"/>
    <n v="3066"/>
    <n v="612"/>
    <s v="Product 88"/>
    <x v="27"/>
    <s v="Fred Robertson"/>
    <x v="311"/>
    <n v="4"/>
    <x v="3"/>
    <x v="0"/>
    <x v="0"/>
    <x v="0"/>
    <x v="1"/>
  </r>
  <r>
    <s v="AX17792"/>
    <s v="ENX2045"/>
    <s v="A155"/>
    <s v="EMP1016"/>
    <s v="C1125"/>
    <x v="352"/>
    <n v="1"/>
    <n v="556"/>
    <n v="395"/>
    <n v="395"/>
    <n v="556"/>
    <n v="161"/>
    <s v="Product 46"/>
    <x v="53"/>
    <s v="Henry Nelson"/>
    <x v="539"/>
    <n v="4"/>
    <x v="3"/>
    <x v="0"/>
    <x v="0"/>
    <x v="0"/>
    <x v="1"/>
  </r>
  <r>
    <s v="AX17809"/>
    <s v="ENX2066"/>
    <s v="A111"/>
    <s v="EMP1043"/>
    <s v="C1726"/>
    <x v="352"/>
    <n v="2"/>
    <n v="2091"/>
    <n v="1485"/>
    <n v="2970"/>
    <n v="4182"/>
    <n v="1212"/>
    <s v="Product 67"/>
    <x v="54"/>
    <s v="Joshua Taylor"/>
    <x v="755"/>
    <n v="4"/>
    <x v="3"/>
    <x v="0"/>
    <x v="0"/>
    <x v="0"/>
    <x v="1"/>
  </r>
  <r>
    <s v="AX18519"/>
    <s v="ENX2070"/>
    <s v="A172"/>
    <s v="EMP1018"/>
    <s v="C1747"/>
    <x v="351"/>
    <n v="2"/>
    <n v="1671"/>
    <n v="1220"/>
    <n v="2440"/>
    <n v="3342"/>
    <n v="902"/>
    <s v="Product 71"/>
    <x v="36"/>
    <s v="Jimmy Young"/>
    <x v="392"/>
    <n v="4"/>
    <x v="3"/>
    <x v="0"/>
    <x v="0"/>
    <x v="0"/>
    <x v="1"/>
  </r>
  <r>
    <s v="AX18633"/>
    <s v="ENX2074"/>
    <s v="A171"/>
    <s v="EMP1035"/>
    <s v="C1022"/>
    <x v="350"/>
    <n v="1"/>
    <n v="504"/>
    <n v="408"/>
    <n v="408"/>
    <n v="504"/>
    <n v="96"/>
    <s v="Product 75"/>
    <x v="0"/>
    <s v="Roger Ramos"/>
    <x v="249"/>
    <n v="4"/>
    <x v="3"/>
    <x v="0"/>
    <x v="0"/>
    <x v="0"/>
    <x v="1"/>
  </r>
  <r>
    <s v="AX18798"/>
    <s v="ENX2043"/>
    <s v="A101"/>
    <s v="EMP1002"/>
    <s v="C1441"/>
    <x v="350"/>
    <n v="1"/>
    <n v="545"/>
    <n v="425"/>
    <n v="425"/>
    <n v="545"/>
    <n v="120"/>
    <s v="Product 44"/>
    <x v="60"/>
    <s v="Andrew Bowman"/>
    <x v="667"/>
    <n v="4"/>
    <x v="3"/>
    <x v="0"/>
    <x v="0"/>
    <x v="0"/>
    <x v="1"/>
  </r>
  <r>
    <s v="AX18806"/>
    <s v="ENX2092"/>
    <s v="A128"/>
    <s v="EMP1043"/>
    <s v="C1778"/>
    <x v="350"/>
    <n v="1"/>
    <n v="1639"/>
    <n v="1295"/>
    <n v="1295"/>
    <n v="1639"/>
    <n v="344"/>
    <s v="Product 93"/>
    <x v="12"/>
    <s v="Joshua Taylor"/>
    <x v="420"/>
    <n v="4"/>
    <x v="3"/>
    <x v="0"/>
    <x v="0"/>
    <x v="0"/>
    <x v="1"/>
  </r>
  <r>
    <s v="AX18975"/>
    <s v="ENX2058"/>
    <s v="A160"/>
    <s v="EMP1031"/>
    <s v="C1707"/>
    <x v="352"/>
    <n v="1"/>
    <n v="2257"/>
    <n v="1535"/>
    <n v="1535"/>
    <n v="2257"/>
    <n v="722"/>
    <s v="Product 59"/>
    <x v="9"/>
    <s v="Brian Thomas"/>
    <x v="192"/>
    <n v="4"/>
    <x v="3"/>
    <x v="0"/>
    <x v="0"/>
    <x v="0"/>
    <x v="1"/>
  </r>
  <r>
    <s v="AX19276"/>
    <s v="ENX2015"/>
    <s v="A135"/>
    <s v="EMP1040"/>
    <s v="C1087"/>
    <x v="352"/>
    <n v="1"/>
    <n v="637"/>
    <n v="389"/>
    <n v="389"/>
    <n v="637"/>
    <n v="248"/>
    <s v="Product 16"/>
    <x v="10"/>
    <s v="Patrick Ruiz"/>
    <x v="156"/>
    <n v="4"/>
    <x v="3"/>
    <x v="0"/>
    <x v="0"/>
    <x v="0"/>
    <x v="1"/>
  </r>
  <r>
    <s v="AX19530"/>
    <s v="ENX2081"/>
    <s v="A121"/>
    <s v="EMP1033"/>
    <s v="C1724"/>
    <x v="350"/>
    <n v="1"/>
    <n v="1566"/>
    <n v="1190"/>
    <n v="1190"/>
    <n v="1566"/>
    <n v="376"/>
    <s v="Product 82"/>
    <x v="72"/>
    <s v="Jerry Perry"/>
    <x v="378"/>
    <n v="4"/>
    <x v="3"/>
    <x v="0"/>
    <x v="0"/>
    <x v="0"/>
    <x v="1"/>
  </r>
  <r>
    <s v="AX19834"/>
    <s v="ENX2003"/>
    <s v="A145"/>
    <s v="EMP1025"/>
    <s v="C1234"/>
    <x v="350"/>
    <n v="4"/>
    <n v="1783"/>
    <n v="1516"/>
    <n v="6064"/>
    <n v="7132"/>
    <n v="1068"/>
    <s v="Product 4"/>
    <x v="35"/>
    <s v="Ernest Wagner"/>
    <x v="636"/>
    <n v="4"/>
    <x v="3"/>
    <x v="0"/>
    <x v="0"/>
    <x v="0"/>
    <x v="1"/>
  </r>
  <r>
    <s v="AX19999"/>
    <s v="ENX2020"/>
    <s v="A122"/>
    <s v="EMP1038"/>
    <s v="C1430"/>
    <x v="352"/>
    <n v="3"/>
    <n v="2005"/>
    <n v="1223"/>
    <n v="3669"/>
    <n v="6015"/>
    <n v="2346"/>
    <s v="Product 21"/>
    <x v="71"/>
    <s v="Scott Mason"/>
    <x v="741"/>
    <n v="4"/>
    <x v="3"/>
    <x v="0"/>
    <x v="0"/>
    <x v="0"/>
    <x v="1"/>
  </r>
  <r>
    <s v="AX20268"/>
    <s v="ENX2094"/>
    <s v="A173"/>
    <s v="EMP1036"/>
    <s v="C1289"/>
    <x v="350"/>
    <n v="2"/>
    <n v="771"/>
    <n v="648"/>
    <n v="1296"/>
    <n v="1542"/>
    <n v="246"/>
    <s v="Product 95"/>
    <x v="25"/>
    <s v="Robert Reed"/>
    <x v="328"/>
    <n v="4"/>
    <x v="3"/>
    <x v="0"/>
    <x v="0"/>
    <x v="0"/>
    <x v="1"/>
  </r>
  <r>
    <s v="AX20378"/>
    <s v="ENX2076"/>
    <s v="A102"/>
    <s v="EMP1022"/>
    <s v="C1100"/>
    <x v="352"/>
    <n v="2"/>
    <n v="1522"/>
    <n v="791"/>
    <n v="1582"/>
    <n v="3044"/>
    <n v="1462"/>
    <s v="Product 77"/>
    <x v="44"/>
    <s v="Walter Cook"/>
    <x v="110"/>
    <n v="4"/>
    <x v="3"/>
    <x v="0"/>
    <x v="0"/>
    <x v="0"/>
    <x v="1"/>
  </r>
  <r>
    <s v="AX20800"/>
    <s v="ENX2081"/>
    <s v="A133"/>
    <s v="EMP1033"/>
    <s v="C1348"/>
    <x v="351"/>
    <n v="1"/>
    <n v="1566"/>
    <n v="1190"/>
    <n v="1190"/>
    <n v="1566"/>
    <n v="376"/>
    <s v="Product 82"/>
    <x v="46"/>
    <s v="Jerry Perry"/>
    <x v="236"/>
    <n v="4"/>
    <x v="3"/>
    <x v="0"/>
    <x v="0"/>
    <x v="0"/>
    <x v="1"/>
  </r>
  <r>
    <s v="AX20992"/>
    <s v="ENX2084"/>
    <s v="A147"/>
    <s v="EMP1004"/>
    <s v="C1709"/>
    <x v="353"/>
    <n v="1"/>
    <n v="1783"/>
    <n v="1230"/>
    <n v="1230"/>
    <n v="1783"/>
    <n v="553"/>
    <s v="Product 85"/>
    <x v="42"/>
    <s v="Kenneth Bradley"/>
    <x v="203"/>
    <n v="4"/>
    <x v="3"/>
    <x v="0"/>
    <x v="0"/>
    <x v="0"/>
    <x v="1"/>
  </r>
  <r>
    <s v="AX21883"/>
    <s v="ENX2077"/>
    <s v="A104"/>
    <s v="EMP1013"/>
    <s v="C1001"/>
    <x v="353"/>
    <n v="2"/>
    <n v="530"/>
    <n v="424"/>
    <n v="848"/>
    <n v="1060"/>
    <n v="212"/>
    <s v="Product 78"/>
    <x v="50"/>
    <s v="Charles Harper"/>
    <x v="725"/>
    <n v="4"/>
    <x v="3"/>
    <x v="0"/>
    <x v="0"/>
    <x v="0"/>
    <x v="1"/>
  </r>
  <r>
    <s v="AX22187"/>
    <s v="ENX2081"/>
    <s v="A150"/>
    <s v="EMP1017"/>
    <s v="C1722"/>
    <x v="352"/>
    <n v="1"/>
    <n v="1566"/>
    <n v="1190"/>
    <n v="1190"/>
    <n v="1566"/>
    <n v="376"/>
    <s v="Product 82"/>
    <x v="30"/>
    <s v="Brian Hansen"/>
    <x v="257"/>
    <n v="4"/>
    <x v="3"/>
    <x v="0"/>
    <x v="0"/>
    <x v="0"/>
    <x v="1"/>
  </r>
  <r>
    <s v="AX22549"/>
    <s v="ENX2016"/>
    <s v="A137"/>
    <s v="EMP1038"/>
    <s v="C1596"/>
    <x v="353"/>
    <n v="1"/>
    <n v="1351"/>
    <n v="1108"/>
    <n v="1108"/>
    <n v="1351"/>
    <n v="243"/>
    <s v="Product 17"/>
    <x v="68"/>
    <s v="Scott Mason"/>
    <x v="217"/>
    <n v="4"/>
    <x v="3"/>
    <x v="0"/>
    <x v="0"/>
    <x v="0"/>
    <x v="1"/>
  </r>
  <r>
    <s v="AX22922"/>
    <s v="ENX2091"/>
    <s v="A125"/>
    <s v="EMP1006"/>
    <s v="C1418"/>
    <x v="350"/>
    <n v="2"/>
    <n v="368"/>
    <n v="294"/>
    <n v="588"/>
    <n v="736"/>
    <n v="148"/>
    <s v="Product 92"/>
    <x v="31"/>
    <s v="Sean Miller"/>
    <x v="441"/>
    <n v="4"/>
    <x v="3"/>
    <x v="0"/>
    <x v="0"/>
    <x v="0"/>
    <x v="1"/>
  </r>
  <r>
    <s v="AX23188"/>
    <s v="ENX2093"/>
    <s v="A139"/>
    <s v="EMP1024"/>
    <s v="C1748"/>
    <x v="350"/>
    <n v="1"/>
    <n v="112"/>
    <n v="90"/>
    <n v="90"/>
    <n v="112"/>
    <n v="22"/>
    <s v="Product 94"/>
    <x v="38"/>
    <s v="Ernest Wheeler"/>
    <x v="162"/>
    <n v="4"/>
    <x v="3"/>
    <x v="0"/>
    <x v="0"/>
    <x v="0"/>
    <x v="1"/>
  </r>
  <r>
    <s v="AX23229"/>
    <s v="ENX2093"/>
    <s v="A161"/>
    <s v="EMP1028"/>
    <s v="C1416"/>
    <x v="352"/>
    <n v="3"/>
    <n v="112"/>
    <n v="90"/>
    <n v="270"/>
    <n v="336"/>
    <n v="66"/>
    <s v="Product 94"/>
    <x v="6"/>
    <s v="Howard Sims"/>
    <x v="554"/>
    <n v="4"/>
    <x v="3"/>
    <x v="0"/>
    <x v="0"/>
    <x v="0"/>
    <x v="1"/>
  </r>
  <r>
    <s v="AX23283"/>
    <s v="ENX2023"/>
    <s v="A106"/>
    <s v="EMP1041"/>
    <s v="C1314"/>
    <x v="350"/>
    <n v="1"/>
    <n v="818"/>
    <n v="450"/>
    <n v="450"/>
    <n v="818"/>
    <n v="368"/>
    <s v="Product 24"/>
    <x v="11"/>
    <s v="Joe Sims"/>
    <x v="421"/>
    <n v="4"/>
    <x v="3"/>
    <x v="0"/>
    <x v="0"/>
    <x v="0"/>
    <x v="1"/>
  </r>
  <r>
    <s v="AX23646"/>
    <s v="ENX2046"/>
    <s v="A173"/>
    <s v="EMP1012"/>
    <s v="C1404"/>
    <x v="352"/>
    <n v="1"/>
    <n v="2410"/>
    <n v="1518"/>
    <n v="1518"/>
    <n v="2410"/>
    <n v="892"/>
    <s v="Product 47"/>
    <x v="25"/>
    <s v="John Reyes"/>
    <x v="75"/>
    <n v="4"/>
    <x v="3"/>
    <x v="0"/>
    <x v="0"/>
    <x v="0"/>
    <x v="1"/>
  </r>
  <r>
    <s v="AX24256"/>
    <s v="ENX2069"/>
    <s v="A170"/>
    <s v="EMP1025"/>
    <s v="C1513"/>
    <x v="352"/>
    <n v="1"/>
    <n v="378"/>
    <n v="291"/>
    <n v="291"/>
    <n v="378"/>
    <n v="87"/>
    <s v="Product 70"/>
    <x v="47"/>
    <s v="Ernest Wagner"/>
    <x v="414"/>
    <n v="4"/>
    <x v="3"/>
    <x v="0"/>
    <x v="0"/>
    <x v="0"/>
    <x v="1"/>
  </r>
  <r>
    <s v="AX24271"/>
    <s v="ENX2077"/>
    <s v="A102"/>
    <s v="EMP1000"/>
    <s v="C1325"/>
    <x v="353"/>
    <n v="1"/>
    <n v="530"/>
    <n v="424"/>
    <n v="424"/>
    <n v="530"/>
    <n v="106"/>
    <s v="Product 78"/>
    <x v="44"/>
    <s v="Fred Robertson"/>
    <x v="67"/>
    <n v="4"/>
    <x v="3"/>
    <x v="0"/>
    <x v="0"/>
    <x v="0"/>
    <x v="1"/>
  </r>
  <r>
    <s v="AX24671"/>
    <s v="ENX2090"/>
    <s v="A127"/>
    <s v="EMP1044"/>
    <s v="C1471"/>
    <x v="353"/>
    <n v="3"/>
    <n v="1338"/>
    <n v="682"/>
    <n v="2046"/>
    <n v="4014"/>
    <n v="1968"/>
    <s v="Product 91"/>
    <x v="69"/>
    <s v="Martin Carr"/>
    <x v="586"/>
    <n v="4"/>
    <x v="3"/>
    <x v="0"/>
    <x v="0"/>
    <x v="0"/>
    <x v="1"/>
  </r>
  <r>
    <s v="AX24980"/>
    <s v="ENX2076"/>
    <s v="A148"/>
    <s v="EMP1007"/>
    <s v="C1140"/>
    <x v="353"/>
    <n v="2"/>
    <n v="1522"/>
    <n v="791"/>
    <n v="1582"/>
    <n v="3044"/>
    <n v="1462"/>
    <s v="Product 77"/>
    <x v="62"/>
    <s v="Jeremy Mendoza"/>
    <x v="40"/>
    <n v="4"/>
    <x v="3"/>
    <x v="0"/>
    <x v="0"/>
    <x v="0"/>
    <x v="1"/>
  </r>
  <r>
    <s v="AX10090"/>
    <s v="ENX2050"/>
    <s v="A146"/>
    <s v="EMP1001"/>
    <s v="C1463"/>
    <x v="354"/>
    <n v="3"/>
    <n v="2391"/>
    <n v="1291"/>
    <n v="3873"/>
    <n v="7173"/>
    <n v="3300"/>
    <s v="Product 51"/>
    <x v="27"/>
    <s v="Kevin Butler"/>
    <x v="535"/>
    <n v="4"/>
    <x v="3"/>
    <x v="0"/>
    <x v="0"/>
    <x v="0"/>
    <x v="2"/>
  </r>
  <r>
    <s v="AX10168"/>
    <s v="ENX2048"/>
    <s v="A161"/>
    <s v="EMP1018"/>
    <s v="C1469"/>
    <x v="355"/>
    <n v="4"/>
    <n v="502"/>
    <n v="296"/>
    <n v="1184"/>
    <n v="2008"/>
    <n v="824"/>
    <s v="Product 49"/>
    <x v="6"/>
    <s v="Jimmy Young"/>
    <x v="300"/>
    <n v="4"/>
    <x v="3"/>
    <x v="0"/>
    <x v="0"/>
    <x v="0"/>
    <x v="2"/>
  </r>
  <r>
    <s v="AX10271"/>
    <s v="ENX2065"/>
    <s v="A151"/>
    <s v="EMP1006"/>
    <s v="C1534"/>
    <x v="356"/>
    <n v="1"/>
    <n v="2396"/>
    <n v="1965"/>
    <n v="1965"/>
    <n v="2396"/>
    <n v="431"/>
    <s v="Product 66"/>
    <x v="1"/>
    <s v="Sean Miller"/>
    <x v="273"/>
    <n v="4"/>
    <x v="3"/>
    <x v="0"/>
    <x v="0"/>
    <x v="0"/>
    <x v="2"/>
  </r>
  <r>
    <s v="AX10524"/>
    <s v="ENX2078"/>
    <s v="A117"/>
    <s v="EMP1014"/>
    <s v="C1676"/>
    <x v="355"/>
    <n v="1"/>
    <n v="1798"/>
    <n v="971"/>
    <n v="971"/>
    <n v="1798"/>
    <n v="827"/>
    <s v="Product 79"/>
    <x v="29"/>
    <s v="Ronald Reed"/>
    <x v="497"/>
    <n v="4"/>
    <x v="3"/>
    <x v="0"/>
    <x v="0"/>
    <x v="0"/>
    <x v="2"/>
  </r>
  <r>
    <s v="AX10625"/>
    <s v="ENX2003"/>
    <s v="A159"/>
    <s v="EMP1035"/>
    <s v="C1435"/>
    <x v="357"/>
    <n v="2"/>
    <n v="1783"/>
    <n v="1516"/>
    <n v="3032"/>
    <n v="3566"/>
    <n v="534"/>
    <s v="Product 4"/>
    <x v="13"/>
    <s v="Roger Ramos"/>
    <x v="476"/>
    <n v="4"/>
    <x v="3"/>
    <x v="0"/>
    <x v="0"/>
    <x v="0"/>
    <x v="2"/>
  </r>
  <r>
    <s v="AX11535"/>
    <s v="ENX2059"/>
    <s v="A151"/>
    <s v="EMP1011"/>
    <s v="C1360"/>
    <x v="358"/>
    <n v="1"/>
    <n v="1494"/>
    <n v="971"/>
    <n v="971"/>
    <n v="1494"/>
    <n v="523"/>
    <s v="Product 60"/>
    <x v="1"/>
    <s v="Larry Marshall"/>
    <x v="573"/>
    <n v="4"/>
    <x v="3"/>
    <x v="0"/>
    <x v="0"/>
    <x v="0"/>
    <x v="2"/>
  </r>
  <r>
    <s v="AX11916"/>
    <s v="ENX2044"/>
    <s v="A117"/>
    <s v="EMP1039"/>
    <s v="C1100"/>
    <x v="355"/>
    <n v="3"/>
    <n v="886"/>
    <n v="478"/>
    <n v="1434"/>
    <n v="2658"/>
    <n v="1224"/>
    <s v="Product 45"/>
    <x v="29"/>
    <s v="Eugene Holmes"/>
    <x v="110"/>
    <n v="4"/>
    <x v="3"/>
    <x v="0"/>
    <x v="0"/>
    <x v="0"/>
    <x v="2"/>
  </r>
  <r>
    <s v="AX12266"/>
    <s v="ENX2085"/>
    <s v="A173"/>
    <s v="EMP1018"/>
    <s v="C1520"/>
    <x v="356"/>
    <n v="2"/>
    <n v="1862"/>
    <n v="1173"/>
    <n v="2346"/>
    <n v="3724"/>
    <n v="1378"/>
    <s v="Product 86"/>
    <x v="25"/>
    <s v="Jimmy Young"/>
    <x v="576"/>
    <n v="4"/>
    <x v="3"/>
    <x v="0"/>
    <x v="0"/>
    <x v="0"/>
    <x v="2"/>
  </r>
  <r>
    <s v="AX12405"/>
    <s v="ENX2032"/>
    <s v="A147"/>
    <s v="EMP1031"/>
    <s v="C1187"/>
    <x v="355"/>
    <n v="1"/>
    <n v="1967"/>
    <n v="1397"/>
    <n v="1397"/>
    <n v="1967"/>
    <n v="570"/>
    <s v="Product 33"/>
    <x v="42"/>
    <s v="Brian Thomas"/>
    <x v="303"/>
    <n v="4"/>
    <x v="3"/>
    <x v="0"/>
    <x v="0"/>
    <x v="0"/>
    <x v="2"/>
  </r>
  <r>
    <s v="AX12466"/>
    <s v="ENX2033"/>
    <s v="A122"/>
    <s v="EMP1026"/>
    <s v="C1760"/>
    <x v="355"/>
    <n v="1"/>
    <n v="2182"/>
    <n v="1200"/>
    <n v="1200"/>
    <n v="2182"/>
    <n v="982"/>
    <s v="Product 34"/>
    <x v="71"/>
    <s v="Martin Perry"/>
    <x v="502"/>
    <n v="4"/>
    <x v="3"/>
    <x v="0"/>
    <x v="0"/>
    <x v="0"/>
    <x v="2"/>
  </r>
  <r>
    <s v="AX12475"/>
    <s v="ENX2059"/>
    <s v="A106"/>
    <s v="EMP1040"/>
    <s v="C1761"/>
    <x v="354"/>
    <n v="1"/>
    <n v="1494"/>
    <n v="971"/>
    <n v="971"/>
    <n v="1494"/>
    <n v="523"/>
    <s v="Product 60"/>
    <x v="11"/>
    <s v="Patrick Ruiz"/>
    <x v="618"/>
    <n v="4"/>
    <x v="3"/>
    <x v="0"/>
    <x v="0"/>
    <x v="0"/>
    <x v="2"/>
  </r>
  <r>
    <s v="AX12555"/>
    <s v="ENX2094"/>
    <s v="A149"/>
    <s v="EMP1004"/>
    <s v="C1512"/>
    <x v="356"/>
    <n v="1"/>
    <n v="771"/>
    <n v="648"/>
    <n v="648"/>
    <n v="771"/>
    <n v="123"/>
    <s v="Product 95"/>
    <x v="59"/>
    <s v="Kenneth Bradley"/>
    <x v="671"/>
    <n v="4"/>
    <x v="3"/>
    <x v="0"/>
    <x v="0"/>
    <x v="0"/>
    <x v="2"/>
  </r>
  <r>
    <s v="AX13188"/>
    <s v="ENX2097"/>
    <s v="A136"/>
    <s v="EMP1023"/>
    <s v="C1617"/>
    <x v="358"/>
    <n v="4"/>
    <n v="1052"/>
    <n v="589"/>
    <n v="2356"/>
    <n v="4208"/>
    <n v="1852"/>
    <s v="Product 98"/>
    <x v="43"/>
    <s v="Brian Davis"/>
    <x v="195"/>
    <n v="4"/>
    <x v="3"/>
    <x v="0"/>
    <x v="0"/>
    <x v="0"/>
    <x v="2"/>
  </r>
  <r>
    <s v="AX13262"/>
    <s v="ENX2021"/>
    <s v="A152"/>
    <s v="EMP1018"/>
    <s v="C1174"/>
    <x v="355"/>
    <n v="4"/>
    <n v="217"/>
    <n v="171"/>
    <n v="684"/>
    <n v="868"/>
    <n v="184"/>
    <s v="Product 22"/>
    <x v="26"/>
    <s v="Jimmy Young"/>
    <x v="715"/>
    <n v="4"/>
    <x v="3"/>
    <x v="0"/>
    <x v="0"/>
    <x v="0"/>
    <x v="2"/>
  </r>
  <r>
    <s v="AX13544"/>
    <s v="ENX2067"/>
    <s v="A164"/>
    <s v="EMP1002"/>
    <s v="C1423"/>
    <x v="354"/>
    <n v="4"/>
    <n v="1119"/>
    <n v="683"/>
    <n v="2732"/>
    <n v="4476"/>
    <n v="1744"/>
    <s v="Product 68"/>
    <x v="3"/>
    <s v="Andrew Bowman"/>
    <x v="182"/>
    <n v="4"/>
    <x v="3"/>
    <x v="0"/>
    <x v="0"/>
    <x v="0"/>
    <x v="2"/>
  </r>
  <r>
    <s v="AX13548"/>
    <s v="ENX2056"/>
    <s v="A156"/>
    <s v="EMP1042"/>
    <s v="C1560"/>
    <x v="358"/>
    <n v="1"/>
    <n v="1635"/>
    <n v="1046"/>
    <n v="1046"/>
    <n v="1635"/>
    <n v="589"/>
    <s v="Product 57"/>
    <x v="14"/>
    <s v="Scott Clark"/>
    <x v="208"/>
    <n v="4"/>
    <x v="3"/>
    <x v="0"/>
    <x v="0"/>
    <x v="0"/>
    <x v="2"/>
  </r>
  <r>
    <s v="AX13623"/>
    <s v="ENX2071"/>
    <s v="A168"/>
    <s v="EMP1025"/>
    <s v="C1139"/>
    <x v="358"/>
    <n v="2"/>
    <n v="136"/>
    <n v="72"/>
    <n v="144"/>
    <n v="272"/>
    <n v="128"/>
    <s v="Product 72"/>
    <x v="40"/>
    <s v="Ernest Wagner"/>
    <x v="561"/>
    <n v="4"/>
    <x v="3"/>
    <x v="0"/>
    <x v="0"/>
    <x v="0"/>
    <x v="2"/>
  </r>
  <r>
    <s v="AX13652"/>
    <s v="ENX2064"/>
    <s v="A170"/>
    <s v="EMP1019"/>
    <s v="C1471"/>
    <x v="358"/>
    <n v="2"/>
    <n v="1414"/>
    <n v="962"/>
    <n v="1924"/>
    <n v="2828"/>
    <n v="904"/>
    <s v="Product 65"/>
    <x v="47"/>
    <s v="Roger Robertson"/>
    <x v="586"/>
    <n v="4"/>
    <x v="3"/>
    <x v="0"/>
    <x v="0"/>
    <x v="0"/>
    <x v="2"/>
  </r>
  <r>
    <s v="AX14106"/>
    <s v="ENX2017"/>
    <s v="A173"/>
    <s v="EMP1034"/>
    <s v="C1384"/>
    <x v="356"/>
    <n v="1"/>
    <n v="35"/>
    <n v="22"/>
    <n v="22"/>
    <n v="35"/>
    <n v="13"/>
    <s v="Product 18"/>
    <x v="25"/>
    <s v="Arthur Mccoy"/>
    <x v="690"/>
    <n v="4"/>
    <x v="3"/>
    <x v="0"/>
    <x v="0"/>
    <x v="0"/>
    <x v="2"/>
  </r>
  <r>
    <s v="AX14180"/>
    <s v="ENX2062"/>
    <s v="A119"/>
    <s v="EMP1005"/>
    <s v="C1652"/>
    <x v="354"/>
    <n v="3"/>
    <n v="2464"/>
    <n v="1774"/>
    <n v="5322"/>
    <n v="7392"/>
    <n v="2070"/>
    <s v="Product 63"/>
    <x v="16"/>
    <s v="Ryan Welch"/>
    <x v="737"/>
    <n v="4"/>
    <x v="3"/>
    <x v="0"/>
    <x v="0"/>
    <x v="0"/>
    <x v="2"/>
  </r>
  <r>
    <s v="AX14256"/>
    <s v="ENX2058"/>
    <s v="A127"/>
    <s v="EMP1002"/>
    <s v="C1576"/>
    <x v="354"/>
    <n v="4"/>
    <n v="2257"/>
    <n v="1535"/>
    <n v="6140"/>
    <n v="9028"/>
    <n v="2888"/>
    <s v="Product 59"/>
    <x v="69"/>
    <s v="Andrew Bowman"/>
    <x v="398"/>
    <n v="4"/>
    <x v="3"/>
    <x v="0"/>
    <x v="0"/>
    <x v="0"/>
    <x v="2"/>
  </r>
  <r>
    <s v="AX14370"/>
    <s v="ENX2088"/>
    <s v="A125"/>
    <s v="EMP1038"/>
    <s v="C1449"/>
    <x v="358"/>
    <n v="4"/>
    <n v="603"/>
    <n v="416"/>
    <n v="1664"/>
    <n v="2412"/>
    <n v="748"/>
    <s v="Product 89"/>
    <x v="31"/>
    <s v="Scott Mason"/>
    <x v="230"/>
    <n v="4"/>
    <x v="3"/>
    <x v="0"/>
    <x v="0"/>
    <x v="0"/>
    <x v="2"/>
  </r>
  <r>
    <s v="AX14382"/>
    <s v="ENX2051"/>
    <s v="A139"/>
    <s v="EMP1032"/>
    <s v="C1603"/>
    <x v="357"/>
    <n v="2"/>
    <n v="1077"/>
    <n v="732"/>
    <n v="1464"/>
    <n v="2154"/>
    <n v="690"/>
    <s v="Product 52"/>
    <x v="38"/>
    <s v="Larry Castillo"/>
    <x v="229"/>
    <n v="4"/>
    <x v="3"/>
    <x v="0"/>
    <x v="0"/>
    <x v="0"/>
    <x v="2"/>
  </r>
  <r>
    <s v="AX14825"/>
    <s v="ENX2077"/>
    <s v="A141"/>
    <s v="EMP1016"/>
    <s v="C1143"/>
    <x v="355"/>
    <n v="3"/>
    <n v="530"/>
    <n v="424"/>
    <n v="1272"/>
    <n v="1590"/>
    <n v="318"/>
    <s v="Product 78"/>
    <x v="23"/>
    <s v="Henry Nelson"/>
    <x v="557"/>
    <n v="4"/>
    <x v="3"/>
    <x v="0"/>
    <x v="0"/>
    <x v="0"/>
    <x v="2"/>
  </r>
  <r>
    <s v="AX14958"/>
    <s v="ENX2075"/>
    <s v="A151"/>
    <s v="EMP1044"/>
    <s v="C1251"/>
    <x v="355"/>
    <n v="2"/>
    <n v="400"/>
    <n v="208"/>
    <n v="416"/>
    <n v="800"/>
    <n v="384"/>
    <s v="Product 76"/>
    <x v="1"/>
    <s v="Martin Carr"/>
    <x v="199"/>
    <n v="4"/>
    <x v="3"/>
    <x v="0"/>
    <x v="0"/>
    <x v="0"/>
    <x v="2"/>
  </r>
  <r>
    <s v="AX14968"/>
    <s v="ENX2062"/>
    <s v="A101"/>
    <s v="EMP1023"/>
    <s v="C1698"/>
    <x v="358"/>
    <n v="2"/>
    <n v="2464"/>
    <n v="1774"/>
    <n v="3548"/>
    <n v="4928"/>
    <n v="1380"/>
    <s v="Product 63"/>
    <x v="60"/>
    <s v="Brian Davis"/>
    <x v="86"/>
    <n v="4"/>
    <x v="3"/>
    <x v="0"/>
    <x v="0"/>
    <x v="0"/>
    <x v="2"/>
  </r>
  <r>
    <s v="AX15041"/>
    <s v="ENX2089"/>
    <s v="A113"/>
    <s v="EMP1031"/>
    <s v="C1145"/>
    <x v="358"/>
    <n v="3"/>
    <n v="2294"/>
    <n v="1399"/>
    <n v="4197"/>
    <n v="6882"/>
    <n v="2685"/>
    <s v="Product 90"/>
    <x v="73"/>
    <s v="Brian Thomas"/>
    <x v="489"/>
    <n v="4"/>
    <x v="3"/>
    <x v="0"/>
    <x v="0"/>
    <x v="0"/>
    <x v="2"/>
  </r>
  <r>
    <s v="AX15065"/>
    <s v="ENX2081"/>
    <s v="A158"/>
    <s v="EMP1007"/>
    <s v="C1366"/>
    <x v="355"/>
    <n v="3"/>
    <n v="1566"/>
    <n v="1190"/>
    <n v="3570"/>
    <n v="4698"/>
    <n v="1128"/>
    <s v="Product 82"/>
    <x v="58"/>
    <s v="Jeremy Mendoza"/>
    <x v="205"/>
    <n v="4"/>
    <x v="3"/>
    <x v="0"/>
    <x v="0"/>
    <x v="0"/>
    <x v="2"/>
  </r>
  <r>
    <s v="AX15072"/>
    <s v="ENX2022"/>
    <s v="A132"/>
    <s v="EMP1037"/>
    <s v="C1659"/>
    <x v="357"/>
    <n v="2"/>
    <n v="561"/>
    <n v="421"/>
    <n v="842"/>
    <n v="1122"/>
    <n v="280"/>
    <s v="Product 23"/>
    <x v="48"/>
    <s v="Carl Hall"/>
    <x v="51"/>
    <n v="4"/>
    <x v="3"/>
    <x v="0"/>
    <x v="0"/>
    <x v="0"/>
    <x v="2"/>
  </r>
  <r>
    <s v="AX15074"/>
    <s v="ENX2009"/>
    <s v="A127"/>
    <s v="EMP1037"/>
    <s v="C1541"/>
    <x v="355"/>
    <n v="2"/>
    <n v="584"/>
    <n v="420"/>
    <n v="840"/>
    <n v="1168"/>
    <n v="328"/>
    <s v="Product 10"/>
    <x v="69"/>
    <s v="Carl Hall"/>
    <x v="628"/>
    <n v="4"/>
    <x v="3"/>
    <x v="0"/>
    <x v="0"/>
    <x v="0"/>
    <x v="2"/>
  </r>
  <r>
    <s v="AX15387"/>
    <s v="ENX2061"/>
    <s v="A170"/>
    <s v="EMP1035"/>
    <s v="C1485"/>
    <x v="357"/>
    <n v="1"/>
    <n v="913"/>
    <n v="584"/>
    <n v="584"/>
    <n v="913"/>
    <n v="329"/>
    <s v="Product 62"/>
    <x v="47"/>
    <s v="Roger Ramos"/>
    <x v="679"/>
    <n v="4"/>
    <x v="3"/>
    <x v="0"/>
    <x v="0"/>
    <x v="0"/>
    <x v="2"/>
  </r>
  <r>
    <s v="AX15498"/>
    <s v="ENX2012"/>
    <s v="A155"/>
    <s v="EMP1024"/>
    <s v="C1675"/>
    <x v="355"/>
    <n v="1"/>
    <n v="1353"/>
    <n v="947"/>
    <n v="947"/>
    <n v="1353"/>
    <n v="406"/>
    <s v="Product 13"/>
    <x v="53"/>
    <s v="Ernest Wheeler"/>
    <x v="453"/>
    <n v="4"/>
    <x v="3"/>
    <x v="0"/>
    <x v="0"/>
    <x v="0"/>
    <x v="2"/>
  </r>
  <r>
    <s v="AX16073"/>
    <s v="ENX2092"/>
    <s v="A160"/>
    <s v="EMP1037"/>
    <s v="C1041"/>
    <x v="356"/>
    <n v="1"/>
    <n v="1639"/>
    <n v="1295"/>
    <n v="1295"/>
    <n v="1639"/>
    <n v="344"/>
    <s v="Product 93"/>
    <x v="9"/>
    <s v="Carl Hall"/>
    <x v="29"/>
    <n v="4"/>
    <x v="3"/>
    <x v="0"/>
    <x v="0"/>
    <x v="0"/>
    <x v="2"/>
  </r>
  <r>
    <s v="AX16159"/>
    <s v="ENX2073"/>
    <s v="A128"/>
    <s v="EMP1037"/>
    <s v="C1149"/>
    <x v="354"/>
    <n v="2"/>
    <n v="95"/>
    <n v="61"/>
    <n v="122"/>
    <n v="190"/>
    <n v="68"/>
    <s v="Product 74"/>
    <x v="12"/>
    <s v="Carl Hall"/>
    <x v="514"/>
    <n v="4"/>
    <x v="3"/>
    <x v="0"/>
    <x v="0"/>
    <x v="0"/>
    <x v="2"/>
  </r>
  <r>
    <s v="AX16181"/>
    <s v="ENX2096"/>
    <s v="A171"/>
    <s v="EMP1030"/>
    <s v="C1484"/>
    <x v="358"/>
    <n v="1"/>
    <n v="1587"/>
    <n v="1301"/>
    <n v="1301"/>
    <n v="1587"/>
    <n v="286"/>
    <s v="Product 97"/>
    <x v="0"/>
    <s v="Bobby Russell"/>
    <x v="466"/>
    <n v="4"/>
    <x v="3"/>
    <x v="0"/>
    <x v="0"/>
    <x v="0"/>
    <x v="2"/>
  </r>
  <r>
    <s v="AX16579"/>
    <s v="ENX2045"/>
    <s v="A101"/>
    <s v="EMP1036"/>
    <s v="C1342"/>
    <x v="357"/>
    <n v="1"/>
    <n v="556"/>
    <n v="395"/>
    <n v="395"/>
    <n v="556"/>
    <n v="161"/>
    <s v="Product 46"/>
    <x v="60"/>
    <s v="Robert Reed"/>
    <x v="62"/>
    <n v="4"/>
    <x v="3"/>
    <x v="0"/>
    <x v="0"/>
    <x v="0"/>
    <x v="2"/>
  </r>
  <r>
    <s v="AX16626"/>
    <s v="ENX2026"/>
    <s v="A170"/>
    <s v="EMP1038"/>
    <s v="C1161"/>
    <x v="357"/>
    <n v="3"/>
    <n v="947"/>
    <n v="786"/>
    <n v="2358"/>
    <n v="2841"/>
    <n v="483"/>
    <s v="Product 27"/>
    <x v="47"/>
    <s v="Scott Mason"/>
    <x v="732"/>
    <n v="4"/>
    <x v="3"/>
    <x v="0"/>
    <x v="0"/>
    <x v="0"/>
    <x v="2"/>
  </r>
  <r>
    <s v="AX17627"/>
    <s v="ENX2018"/>
    <s v="A121"/>
    <s v="EMP1014"/>
    <s v="C1291"/>
    <x v="357"/>
    <n v="2"/>
    <n v="1972"/>
    <n v="1321"/>
    <n v="2642"/>
    <n v="3944"/>
    <n v="1302"/>
    <s v="Product 19"/>
    <x v="72"/>
    <s v="Ronald Reed"/>
    <x v="16"/>
    <n v="4"/>
    <x v="3"/>
    <x v="0"/>
    <x v="0"/>
    <x v="0"/>
    <x v="2"/>
  </r>
  <r>
    <s v="AX18108"/>
    <s v="ENX2054"/>
    <s v="A135"/>
    <s v="EMP1003"/>
    <s v="C1175"/>
    <x v="357"/>
    <n v="3"/>
    <n v="127"/>
    <n v="79"/>
    <n v="237"/>
    <n v="381"/>
    <n v="144"/>
    <s v="Product 55"/>
    <x v="10"/>
    <s v="Christopher Tucker"/>
    <x v="89"/>
    <n v="4"/>
    <x v="3"/>
    <x v="0"/>
    <x v="0"/>
    <x v="0"/>
    <x v="2"/>
  </r>
  <r>
    <s v="AX18480"/>
    <s v="ENX2072"/>
    <s v="A105"/>
    <s v="EMP1031"/>
    <s v="C1425"/>
    <x v="357"/>
    <n v="1"/>
    <n v="1887"/>
    <n v="1378"/>
    <n v="1378"/>
    <n v="1887"/>
    <n v="509"/>
    <s v="Product 73"/>
    <x v="45"/>
    <s v="Brian Thomas"/>
    <x v="474"/>
    <n v="4"/>
    <x v="3"/>
    <x v="0"/>
    <x v="0"/>
    <x v="0"/>
    <x v="2"/>
  </r>
  <r>
    <s v="AX18717"/>
    <s v="ENX2043"/>
    <s v="A157"/>
    <s v="EMP1003"/>
    <s v="C1584"/>
    <x v="358"/>
    <n v="4"/>
    <n v="545"/>
    <n v="425"/>
    <n v="1700"/>
    <n v="2180"/>
    <n v="480"/>
    <s v="Product 44"/>
    <x v="7"/>
    <s v="Christopher Tucker"/>
    <x v="72"/>
    <n v="4"/>
    <x v="3"/>
    <x v="0"/>
    <x v="0"/>
    <x v="0"/>
    <x v="2"/>
  </r>
  <r>
    <s v="AX18729"/>
    <s v="ENX2045"/>
    <s v="A127"/>
    <s v="EMP1013"/>
    <s v="C1098"/>
    <x v="357"/>
    <n v="4"/>
    <n v="556"/>
    <n v="395"/>
    <n v="1580"/>
    <n v="2224"/>
    <n v="644"/>
    <s v="Product 46"/>
    <x v="69"/>
    <s v="Charles Harper"/>
    <x v="622"/>
    <n v="4"/>
    <x v="3"/>
    <x v="0"/>
    <x v="0"/>
    <x v="0"/>
    <x v="2"/>
  </r>
  <r>
    <s v="AX18946"/>
    <s v="ENX2081"/>
    <s v="A104"/>
    <s v="EMP1016"/>
    <s v="C1645"/>
    <x v="357"/>
    <n v="4"/>
    <n v="1566"/>
    <n v="1190"/>
    <n v="4760"/>
    <n v="6264"/>
    <n v="1504"/>
    <s v="Product 82"/>
    <x v="50"/>
    <s v="Henry Nelson"/>
    <x v="128"/>
    <n v="4"/>
    <x v="3"/>
    <x v="0"/>
    <x v="0"/>
    <x v="0"/>
    <x v="2"/>
  </r>
  <r>
    <s v="AX19101"/>
    <s v="ENX2086"/>
    <s v="A126"/>
    <s v="EMP1010"/>
    <s v="C1442"/>
    <x v="355"/>
    <n v="2"/>
    <n v="123"/>
    <n v="84"/>
    <n v="168"/>
    <n v="246"/>
    <n v="78"/>
    <s v="Product 87"/>
    <x v="5"/>
    <s v="Joshua Cook"/>
    <x v="299"/>
    <n v="4"/>
    <x v="3"/>
    <x v="0"/>
    <x v="0"/>
    <x v="0"/>
    <x v="2"/>
  </r>
  <r>
    <s v="AX19144"/>
    <s v="ENX2054"/>
    <s v="A156"/>
    <s v="EMP1027"/>
    <s v="C1178"/>
    <x v="356"/>
    <n v="4"/>
    <n v="127"/>
    <n v="79"/>
    <n v="316"/>
    <n v="508"/>
    <n v="192"/>
    <s v="Product 55"/>
    <x v="14"/>
    <s v="Gary Rodriguez"/>
    <x v="465"/>
    <n v="4"/>
    <x v="3"/>
    <x v="0"/>
    <x v="0"/>
    <x v="0"/>
    <x v="2"/>
  </r>
  <r>
    <s v="AX19376"/>
    <s v="ENX2001"/>
    <s v="A154"/>
    <s v="EMP1004"/>
    <s v="C1229"/>
    <x v="355"/>
    <n v="2"/>
    <n v="951"/>
    <n v="504"/>
    <n v="1008"/>
    <n v="1902"/>
    <n v="894"/>
    <s v="Product 2"/>
    <x v="24"/>
    <s v="Kenneth Bradley"/>
    <x v="562"/>
    <n v="4"/>
    <x v="3"/>
    <x v="0"/>
    <x v="0"/>
    <x v="0"/>
    <x v="2"/>
  </r>
  <r>
    <s v="AX19588"/>
    <s v="ENX2082"/>
    <s v="A110"/>
    <s v="EMP1017"/>
    <s v="C1511"/>
    <x v="354"/>
    <n v="1"/>
    <n v="1103"/>
    <n v="838"/>
    <n v="838"/>
    <n v="1103"/>
    <n v="265"/>
    <s v="Product 83"/>
    <x v="63"/>
    <s v="Brian Hansen"/>
    <x v="754"/>
    <n v="4"/>
    <x v="3"/>
    <x v="0"/>
    <x v="0"/>
    <x v="0"/>
    <x v="2"/>
  </r>
  <r>
    <s v="AX19595"/>
    <s v="ENX2045"/>
    <s v="A151"/>
    <s v="EMP1042"/>
    <s v="C1563"/>
    <x v="354"/>
    <n v="1"/>
    <n v="556"/>
    <n v="395"/>
    <n v="395"/>
    <n v="556"/>
    <n v="161"/>
    <s v="Product 46"/>
    <x v="1"/>
    <s v="Scott Clark"/>
    <x v="130"/>
    <n v="4"/>
    <x v="3"/>
    <x v="0"/>
    <x v="0"/>
    <x v="0"/>
    <x v="2"/>
  </r>
  <r>
    <s v="AX19972"/>
    <s v="ENX2003"/>
    <s v="A151"/>
    <s v="EMP1030"/>
    <s v="C1137"/>
    <x v="354"/>
    <n v="2"/>
    <n v="1783"/>
    <n v="1516"/>
    <n v="3032"/>
    <n v="3566"/>
    <n v="534"/>
    <s v="Product 4"/>
    <x v="1"/>
    <s v="Bobby Russell"/>
    <x v="131"/>
    <n v="4"/>
    <x v="3"/>
    <x v="0"/>
    <x v="0"/>
    <x v="0"/>
    <x v="2"/>
  </r>
  <r>
    <s v="AX20021"/>
    <s v="ENX2069"/>
    <s v="A105"/>
    <s v="EMP1036"/>
    <s v="C1161"/>
    <x v="357"/>
    <n v="1"/>
    <n v="378"/>
    <n v="291"/>
    <n v="291"/>
    <n v="378"/>
    <n v="87"/>
    <s v="Product 70"/>
    <x v="45"/>
    <s v="Robert Reed"/>
    <x v="732"/>
    <n v="4"/>
    <x v="3"/>
    <x v="0"/>
    <x v="0"/>
    <x v="0"/>
    <x v="2"/>
  </r>
  <r>
    <s v="AX20895"/>
    <s v="ENX2097"/>
    <s v="A142"/>
    <s v="EMP1043"/>
    <s v="C1515"/>
    <x v="356"/>
    <n v="1"/>
    <n v="1052"/>
    <n v="589"/>
    <n v="589"/>
    <n v="1052"/>
    <n v="463"/>
    <s v="Product 98"/>
    <x v="56"/>
    <s v="Joshua Taylor"/>
    <x v="570"/>
    <n v="4"/>
    <x v="3"/>
    <x v="0"/>
    <x v="0"/>
    <x v="0"/>
    <x v="2"/>
  </r>
  <r>
    <s v="AX20965"/>
    <s v="ENX2093"/>
    <s v="A104"/>
    <s v="EMP1018"/>
    <s v="C1613"/>
    <x v="354"/>
    <n v="3"/>
    <n v="112"/>
    <n v="90"/>
    <n v="270"/>
    <n v="336"/>
    <n v="66"/>
    <s v="Product 94"/>
    <x v="50"/>
    <s v="Jimmy Young"/>
    <x v="143"/>
    <n v="4"/>
    <x v="3"/>
    <x v="0"/>
    <x v="0"/>
    <x v="0"/>
    <x v="2"/>
  </r>
  <r>
    <s v="AX21464"/>
    <s v="ENX2073"/>
    <s v="A170"/>
    <s v="EMP1027"/>
    <s v="C1581"/>
    <x v="358"/>
    <n v="2"/>
    <n v="95"/>
    <n v="61"/>
    <n v="122"/>
    <n v="190"/>
    <n v="68"/>
    <s v="Product 74"/>
    <x v="47"/>
    <s v="Gary Rodriguez"/>
    <x v="510"/>
    <n v="4"/>
    <x v="3"/>
    <x v="0"/>
    <x v="0"/>
    <x v="0"/>
    <x v="2"/>
  </r>
  <r>
    <s v="AX21712"/>
    <s v="ENX2099"/>
    <s v="A124"/>
    <s v="EMP1018"/>
    <s v="C1180"/>
    <x v="356"/>
    <n v="1"/>
    <n v="1367"/>
    <n v="984"/>
    <n v="984"/>
    <n v="1367"/>
    <n v="383"/>
    <s v="Product 100"/>
    <x v="67"/>
    <s v="Jimmy Young"/>
    <x v="212"/>
    <n v="4"/>
    <x v="3"/>
    <x v="0"/>
    <x v="0"/>
    <x v="0"/>
    <x v="2"/>
  </r>
  <r>
    <s v="AX21718"/>
    <s v="ENX2061"/>
    <s v="A163"/>
    <s v="EMP1035"/>
    <s v="C1734"/>
    <x v="358"/>
    <n v="1"/>
    <n v="913"/>
    <n v="584"/>
    <n v="584"/>
    <n v="913"/>
    <n v="329"/>
    <s v="Product 62"/>
    <x v="51"/>
    <s v="Roger Ramos"/>
    <x v="658"/>
    <n v="4"/>
    <x v="3"/>
    <x v="0"/>
    <x v="0"/>
    <x v="0"/>
    <x v="2"/>
  </r>
  <r>
    <s v="AX21721"/>
    <s v="ENX2071"/>
    <s v="A163"/>
    <s v="EMP1028"/>
    <s v="C1012"/>
    <x v="355"/>
    <n v="4"/>
    <n v="136"/>
    <n v="72"/>
    <n v="288"/>
    <n v="544"/>
    <n v="256"/>
    <s v="Product 72"/>
    <x v="51"/>
    <s v="Howard Sims"/>
    <x v="738"/>
    <n v="4"/>
    <x v="3"/>
    <x v="0"/>
    <x v="0"/>
    <x v="0"/>
    <x v="2"/>
  </r>
  <r>
    <s v="AX22048"/>
    <s v="ENX2005"/>
    <s v="A130"/>
    <s v="EMP1044"/>
    <s v="C1268"/>
    <x v="358"/>
    <n v="3"/>
    <n v="684"/>
    <n v="561"/>
    <n v="1683"/>
    <n v="2052"/>
    <n v="369"/>
    <s v="Product 6"/>
    <x v="4"/>
    <s v="Martin Carr"/>
    <x v="526"/>
    <n v="4"/>
    <x v="3"/>
    <x v="0"/>
    <x v="0"/>
    <x v="0"/>
    <x v="2"/>
  </r>
  <r>
    <s v="AX22372"/>
    <s v="ENX2019"/>
    <s v="A162"/>
    <s v="EMP1007"/>
    <s v="C1674"/>
    <x v="358"/>
    <n v="3"/>
    <n v="800"/>
    <n v="536"/>
    <n v="1608"/>
    <n v="2400"/>
    <n v="792"/>
    <s v="Product 20"/>
    <x v="2"/>
    <s v="Jeremy Mendoza"/>
    <x v="774"/>
    <n v="4"/>
    <x v="3"/>
    <x v="0"/>
    <x v="0"/>
    <x v="0"/>
    <x v="2"/>
  </r>
  <r>
    <s v="AX22888"/>
    <s v="ENX2013"/>
    <s v="A121"/>
    <s v="EMP1014"/>
    <s v="C1372"/>
    <x v="358"/>
    <n v="1"/>
    <n v="368"/>
    <n v="269"/>
    <n v="269"/>
    <n v="368"/>
    <n v="99"/>
    <s v="Product 14"/>
    <x v="72"/>
    <s v="Ronald Reed"/>
    <x v="60"/>
    <n v="4"/>
    <x v="3"/>
    <x v="0"/>
    <x v="0"/>
    <x v="0"/>
    <x v="2"/>
  </r>
  <r>
    <s v="AX23057"/>
    <s v="ENX2019"/>
    <s v="A101"/>
    <s v="EMP1008"/>
    <s v="C1163"/>
    <x v="354"/>
    <n v="1"/>
    <n v="800"/>
    <n v="536"/>
    <n v="536"/>
    <n v="800"/>
    <n v="264"/>
    <s v="Product 20"/>
    <x v="60"/>
    <s v="Carl Elliott"/>
    <x v="23"/>
    <n v="4"/>
    <x v="3"/>
    <x v="0"/>
    <x v="0"/>
    <x v="0"/>
    <x v="2"/>
  </r>
  <r>
    <s v="AX23062"/>
    <s v="ENX2093"/>
    <s v="A142"/>
    <s v="EMP1003"/>
    <s v="C1498"/>
    <x v="354"/>
    <n v="4"/>
    <n v="112"/>
    <n v="90"/>
    <n v="360"/>
    <n v="448"/>
    <n v="88"/>
    <s v="Product 94"/>
    <x v="56"/>
    <s v="Christopher Tucker"/>
    <x v="10"/>
    <n v="4"/>
    <x v="3"/>
    <x v="0"/>
    <x v="0"/>
    <x v="0"/>
    <x v="2"/>
  </r>
  <r>
    <s v="AX23298"/>
    <s v="ENX2018"/>
    <s v="A163"/>
    <s v="EMP1024"/>
    <s v="C1045"/>
    <x v="355"/>
    <n v="1"/>
    <n v="1972"/>
    <n v="1321"/>
    <n v="1321"/>
    <n v="1972"/>
    <n v="651"/>
    <s v="Product 19"/>
    <x v="51"/>
    <s v="Ernest Wheeler"/>
    <x v="444"/>
    <n v="4"/>
    <x v="3"/>
    <x v="0"/>
    <x v="0"/>
    <x v="0"/>
    <x v="2"/>
  </r>
  <r>
    <s v="AX23435"/>
    <s v="ENX2088"/>
    <s v="A107"/>
    <s v="EMP1031"/>
    <s v="C1454"/>
    <x v="358"/>
    <n v="1"/>
    <n v="603"/>
    <n v="416"/>
    <n v="416"/>
    <n v="603"/>
    <n v="187"/>
    <s v="Product 89"/>
    <x v="21"/>
    <s v="Brian Thomas"/>
    <x v="68"/>
    <n v="4"/>
    <x v="3"/>
    <x v="0"/>
    <x v="0"/>
    <x v="0"/>
    <x v="2"/>
  </r>
  <r>
    <s v="AX23671"/>
    <s v="ENX2082"/>
    <s v="A106"/>
    <s v="EMP1019"/>
    <s v="C1234"/>
    <x v="357"/>
    <n v="1"/>
    <n v="1103"/>
    <n v="838"/>
    <n v="838"/>
    <n v="1103"/>
    <n v="265"/>
    <s v="Product 83"/>
    <x v="11"/>
    <s v="Roger Robertson"/>
    <x v="636"/>
    <n v="4"/>
    <x v="3"/>
    <x v="0"/>
    <x v="0"/>
    <x v="0"/>
    <x v="2"/>
  </r>
  <r>
    <s v="AX23677"/>
    <s v="ENX2077"/>
    <s v="A113"/>
    <s v="EMP1034"/>
    <s v="C1656"/>
    <x v="355"/>
    <n v="1"/>
    <n v="530"/>
    <n v="424"/>
    <n v="424"/>
    <n v="530"/>
    <n v="106"/>
    <s v="Product 78"/>
    <x v="73"/>
    <s v="Arthur Mccoy"/>
    <x v="115"/>
    <n v="4"/>
    <x v="3"/>
    <x v="0"/>
    <x v="0"/>
    <x v="0"/>
    <x v="2"/>
  </r>
  <r>
    <s v="AX23750"/>
    <s v="ENX2073"/>
    <s v="A171"/>
    <s v="EMP1025"/>
    <s v="C1475"/>
    <x v="354"/>
    <n v="2"/>
    <n v="95"/>
    <n v="61"/>
    <n v="122"/>
    <n v="190"/>
    <n v="68"/>
    <s v="Product 74"/>
    <x v="0"/>
    <s v="Ernest Wagner"/>
    <x v="527"/>
    <n v="4"/>
    <x v="3"/>
    <x v="0"/>
    <x v="0"/>
    <x v="0"/>
    <x v="2"/>
  </r>
  <r>
    <s v="AX23809"/>
    <s v="ENX2082"/>
    <s v="A109"/>
    <s v="EMP1001"/>
    <s v="C1408"/>
    <x v="358"/>
    <n v="1"/>
    <n v="1103"/>
    <n v="838"/>
    <n v="838"/>
    <n v="1103"/>
    <n v="265"/>
    <s v="Product 83"/>
    <x v="57"/>
    <s v="Kevin Butler"/>
    <x v="647"/>
    <n v="4"/>
    <x v="3"/>
    <x v="0"/>
    <x v="0"/>
    <x v="0"/>
    <x v="2"/>
  </r>
  <r>
    <s v="AX24183"/>
    <s v="ENX2021"/>
    <s v="A130"/>
    <s v="EMP1017"/>
    <s v="C1536"/>
    <x v="355"/>
    <n v="1"/>
    <n v="217"/>
    <n v="171"/>
    <n v="171"/>
    <n v="217"/>
    <n v="46"/>
    <s v="Product 22"/>
    <x v="4"/>
    <s v="Brian Hansen"/>
    <x v="74"/>
    <n v="4"/>
    <x v="3"/>
    <x v="0"/>
    <x v="0"/>
    <x v="0"/>
    <x v="2"/>
  </r>
  <r>
    <s v="AX24618"/>
    <s v="ENX2009"/>
    <s v="A123"/>
    <s v="EMP1002"/>
    <s v="C1507"/>
    <x v="354"/>
    <n v="1"/>
    <n v="584"/>
    <n v="420"/>
    <n v="420"/>
    <n v="584"/>
    <n v="164"/>
    <s v="Product 10"/>
    <x v="34"/>
    <s v="Andrew Bowman"/>
    <x v="227"/>
    <n v="4"/>
    <x v="3"/>
    <x v="0"/>
    <x v="0"/>
    <x v="0"/>
    <x v="2"/>
  </r>
  <r>
    <s v="AX24731"/>
    <s v="ENX2065"/>
    <s v="A127"/>
    <s v="EMP1030"/>
    <s v="C1467"/>
    <x v="355"/>
    <n v="1"/>
    <n v="2396"/>
    <n v="1965"/>
    <n v="1965"/>
    <n v="2396"/>
    <n v="431"/>
    <s v="Product 66"/>
    <x v="69"/>
    <s v="Bobby Russell"/>
    <x v="5"/>
    <n v="4"/>
    <x v="3"/>
    <x v="0"/>
    <x v="0"/>
    <x v="0"/>
    <x v="2"/>
  </r>
  <r>
    <s v="AX24767"/>
    <s v="ENX2064"/>
    <s v="A126"/>
    <s v="EMP1017"/>
    <s v="C1323"/>
    <x v="357"/>
    <n v="1"/>
    <n v="1414"/>
    <n v="962"/>
    <n v="962"/>
    <n v="1414"/>
    <n v="452"/>
    <s v="Product 65"/>
    <x v="5"/>
    <s v="Brian Hansen"/>
    <x v="83"/>
    <n v="4"/>
    <x v="3"/>
    <x v="0"/>
    <x v="0"/>
    <x v="0"/>
    <x v="2"/>
  </r>
  <r>
    <s v="AX10008"/>
    <s v="ENX2076"/>
    <s v="A157"/>
    <s v="EMP1015"/>
    <s v="C1121"/>
    <x v="359"/>
    <n v="2"/>
    <n v="1522"/>
    <n v="791"/>
    <n v="1582"/>
    <n v="3044"/>
    <n v="1462"/>
    <s v="Product 77"/>
    <x v="7"/>
    <s v="Justin Lynch"/>
    <x v="681"/>
    <n v="4"/>
    <x v="3"/>
    <x v="1"/>
    <x v="1"/>
    <x v="0"/>
    <x v="0"/>
  </r>
  <r>
    <s v="AX10518"/>
    <s v="ENX2028"/>
    <s v="A105"/>
    <s v="EMP1007"/>
    <s v="C1236"/>
    <x v="359"/>
    <n v="3"/>
    <n v="2283"/>
    <n v="1484"/>
    <n v="4452"/>
    <n v="6849"/>
    <n v="2397"/>
    <s v="Product 29"/>
    <x v="45"/>
    <s v="Jeremy Mendoza"/>
    <x v="795"/>
    <n v="4"/>
    <x v="3"/>
    <x v="1"/>
    <x v="1"/>
    <x v="0"/>
    <x v="0"/>
  </r>
  <r>
    <s v="AX11037"/>
    <s v="ENX2028"/>
    <s v="A147"/>
    <s v="EMP1037"/>
    <s v="C1714"/>
    <x v="360"/>
    <n v="1"/>
    <n v="2283"/>
    <n v="1484"/>
    <n v="1484"/>
    <n v="2283"/>
    <n v="799"/>
    <s v="Product 29"/>
    <x v="42"/>
    <s v="Carl Hall"/>
    <x v="317"/>
    <n v="4"/>
    <x v="3"/>
    <x v="1"/>
    <x v="1"/>
    <x v="0"/>
    <x v="0"/>
  </r>
  <r>
    <s v="AX11097"/>
    <s v="ENX2083"/>
    <s v="A136"/>
    <s v="EMP1028"/>
    <s v="C1022"/>
    <x v="360"/>
    <n v="1"/>
    <n v="2141"/>
    <n v="1777"/>
    <n v="1777"/>
    <n v="2141"/>
    <n v="364"/>
    <s v="Product 84"/>
    <x v="43"/>
    <s v="Howard Sims"/>
    <x v="249"/>
    <n v="4"/>
    <x v="3"/>
    <x v="1"/>
    <x v="1"/>
    <x v="0"/>
    <x v="0"/>
  </r>
  <r>
    <s v="AX11920"/>
    <s v="ENX2056"/>
    <s v="A113"/>
    <s v="EMP1023"/>
    <s v="C1648"/>
    <x v="361"/>
    <n v="1"/>
    <n v="1635"/>
    <n v="1046"/>
    <n v="1046"/>
    <n v="1635"/>
    <n v="589"/>
    <s v="Product 57"/>
    <x v="73"/>
    <s v="Brian Davis"/>
    <x v="430"/>
    <n v="4"/>
    <x v="3"/>
    <x v="1"/>
    <x v="1"/>
    <x v="0"/>
    <x v="0"/>
  </r>
  <r>
    <s v="AX12152"/>
    <s v="ENX2015"/>
    <s v="A124"/>
    <s v="EMP1008"/>
    <s v="C1328"/>
    <x v="360"/>
    <n v="2"/>
    <n v="637"/>
    <n v="389"/>
    <n v="778"/>
    <n v="1274"/>
    <n v="496"/>
    <s v="Product 16"/>
    <x v="67"/>
    <s v="Carl Elliott"/>
    <x v="488"/>
    <n v="4"/>
    <x v="3"/>
    <x v="1"/>
    <x v="1"/>
    <x v="0"/>
    <x v="0"/>
  </r>
  <r>
    <s v="AX12243"/>
    <s v="ENX2071"/>
    <s v="A143"/>
    <s v="EMP1039"/>
    <s v="C1686"/>
    <x v="361"/>
    <n v="3"/>
    <n v="136"/>
    <n v="72"/>
    <n v="216"/>
    <n v="408"/>
    <n v="192"/>
    <s v="Product 72"/>
    <x v="39"/>
    <s v="Eugene Holmes"/>
    <x v="748"/>
    <n v="4"/>
    <x v="3"/>
    <x v="1"/>
    <x v="1"/>
    <x v="0"/>
    <x v="0"/>
  </r>
  <r>
    <s v="AX12263"/>
    <s v="ENX2019"/>
    <s v="A117"/>
    <s v="EMP1039"/>
    <s v="C1018"/>
    <x v="360"/>
    <n v="1"/>
    <n v="800"/>
    <n v="536"/>
    <n v="536"/>
    <n v="800"/>
    <n v="264"/>
    <s v="Product 20"/>
    <x v="29"/>
    <s v="Eugene Holmes"/>
    <x v="138"/>
    <n v="4"/>
    <x v="3"/>
    <x v="1"/>
    <x v="1"/>
    <x v="0"/>
    <x v="0"/>
  </r>
  <r>
    <s v="AX12481"/>
    <s v="ENX2054"/>
    <s v="A115"/>
    <s v="EMP1017"/>
    <s v="C1368"/>
    <x v="360"/>
    <n v="2"/>
    <n v="127"/>
    <n v="79"/>
    <n v="158"/>
    <n v="254"/>
    <n v="96"/>
    <s v="Product 55"/>
    <x v="33"/>
    <s v="Brian Hansen"/>
    <x v="200"/>
    <n v="4"/>
    <x v="3"/>
    <x v="1"/>
    <x v="1"/>
    <x v="0"/>
    <x v="0"/>
  </r>
  <r>
    <s v="AX12573"/>
    <s v="ENX2039"/>
    <s v="A124"/>
    <s v="EMP1015"/>
    <s v="C1268"/>
    <x v="360"/>
    <n v="1"/>
    <n v="817"/>
    <n v="409"/>
    <n v="409"/>
    <n v="817"/>
    <n v="408"/>
    <s v="Product 40"/>
    <x v="67"/>
    <s v="Justin Lynch"/>
    <x v="526"/>
    <n v="4"/>
    <x v="3"/>
    <x v="1"/>
    <x v="1"/>
    <x v="0"/>
    <x v="0"/>
  </r>
  <r>
    <s v="AX12801"/>
    <s v="ENX2072"/>
    <s v="A145"/>
    <s v="EMP1024"/>
    <s v="C1316"/>
    <x v="360"/>
    <n v="3"/>
    <n v="1887"/>
    <n v="1378"/>
    <n v="4134"/>
    <n v="5661"/>
    <n v="1527"/>
    <s v="Product 73"/>
    <x v="35"/>
    <s v="Ernest Wheeler"/>
    <x v="771"/>
    <n v="4"/>
    <x v="3"/>
    <x v="1"/>
    <x v="1"/>
    <x v="0"/>
    <x v="0"/>
  </r>
  <r>
    <s v="AX13448"/>
    <s v="ENX2076"/>
    <s v="A106"/>
    <s v="EMP1013"/>
    <s v="C1546"/>
    <x v="362"/>
    <n v="2"/>
    <n v="1522"/>
    <n v="791"/>
    <n v="1582"/>
    <n v="3044"/>
    <n v="1462"/>
    <s v="Product 77"/>
    <x v="11"/>
    <s v="Charles Harper"/>
    <x v="119"/>
    <n v="4"/>
    <x v="3"/>
    <x v="1"/>
    <x v="1"/>
    <x v="0"/>
    <x v="0"/>
  </r>
  <r>
    <s v="AX13587"/>
    <s v="ENX2064"/>
    <s v="A100"/>
    <s v="EMP1006"/>
    <s v="C1086"/>
    <x v="362"/>
    <n v="2"/>
    <n v="1414"/>
    <n v="962"/>
    <n v="1924"/>
    <n v="2828"/>
    <n v="904"/>
    <s v="Product 65"/>
    <x v="52"/>
    <s v="Sean Miller"/>
    <x v="769"/>
    <n v="4"/>
    <x v="3"/>
    <x v="1"/>
    <x v="1"/>
    <x v="0"/>
    <x v="0"/>
  </r>
  <r>
    <s v="AX13889"/>
    <s v="ENX2092"/>
    <s v="A141"/>
    <s v="EMP1019"/>
    <s v="C1526"/>
    <x v="361"/>
    <n v="1"/>
    <n v="1639"/>
    <n v="1295"/>
    <n v="1295"/>
    <n v="1639"/>
    <n v="344"/>
    <s v="Product 93"/>
    <x v="23"/>
    <s v="Roger Robertson"/>
    <x v="6"/>
    <n v="4"/>
    <x v="3"/>
    <x v="1"/>
    <x v="1"/>
    <x v="0"/>
    <x v="0"/>
  </r>
  <r>
    <s v="AX14652"/>
    <s v="ENX2081"/>
    <s v="A155"/>
    <s v="EMP1043"/>
    <s v="C1265"/>
    <x v="361"/>
    <n v="1"/>
    <n v="1566"/>
    <n v="1190"/>
    <n v="1190"/>
    <n v="1566"/>
    <n v="376"/>
    <s v="Product 82"/>
    <x v="53"/>
    <s v="Joshua Taylor"/>
    <x v="348"/>
    <n v="4"/>
    <x v="3"/>
    <x v="1"/>
    <x v="1"/>
    <x v="0"/>
    <x v="0"/>
  </r>
  <r>
    <s v="AX14734"/>
    <s v="ENX2052"/>
    <s v="A119"/>
    <s v="EMP1020"/>
    <s v="C1232"/>
    <x v="362"/>
    <n v="1"/>
    <n v="1526"/>
    <n v="1251"/>
    <n v="1251"/>
    <n v="1526"/>
    <n v="275"/>
    <s v="Product 53"/>
    <x v="16"/>
    <s v="Ryan Butler"/>
    <x v="584"/>
    <n v="4"/>
    <x v="3"/>
    <x v="1"/>
    <x v="1"/>
    <x v="0"/>
    <x v="0"/>
  </r>
  <r>
    <s v="AX14862"/>
    <s v="ENX2065"/>
    <s v="A172"/>
    <s v="EMP1000"/>
    <s v="C1406"/>
    <x v="362"/>
    <n v="3"/>
    <n v="2396"/>
    <n v="1965"/>
    <n v="5895"/>
    <n v="7188"/>
    <n v="1293"/>
    <s v="Product 66"/>
    <x v="36"/>
    <s v="Fred Robertson"/>
    <x v="783"/>
    <n v="4"/>
    <x v="3"/>
    <x v="1"/>
    <x v="1"/>
    <x v="0"/>
    <x v="0"/>
  </r>
  <r>
    <s v="AX14945"/>
    <s v="ENX2093"/>
    <s v="A120"/>
    <s v="EMP1022"/>
    <s v="C1272"/>
    <x v="362"/>
    <n v="1"/>
    <n v="112"/>
    <n v="90"/>
    <n v="90"/>
    <n v="112"/>
    <n v="22"/>
    <s v="Product 94"/>
    <x v="20"/>
    <s v="Walter Cook"/>
    <x v="491"/>
    <n v="4"/>
    <x v="3"/>
    <x v="1"/>
    <x v="1"/>
    <x v="0"/>
    <x v="0"/>
  </r>
  <r>
    <s v="AX15483"/>
    <s v="ENX2075"/>
    <s v="A158"/>
    <s v="EMP1022"/>
    <s v="C1049"/>
    <x v="360"/>
    <n v="3"/>
    <n v="400"/>
    <n v="208"/>
    <n v="624"/>
    <n v="1200"/>
    <n v="576"/>
    <s v="Product 76"/>
    <x v="58"/>
    <s v="Walter Cook"/>
    <x v="305"/>
    <n v="4"/>
    <x v="3"/>
    <x v="1"/>
    <x v="1"/>
    <x v="0"/>
    <x v="0"/>
  </r>
  <r>
    <s v="AX15867"/>
    <s v="ENX2054"/>
    <s v="A157"/>
    <s v="EMP1029"/>
    <s v="C1023"/>
    <x v="361"/>
    <n v="3"/>
    <n v="127"/>
    <n v="79"/>
    <n v="237"/>
    <n v="381"/>
    <n v="144"/>
    <s v="Product 55"/>
    <x v="7"/>
    <s v="Howard Gardner"/>
    <x v="799"/>
    <n v="4"/>
    <x v="3"/>
    <x v="1"/>
    <x v="1"/>
    <x v="0"/>
    <x v="0"/>
  </r>
  <r>
    <s v="AX16226"/>
    <s v="ENX2007"/>
    <s v="A141"/>
    <s v="EMP1014"/>
    <s v="C1521"/>
    <x v="360"/>
    <n v="1"/>
    <n v="1405"/>
    <n v="1054"/>
    <n v="1054"/>
    <n v="1405"/>
    <n v="351"/>
    <s v="Product 8"/>
    <x v="23"/>
    <s v="Ronald Reed"/>
    <x v="697"/>
    <n v="4"/>
    <x v="3"/>
    <x v="1"/>
    <x v="1"/>
    <x v="0"/>
    <x v="0"/>
  </r>
  <r>
    <s v="AX16348"/>
    <s v="ENX2011"/>
    <s v="A163"/>
    <s v="EMP1031"/>
    <s v="C1334"/>
    <x v="361"/>
    <n v="1"/>
    <n v="530"/>
    <n v="435"/>
    <n v="435"/>
    <n v="530"/>
    <n v="95"/>
    <s v="Product 12"/>
    <x v="51"/>
    <s v="Brian Thomas"/>
    <x v="53"/>
    <n v="4"/>
    <x v="3"/>
    <x v="1"/>
    <x v="1"/>
    <x v="0"/>
    <x v="0"/>
  </r>
  <r>
    <s v="AX16382"/>
    <s v="ENX2040"/>
    <s v="A146"/>
    <s v="EMP1002"/>
    <s v="C1345"/>
    <x v="359"/>
    <n v="2"/>
    <n v="1889"/>
    <n v="945"/>
    <n v="1890"/>
    <n v="3778"/>
    <n v="1888"/>
    <s v="Product 41"/>
    <x v="27"/>
    <s v="Andrew Bowman"/>
    <x v="567"/>
    <n v="4"/>
    <x v="3"/>
    <x v="1"/>
    <x v="1"/>
    <x v="0"/>
    <x v="0"/>
  </r>
  <r>
    <s v="AX16436"/>
    <s v="ENX2002"/>
    <s v="A132"/>
    <s v="EMP1038"/>
    <s v="C1044"/>
    <x v="361"/>
    <n v="2"/>
    <n v="847"/>
    <n v="534"/>
    <n v="1068"/>
    <n v="1694"/>
    <n v="626"/>
    <s v="Product 3"/>
    <x v="48"/>
    <s v="Scott Mason"/>
    <x v="331"/>
    <n v="4"/>
    <x v="3"/>
    <x v="1"/>
    <x v="1"/>
    <x v="0"/>
    <x v="0"/>
  </r>
  <r>
    <s v="AX17113"/>
    <s v="ENX2057"/>
    <s v="A151"/>
    <s v="EMP1043"/>
    <s v="C1157"/>
    <x v="362"/>
    <n v="2"/>
    <n v="181"/>
    <n v="130"/>
    <n v="260"/>
    <n v="362"/>
    <n v="102"/>
    <s v="Product 58"/>
    <x v="1"/>
    <s v="Joshua Taylor"/>
    <x v="415"/>
    <n v="4"/>
    <x v="3"/>
    <x v="1"/>
    <x v="1"/>
    <x v="0"/>
    <x v="0"/>
  </r>
  <r>
    <s v="AX17141"/>
    <s v="ENX2023"/>
    <s v="A122"/>
    <s v="EMP1028"/>
    <s v="C1290"/>
    <x v="360"/>
    <n v="1"/>
    <n v="818"/>
    <n v="450"/>
    <n v="450"/>
    <n v="818"/>
    <n v="368"/>
    <s v="Product 24"/>
    <x v="71"/>
    <s v="Howard Sims"/>
    <x v="675"/>
    <n v="4"/>
    <x v="3"/>
    <x v="1"/>
    <x v="1"/>
    <x v="0"/>
    <x v="0"/>
  </r>
  <r>
    <s v="AX17296"/>
    <s v="ENX2059"/>
    <s v="A173"/>
    <s v="EMP1002"/>
    <s v="C1724"/>
    <x v="360"/>
    <n v="1"/>
    <n v="1494"/>
    <n v="971"/>
    <n v="971"/>
    <n v="1494"/>
    <n v="523"/>
    <s v="Product 60"/>
    <x v="25"/>
    <s v="Andrew Bowman"/>
    <x v="378"/>
    <n v="4"/>
    <x v="3"/>
    <x v="1"/>
    <x v="1"/>
    <x v="0"/>
    <x v="0"/>
  </r>
  <r>
    <s v="AX17864"/>
    <s v="ENX2077"/>
    <s v="A129"/>
    <s v="EMP1001"/>
    <s v="C1048"/>
    <x v="361"/>
    <n v="4"/>
    <n v="530"/>
    <n v="424"/>
    <n v="1696"/>
    <n v="2120"/>
    <n v="424"/>
    <s v="Product 78"/>
    <x v="22"/>
    <s v="Kevin Butler"/>
    <x v="391"/>
    <n v="4"/>
    <x v="3"/>
    <x v="1"/>
    <x v="1"/>
    <x v="0"/>
    <x v="0"/>
  </r>
  <r>
    <s v="AX17992"/>
    <s v="ENX2020"/>
    <s v="A110"/>
    <s v="EMP1039"/>
    <s v="C1621"/>
    <x v="361"/>
    <n v="1"/>
    <n v="2005"/>
    <n v="1223"/>
    <n v="1223"/>
    <n v="2005"/>
    <n v="782"/>
    <s v="Product 21"/>
    <x v="63"/>
    <s v="Eugene Holmes"/>
    <x v="159"/>
    <n v="4"/>
    <x v="3"/>
    <x v="1"/>
    <x v="1"/>
    <x v="0"/>
    <x v="0"/>
  </r>
  <r>
    <s v="AX18065"/>
    <s v="ENX2007"/>
    <s v="A150"/>
    <s v="EMP1006"/>
    <s v="C1589"/>
    <x v="359"/>
    <n v="1"/>
    <n v="1405"/>
    <n v="1054"/>
    <n v="1054"/>
    <n v="1405"/>
    <n v="351"/>
    <s v="Product 8"/>
    <x v="30"/>
    <s v="Sean Miller"/>
    <x v="39"/>
    <n v="4"/>
    <x v="3"/>
    <x v="1"/>
    <x v="1"/>
    <x v="0"/>
    <x v="0"/>
  </r>
  <r>
    <s v="AX18594"/>
    <s v="ENX2096"/>
    <s v="A142"/>
    <s v="EMP1015"/>
    <s v="C1607"/>
    <x v="361"/>
    <n v="2"/>
    <n v="1587"/>
    <n v="1301"/>
    <n v="2602"/>
    <n v="3174"/>
    <n v="572"/>
    <s v="Product 97"/>
    <x v="56"/>
    <s v="Justin Lynch"/>
    <x v="211"/>
    <n v="4"/>
    <x v="3"/>
    <x v="1"/>
    <x v="1"/>
    <x v="0"/>
    <x v="0"/>
  </r>
  <r>
    <s v="AX18774"/>
    <s v="ENX2096"/>
    <s v="A108"/>
    <s v="EMP1000"/>
    <s v="C1515"/>
    <x v="362"/>
    <n v="1"/>
    <n v="1587"/>
    <n v="1301"/>
    <n v="1301"/>
    <n v="1587"/>
    <n v="286"/>
    <s v="Product 97"/>
    <x v="49"/>
    <s v="Fred Robertson"/>
    <x v="570"/>
    <n v="4"/>
    <x v="3"/>
    <x v="1"/>
    <x v="1"/>
    <x v="0"/>
    <x v="0"/>
  </r>
  <r>
    <s v="AX18851"/>
    <s v="ENX2073"/>
    <s v="A127"/>
    <s v="EMP1004"/>
    <s v="C1719"/>
    <x v="359"/>
    <n v="3"/>
    <n v="95"/>
    <n v="61"/>
    <n v="183"/>
    <n v="285"/>
    <n v="102"/>
    <s v="Product 74"/>
    <x v="69"/>
    <s v="Kenneth Bradley"/>
    <x v="666"/>
    <n v="4"/>
    <x v="3"/>
    <x v="1"/>
    <x v="1"/>
    <x v="0"/>
    <x v="0"/>
  </r>
  <r>
    <s v="AX18880"/>
    <s v="ENX2082"/>
    <s v="A119"/>
    <s v="EMP1016"/>
    <s v="C1779"/>
    <x v="361"/>
    <n v="2"/>
    <n v="1103"/>
    <n v="838"/>
    <n v="1676"/>
    <n v="2206"/>
    <n v="530"/>
    <s v="Product 83"/>
    <x v="16"/>
    <s v="Henry Nelson"/>
    <x v="648"/>
    <n v="4"/>
    <x v="3"/>
    <x v="1"/>
    <x v="1"/>
    <x v="0"/>
    <x v="0"/>
  </r>
  <r>
    <s v="AX19131"/>
    <s v="ENX2026"/>
    <s v="A166"/>
    <s v="EMP1000"/>
    <s v="C1360"/>
    <x v="360"/>
    <n v="1"/>
    <n v="947"/>
    <n v="786"/>
    <n v="786"/>
    <n v="947"/>
    <n v="161"/>
    <s v="Product 27"/>
    <x v="70"/>
    <s v="Fred Robertson"/>
    <x v="573"/>
    <n v="4"/>
    <x v="3"/>
    <x v="1"/>
    <x v="1"/>
    <x v="0"/>
    <x v="0"/>
  </r>
  <r>
    <s v="AX19136"/>
    <s v="ENX2021"/>
    <s v="A172"/>
    <s v="EMP1033"/>
    <s v="C1331"/>
    <x v="360"/>
    <n v="1"/>
    <n v="217"/>
    <n v="171"/>
    <n v="171"/>
    <n v="217"/>
    <n v="46"/>
    <s v="Product 22"/>
    <x v="36"/>
    <s v="Jerry Perry"/>
    <x v="482"/>
    <n v="4"/>
    <x v="3"/>
    <x v="1"/>
    <x v="1"/>
    <x v="0"/>
    <x v="0"/>
  </r>
  <r>
    <s v="AX19257"/>
    <s v="ENX2052"/>
    <s v="A166"/>
    <s v="EMP1023"/>
    <s v="C1191"/>
    <x v="362"/>
    <n v="4"/>
    <n v="1526"/>
    <n v="1251"/>
    <n v="5004"/>
    <n v="6104"/>
    <n v="1100"/>
    <s v="Product 53"/>
    <x v="70"/>
    <s v="Brian Davis"/>
    <x v="739"/>
    <n v="4"/>
    <x v="3"/>
    <x v="1"/>
    <x v="1"/>
    <x v="0"/>
    <x v="0"/>
  </r>
  <r>
    <s v="AX19622"/>
    <s v="ENX2094"/>
    <s v="A170"/>
    <s v="EMP1005"/>
    <s v="C1292"/>
    <x v="360"/>
    <n v="2"/>
    <n v="771"/>
    <n v="648"/>
    <n v="1296"/>
    <n v="1542"/>
    <n v="246"/>
    <s v="Product 95"/>
    <x v="47"/>
    <s v="Ryan Welch"/>
    <x v="333"/>
    <n v="4"/>
    <x v="3"/>
    <x v="1"/>
    <x v="1"/>
    <x v="0"/>
    <x v="0"/>
  </r>
  <r>
    <s v="AX19750"/>
    <s v="ENX2076"/>
    <s v="A102"/>
    <s v="EMP1005"/>
    <s v="C1042"/>
    <x v="359"/>
    <n v="1"/>
    <n v="1522"/>
    <n v="791"/>
    <n v="791"/>
    <n v="1522"/>
    <n v="731"/>
    <s v="Product 77"/>
    <x v="44"/>
    <s v="Ryan Welch"/>
    <x v="459"/>
    <n v="4"/>
    <x v="3"/>
    <x v="1"/>
    <x v="1"/>
    <x v="0"/>
    <x v="0"/>
  </r>
  <r>
    <s v="AX19758"/>
    <s v="ENX2099"/>
    <s v="A105"/>
    <s v="EMP1007"/>
    <s v="C1056"/>
    <x v="360"/>
    <n v="1"/>
    <n v="1367"/>
    <n v="984"/>
    <n v="984"/>
    <n v="1367"/>
    <n v="383"/>
    <s v="Product 100"/>
    <x v="45"/>
    <s v="Jeremy Mendoza"/>
    <x v="260"/>
    <n v="4"/>
    <x v="3"/>
    <x v="1"/>
    <x v="1"/>
    <x v="0"/>
    <x v="0"/>
  </r>
  <r>
    <s v="AX20370"/>
    <s v="ENX2049"/>
    <s v="A101"/>
    <s v="EMP1032"/>
    <s v="C1501"/>
    <x v="360"/>
    <n v="1"/>
    <n v="826"/>
    <n v="562"/>
    <n v="562"/>
    <n v="826"/>
    <n v="264"/>
    <s v="Product 50"/>
    <x v="60"/>
    <s v="Larry Castillo"/>
    <x v="387"/>
    <n v="4"/>
    <x v="3"/>
    <x v="1"/>
    <x v="1"/>
    <x v="0"/>
    <x v="0"/>
  </r>
  <r>
    <s v="AX20967"/>
    <s v="ENX2016"/>
    <s v="A170"/>
    <s v="EMP1040"/>
    <s v="C1342"/>
    <x v="360"/>
    <n v="1"/>
    <n v="1351"/>
    <n v="1108"/>
    <n v="1108"/>
    <n v="1351"/>
    <n v="243"/>
    <s v="Product 17"/>
    <x v="47"/>
    <s v="Patrick Ruiz"/>
    <x v="62"/>
    <n v="4"/>
    <x v="3"/>
    <x v="1"/>
    <x v="1"/>
    <x v="0"/>
    <x v="0"/>
  </r>
  <r>
    <s v="AX21047"/>
    <s v="ENX2075"/>
    <s v="A116"/>
    <s v="EMP1037"/>
    <s v="C1102"/>
    <x v="361"/>
    <n v="1"/>
    <n v="400"/>
    <n v="208"/>
    <n v="208"/>
    <n v="400"/>
    <n v="192"/>
    <s v="Product 76"/>
    <x v="15"/>
    <s v="Carl Hall"/>
    <x v="766"/>
    <n v="4"/>
    <x v="3"/>
    <x v="1"/>
    <x v="1"/>
    <x v="0"/>
    <x v="0"/>
  </r>
  <r>
    <s v="AX21063"/>
    <s v="ENX2099"/>
    <s v="A148"/>
    <s v="EMP1021"/>
    <s v="C1422"/>
    <x v="359"/>
    <n v="1"/>
    <n v="1367"/>
    <n v="984"/>
    <n v="984"/>
    <n v="1367"/>
    <n v="383"/>
    <s v="Product 100"/>
    <x v="62"/>
    <s v="Clarence Fox"/>
    <x v="176"/>
    <n v="4"/>
    <x v="3"/>
    <x v="1"/>
    <x v="1"/>
    <x v="0"/>
    <x v="0"/>
  </r>
  <r>
    <s v="AX21330"/>
    <s v="ENX2009"/>
    <s v="A101"/>
    <s v="EMP1009"/>
    <s v="C1784"/>
    <x v="360"/>
    <n v="3"/>
    <n v="584"/>
    <n v="420"/>
    <n v="1260"/>
    <n v="1752"/>
    <n v="492"/>
    <s v="Product 10"/>
    <x v="60"/>
    <s v="Kenneth Fields"/>
    <x v="397"/>
    <n v="4"/>
    <x v="3"/>
    <x v="1"/>
    <x v="1"/>
    <x v="0"/>
    <x v="0"/>
  </r>
  <r>
    <s v="AX21537"/>
    <s v="ENX2032"/>
    <s v="A101"/>
    <s v="EMP1029"/>
    <s v="C1271"/>
    <x v="360"/>
    <n v="1"/>
    <n v="1967"/>
    <n v="1397"/>
    <n v="1397"/>
    <n v="1967"/>
    <n v="570"/>
    <s v="Product 33"/>
    <x v="60"/>
    <s v="Howard Gardner"/>
    <x v="314"/>
    <n v="4"/>
    <x v="3"/>
    <x v="1"/>
    <x v="1"/>
    <x v="0"/>
    <x v="0"/>
  </r>
  <r>
    <s v="AX21563"/>
    <s v="ENX2003"/>
    <s v="A130"/>
    <s v="EMP1043"/>
    <s v="C1470"/>
    <x v="359"/>
    <n v="1"/>
    <n v="1783"/>
    <n v="1516"/>
    <n v="1516"/>
    <n v="1783"/>
    <n v="267"/>
    <s v="Product 4"/>
    <x v="4"/>
    <s v="Joshua Taylor"/>
    <x v="621"/>
    <n v="4"/>
    <x v="3"/>
    <x v="1"/>
    <x v="1"/>
    <x v="0"/>
    <x v="0"/>
  </r>
  <r>
    <s v="AX21689"/>
    <s v="ENX2099"/>
    <s v="A142"/>
    <s v="EMP1031"/>
    <s v="C1364"/>
    <x v="361"/>
    <n v="4"/>
    <n v="1367"/>
    <n v="984"/>
    <n v="3936"/>
    <n v="5468"/>
    <n v="1532"/>
    <s v="Product 100"/>
    <x v="56"/>
    <s v="Brian Thomas"/>
    <x v="477"/>
    <n v="4"/>
    <x v="3"/>
    <x v="1"/>
    <x v="1"/>
    <x v="0"/>
    <x v="0"/>
  </r>
  <r>
    <s v="AX23102"/>
    <s v="ENX2080"/>
    <s v="A159"/>
    <s v="EMP1011"/>
    <s v="C1201"/>
    <x v="359"/>
    <n v="1"/>
    <n v="2353"/>
    <n v="1788"/>
    <n v="1788"/>
    <n v="2353"/>
    <n v="565"/>
    <s v="Product 81"/>
    <x v="13"/>
    <s v="Larry Marshall"/>
    <x v="760"/>
    <n v="4"/>
    <x v="3"/>
    <x v="1"/>
    <x v="1"/>
    <x v="0"/>
    <x v="0"/>
  </r>
  <r>
    <s v="AX23236"/>
    <s v="ENX2012"/>
    <s v="A153"/>
    <s v="EMP1001"/>
    <s v="C1212"/>
    <x v="360"/>
    <n v="1"/>
    <n v="1353"/>
    <n v="947"/>
    <n v="947"/>
    <n v="1353"/>
    <n v="406"/>
    <s v="Product 13"/>
    <x v="8"/>
    <s v="Kevin Butler"/>
    <x v="220"/>
    <n v="4"/>
    <x v="3"/>
    <x v="1"/>
    <x v="1"/>
    <x v="0"/>
    <x v="0"/>
  </r>
  <r>
    <s v="AX23685"/>
    <s v="ENX2027"/>
    <s v="A151"/>
    <s v="EMP1030"/>
    <s v="C1301"/>
    <x v="359"/>
    <n v="1"/>
    <n v="2497"/>
    <n v="1473"/>
    <n v="1473"/>
    <n v="2497"/>
    <n v="1024"/>
    <s v="Product 28"/>
    <x v="1"/>
    <s v="Bobby Russell"/>
    <x v="231"/>
    <n v="4"/>
    <x v="3"/>
    <x v="1"/>
    <x v="1"/>
    <x v="0"/>
    <x v="0"/>
  </r>
  <r>
    <s v="AX23735"/>
    <s v="ENX2045"/>
    <s v="A104"/>
    <s v="EMP1004"/>
    <s v="C1598"/>
    <x v="359"/>
    <n v="2"/>
    <n v="556"/>
    <n v="395"/>
    <n v="790"/>
    <n v="1112"/>
    <n v="322"/>
    <s v="Product 46"/>
    <x v="50"/>
    <s v="Kenneth Bradley"/>
    <x v="125"/>
    <n v="4"/>
    <x v="3"/>
    <x v="1"/>
    <x v="1"/>
    <x v="0"/>
    <x v="0"/>
  </r>
  <r>
    <s v="AX23950"/>
    <s v="ENX2092"/>
    <s v="A172"/>
    <s v="EMP1021"/>
    <s v="C1371"/>
    <x v="360"/>
    <n v="2"/>
    <n v="1639"/>
    <n v="1295"/>
    <n v="2590"/>
    <n v="3278"/>
    <n v="688"/>
    <s v="Product 93"/>
    <x v="36"/>
    <s v="Clarence Fox"/>
    <x v="180"/>
    <n v="4"/>
    <x v="3"/>
    <x v="1"/>
    <x v="1"/>
    <x v="0"/>
    <x v="0"/>
  </r>
  <r>
    <s v="AX24086"/>
    <s v="ENX2019"/>
    <s v="A112"/>
    <s v="EMP1005"/>
    <s v="C1120"/>
    <x v="359"/>
    <n v="1"/>
    <n v="800"/>
    <n v="536"/>
    <n v="536"/>
    <n v="800"/>
    <n v="264"/>
    <s v="Product 20"/>
    <x v="66"/>
    <s v="Ryan Welch"/>
    <x v="685"/>
    <n v="4"/>
    <x v="3"/>
    <x v="1"/>
    <x v="1"/>
    <x v="0"/>
    <x v="0"/>
  </r>
  <r>
    <s v="AX24248"/>
    <s v="ENX2031"/>
    <s v="A123"/>
    <s v="EMP1036"/>
    <s v="C1199"/>
    <x v="361"/>
    <n v="1"/>
    <n v="1638"/>
    <n v="1261"/>
    <n v="1261"/>
    <n v="1638"/>
    <n v="377"/>
    <s v="Product 32"/>
    <x v="34"/>
    <s v="Robert Reed"/>
    <x v="245"/>
    <n v="4"/>
    <x v="3"/>
    <x v="1"/>
    <x v="1"/>
    <x v="0"/>
    <x v="0"/>
  </r>
  <r>
    <s v="AX24812"/>
    <s v="ENX2036"/>
    <s v="A106"/>
    <s v="EMP1023"/>
    <s v="C1352"/>
    <x v="362"/>
    <n v="1"/>
    <n v="1582"/>
    <n v="1234"/>
    <n v="1234"/>
    <n v="1582"/>
    <n v="348"/>
    <s v="Product 37"/>
    <x v="11"/>
    <s v="Brian Davis"/>
    <x v="20"/>
    <n v="4"/>
    <x v="3"/>
    <x v="1"/>
    <x v="1"/>
    <x v="0"/>
    <x v="0"/>
  </r>
  <r>
    <s v="AX10061"/>
    <s v="ENX2041"/>
    <s v="A101"/>
    <s v="EMP1041"/>
    <s v="C1168"/>
    <x v="363"/>
    <n v="1"/>
    <n v="1380"/>
    <n v="1090"/>
    <n v="1090"/>
    <n v="1380"/>
    <n v="290"/>
    <s v="Product 42"/>
    <x v="60"/>
    <s v="Joe Sims"/>
    <x v="532"/>
    <n v="4"/>
    <x v="3"/>
    <x v="1"/>
    <x v="1"/>
    <x v="0"/>
    <x v="1"/>
  </r>
  <r>
    <s v="AX10074"/>
    <s v="ENX2038"/>
    <s v="A121"/>
    <s v="EMP1042"/>
    <s v="C1732"/>
    <x v="364"/>
    <n v="1"/>
    <n v="392"/>
    <n v="255"/>
    <n v="255"/>
    <n v="392"/>
    <n v="137"/>
    <s v="Product 39"/>
    <x v="72"/>
    <s v="Scott Clark"/>
    <x v="136"/>
    <n v="4"/>
    <x v="3"/>
    <x v="1"/>
    <x v="1"/>
    <x v="0"/>
    <x v="1"/>
  </r>
  <r>
    <s v="AX10546"/>
    <s v="ENX2003"/>
    <s v="A137"/>
    <s v="EMP1033"/>
    <s v="C1029"/>
    <x v="365"/>
    <n v="2"/>
    <n v="1783"/>
    <n v="1516"/>
    <n v="3032"/>
    <n v="3566"/>
    <n v="534"/>
    <s v="Product 4"/>
    <x v="68"/>
    <s v="Jerry Perry"/>
    <x v="601"/>
    <n v="4"/>
    <x v="3"/>
    <x v="1"/>
    <x v="1"/>
    <x v="0"/>
    <x v="1"/>
  </r>
  <r>
    <s v="AX10935"/>
    <s v="ENX2097"/>
    <s v="A134"/>
    <s v="EMP1022"/>
    <s v="C1304"/>
    <x v="364"/>
    <n v="1"/>
    <n v="1052"/>
    <n v="589"/>
    <n v="589"/>
    <n v="1052"/>
    <n v="463"/>
    <s v="Product 98"/>
    <x v="41"/>
    <s v="Walter Cook"/>
    <x v="298"/>
    <n v="4"/>
    <x v="3"/>
    <x v="1"/>
    <x v="1"/>
    <x v="0"/>
    <x v="1"/>
  </r>
  <r>
    <s v="AX11563"/>
    <s v="ENX2062"/>
    <s v="A106"/>
    <s v="EMP1036"/>
    <s v="C1457"/>
    <x v="366"/>
    <n v="3"/>
    <n v="2464"/>
    <n v="1774"/>
    <n v="5322"/>
    <n v="7392"/>
    <n v="2070"/>
    <s v="Product 63"/>
    <x v="11"/>
    <s v="Robert Reed"/>
    <x v="522"/>
    <n v="4"/>
    <x v="3"/>
    <x v="1"/>
    <x v="1"/>
    <x v="0"/>
    <x v="1"/>
  </r>
  <r>
    <s v="AX11833"/>
    <s v="ENX2092"/>
    <s v="A153"/>
    <s v="EMP1043"/>
    <s v="C1744"/>
    <x v="366"/>
    <n v="1"/>
    <n v="1639"/>
    <n v="1295"/>
    <n v="1295"/>
    <n v="1639"/>
    <n v="344"/>
    <s v="Product 93"/>
    <x v="8"/>
    <s v="Joshua Taylor"/>
    <x v="500"/>
    <n v="4"/>
    <x v="3"/>
    <x v="1"/>
    <x v="1"/>
    <x v="0"/>
    <x v="1"/>
  </r>
  <r>
    <s v="AX11870"/>
    <s v="ENX2038"/>
    <s v="A156"/>
    <s v="EMP1020"/>
    <s v="C1374"/>
    <x v="363"/>
    <n v="1"/>
    <n v="392"/>
    <n v="255"/>
    <n v="255"/>
    <n v="392"/>
    <n v="137"/>
    <s v="Product 39"/>
    <x v="14"/>
    <s v="Ryan Butler"/>
    <x v="189"/>
    <n v="4"/>
    <x v="3"/>
    <x v="1"/>
    <x v="1"/>
    <x v="0"/>
    <x v="1"/>
  </r>
  <r>
    <s v="AX12169"/>
    <s v="ENX2080"/>
    <s v="A101"/>
    <s v="EMP1022"/>
    <s v="C1784"/>
    <x v="366"/>
    <n v="1"/>
    <n v="2353"/>
    <n v="1788"/>
    <n v="1788"/>
    <n v="2353"/>
    <n v="565"/>
    <s v="Product 81"/>
    <x v="60"/>
    <s v="Walter Cook"/>
    <x v="397"/>
    <n v="4"/>
    <x v="3"/>
    <x v="1"/>
    <x v="1"/>
    <x v="0"/>
    <x v="1"/>
  </r>
  <r>
    <s v="AX12500"/>
    <s v="ENX2060"/>
    <s v="A122"/>
    <s v="EMP1007"/>
    <s v="C1713"/>
    <x v="366"/>
    <n v="3"/>
    <n v="1467"/>
    <n v="807"/>
    <n v="2421"/>
    <n v="4401"/>
    <n v="1980"/>
    <s v="Product 61"/>
    <x v="71"/>
    <s v="Jeremy Mendoza"/>
    <x v="753"/>
    <n v="4"/>
    <x v="3"/>
    <x v="1"/>
    <x v="1"/>
    <x v="0"/>
    <x v="1"/>
  </r>
  <r>
    <s v="AX12511"/>
    <s v="ENX2078"/>
    <s v="A161"/>
    <s v="EMP1008"/>
    <s v="C1561"/>
    <x v="365"/>
    <n v="2"/>
    <n v="1798"/>
    <n v="971"/>
    <n v="1942"/>
    <n v="3596"/>
    <n v="1654"/>
    <s v="Product 79"/>
    <x v="6"/>
    <s v="Carl Elliott"/>
    <x v="114"/>
    <n v="4"/>
    <x v="3"/>
    <x v="1"/>
    <x v="1"/>
    <x v="0"/>
    <x v="1"/>
  </r>
  <r>
    <s v="AX12566"/>
    <s v="ENX2044"/>
    <s v="A156"/>
    <s v="EMP1039"/>
    <s v="C1780"/>
    <x v="365"/>
    <n v="2"/>
    <n v="886"/>
    <n v="478"/>
    <n v="956"/>
    <n v="1772"/>
    <n v="816"/>
    <s v="Product 45"/>
    <x v="14"/>
    <s v="Eugene Holmes"/>
    <x v="320"/>
    <n v="4"/>
    <x v="3"/>
    <x v="1"/>
    <x v="1"/>
    <x v="0"/>
    <x v="1"/>
  </r>
  <r>
    <s v="AX12858"/>
    <s v="ENX2039"/>
    <s v="A101"/>
    <s v="EMP1015"/>
    <s v="C1218"/>
    <x v="366"/>
    <n v="1"/>
    <n v="817"/>
    <n v="409"/>
    <n v="409"/>
    <n v="817"/>
    <n v="408"/>
    <s v="Product 40"/>
    <x v="60"/>
    <s v="Justin Lynch"/>
    <x v="786"/>
    <n v="4"/>
    <x v="3"/>
    <x v="1"/>
    <x v="1"/>
    <x v="0"/>
    <x v="1"/>
  </r>
  <r>
    <s v="AX12912"/>
    <s v="ENX2049"/>
    <s v="A129"/>
    <s v="EMP1027"/>
    <s v="C1294"/>
    <x v="365"/>
    <n v="1"/>
    <n v="826"/>
    <n v="562"/>
    <n v="562"/>
    <n v="826"/>
    <n v="264"/>
    <s v="Product 50"/>
    <x v="22"/>
    <s v="Gary Rodriguez"/>
    <x v="419"/>
    <n v="4"/>
    <x v="3"/>
    <x v="1"/>
    <x v="1"/>
    <x v="0"/>
    <x v="1"/>
  </r>
  <r>
    <s v="AX12947"/>
    <s v="ENX2088"/>
    <s v="A142"/>
    <s v="EMP1027"/>
    <s v="C1389"/>
    <x v="365"/>
    <n v="3"/>
    <n v="603"/>
    <n v="416"/>
    <n v="1248"/>
    <n v="1809"/>
    <n v="561"/>
    <s v="Product 89"/>
    <x v="56"/>
    <s v="Gary Rodriguez"/>
    <x v="38"/>
    <n v="4"/>
    <x v="3"/>
    <x v="1"/>
    <x v="1"/>
    <x v="0"/>
    <x v="1"/>
  </r>
  <r>
    <s v="AX12986"/>
    <s v="ENX2062"/>
    <s v="A147"/>
    <s v="EMP1006"/>
    <s v="C1083"/>
    <x v="366"/>
    <n v="3"/>
    <n v="2464"/>
    <n v="1774"/>
    <n v="5322"/>
    <n v="7392"/>
    <n v="2070"/>
    <s v="Product 63"/>
    <x v="42"/>
    <s v="Sean Miller"/>
    <x v="550"/>
    <n v="4"/>
    <x v="3"/>
    <x v="1"/>
    <x v="1"/>
    <x v="0"/>
    <x v="1"/>
  </r>
  <r>
    <s v="AX14349"/>
    <s v="ENX2067"/>
    <s v="A171"/>
    <s v="EMP1038"/>
    <s v="C1512"/>
    <x v="363"/>
    <n v="1"/>
    <n v="1119"/>
    <n v="683"/>
    <n v="683"/>
    <n v="1119"/>
    <n v="436"/>
    <s v="Product 68"/>
    <x v="0"/>
    <s v="Scott Mason"/>
    <x v="671"/>
    <n v="4"/>
    <x v="3"/>
    <x v="1"/>
    <x v="1"/>
    <x v="0"/>
    <x v="1"/>
  </r>
  <r>
    <s v="AX14485"/>
    <s v="ENX2008"/>
    <s v="A134"/>
    <s v="EMP1013"/>
    <s v="C1223"/>
    <x v="365"/>
    <n v="3"/>
    <n v="315"/>
    <n v="208"/>
    <n v="624"/>
    <n v="945"/>
    <n v="321"/>
    <s v="Product 9"/>
    <x v="41"/>
    <s v="Charles Harper"/>
    <x v="310"/>
    <n v="4"/>
    <x v="3"/>
    <x v="1"/>
    <x v="1"/>
    <x v="0"/>
    <x v="1"/>
  </r>
  <r>
    <s v="AX15165"/>
    <s v="ENX2073"/>
    <s v="A163"/>
    <s v="EMP1001"/>
    <s v="C1313"/>
    <x v="363"/>
    <n v="4"/>
    <n v="95"/>
    <n v="61"/>
    <n v="244"/>
    <n v="380"/>
    <n v="136"/>
    <s v="Product 74"/>
    <x v="51"/>
    <s v="Kevin Butler"/>
    <x v="728"/>
    <n v="4"/>
    <x v="3"/>
    <x v="1"/>
    <x v="1"/>
    <x v="0"/>
    <x v="1"/>
  </r>
  <r>
    <s v="AX15978"/>
    <s v="ENX2080"/>
    <s v="A172"/>
    <s v="EMP1031"/>
    <s v="C1361"/>
    <x v="363"/>
    <n v="1"/>
    <n v="2353"/>
    <n v="1788"/>
    <n v="1788"/>
    <n v="2353"/>
    <n v="565"/>
    <s v="Product 81"/>
    <x v="36"/>
    <s v="Brian Thomas"/>
    <x v="706"/>
    <n v="4"/>
    <x v="3"/>
    <x v="1"/>
    <x v="1"/>
    <x v="0"/>
    <x v="1"/>
  </r>
  <r>
    <s v="AX17270"/>
    <s v="ENX2031"/>
    <s v="A116"/>
    <s v="EMP1042"/>
    <s v="C1279"/>
    <x v="365"/>
    <n v="1"/>
    <n v="1638"/>
    <n v="1261"/>
    <n v="1261"/>
    <n v="1638"/>
    <n v="377"/>
    <s v="Product 32"/>
    <x v="15"/>
    <s v="Scott Clark"/>
    <x v="210"/>
    <n v="4"/>
    <x v="3"/>
    <x v="1"/>
    <x v="1"/>
    <x v="0"/>
    <x v="1"/>
  </r>
  <r>
    <s v="AX17525"/>
    <s v="ENX2064"/>
    <s v="A172"/>
    <s v="EMP1039"/>
    <s v="C1161"/>
    <x v="363"/>
    <n v="1"/>
    <n v="1414"/>
    <n v="962"/>
    <n v="962"/>
    <n v="1414"/>
    <n v="452"/>
    <s v="Product 65"/>
    <x v="36"/>
    <s v="Eugene Holmes"/>
    <x v="732"/>
    <n v="4"/>
    <x v="3"/>
    <x v="1"/>
    <x v="1"/>
    <x v="0"/>
    <x v="1"/>
  </r>
  <r>
    <s v="AX18118"/>
    <s v="ENX2000"/>
    <s v="A107"/>
    <s v="EMP1030"/>
    <s v="C1296"/>
    <x v="364"/>
    <n v="2"/>
    <n v="2241"/>
    <n v="1367"/>
    <n v="2734"/>
    <n v="4482"/>
    <n v="1748"/>
    <s v="Product 1"/>
    <x v="21"/>
    <s v="Bobby Russell"/>
    <x v="105"/>
    <n v="4"/>
    <x v="3"/>
    <x v="1"/>
    <x v="1"/>
    <x v="0"/>
    <x v="1"/>
  </r>
  <r>
    <s v="AX18328"/>
    <s v="ENX2073"/>
    <s v="A114"/>
    <s v="EMP1029"/>
    <s v="C1239"/>
    <x v="363"/>
    <n v="4"/>
    <n v="95"/>
    <n v="61"/>
    <n v="244"/>
    <n v="380"/>
    <n v="136"/>
    <s v="Product 74"/>
    <x v="28"/>
    <s v="Howard Gardner"/>
    <x v="479"/>
    <n v="4"/>
    <x v="3"/>
    <x v="1"/>
    <x v="1"/>
    <x v="0"/>
    <x v="1"/>
  </r>
  <r>
    <s v="AX18450"/>
    <s v="ENX2041"/>
    <s v="A142"/>
    <s v="EMP1040"/>
    <s v="C1117"/>
    <x v="365"/>
    <n v="1"/>
    <n v="1380"/>
    <n v="1090"/>
    <n v="1090"/>
    <n v="1380"/>
    <n v="290"/>
    <s v="Product 42"/>
    <x v="56"/>
    <s v="Patrick Ruiz"/>
    <x v="519"/>
    <n v="4"/>
    <x v="3"/>
    <x v="1"/>
    <x v="1"/>
    <x v="0"/>
    <x v="1"/>
  </r>
  <r>
    <s v="AX19091"/>
    <s v="ENX2023"/>
    <s v="A121"/>
    <s v="EMP1016"/>
    <s v="C1190"/>
    <x v="363"/>
    <n v="1"/>
    <n v="818"/>
    <n v="450"/>
    <n v="450"/>
    <n v="818"/>
    <n v="368"/>
    <s v="Product 24"/>
    <x v="72"/>
    <s v="Henry Nelson"/>
    <x v="1"/>
    <n v="4"/>
    <x v="3"/>
    <x v="1"/>
    <x v="1"/>
    <x v="0"/>
    <x v="1"/>
  </r>
  <r>
    <s v="AX19161"/>
    <s v="ENX2034"/>
    <s v="A129"/>
    <s v="EMP1033"/>
    <s v="C1749"/>
    <x v="366"/>
    <n v="1"/>
    <n v="871"/>
    <n v="540"/>
    <n v="540"/>
    <n v="871"/>
    <n v="331"/>
    <s v="Product 35"/>
    <x v="22"/>
    <s v="Jerry Perry"/>
    <x v="393"/>
    <n v="4"/>
    <x v="3"/>
    <x v="1"/>
    <x v="1"/>
    <x v="0"/>
    <x v="1"/>
  </r>
  <r>
    <s v="AX19512"/>
    <s v="ENX2073"/>
    <s v="A142"/>
    <s v="EMP1019"/>
    <s v="C1410"/>
    <x v="366"/>
    <n v="1"/>
    <n v="95"/>
    <n v="61"/>
    <n v="61"/>
    <n v="95"/>
    <n v="34"/>
    <s v="Product 74"/>
    <x v="56"/>
    <s v="Roger Robertson"/>
    <x v="112"/>
    <n v="4"/>
    <x v="3"/>
    <x v="1"/>
    <x v="1"/>
    <x v="0"/>
    <x v="1"/>
  </r>
  <r>
    <s v="AX19799"/>
    <s v="ENX2077"/>
    <s v="A133"/>
    <s v="EMP1003"/>
    <s v="C1524"/>
    <x v="365"/>
    <n v="2"/>
    <n v="530"/>
    <n v="424"/>
    <n v="848"/>
    <n v="1060"/>
    <n v="212"/>
    <s v="Product 78"/>
    <x v="46"/>
    <s v="Christopher Tucker"/>
    <x v="263"/>
    <n v="4"/>
    <x v="3"/>
    <x v="1"/>
    <x v="1"/>
    <x v="0"/>
    <x v="1"/>
  </r>
  <r>
    <s v="AX20020"/>
    <s v="ENX2022"/>
    <s v="A142"/>
    <s v="EMP1039"/>
    <s v="C1766"/>
    <x v="366"/>
    <n v="3"/>
    <n v="561"/>
    <n v="421"/>
    <n v="1263"/>
    <n v="1683"/>
    <n v="420"/>
    <s v="Product 23"/>
    <x v="56"/>
    <s v="Eugene Holmes"/>
    <x v="452"/>
    <n v="4"/>
    <x v="3"/>
    <x v="1"/>
    <x v="1"/>
    <x v="0"/>
    <x v="1"/>
  </r>
  <r>
    <s v="AX20042"/>
    <s v="ENX2013"/>
    <s v="A127"/>
    <s v="EMP1007"/>
    <s v="C1347"/>
    <x v="365"/>
    <n v="2"/>
    <n v="368"/>
    <n v="269"/>
    <n v="538"/>
    <n v="736"/>
    <n v="198"/>
    <s v="Product 14"/>
    <x v="69"/>
    <s v="Jeremy Mendoza"/>
    <x v="686"/>
    <n v="4"/>
    <x v="3"/>
    <x v="1"/>
    <x v="1"/>
    <x v="0"/>
    <x v="1"/>
  </r>
  <r>
    <s v="AX20222"/>
    <s v="ENX2033"/>
    <s v="A114"/>
    <s v="EMP1007"/>
    <s v="C1105"/>
    <x v="366"/>
    <n v="1"/>
    <n v="2182"/>
    <n v="1200"/>
    <n v="1200"/>
    <n v="2182"/>
    <n v="982"/>
    <s v="Product 34"/>
    <x v="28"/>
    <s v="Jeremy Mendoza"/>
    <x v="15"/>
    <n v="4"/>
    <x v="3"/>
    <x v="1"/>
    <x v="1"/>
    <x v="0"/>
    <x v="1"/>
  </r>
  <r>
    <s v="AX20418"/>
    <s v="ENX2009"/>
    <s v="A151"/>
    <s v="EMP1034"/>
    <s v="C1063"/>
    <x v="363"/>
    <n v="1"/>
    <n v="584"/>
    <n v="420"/>
    <n v="420"/>
    <n v="584"/>
    <n v="164"/>
    <s v="Product 10"/>
    <x v="1"/>
    <s v="Arthur Mccoy"/>
    <x v="296"/>
    <n v="4"/>
    <x v="3"/>
    <x v="1"/>
    <x v="1"/>
    <x v="0"/>
    <x v="1"/>
  </r>
  <r>
    <s v="AX20501"/>
    <s v="ENX2013"/>
    <s v="A127"/>
    <s v="EMP1030"/>
    <s v="C1444"/>
    <x v="364"/>
    <n v="2"/>
    <n v="368"/>
    <n v="269"/>
    <n v="538"/>
    <n v="736"/>
    <n v="198"/>
    <s v="Product 14"/>
    <x v="69"/>
    <s v="Bobby Russell"/>
    <x v="454"/>
    <n v="4"/>
    <x v="3"/>
    <x v="1"/>
    <x v="1"/>
    <x v="0"/>
    <x v="1"/>
  </r>
  <r>
    <s v="AX20723"/>
    <s v="ENX2010"/>
    <s v="A146"/>
    <s v="EMP1043"/>
    <s v="C1584"/>
    <x v="365"/>
    <n v="2"/>
    <n v="1812"/>
    <n v="1305"/>
    <n v="2610"/>
    <n v="3624"/>
    <n v="1014"/>
    <s v="Product 11"/>
    <x v="27"/>
    <s v="Joshua Taylor"/>
    <x v="72"/>
    <n v="4"/>
    <x v="3"/>
    <x v="1"/>
    <x v="1"/>
    <x v="0"/>
    <x v="1"/>
  </r>
  <r>
    <s v="AX20728"/>
    <s v="ENX2035"/>
    <s v="A102"/>
    <s v="EMP1018"/>
    <s v="C1129"/>
    <x v="366"/>
    <n v="1"/>
    <n v="458"/>
    <n v="376"/>
    <n v="376"/>
    <n v="458"/>
    <n v="82"/>
    <s v="Product 36"/>
    <x v="44"/>
    <s v="Jimmy Young"/>
    <x v="281"/>
    <n v="4"/>
    <x v="3"/>
    <x v="1"/>
    <x v="1"/>
    <x v="0"/>
    <x v="1"/>
  </r>
  <r>
    <s v="AX20884"/>
    <s v="ENX2049"/>
    <s v="A170"/>
    <s v="EMP1030"/>
    <s v="C1542"/>
    <x v="364"/>
    <n v="3"/>
    <n v="826"/>
    <n v="562"/>
    <n v="1686"/>
    <n v="2478"/>
    <n v="792"/>
    <s v="Product 50"/>
    <x v="47"/>
    <s v="Bobby Russell"/>
    <x v="712"/>
    <n v="4"/>
    <x v="3"/>
    <x v="1"/>
    <x v="1"/>
    <x v="0"/>
    <x v="1"/>
  </r>
  <r>
    <s v="AX21447"/>
    <s v="ENX2090"/>
    <s v="A104"/>
    <s v="EMP1043"/>
    <s v="C1123"/>
    <x v="364"/>
    <n v="1"/>
    <n v="1338"/>
    <n v="682"/>
    <n v="682"/>
    <n v="1338"/>
    <n v="656"/>
    <s v="Product 91"/>
    <x v="50"/>
    <s v="Joshua Taylor"/>
    <x v="222"/>
    <n v="4"/>
    <x v="3"/>
    <x v="1"/>
    <x v="1"/>
    <x v="0"/>
    <x v="1"/>
  </r>
  <r>
    <s v="AX21760"/>
    <s v="ENX2034"/>
    <s v="A116"/>
    <s v="EMP1033"/>
    <s v="C1301"/>
    <x v="364"/>
    <n v="3"/>
    <n v="871"/>
    <n v="540"/>
    <n v="1620"/>
    <n v="2613"/>
    <n v="993"/>
    <s v="Product 35"/>
    <x v="15"/>
    <s v="Jerry Perry"/>
    <x v="231"/>
    <n v="4"/>
    <x v="3"/>
    <x v="1"/>
    <x v="1"/>
    <x v="0"/>
    <x v="1"/>
  </r>
  <r>
    <s v="AX22031"/>
    <s v="ENX2046"/>
    <s v="A108"/>
    <s v="EMP1034"/>
    <s v="C1604"/>
    <x v="365"/>
    <n v="3"/>
    <n v="2410"/>
    <n v="1518"/>
    <n v="4554"/>
    <n v="7230"/>
    <n v="2676"/>
    <s v="Product 47"/>
    <x v="49"/>
    <s v="Arthur Mccoy"/>
    <x v="700"/>
    <n v="4"/>
    <x v="3"/>
    <x v="1"/>
    <x v="1"/>
    <x v="0"/>
    <x v="1"/>
  </r>
  <r>
    <s v="AX22725"/>
    <s v="ENX2025"/>
    <s v="A164"/>
    <s v="EMP1019"/>
    <s v="C1779"/>
    <x v="366"/>
    <n v="2"/>
    <n v="667"/>
    <n v="387"/>
    <n v="774"/>
    <n v="1334"/>
    <n v="560"/>
    <s v="Product 26"/>
    <x v="3"/>
    <s v="Roger Robertson"/>
    <x v="648"/>
    <n v="4"/>
    <x v="3"/>
    <x v="1"/>
    <x v="1"/>
    <x v="0"/>
    <x v="1"/>
  </r>
  <r>
    <s v="AX22879"/>
    <s v="ENX2007"/>
    <s v="A124"/>
    <s v="EMP1021"/>
    <s v="C1465"/>
    <x v="366"/>
    <n v="2"/>
    <n v="1405"/>
    <n v="1054"/>
    <n v="2108"/>
    <n v="2810"/>
    <n v="702"/>
    <s v="Product 8"/>
    <x v="67"/>
    <s v="Clarence Fox"/>
    <x v="88"/>
    <n v="4"/>
    <x v="3"/>
    <x v="1"/>
    <x v="1"/>
    <x v="0"/>
    <x v="1"/>
  </r>
  <r>
    <s v="AX22904"/>
    <s v="ENX2099"/>
    <s v="A160"/>
    <s v="EMP1010"/>
    <s v="C1134"/>
    <x v="364"/>
    <n v="1"/>
    <n v="1367"/>
    <n v="984"/>
    <n v="984"/>
    <n v="1367"/>
    <n v="383"/>
    <s v="Product 100"/>
    <x v="9"/>
    <s v="Joshua Cook"/>
    <x v="495"/>
    <n v="4"/>
    <x v="3"/>
    <x v="1"/>
    <x v="1"/>
    <x v="0"/>
    <x v="1"/>
  </r>
  <r>
    <s v="AX22932"/>
    <s v="ENX2012"/>
    <s v="A171"/>
    <s v="EMP1041"/>
    <s v="C1742"/>
    <x v="366"/>
    <n v="1"/>
    <n v="1353"/>
    <n v="947"/>
    <n v="947"/>
    <n v="1353"/>
    <n v="406"/>
    <s v="Product 13"/>
    <x v="0"/>
    <s v="Joe Sims"/>
    <x v="434"/>
    <n v="4"/>
    <x v="3"/>
    <x v="1"/>
    <x v="1"/>
    <x v="0"/>
    <x v="1"/>
  </r>
  <r>
    <s v="AX23392"/>
    <s v="ENX2027"/>
    <s v="A121"/>
    <s v="EMP1029"/>
    <s v="C1053"/>
    <x v="366"/>
    <n v="4"/>
    <n v="2497"/>
    <n v="1473"/>
    <n v="5892"/>
    <n v="9988"/>
    <n v="4096"/>
    <s v="Product 28"/>
    <x v="72"/>
    <s v="Howard Gardner"/>
    <x v="435"/>
    <n v="4"/>
    <x v="3"/>
    <x v="1"/>
    <x v="1"/>
    <x v="0"/>
    <x v="1"/>
  </r>
  <r>
    <s v="AX23440"/>
    <s v="ENX2023"/>
    <s v="A116"/>
    <s v="EMP1018"/>
    <s v="C1160"/>
    <x v="366"/>
    <n v="1"/>
    <n v="818"/>
    <n v="450"/>
    <n v="450"/>
    <n v="818"/>
    <n v="368"/>
    <s v="Product 24"/>
    <x v="15"/>
    <s v="Jimmy Young"/>
    <x v="566"/>
    <n v="4"/>
    <x v="3"/>
    <x v="1"/>
    <x v="1"/>
    <x v="0"/>
    <x v="1"/>
  </r>
  <r>
    <s v="AX23464"/>
    <s v="ENX2069"/>
    <s v="A145"/>
    <s v="EMP1002"/>
    <s v="C1657"/>
    <x v="366"/>
    <n v="3"/>
    <n v="378"/>
    <n v="291"/>
    <n v="873"/>
    <n v="1134"/>
    <n v="261"/>
    <s v="Product 70"/>
    <x v="35"/>
    <s v="Andrew Bowman"/>
    <x v="361"/>
    <n v="4"/>
    <x v="3"/>
    <x v="1"/>
    <x v="1"/>
    <x v="0"/>
    <x v="1"/>
  </r>
  <r>
    <s v="AX23560"/>
    <s v="ENX2091"/>
    <s v="A163"/>
    <s v="EMP1005"/>
    <s v="C1495"/>
    <x v="363"/>
    <n v="1"/>
    <n v="368"/>
    <n v="294"/>
    <n v="294"/>
    <n v="368"/>
    <n v="74"/>
    <s v="Product 92"/>
    <x v="51"/>
    <s v="Ryan Welch"/>
    <x v="780"/>
    <n v="4"/>
    <x v="3"/>
    <x v="1"/>
    <x v="1"/>
    <x v="0"/>
    <x v="1"/>
  </r>
  <r>
    <s v="AX23606"/>
    <s v="ENX2087"/>
    <s v="A150"/>
    <s v="EMP1030"/>
    <s v="C1785"/>
    <x v="365"/>
    <n v="2"/>
    <n v="1022"/>
    <n v="818"/>
    <n v="1636"/>
    <n v="2044"/>
    <n v="408"/>
    <s v="Product 88"/>
    <x v="30"/>
    <s v="Bobby Russell"/>
    <x v="107"/>
    <n v="4"/>
    <x v="3"/>
    <x v="1"/>
    <x v="1"/>
    <x v="0"/>
    <x v="1"/>
  </r>
  <r>
    <s v="AX23619"/>
    <s v="ENX2046"/>
    <s v="A152"/>
    <s v="EMP1038"/>
    <s v="C1760"/>
    <x v="366"/>
    <n v="3"/>
    <n v="2410"/>
    <n v="1518"/>
    <n v="4554"/>
    <n v="7230"/>
    <n v="2676"/>
    <s v="Product 47"/>
    <x v="26"/>
    <s v="Scott Mason"/>
    <x v="502"/>
    <n v="4"/>
    <x v="3"/>
    <x v="1"/>
    <x v="1"/>
    <x v="0"/>
    <x v="1"/>
  </r>
  <r>
    <s v="AX23866"/>
    <s v="ENX2060"/>
    <s v="A110"/>
    <s v="EMP1036"/>
    <s v="C1688"/>
    <x v="364"/>
    <n v="1"/>
    <n v="1467"/>
    <n v="807"/>
    <n v="807"/>
    <n v="1467"/>
    <n v="660"/>
    <s v="Product 61"/>
    <x v="63"/>
    <s v="Robert Reed"/>
    <x v="213"/>
    <n v="4"/>
    <x v="3"/>
    <x v="1"/>
    <x v="1"/>
    <x v="0"/>
    <x v="1"/>
  </r>
  <r>
    <s v="AX24124"/>
    <s v="ENX2035"/>
    <s v="A133"/>
    <s v="EMP1043"/>
    <s v="C1686"/>
    <x v="364"/>
    <n v="4"/>
    <n v="458"/>
    <n v="376"/>
    <n v="1504"/>
    <n v="1832"/>
    <n v="328"/>
    <s v="Product 36"/>
    <x v="46"/>
    <s v="Joshua Taylor"/>
    <x v="748"/>
    <n v="4"/>
    <x v="3"/>
    <x v="1"/>
    <x v="1"/>
    <x v="0"/>
    <x v="1"/>
  </r>
  <r>
    <s v="AX24639"/>
    <s v="ENX2019"/>
    <s v="A162"/>
    <s v="EMP1002"/>
    <s v="C1587"/>
    <x v="366"/>
    <n v="2"/>
    <n v="800"/>
    <n v="536"/>
    <n v="1072"/>
    <n v="1600"/>
    <n v="528"/>
    <s v="Product 20"/>
    <x v="2"/>
    <s v="Andrew Bowman"/>
    <x v="403"/>
    <n v="4"/>
    <x v="3"/>
    <x v="1"/>
    <x v="1"/>
    <x v="0"/>
    <x v="1"/>
  </r>
  <r>
    <s v="AX24734"/>
    <s v="ENX2018"/>
    <s v="A154"/>
    <s v="EMP1034"/>
    <s v="C1045"/>
    <x v="363"/>
    <n v="1"/>
    <n v="1972"/>
    <n v="1321"/>
    <n v="1321"/>
    <n v="1972"/>
    <n v="651"/>
    <s v="Product 19"/>
    <x v="24"/>
    <s v="Arthur Mccoy"/>
    <x v="444"/>
    <n v="4"/>
    <x v="3"/>
    <x v="1"/>
    <x v="1"/>
    <x v="0"/>
    <x v="1"/>
  </r>
  <r>
    <s v="AX10002"/>
    <s v="ENX2053"/>
    <s v="A139"/>
    <s v="EMP1007"/>
    <s v="C1359"/>
    <x v="367"/>
    <n v="1"/>
    <n v="596"/>
    <n v="358"/>
    <n v="358"/>
    <n v="596"/>
    <n v="238"/>
    <s v="Product 54"/>
    <x v="38"/>
    <s v="Jeremy Mendoza"/>
    <x v="652"/>
    <n v="4"/>
    <x v="3"/>
    <x v="1"/>
    <x v="1"/>
    <x v="0"/>
    <x v="2"/>
  </r>
  <r>
    <s v="AX10797"/>
    <s v="ENX2002"/>
    <s v="A140"/>
    <s v="EMP1024"/>
    <s v="C1170"/>
    <x v="368"/>
    <n v="2"/>
    <n v="847"/>
    <n v="534"/>
    <n v="1068"/>
    <n v="1694"/>
    <n v="626"/>
    <s v="Product 3"/>
    <x v="18"/>
    <s v="Ernest Wheeler"/>
    <x v="616"/>
    <n v="4"/>
    <x v="3"/>
    <x v="1"/>
    <x v="1"/>
    <x v="0"/>
    <x v="2"/>
  </r>
  <r>
    <s v="AX10926"/>
    <s v="ENX2096"/>
    <s v="A115"/>
    <s v="EMP1016"/>
    <s v="C1700"/>
    <x v="367"/>
    <n v="1"/>
    <n v="1587"/>
    <n v="1301"/>
    <n v="1301"/>
    <n v="1587"/>
    <n v="286"/>
    <s v="Product 97"/>
    <x v="33"/>
    <s v="Henry Nelson"/>
    <x v="271"/>
    <n v="4"/>
    <x v="3"/>
    <x v="1"/>
    <x v="1"/>
    <x v="0"/>
    <x v="2"/>
  </r>
  <r>
    <s v="AX11117"/>
    <s v="ENX2042"/>
    <s v="A108"/>
    <s v="EMP1033"/>
    <s v="C1025"/>
    <x v="368"/>
    <n v="1"/>
    <n v="203"/>
    <n v="154"/>
    <n v="154"/>
    <n v="203"/>
    <n v="49"/>
    <s v="Product 43"/>
    <x v="49"/>
    <s v="Jerry Perry"/>
    <x v="350"/>
    <n v="4"/>
    <x v="3"/>
    <x v="1"/>
    <x v="1"/>
    <x v="0"/>
    <x v="2"/>
  </r>
  <r>
    <s v="AX11135"/>
    <s v="ENX2015"/>
    <s v="A112"/>
    <s v="EMP1007"/>
    <s v="C1576"/>
    <x v="367"/>
    <n v="1"/>
    <n v="637"/>
    <n v="389"/>
    <n v="389"/>
    <n v="637"/>
    <n v="248"/>
    <s v="Product 16"/>
    <x v="66"/>
    <s v="Jeremy Mendoza"/>
    <x v="398"/>
    <n v="4"/>
    <x v="3"/>
    <x v="1"/>
    <x v="1"/>
    <x v="0"/>
    <x v="2"/>
  </r>
  <r>
    <s v="AX11299"/>
    <s v="ENX2050"/>
    <s v="A164"/>
    <s v="EMP1028"/>
    <s v="C1416"/>
    <x v="369"/>
    <n v="2"/>
    <n v="2391"/>
    <n v="1291"/>
    <n v="2582"/>
    <n v="4782"/>
    <n v="2200"/>
    <s v="Product 51"/>
    <x v="3"/>
    <s v="Howard Sims"/>
    <x v="554"/>
    <n v="4"/>
    <x v="3"/>
    <x v="1"/>
    <x v="1"/>
    <x v="0"/>
    <x v="2"/>
  </r>
  <r>
    <s v="AX11510"/>
    <s v="ENX2069"/>
    <s v="A106"/>
    <s v="EMP1039"/>
    <s v="C1387"/>
    <x v="370"/>
    <n v="1"/>
    <n v="378"/>
    <n v="291"/>
    <n v="291"/>
    <n v="378"/>
    <n v="87"/>
    <s v="Product 70"/>
    <x v="11"/>
    <s v="Eugene Holmes"/>
    <x v="346"/>
    <n v="4"/>
    <x v="3"/>
    <x v="1"/>
    <x v="1"/>
    <x v="0"/>
    <x v="2"/>
  </r>
  <r>
    <s v="AX11925"/>
    <s v="ENX2037"/>
    <s v="A148"/>
    <s v="EMP1018"/>
    <s v="C1096"/>
    <x v="368"/>
    <n v="3"/>
    <n v="880"/>
    <n v="634"/>
    <n v="1902"/>
    <n v="2640"/>
    <n v="738"/>
    <s v="Product 38"/>
    <x v="62"/>
    <s v="Jimmy Young"/>
    <x v="91"/>
    <n v="4"/>
    <x v="3"/>
    <x v="1"/>
    <x v="1"/>
    <x v="0"/>
    <x v="2"/>
  </r>
  <r>
    <s v="AX12088"/>
    <s v="ENX2005"/>
    <s v="A154"/>
    <s v="EMP1018"/>
    <s v="C1058"/>
    <x v="370"/>
    <n v="2"/>
    <n v="684"/>
    <n v="561"/>
    <n v="1122"/>
    <n v="1368"/>
    <n v="246"/>
    <s v="Product 6"/>
    <x v="24"/>
    <s v="Jimmy Young"/>
    <x v="611"/>
    <n v="4"/>
    <x v="3"/>
    <x v="1"/>
    <x v="1"/>
    <x v="0"/>
    <x v="2"/>
  </r>
  <r>
    <s v="AX12367"/>
    <s v="ENX2087"/>
    <s v="A101"/>
    <s v="EMP1029"/>
    <s v="C1510"/>
    <x v="369"/>
    <n v="3"/>
    <n v="1022"/>
    <n v="818"/>
    <n v="2454"/>
    <n v="3066"/>
    <n v="612"/>
    <s v="Product 88"/>
    <x v="60"/>
    <s v="Howard Gardner"/>
    <x v="113"/>
    <n v="4"/>
    <x v="3"/>
    <x v="1"/>
    <x v="1"/>
    <x v="0"/>
    <x v="2"/>
  </r>
  <r>
    <s v="AX12683"/>
    <s v="ENX2048"/>
    <s v="A171"/>
    <s v="EMP1025"/>
    <s v="C1025"/>
    <x v="369"/>
    <n v="3"/>
    <n v="502"/>
    <n v="296"/>
    <n v="888"/>
    <n v="1506"/>
    <n v="618"/>
    <s v="Product 49"/>
    <x v="0"/>
    <s v="Ernest Wagner"/>
    <x v="350"/>
    <n v="4"/>
    <x v="3"/>
    <x v="1"/>
    <x v="1"/>
    <x v="0"/>
    <x v="2"/>
  </r>
  <r>
    <s v="AX12853"/>
    <s v="ENX2003"/>
    <s v="A116"/>
    <s v="EMP1005"/>
    <s v="C1586"/>
    <x v="369"/>
    <n v="3"/>
    <n v="1783"/>
    <n v="1516"/>
    <n v="4548"/>
    <n v="5349"/>
    <n v="801"/>
    <s v="Product 4"/>
    <x v="15"/>
    <s v="Ryan Welch"/>
    <x v="585"/>
    <n v="4"/>
    <x v="3"/>
    <x v="1"/>
    <x v="1"/>
    <x v="0"/>
    <x v="2"/>
  </r>
  <r>
    <s v="AX13005"/>
    <s v="ENX2038"/>
    <s v="A101"/>
    <s v="EMP1003"/>
    <s v="C1160"/>
    <x v="368"/>
    <n v="2"/>
    <n v="392"/>
    <n v="255"/>
    <n v="510"/>
    <n v="784"/>
    <n v="274"/>
    <s v="Product 39"/>
    <x v="60"/>
    <s v="Christopher Tucker"/>
    <x v="566"/>
    <n v="4"/>
    <x v="3"/>
    <x v="1"/>
    <x v="1"/>
    <x v="0"/>
    <x v="2"/>
  </r>
  <r>
    <s v="AX13335"/>
    <s v="ENX2085"/>
    <s v="A159"/>
    <s v="EMP1004"/>
    <s v="C1611"/>
    <x v="370"/>
    <n v="3"/>
    <n v="1862"/>
    <n v="1173"/>
    <n v="3519"/>
    <n v="5586"/>
    <n v="2067"/>
    <s v="Product 86"/>
    <x v="13"/>
    <s v="Kenneth Bradley"/>
    <x v="306"/>
    <n v="4"/>
    <x v="3"/>
    <x v="1"/>
    <x v="1"/>
    <x v="0"/>
    <x v="2"/>
  </r>
  <r>
    <s v="AX13467"/>
    <s v="ENX2039"/>
    <s v="A171"/>
    <s v="EMP1011"/>
    <s v="C1545"/>
    <x v="369"/>
    <n v="4"/>
    <n v="817"/>
    <n v="409"/>
    <n v="1636"/>
    <n v="3268"/>
    <n v="1632"/>
    <s v="Product 40"/>
    <x v="0"/>
    <s v="Larry Marshall"/>
    <x v="646"/>
    <n v="4"/>
    <x v="3"/>
    <x v="1"/>
    <x v="1"/>
    <x v="0"/>
    <x v="2"/>
  </r>
  <r>
    <s v="AX13472"/>
    <s v="ENX2058"/>
    <s v="A125"/>
    <s v="EMP1001"/>
    <s v="C1405"/>
    <x v="370"/>
    <n v="1"/>
    <n v="2257"/>
    <n v="1535"/>
    <n v="1535"/>
    <n v="2257"/>
    <n v="722"/>
    <s v="Product 59"/>
    <x v="31"/>
    <s v="Kevin Butler"/>
    <x v="544"/>
    <n v="4"/>
    <x v="3"/>
    <x v="1"/>
    <x v="1"/>
    <x v="0"/>
    <x v="2"/>
  </r>
  <r>
    <s v="AX13564"/>
    <s v="ENX2064"/>
    <s v="A167"/>
    <s v="EMP1029"/>
    <s v="C1118"/>
    <x v="368"/>
    <n v="1"/>
    <n v="1414"/>
    <n v="962"/>
    <n v="962"/>
    <n v="1414"/>
    <n v="452"/>
    <s v="Product 65"/>
    <x v="64"/>
    <s v="Howard Gardner"/>
    <x v="633"/>
    <n v="4"/>
    <x v="3"/>
    <x v="1"/>
    <x v="1"/>
    <x v="0"/>
    <x v="2"/>
  </r>
  <r>
    <s v="AX13712"/>
    <s v="ENX2091"/>
    <s v="A153"/>
    <s v="EMP1031"/>
    <s v="C1010"/>
    <x v="368"/>
    <n v="2"/>
    <n v="368"/>
    <n v="294"/>
    <n v="588"/>
    <n v="736"/>
    <n v="148"/>
    <s v="Product 92"/>
    <x v="8"/>
    <s v="Brian Thomas"/>
    <x v="399"/>
    <n v="4"/>
    <x v="3"/>
    <x v="1"/>
    <x v="1"/>
    <x v="0"/>
    <x v="2"/>
  </r>
  <r>
    <s v="AX13775"/>
    <s v="ENX2070"/>
    <s v="A110"/>
    <s v="EMP1002"/>
    <s v="C1021"/>
    <x v="370"/>
    <n v="3"/>
    <n v="1671"/>
    <n v="1220"/>
    <n v="3660"/>
    <n v="5013"/>
    <n v="1353"/>
    <s v="Product 71"/>
    <x v="63"/>
    <s v="Andrew Bowman"/>
    <x v="246"/>
    <n v="4"/>
    <x v="3"/>
    <x v="1"/>
    <x v="1"/>
    <x v="0"/>
    <x v="2"/>
  </r>
  <r>
    <s v="AX13879"/>
    <s v="ENX2019"/>
    <s v="A142"/>
    <s v="EMP1004"/>
    <s v="C1218"/>
    <x v="370"/>
    <n v="4"/>
    <n v="800"/>
    <n v="536"/>
    <n v="2144"/>
    <n v="3200"/>
    <n v="1056"/>
    <s v="Product 20"/>
    <x v="56"/>
    <s v="Kenneth Bradley"/>
    <x v="786"/>
    <n v="4"/>
    <x v="3"/>
    <x v="1"/>
    <x v="1"/>
    <x v="0"/>
    <x v="2"/>
  </r>
  <r>
    <s v="AX14004"/>
    <s v="ENX2086"/>
    <s v="A118"/>
    <s v="EMP1029"/>
    <s v="C1557"/>
    <x v="368"/>
    <n v="1"/>
    <n v="123"/>
    <n v="84"/>
    <n v="84"/>
    <n v="123"/>
    <n v="39"/>
    <s v="Product 87"/>
    <x v="19"/>
    <s v="Howard Gardner"/>
    <x v="729"/>
    <n v="4"/>
    <x v="3"/>
    <x v="1"/>
    <x v="1"/>
    <x v="0"/>
    <x v="2"/>
  </r>
  <r>
    <s v="AX14167"/>
    <s v="ENX2025"/>
    <s v="A135"/>
    <s v="EMP1017"/>
    <s v="C1141"/>
    <x v="367"/>
    <n v="1"/>
    <n v="667"/>
    <n v="387"/>
    <n v="387"/>
    <n v="667"/>
    <n v="280"/>
    <s v="Product 26"/>
    <x v="10"/>
    <s v="Brian Hansen"/>
    <x v="166"/>
    <n v="4"/>
    <x v="3"/>
    <x v="1"/>
    <x v="1"/>
    <x v="0"/>
    <x v="2"/>
  </r>
  <r>
    <s v="AX14250"/>
    <s v="ENX2004"/>
    <s v="A152"/>
    <s v="EMP1040"/>
    <s v="C1373"/>
    <x v="369"/>
    <n v="1"/>
    <n v="1278"/>
    <n v="665"/>
    <n v="665"/>
    <n v="1278"/>
    <n v="613"/>
    <s v="Product 5"/>
    <x v="26"/>
    <s v="Patrick Ruiz"/>
    <x v="471"/>
    <n v="4"/>
    <x v="3"/>
    <x v="1"/>
    <x v="1"/>
    <x v="0"/>
    <x v="2"/>
  </r>
  <r>
    <s v="AX14308"/>
    <s v="ENX2003"/>
    <s v="A160"/>
    <s v="EMP1035"/>
    <s v="C1272"/>
    <x v="370"/>
    <n v="1"/>
    <n v="1783"/>
    <n v="1516"/>
    <n v="1516"/>
    <n v="1783"/>
    <n v="267"/>
    <s v="Product 4"/>
    <x v="9"/>
    <s v="Roger Ramos"/>
    <x v="491"/>
    <n v="4"/>
    <x v="3"/>
    <x v="1"/>
    <x v="1"/>
    <x v="0"/>
    <x v="2"/>
  </r>
  <r>
    <s v="AX15480"/>
    <s v="ENX2054"/>
    <s v="A172"/>
    <s v="EMP1031"/>
    <s v="C1668"/>
    <x v="369"/>
    <n v="2"/>
    <n v="127"/>
    <n v="79"/>
    <n v="158"/>
    <n v="254"/>
    <n v="96"/>
    <s v="Product 55"/>
    <x v="36"/>
    <s v="Brian Thomas"/>
    <x v="727"/>
    <n v="4"/>
    <x v="3"/>
    <x v="1"/>
    <x v="1"/>
    <x v="0"/>
    <x v="2"/>
  </r>
  <r>
    <s v="AX15706"/>
    <s v="ENX2067"/>
    <s v="A168"/>
    <s v="EMP1024"/>
    <s v="C1142"/>
    <x v="370"/>
    <n v="2"/>
    <n v="1119"/>
    <n v="683"/>
    <n v="1366"/>
    <n v="2238"/>
    <n v="872"/>
    <s v="Product 68"/>
    <x v="40"/>
    <s v="Ernest Wheeler"/>
    <x v="731"/>
    <n v="4"/>
    <x v="3"/>
    <x v="1"/>
    <x v="1"/>
    <x v="0"/>
    <x v="2"/>
  </r>
  <r>
    <s v="AX15816"/>
    <s v="ENX2039"/>
    <s v="A154"/>
    <s v="EMP1007"/>
    <s v="C1210"/>
    <x v="367"/>
    <n v="1"/>
    <n v="817"/>
    <n v="409"/>
    <n v="409"/>
    <n v="817"/>
    <n v="408"/>
    <s v="Product 40"/>
    <x v="24"/>
    <s v="Jeremy Mendoza"/>
    <x v="629"/>
    <n v="4"/>
    <x v="3"/>
    <x v="1"/>
    <x v="1"/>
    <x v="0"/>
    <x v="2"/>
  </r>
  <r>
    <s v="AX16230"/>
    <s v="ENX2093"/>
    <s v="A110"/>
    <s v="EMP1003"/>
    <s v="C1276"/>
    <x v="370"/>
    <n v="1"/>
    <n v="112"/>
    <n v="90"/>
    <n v="90"/>
    <n v="112"/>
    <n v="22"/>
    <s v="Product 94"/>
    <x v="63"/>
    <s v="Christopher Tucker"/>
    <x v="773"/>
    <n v="4"/>
    <x v="3"/>
    <x v="1"/>
    <x v="1"/>
    <x v="0"/>
    <x v="2"/>
  </r>
  <r>
    <s v="AX16351"/>
    <s v="ENX2070"/>
    <s v="A106"/>
    <s v="EMP1017"/>
    <s v="C1094"/>
    <x v="367"/>
    <n v="1"/>
    <n v="1671"/>
    <n v="1220"/>
    <n v="1220"/>
    <n v="1671"/>
    <n v="451"/>
    <s v="Product 71"/>
    <x v="11"/>
    <s v="Brian Hansen"/>
    <x v="261"/>
    <n v="4"/>
    <x v="3"/>
    <x v="1"/>
    <x v="1"/>
    <x v="0"/>
    <x v="2"/>
  </r>
  <r>
    <s v="AX16409"/>
    <s v="ENX2050"/>
    <s v="A127"/>
    <s v="EMP1041"/>
    <s v="C1645"/>
    <x v="367"/>
    <n v="1"/>
    <n v="2391"/>
    <n v="1291"/>
    <n v="1291"/>
    <n v="2391"/>
    <n v="1100"/>
    <s v="Product 51"/>
    <x v="69"/>
    <s v="Joe Sims"/>
    <x v="128"/>
    <n v="4"/>
    <x v="3"/>
    <x v="1"/>
    <x v="1"/>
    <x v="0"/>
    <x v="2"/>
  </r>
  <r>
    <s v="AX16703"/>
    <s v="ENX2060"/>
    <s v="A158"/>
    <s v="EMP1027"/>
    <s v="C1752"/>
    <x v="369"/>
    <n v="1"/>
    <n v="1467"/>
    <n v="807"/>
    <n v="807"/>
    <n v="1467"/>
    <n v="660"/>
    <s v="Product 61"/>
    <x v="58"/>
    <s v="Gary Rodriguez"/>
    <x v="233"/>
    <n v="4"/>
    <x v="3"/>
    <x v="1"/>
    <x v="1"/>
    <x v="0"/>
    <x v="2"/>
  </r>
  <r>
    <s v="AX16915"/>
    <s v="ENX2090"/>
    <s v="A133"/>
    <s v="EMP1029"/>
    <s v="C1057"/>
    <x v="368"/>
    <n v="1"/>
    <n v="1338"/>
    <n v="682"/>
    <n v="682"/>
    <n v="1338"/>
    <n v="656"/>
    <s v="Product 91"/>
    <x v="46"/>
    <s v="Howard Gardner"/>
    <x v="635"/>
    <n v="4"/>
    <x v="3"/>
    <x v="1"/>
    <x v="1"/>
    <x v="0"/>
    <x v="2"/>
  </r>
  <r>
    <s v="AX17373"/>
    <s v="ENX2097"/>
    <s v="A109"/>
    <s v="EMP1004"/>
    <s v="C1537"/>
    <x v="367"/>
    <n v="2"/>
    <n v="1052"/>
    <n v="589"/>
    <n v="1178"/>
    <n v="2104"/>
    <n v="926"/>
    <s v="Product 98"/>
    <x v="57"/>
    <s v="Kenneth Bradley"/>
    <x v="141"/>
    <n v="4"/>
    <x v="3"/>
    <x v="1"/>
    <x v="1"/>
    <x v="0"/>
    <x v="2"/>
  </r>
  <r>
    <s v="AX18166"/>
    <s v="ENX2039"/>
    <s v="A108"/>
    <s v="EMP1017"/>
    <s v="C1601"/>
    <x v="367"/>
    <n v="2"/>
    <n v="817"/>
    <n v="409"/>
    <n v="818"/>
    <n v="1634"/>
    <n v="816"/>
    <s v="Product 40"/>
    <x v="49"/>
    <s v="Brian Hansen"/>
    <x v="324"/>
    <n v="4"/>
    <x v="3"/>
    <x v="1"/>
    <x v="1"/>
    <x v="0"/>
    <x v="2"/>
  </r>
  <r>
    <s v="AX18200"/>
    <s v="ENX2053"/>
    <s v="A170"/>
    <s v="EMP1003"/>
    <s v="C1500"/>
    <x v="370"/>
    <n v="4"/>
    <n v="596"/>
    <n v="358"/>
    <n v="1432"/>
    <n v="2384"/>
    <n v="952"/>
    <s v="Product 54"/>
    <x v="47"/>
    <s v="Christopher Tucker"/>
    <x v="639"/>
    <n v="4"/>
    <x v="3"/>
    <x v="1"/>
    <x v="1"/>
    <x v="0"/>
    <x v="2"/>
  </r>
  <r>
    <s v="AX18242"/>
    <s v="ENX2074"/>
    <s v="A144"/>
    <s v="EMP1022"/>
    <s v="C1432"/>
    <x v="367"/>
    <n v="1"/>
    <n v="504"/>
    <n v="408"/>
    <n v="408"/>
    <n v="504"/>
    <n v="96"/>
    <s v="Product 75"/>
    <x v="65"/>
    <s v="Walter Cook"/>
    <x v="186"/>
    <n v="4"/>
    <x v="3"/>
    <x v="1"/>
    <x v="1"/>
    <x v="0"/>
    <x v="2"/>
  </r>
  <r>
    <s v="AX18995"/>
    <s v="ENX2045"/>
    <s v="A159"/>
    <s v="EMP1002"/>
    <s v="C1074"/>
    <x v="370"/>
    <n v="1"/>
    <n v="556"/>
    <n v="395"/>
    <n v="395"/>
    <n v="556"/>
    <n v="161"/>
    <s v="Product 46"/>
    <x v="13"/>
    <s v="Andrew Bowman"/>
    <x v="96"/>
    <n v="4"/>
    <x v="3"/>
    <x v="1"/>
    <x v="1"/>
    <x v="0"/>
    <x v="2"/>
  </r>
  <r>
    <s v="AX19104"/>
    <s v="ENX2031"/>
    <s v="A105"/>
    <s v="EMP1036"/>
    <s v="C1158"/>
    <x v="367"/>
    <n v="1"/>
    <n v="1638"/>
    <n v="1261"/>
    <n v="1261"/>
    <n v="1638"/>
    <n v="377"/>
    <s v="Product 32"/>
    <x v="45"/>
    <s v="Robert Reed"/>
    <x v="541"/>
    <n v="4"/>
    <x v="3"/>
    <x v="1"/>
    <x v="1"/>
    <x v="0"/>
    <x v="2"/>
  </r>
  <r>
    <s v="AX19693"/>
    <s v="ENX2017"/>
    <s v="A107"/>
    <s v="EMP1005"/>
    <s v="C1799"/>
    <x v="367"/>
    <n v="4"/>
    <n v="35"/>
    <n v="22"/>
    <n v="88"/>
    <n v="140"/>
    <n v="52"/>
    <s v="Product 18"/>
    <x v="21"/>
    <s v="Ryan Welch"/>
    <x v="390"/>
    <n v="4"/>
    <x v="3"/>
    <x v="1"/>
    <x v="1"/>
    <x v="0"/>
    <x v="2"/>
  </r>
  <r>
    <s v="AX19829"/>
    <s v="ENX2016"/>
    <s v="A109"/>
    <s v="EMP1009"/>
    <s v="C1381"/>
    <x v="368"/>
    <n v="1"/>
    <n v="1351"/>
    <n v="1108"/>
    <n v="1108"/>
    <n v="1351"/>
    <n v="243"/>
    <s v="Product 17"/>
    <x v="57"/>
    <s v="Kenneth Fields"/>
    <x v="714"/>
    <n v="4"/>
    <x v="3"/>
    <x v="1"/>
    <x v="1"/>
    <x v="0"/>
    <x v="2"/>
  </r>
  <r>
    <s v="AX19871"/>
    <s v="ENX2037"/>
    <s v="A159"/>
    <s v="EMP1037"/>
    <s v="C1016"/>
    <x v="370"/>
    <n v="3"/>
    <n v="880"/>
    <n v="634"/>
    <n v="1902"/>
    <n v="2640"/>
    <n v="738"/>
    <s v="Product 38"/>
    <x v="13"/>
    <s v="Carl Hall"/>
    <x v="335"/>
    <n v="4"/>
    <x v="3"/>
    <x v="1"/>
    <x v="1"/>
    <x v="0"/>
    <x v="2"/>
  </r>
  <r>
    <s v="AX19933"/>
    <s v="ENX2099"/>
    <s v="A105"/>
    <s v="EMP1044"/>
    <s v="C1537"/>
    <x v="370"/>
    <n v="3"/>
    <n v="1367"/>
    <n v="984"/>
    <n v="2952"/>
    <n v="4101"/>
    <n v="1149"/>
    <s v="Product 100"/>
    <x v="45"/>
    <s v="Martin Carr"/>
    <x v="141"/>
    <n v="4"/>
    <x v="3"/>
    <x v="1"/>
    <x v="1"/>
    <x v="0"/>
    <x v="2"/>
  </r>
  <r>
    <s v="AX20264"/>
    <s v="ENX2075"/>
    <s v="A129"/>
    <s v="EMP1019"/>
    <s v="C1503"/>
    <x v="368"/>
    <n v="2"/>
    <n v="400"/>
    <n v="208"/>
    <n v="416"/>
    <n v="800"/>
    <n v="384"/>
    <s v="Product 76"/>
    <x v="22"/>
    <s v="Roger Robertson"/>
    <x v="569"/>
    <n v="4"/>
    <x v="3"/>
    <x v="1"/>
    <x v="1"/>
    <x v="0"/>
    <x v="2"/>
  </r>
  <r>
    <s v="AX20547"/>
    <s v="ENX2036"/>
    <s v="A165"/>
    <s v="EMP1014"/>
    <s v="C1031"/>
    <x v="367"/>
    <n v="1"/>
    <n v="1582"/>
    <n v="1234"/>
    <n v="1234"/>
    <n v="1582"/>
    <n v="348"/>
    <s v="Product 37"/>
    <x v="55"/>
    <s v="Ronald Reed"/>
    <x v="782"/>
    <n v="4"/>
    <x v="3"/>
    <x v="1"/>
    <x v="1"/>
    <x v="0"/>
    <x v="2"/>
  </r>
  <r>
    <s v="AX21210"/>
    <s v="ENX2069"/>
    <s v="A143"/>
    <s v="EMP1039"/>
    <s v="C1337"/>
    <x v="367"/>
    <n v="1"/>
    <n v="378"/>
    <n v="291"/>
    <n v="291"/>
    <n v="378"/>
    <n v="87"/>
    <s v="Product 70"/>
    <x v="39"/>
    <s v="Eugene Holmes"/>
    <x v="417"/>
    <n v="4"/>
    <x v="3"/>
    <x v="1"/>
    <x v="1"/>
    <x v="0"/>
    <x v="2"/>
  </r>
  <r>
    <s v="AX21237"/>
    <s v="ENX2001"/>
    <s v="A167"/>
    <s v="EMP1032"/>
    <s v="C1369"/>
    <x v="370"/>
    <n v="4"/>
    <n v="951"/>
    <n v="504"/>
    <n v="2016"/>
    <n v="3804"/>
    <n v="1788"/>
    <s v="Product 2"/>
    <x v="64"/>
    <s v="Larry Castillo"/>
    <x v="126"/>
    <n v="4"/>
    <x v="3"/>
    <x v="1"/>
    <x v="1"/>
    <x v="0"/>
    <x v="2"/>
  </r>
  <r>
    <s v="AX21322"/>
    <s v="ENX2024"/>
    <s v="A145"/>
    <s v="EMP1002"/>
    <s v="C1250"/>
    <x v="370"/>
    <n v="1"/>
    <n v="356"/>
    <n v="292"/>
    <n v="292"/>
    <n v="356"/>
    <n v="64"/>
    <s v="Product 25"/>
    <x v="35"/>
    <s v="Andrew Bowman"/>
    <x v="705"/>
    <n v="4"/>
    <x v="3"/>
    <x v="1"/>
    <x v="1"/>
    <x v="0"/>
    <x v="2"/>
  </r>
  <r>
    <s v="AX21474"/>
    <s v="ENX2005"/>
    <s v="A124"/>
    <s v="EMP1041"/>
    <s v="C1126"/>
    <x v="370"/>
    <n v="2"/>
    <n v="684"/>
    <n v="561"/>
    <n v="1122"/>
    <n v="1368"/>
    <n v="246"/>
    <s v="Product 6"/>
    <x v="67"/>
    <s v="Joe Sims"/>
    <x v="374"/>
    <n v="4"/>
    <x v="3"/>
    <x v="1"/>
    <x v="1"/>
    <x v="0"/>
    <x v="2"/>
  </r>
  <r>
    <s v="AX21487"/>
    <s v="ENX2028"/>
    <s v="A154"/>
    <s v="EMP1017"/>
    <s v="C1677"/>
    <x v="370"/>
    <n v="1"/>
    <n v="2283"/>
    <n v="1484"/>
    <n v="1484"/>
    <n v="2283"/>
    <n v="799"/>
    <s v="Product 29"/>
    <x v="24"/>
    <s v="Brian Hansen"/>
    <x v="641"/>
    <n v="4"/>
    <x v="3"/>
    <x v="1"/>
    <x v="1"/>
    <x v="0"/>
    <x v="2"/>
  </r>
  <r>
    <s v="AX21503"/>
    <s v="ENX2039"/>
    <s v="A153"/>
    <s v="EMP1003"/>
    <s v="C1466"/>
    <x v="368"/>
    <n v="2"/>
    <n v="817"/>
    <n v="409"/>
    <n v="818"/>
    <n v="1634"/>
    <n v="816"/>
    <s v="Product 40"/>
    <x v="8"/>
    <s v="Christopher Tucker"/>
    <x v="132"/>
    <n v="4"/>
    <x v="3"/>
    <x v="1"/>
    <x v="1"/>
    <x v="0"/>
    <x v="2"/>
  </r>
  <r>
    <s v="AX22098"/>
    <s v="ENX2011"/>
    <s v="A131"/>
    <s v="EMP1041"/>
    <s v="C1685"/>
    <x v="367"/>
    <n v="3"/>
    <n v="530"/>
    <n v="435"/>
    <n v="1305"/>
    <n v="1590"/>
    <n v="285"/>
    <s v="Product 12"/>
    <x v="32"/>
    <s v="Joe Sims"/>
    <x v="90"/>
    <n v="4"/>
    <x v="3"/>
    <x v="1"/>
    <x v="1"/>
    <x v="0"/>
    <x v="2"/>
  </r>
  <r>
    <s v="AX22741"/>
    <s v="ENX2074"/>
    <s v="A167"/>
    <s v="EMP1012"/>
    <s v="C1351"/>
    <x v="367"/>
    <n v="2"/>
    <n v="504"/>
    <n v="408"/>
    <n v="816"/>
    <n v="1008"/>
    <n v="192"/>
    <s v="Product 75"/>
    <x v="64"/>
    <s v="John Reyes"/>
    <x v="122"/>
    <n v="4"/>
    <x v="3"/>
    <x v="1"/>
    <x v="1"/>
    <x v="0"/>
    <x v="2"/>
  </r>
  <r>
    <s v="AX22883"/>
    <s v="ENX2022"/>
    <s v="A145"/>
    <s v="EMP1027"/>
    <s v="C1396"/>
    <x v="368"/>
    <n v="4"/>
    <n v="561"/>
    <n v="421"/>
    <n v="1684"/>
    <n v="2244"/>
    <n v="560"/>
    <s v="Product 23"/>
    <x v="35"/>
    <s v="Gary Rodriguez"/>
    <x v="624"/>
    <n v="4"/>
    <x v="3"/>
    <x v="1"/>
    <x v="1"/>
    <x v="0"/>
    <x v="2"/>
  </r>
  <r>
    <s v="AX23021"/>
    <s v="ENX2043"/>
    <s v="A130"/>
    <s v="EMP1039"/>
    <s v="C1646"/>
    <x v="369"/>
    <n v="1"/>
    <n v="545"/>
    <n v="425"/>
    <n v="425"/>
    <n v="545"/>
    <n v="120"/>
    <s v="Product 44"/>
    <x v="4"/>
    <s v="Eugene Holmes"/>
    <x v="789"/>
    <n v="4"/>
    <x v="3"/>
    <x v="1"/>
    <x v="1"/>
    <x v="0"/>
    <x v="2"/>
  </r>
  <r>
    <s v="AX10217"/>
    <s v="ENX2030"/>
    <s v="A102"/>
    <s v="EMP1021"/>
    <s v="C1174"/>
    <x v="371"/>
    <n v="1"/>
    <n v="1899"/>
    <n v="1044"/>
    <n v="1044"/>
    <n v="1899"/>
    <n v="855"/>
    <s v="Product 31"/>
    <x v="44"/>
    <s v="Clarence Fox"/>
    <x v="715"/>
    <n v="4"/>
    <x v="3"/>
    <x v="2"/>
    <x v="2"/>
    <x v="0"/>
    <x v="0"/>
  </r>
  <r>
    <s v="AX10253"/>
    <s v="ENX2075"/>
    <s v="A109"/>
    <s v="EMP1005"/>
    <s v="C1514"/>
    <x v="372"/>
    <n v="3"/>
    <n v="400"/>
    <n v="208"/>
    <n v="624"/>
    <n v="1200"/>
    <n v="576"/>
    <s v="Product 76"/>
    <x v="57"/>
    <s v="Ryan Welch"/>
    <x v="307"/>
    <n v="4"/>
    <x v="3"/>
    <x v="2"/>
    <x v="2"/>
    <x v="0"/>
    <x v="0"/>
  </r>
  <r>
    <s v="AX10493"/>
    <s v="ENX2001"/>
    <s v="A108"/>
    <s v="EMP1021"/>
    <s v="C1083"/>
    <x v="372"/>
    <n v="1"/>
    <n v="951"/>
    <n v="504"/>
    <n v="504"/>
    <n v="951"/>
    <n v="447"/>
    <s v="Product 2"/>
    <x v="49"/>
    <s v="Clarence Fox"/>
    <x v="550"/>
    <n v="4"/>
    <x v="3"/>
    <x v="2"/>
    <x v="2"/>
    <x v="0"/>
    <x v="0"/>
  </r>
  <r>
    <s v="AX10555"/>
    <s v="ENX2066"/>
    <s v="A160"/>
    <s v="EMP1015"/>
    <s v="C1280"/>
    <x v="371"/>
    <n v="2"/>
    <n v="2091"/>
    <n v="1485"/>
    <n v="2970"/>
    <n v="4182"/>
    <n v="1212"/>
    <s v="Product 67"/>
    <x v="9"/>
    <s v="Justin Lynch"/>
    <x v="349"/>
    <n v="4"/>
    <x v="3"/>
    <x v="2"/>
    <x v="2"/>
    <x v="0"/>
    <x v="0"/>
  </r>
  <r>
    <s v="AX11507"/>
    <s v="ENX2028"/>
    <s v="A100"/>
    <s v="EMP1025"/>
    <s v="C1464"/>
    <x v="373"/>
    <n v="1"/>
    <n v="2283"/>
    <n v="1484"/>
    <n v="1484"/>
    <n v="2283"/>
    <n v="799"/>
    <s v="Product 29"/>
    <x v="52"/>
    <s v="Ernest Wagner"/>
    <x v="322"/>
    <n v="4"/>
    <x v="3"/>
    <x v="2"/>
    <x v="2"/>
    <x v="0"/>
    <x v="0"/>
  </r>
  <r>
    <s v="AX11721"/>
    <s v="ENX2033"/>
    <s v="A118"/>
    <s v="EMP1039"/>
    <s v="C1443"/>
    <x v="373"/>
    <n v="4"/>
    <n v="2182"/>
    <n v="1200"/>
    <n v="4800"/>
    <n v="8728"/>
    <n v="3928"/>
    <s v="Product 34"/>
    <x v="19"/>
    <s v="Eugene Holmes"/>
    <x v="683"/>
    <n v="4"/>
    <x v="3"/>
    <x v="2"/>
    <x v="2"/>
    <x v="0"/>
    <x v="0"/>
  </r>
  <r>
    <s v="AX12343"/>
    <s v="ENX2092"/>
    <s v="A118"/>
    <s v="EMP1025"/>
    <s v="C1633"/>
    <x v="372"/>
    <n v="1"/>
    <n v="1639"/>
    <n v="1295"/>
    <n v="1295"/>
    <n v="1639"/>
    <n v="344"/>
    <s v="Product 93"/>
    <x v="19"/>
    <s v="Ernest Wagner"/>
    <x v="558"/>
    <n v="4"/>
    <x v="3"/>
    <x v="2"/>
    <x v="2"/>
    <x v="0"/>
    <x v="0"/>
  </r>
  <r>
    <s v="AX12403"/>
    <s v="ENX2022"/>
    <s v="A151"/>
    <s v="EMP1023"/>
    <s v="C1330"/>
    <x v="371"/>
    <n v="1"/>
    <n v="561"/>
    <n v="421"/>
    <n v="421"/>
    <n v="561"/>
    <n v="140"/>
    <s v="Product 23"/>
    <x v="1"/>
    <s v="Brian Davis"/>
    <x v="511"/>
    <n v="4"/>
    <x v="3"/>
    <x v="2"/>
    <x v="2"/>
    <x v="0"/>
    <x v="0"/>
  </r>
  <r>
    <s v="AX12772"/>
    <s v="ENX2028"/>
    <s v="A150"/>
    <s v="EMP1020"/>
    <s v="C1356"/>
    <x v="371"/>
    <n v="3"/>
    <n v="2283"/>
    <n v="1484"/>
    <n v="4452"/>
    <n v="6849"/>
    <n v="2397"/>
    <s v="Product 29"/>
    <x v="30"/>
    <s v="Ryan Butler"/>
    <x v="238"/>
    <n v="4"/>
    <x v="3"/>
    <x v="2"/>
    <x v="2"/>
    <x v="0"/>
    <x v="0"/>
  </r>
  <r>
    <s v="AX12898"/>
    <s v="ENX2034"/>
    <s v="A160"/>
    <s v="EMP1044"/>
    <s v="C1368"/>
    <x v="374"/>
    <n v="2"/>
    <n v="871"/>
    <n v="540"/>
    <n v="1080"/>
    <n v="1742"/>
    <n v="662"/>
    <s v="Product 35"/>
    <x v="9"/>
    <s v="Martin Carr"/>
    <x v="200"/>
    <n v="4"/>
    <x v="3"/>
    <x v="2"/>
    <x v="2"/>
    <x v="0"/>
    <x v="0"/>
  </r>
  <r>
    <s v="AX13345"/>
    <s v="ENX2062"/>
    <s v="A124"/>
    <s v="EMP1038"/>
    <s v="C1194"/>
    <x v="372"/>
    <n v="4"/>
    <n v="2464"/>
    <n v="1774"/>
    <n v="7096"/>
    <n v="9856"/>
    <n v="2760"/>
    <s v="Product 63"/>
    <x v="67"/>
    <s v="Scott Mason"/>
    <x v="323"/>
    <n v="4"/>
    <x v="3"/>
    <x v="2"/>
    <x v="2"/>
    <x v="0"/>
    <x v="0"/>
  </r>
  <r>
    <s v="AX13880"/>
    <s v="ENX2023"/>
    <s v="A121"/>
    <s v="EMP1031"/>
    <s v="C1227"/>
    <x v="374"/>
    <n v="3"/>
    <n v="818"/>
    <n v="450"/>
    <n v="1350"/>
    <n v="2454"/>
    <n v="1104"/>
    <s v="Product 24"/>
    <x v="72"/>
    <s v="Brian Thomas"/>
    <x v="765"/>
    <n v="4"/>
    <x v="3"/>
    <x v="2"/>
    <x v="2"/>
    <x v="0"/>
    <x v="0"/>
  </r>
  <r>
    <s v="AX13915"/>
    <s v="ENX2031"/>
    <s v="A103"/>
    <s v="EMP1036"/>
    <s v="C1250"/>
    <x v="374"/>
    <n v="3"/>
    <n v="1638"/>
    <n v="1261"/>
    <n v="3783"/>
    <n v="4914"/>
    <n v="1131"/>
    <s v="Product 32"/>
    <x v="61"/>
    <s v="Robert Reed"/>
    <x v="705"/>
    <n v="4"/>
    <x v="3"/>
    <x v="2"/>
    <x v="2"/>
    <x v="0"/>
    <x v="0"/>
  </r>
  <r>
    <s v="AX14254"/>
    <s v="ENX2084"/>
    <s v="A151"/>
    <s v="EMP1041"/>
    <s v="C1770"/>
    <x v="373"/>
    <n v="4"/>
    <n v="1783"/>
    <n v="1230"/>
    <n v="4920"/>
    <n v="7132"/>
    <n v="2212"/>
    <s v="Product 85"/>
    <x v="1"/>
    <s v="Joe Sims"/>
    <x v="758"/>
    <n v="4"/>
    <x v="3"/>
    <x v="2"/>
    <x v="2"/>
    <x v="0"/>
    <x v="0"/>
  </r>
  <r>
    <s v="AX14425"/>
    <s v="ENX2081"/>
    <s v="A140"/>
    <s v="EMP1040"/>
    <s v="C1270"/>
    <x v="371"/>
    <n v="1"/>
    <n v="1566"/>
    <n v="1190"/>
    <n v="1190"/>
    <n v="1566"/>
    <n v="376"/>
    <s v="Product 82"/>
    <x v="18"/>
    <s v="Patrick Ruiz"/>
    <x v="517"/>
    <n v="4"/>
    <x v="3"/>
    <x v="2"/>
    <x v="2"/>
    <x v="0"/>
    <x v="0"/>
  </r>
  <r>
    <s v="AX14599"/>
    <s v="ENX2024"/>
    <s v="A110"/>
    <s v="EMP1037"/>
    <s v="C1752"/>
    <x v="371"/>
    <n v="1"/>
    <n v="356"/>
    <n v="292"/>
    <n v="292"/>
    <n v="356"/>
    <n v="64"/>
    <s v="Product 25"/>
    <x v="63"/>
    <s v="Carl Hall"/>
    <x v="233"/>
    <n v="4"/>
    <x v="3"/>
    <x v="2"/>
    <x v="2"/>
    <x v="0"/>
    <x v="0"/>
  </r>
  <r>
    <s v="AX14667"/>
    <s v="ENX2085"/>
    <s v="A160"/>
    <s v="EMP1010"/>
    <s v="C1022"/>
    <x v="374"/>
    <n v="3"/>
    <n v="1862"/>
    <n v="1173"/>
    <n v="3519"/>
    <n v="5586"/>
    <n v="2067"/>
    <s v="Product 86"/>
    <x v="9"/>
    <s v="Joshua Cook"/>
    <x v="249"/>
    <n v="4"/>
    <x v="3"/>
    <x v="2"/>
    <x v="2"/>
    <x v="0"/>
    <x v="0"/>
  </r>
  <r>
    <s v="AX15625"/>
    <s v="ENX2058"/>
    <s v="A164"/>
    <s v="EMP1023"/>
    <s v="C1430"/>
    <x v="371"/>
    <n v="2"/>
    <n v="2257"/>
    <n v="1535"/>
    <n v="3070"/>
    <n v="4514"/>
    <n v="1444"/>
    <s v="Product 59"/>
    <x v="3"/>
    <s v="Brian Davis"/>
    <x v="741"/>
    <n v="4"/>
    <x v="3"/>
    <x v="2"/>
    <x v="2"/>
    <x v="0"/>
    <x v="0"/>
  </r>
  <r>
    <s v="AX15735"/>
    <s v="ENX2043"/>
    <s v="A104"/>
    <s v="EMP1021"/>
    <s v="C1705"/>
    <x v="373"/>
    <n v="1"/>
    <n v="545"/>
    <n v="425"/>
    <n v="425"/>
    <n v="545"/>
    <n v="120"/>
    <s v="Product 44"/>
    <x v="50"/>
    <s v="Clarence Fox"/>
    <x v="507"/>
    <n v="4"/>
    <x v="3"/>
    <x v="2"/>
    <x v="2"/>
    <x v="0"/>
    <x v="0"/>
  </r>
  <r>
    <s v="AX15740"/>
    <s v="ENX2008"/>
    <s v="A147"/>
    <s v="EMP1027"/>
    <s v="C1729"/>
    <x v="372"/>
    <n v="3"/>
    <n v="315"/>
    <n v="208"/>
    <n v="624"/>
    <n v="945"/>
    <n v="321"/>
    <s v="Product 9"/>
    <x v="42"/>
    <s v="Gary Rodriguez"/>
    <x v="268"/>
    <n v="4"/>
    <x v="3"/>
    <x v="2"/>
    <x v="2"/>
    <x v="0"/>
    <x v="0"/>
  </r>
  <r>
    <s v="AX16269"/>
    <s v="ENX2020"/>
    <s v="A158"/>
    <s v="EMP1034"/>
    <s v="C1388"/>
    <x v="372"/>
    <n v="3"/>
    <n v="2005"/>
    <n v="1223"/>
    <n v="3669"/>
    <n v="6015"/>
    <n v="2346"/>
    <s v="Product 21"/>
    <x v="58"/>
    <s v="Arthur Mccoy"/>
    <x v="120"/>
    <n v="4"/>
    <x v="3"/>
    <x v="2"/>
    <x v="2"/>
    <x v="0"/>
    <x v="0"/>
  </r>
  <r>
    <s v="AX16328"/>
    <s v="ENX2001"/>
    <s v="A150"/>
    <s v="EMP1040"/>
    <s v="C1595"/>
    <x v="373"/>
    <n v="1"/>
    <n v="951"/>
    <n v="504"/>
    <n v="504"/>
    <n v="951"/>
    <n v="447"/>
    <s v="Product 2"/>
    <x v="30"/>
    <s v="Patrick Ruiz"/>
    <x v="372"/>
    <n v="4"/>
    <x v="3"/>
    <x v="2"/>
    <x v="2"/>
    <x v="0"/>
    <x v="0"/>
  </r>
  <r>
    <s v="AX16330"/>
    <s v="ENX2077"/>
    <s v="A136"/>
    <s v="EMP1018"/>
    <s v="C1100"/>
    <x v="373"/>
    <n v="1"/>
    <n v="530"/>
    <n v="424"/>
    <n v="424"/>
    <n v="530"/>
    <n v="106"/>
    <s v="Product 78"/>
    <x v="43"/>
    <s v="Jimmy Young"/>
    <x v="110"/>
    <n v="4"/>
    <x v="3"/>
    <x v="2"/>
    <x v="2"/>
    <x v="0"/>
    <x v="0"/>
  </r>
  <r>
    <s v="AX17121"/>
    <s v="ENX2008"/>
    <s v="A148"/>
    <s v="EMP1036"/>
    <s v="C1608"/>
    <x v="374"/>
    <n v="1"/>
    <n v="315"/>
    <n v="208"/>
    <n v="208"/>
    <n v="315"/>
    <n v="107"/>
    <s v="Product 9"/>
    <x v="62"/>
    <s v="Robert Reed"/>
    <x v="463"/>
    <n v="4"/>
    <x v="3"/>
    <x v="2"/>
    <x v="2"/>
    <x v="0"/>
    <x v="0"/>
  </r>
  <r>
    <s v="AX17189"/>
    <s v="ENX2060"/>
    <s v="A105"/>
    <s v="EMP1033"/>
    <s v="C1277"/>
    <x v="374"/>
    <n v="1"/>
    <n v="1467"/>
    <n v="807"/>
    <n v="807"/>
    <n v="1467"/>
    <n v="660"/>
    <s v="Product 61"/>
    <x v="45"/>
    <s v="Jerry Perry"/>
    <x v="151"/>
    <n v="4"/>
    <x v="3"/>
    <x v="2"/>
    <x v="2"/>
    <x v="0"/>
    <x v="0"/>
  </r>
  <r>
    <s v="AX17495"/>
    <s v="ENX2017"/>
    <s v="A101"/>
    <s v="EMP1010"/>
    <s v="C1550"/>
    <x v="373"/>
    <n v="4"/>
    <n v="35"/>
    <n v="22"/>
    <n v="88"/>
    <n v="140"/>
    <n v="52"/>
    <s v="Product 18"/>
    <x v="60"/>
    <s v="Joshua Cook"/>
    <x v="689"/>
    <n v="4"/>
    <x v="3"/>
    <x v="2"/>
    <x v="2"/>
    <x v="0"/>
    <x v="0"/>
  </r>
  <r>
    <s v="AX17639"/>
    <s v="ENX2070"/>
    <s v="A100"/>
    <s v="EMP1037"/>
    <s v="C1273"/>
    <x v="373"/>
    <n v="3"/>
    <n v="1671"/>
    <n v="1220"/>
    <n v="3660"/>
    <n v="5013"/>
    <n v="1353"/>
    <s v="Product 71"/>
    <x v="52"/>
    <s v="Carl Hall"/>
    <x v="469"/>
    <n v="4"/>
    <x v="3"/>
    <x v="2"/>
    <x v="2"/>
    <x v="0"/>
    <x v="0"/>
  </r>
  <r>
    <s v="AX17895"/>
    <s v="ENX2020"/>
    <s v="A156"/>
    <s v="EMP1030"/>
    <s v="C1342"/>
    <x v="373"/>
    <n v="3"/>
    <n v="2005"/>
    <n v="1223"/>
    <n v="3669"/>
    <n v="6015"/>
    <n v="2346"/>
    <s v="Product 21"/>
    <x v="14"/>
    <s v="Bobby Russell"/>
    <x v="62"/>
    <n v="4"/>
    <x v="3"/>
    <x v="2"/>
    <x v="2"/>
    <x v="0"/>
    <x v="0"/>
  </r>
  <r>
    <s v="AX17948"/>
    <s v="ENX2060"/>
    <s v="A135"/>
    <s v="EMP1015"/>
    <s v="C1067"/>
    <x v="374"/>
    <n v="1"/>
    <n v="1467"/>
    <n v="807"/>
    <n v="807"/>
    <n v="1467"/>
    <n v="660"/>
    <s v="Product 61"/>
    <x v="10"/>
    <s v="Justin Lynch"/>
    <x v="108"/>
    <n v="4"/>
    <x v="3"/>
    <x v="2"/>
    <x v="2"/>
    <x v="0"/>
    <x v="0"/>
  </r>
  <r>
    <s v="AX18172"/>
    <s v="ENX2014"/>
    <s v="A173"/>
    <s v="EMP1043"/>
    <s v="C1148"/>
    <x v="371"/>
    <n v="2"/>
    <n v="1809"/>
    <n v="1067"/>
    <n v="2134"/>
    <n v="3618"/>
    <n v="1484"/>
    <s v="Product 15"/>
    <x v="25"/>
    <s v="Joshua Taylor"/>
    <x v="55"/>
    <n v="4"/>
    <x v="3"/>
    <x v="2"/>
    <x v="2"/>
    <x v="0"/>
    <x v="0"/>
  </r>
  <r>
    <s v="AX18292"/>
    <s v="ENX2062"/>
    <s v="A155"/>
    <s v="EMP1023"/>
    <s v="C1370"/>
    <x v="374"/>
    <n v="1"/>
    <n v="2464"/>
    <n v="1774"/>
    <n v="1774"/>
    <n v="2464"/>
    <n v="690"/>
    <s v="Product 63"/>
    <x v="53"/>
    <s v="Brian Davis"/>
    <x v="341"/>
    <n v="4"/>
    <x v="3"/>
    <x v="2"/>
    <x v="2"/>
    <x v="0"/>
    <x v="0"/>
  </r>
  <r>
    <s v="AX18770"/>
    <s v="ENX2091"/>
    <s v="A107"/>
    <s v="EMP1002"/>
    <s v="C1075"/>
    <x v="372"/>
    <n v="1"/>
    <n v="368"/>
    <n v="294"/>
    <n v="294"/>
    <n v="368"/>
    <n v="74"/>
    <s v="Product 92"/>
    <x v="21"/>
    <s v="Andrew Bowman"/>
    <x v="594"/>
    <n v="4"/>
    <x v="3"/>
    <x v="2"/>
    <x v="2"/>
    <x v="0"/>
    <x v="0"/>
  </r>
  <r>
    <s v="AX18944"/>
    <s v="ENX2026"/>
    <s v="A148"/>
    <s v="EMP1035"/>
    <s v="C1010"/>
    <x v="372"/>
    <n v="4"/>
    <n v="947"/>
    <n v="786"/>
    <n v="3144"/>
    <n v="3788"/>
    <n v="644"/>
    <s v="Product 27"/>
    <x v="62"/>
    <s v="Roger Ramos"/>
    <x v="399"/>
    <n v="4"/>
    <x v="3"/>
    <x v="2"/>
    <x v="2"/>
    <x v="0"/>
    <x v="0"/>
  </r>
  <r>
    <s v="AX19056"/>
    <s v="ENX2053"/>
    <s v="A121"/>
    <s v="EMP1016"/>
    <s v="C1444"/>
    <x v="371"/>
    <n v="3"/>
    <n v="596"/>
    <n v="358"/>
    <n v="1074"/>
    <n v="1788"/>
    <n v="714"/>
    <s v="Product 54"/>
    <x v="72"/>
    <s v="Henry Nelson"/>
    <x v="454"/>
    <n v="4"/>
    <x v="3"/>
    <x v="2"/>
    <x v="2"/>
    <x v="0"/>
    <x v="0"/>
  </r>
  <r>
    <s v="AX19295"/>
    <s v="ENX2009"/>
    <s v="A106"/>
    <s v="EMP1004"/>
    <s v="C1590"/>
    <x v="374"/>
    <n v="1"/>
    <n v="584"/>
    <n v="420"/>
    <n v="420"/>
    <n v="584"/>
    <n v="164"/>
    <s v="Product 10"/>
    <x v="11"/>
    <s v="Kenneth Bradley"/>
    <x v="735"/>
    <n v="4"/>
    <x v="3"/>
    <x v="2"/>
    <x v="2"/>
    <x v="0"/>
    <x v="0"/>
  </r>
  <r>
    <s v="AX19510"/>
    <s v="ENX2089"/>
    <s v="A104"/>
    <s v="EMP1026"/>
    <s v="C1772"/>
    <x v="372"/>
    <n v="1"/>
    <n v="2294"/>
    <n v="1399"/>
    <n v="1399"/>
    <n v="2294"/>
    <n v="895"/>
    <s v="Product 90"/>
    <x v="50"/>
    <s v="Martin Perry"/>
    <x v="643"/>
    <n v="4"/>
    <x v="3"/>
    <x v="2"/>
    <x v="2"/>
    <x v="0"/>
    <x v="0"/>
  </r>
  <r>
    <s v="AX19802"/>
    <s v="ENX2044"/>
    <s v="A165"/>
    <s v="EMP1007"/>
    <s v="C1095"/>
    <x v="373"/>
    <n v="1"/>
    <n v="886"/>
    <n v="478"/>
    <n v="478"/>
    <n v="886"/>
    <n v="408"/>
    <s v="Product 45"/>
    <x v="55"/>
    <s v="Jeremy Mendoza"/>
    <x v="240"/>
    <n v="4"/>
    <x v="3"/>
    <x v="2"/>
    <x v="2"/>
    <x v="0"/>
    <x v="0"/>
  </r>
  <r>
    <s v="AX20158"/>
    <s v="ENX2074"/>
    <s v="A112"/>
    <s v="EMP1020"/>
    <s v="C1792"/>
    <x v="371"/>
    <n v="1"/>
    <n v="504"/>
    <n v="408"/>
    <n v="408"/>
    <n v="504"/>
    <n v="96"/>
    <s v="Product 75"/>
    <x v="66"/>
    <s v="Ryan Butler"/>
    <x v="536"/>
    <n v="4"/>
    <x v="3"/>
    <x v="2"/>
    <x v="2"/>
    <x v="0"/>
    <x v="0"/>
  </r>
  <r>
    <s v="AX20228"/>
    <s v="ENX2029"/>
    <s v="A134"/>
    <s v="EMP1003"/>
    <s v="C1484"/>
    <x v="372"/>
    <n v="2"/>
    <n v="1848"/>
    <n v="1294"/>
    <n v="2588"/>
    <n v="3696"/>
    <n v="1108"/>
    <s v="Product 30"/>
    <x v="41"/>
    <s v="Christopher Tucker"/>
    <x v="466"/>
    <n v="4"/>
    <x v="3"/>
    <x v="2"/>
    <x v="2"/>
    <x v="0"/>
    <x v="0"/>
  </r>
  <r>
    <s v="AX20234"/>
    <s v="ENX2029"/>
    <s v="A142"/>
    <s v="EMP1043"/>
    <s v="C1248"/>
    <x v="374"/>
    <n v="1"/>
    <n v="1848"/>
    <n v="1294"/>
    <n v="1294"/>
    <n v="1848"/>
    <n v="554"/>
    <s v="Product 30"/>
    <x v="56"/>
    <s v="Joshua Taylor"/>
    <x v="354"/>
    <n v="4"/>
    <x v="3"/>
    <x v="2"/>
    <x v="2"/>
    <x v="0"/>
    <x v="0"/>
  </r>
  <r>
    <s v="AX20659"/>
    <s v="ENX2015"/>
    <s v="A135"/>
    <s v="EMP1008"/>
    <s v="C1293"/>
    <x v="373"/>
    <n v="4"/>
    <n v="637"/>
    <n v="389"/>
    <n v="1556"/>
    <n v="2548"/>
    <n v="992"/>
    <s v="Product 16"/>
    <x v="10"/>
    <s v="Carl Elliott"/>
    <x v="512"/>
    <n v="4"/>
    <x v="3"/>
    <x v="2"/>
    <x v="2"/>
    <x v="0"/>
    <x v="0"/>
  </r>
  <r>
    <s v="AX20767"/>
    <s v="ENX2090"/>
    <s v="A118"/>
    <s v="EMP1020"/>
    <s v="C1404"/>
    <x v="374"/>
    <n v="1"/>
    <n v="1338"/>
    <n v="682"/>
    <n v="682"/>
    <n v="1338"/>
    <n v="656"/>
    <s v="Product 91"/>
    <x v="19"/>
    <s v="Ryan Butler"/>
    <x v="75"/>
    <n v="4"/>
    <x v="3"/>
    <x v="2"/>
    <x v="2"/>
    <x v="0"/>
    <x v="0"/>
  </r>
  <r>
    <s v="AX20774"/>
    <s v="ENX2045"/>
    <s v="A118"/>
    <s v="EMP1015"/>
    <s v="C1104"/>
    <x v="374"/>
    <n v="1"/>
    <n v="556"/>
    <n v="395"/>
    <n v="395"/>
    <n v="556"/>
    <n v="161"/>
    <s v="Product 46"/>
    <x v="19"/>
    <s v="Justin Lynch"/>
    <x v="367"/>
    <n v="4"/>
    <x v="3"/>
    <x v="2"/>
    <x v="2"/>
    <x v="0"/>
    <x v="0"/>
  </r>
  <r>
    <s v="AX21109"/>
    <s v="ENX2017"/>
    <s v="A133"/>
    <s v="EMP1019"/>
    <s v="C1318"/>
    <x v="373"/>
    <n v="4"/>
    <n v="35"/>
    <n v="22"/>
    <n v="88"/>
    <n v="140"/>
    <n v="52"/>
    <s v="Product 18"/>
    <x v="46"/>
    <s v="Roger Robertson"/>
    <x v="730"/>
    <n v="4"/>
    <x v="3"/>
    <x v="2"/>
    <x v="2"/>
    <x v="0"/>
    <x v="0"/>
  </r>
  <r>
    <s v="AX21363"/>
    <s v="ENX2073"/>
    <s v="A144"/>
    <s v="EMP1018"/>
    <s v="C1237"/>
    <x v="373"/>
    <n v="1"/>
    <n v="95"/>
    <n v="61"/>
    <n v="61"/>
    <n v="95"/>
    <n v="34"/>
    <s v="Product 74"/>
    <x v="65"/>
    <s v="Jimmy Young"/>
    <x v="484"/>
    <n v="4"/>
    <x v="3"/>
    <x v="2"/>
    <x v="2"/>
    <x v="0"/>
    <x v="0"/>
  </r>
  <r>
    <s v="AX21761"/>
    <s v="ENX2002"/>
    <s v="A164"/>
    <s v="EMP1021"/>
    <s v="C1502"/>
    <x v="374"/>
    <n v="4"/>
    <n v="847"/>
    <n v="534"/>
    <n v="2136"/>
    <n v="3388"/>
    <n v="1252"/>
    <s v="Product 3"/>
    <x v="3"/>
    <s v="Clarence Fox"/>
    <x v="364"/>
    <n v="4"/>
    <x v="3"/>
    <x v="2"/>
    <x v="2"/>
    <x v="0"/>
    <x v="0"/>
  </r>
  <r>
    <s v="AX22208"/>
    <s v="ENX2015"/>
    <s v="A140"/>
    <s v="EMP1013"/>
    <s v="C1640"/>
    <x v="373"/>
    <n v="3"/>
    <n v="637"/>
    <n v="389"/>
    <n v="1167"/>
    <n v="1911"/>
    <n v="744"/>
    <s v="Product 16"/>
    <x v="18"/>
    <s v="Charles Harper"/>
    <x v="59"/>
    <n v="4"/>
    <x v="3"/>
    <x v="2"/>
    <x v="2"/>
    <x v="0"/>
    <x v="0"/>
  </r>
  <r>
    <s v="AX22249"/>
    <s v="ENX2039"/>
    <s v="A128"/>
    <s v="EMP1023"/>
    <s v="C1290"/>
    <x v="371"/>
    <n v="1"/>
    <n v="817"/>
    <n v="409"/>
    <n v="409"/>
    <n v="817"/>
    <n v="408"/>
    <s v="Product 40"/>
    <x v="12"/>
    <s v="Brian Davis"/>
    <x v="675"/>
    <n v="4"/>
    <x v="3"/>
    <x v="2"/>
    <x v="2"/>
    <x v="0"/>
    <x v="0"/>
  </r>
  <r>
    <s v="AX22297"/>
    <s v="ENX2060"/>
    <s v="A170"/>
    <s v="EMP1025"/>
    <s v="C1460"/>
    <x v="374"/>
    <n v="1"/>
    <n v="1467"/>
    <n v="807"/>
    <n v="807"/>
    <n v="1467"/>
    <n v="660"/>
    <s v="Product 61"/>
    <x v="47"/>
    <s v="Ernest Wagner"/>
    <x v="613"/>
    <n v="4"/>
    <x v="3"/>
    <x v="2"/>
    <x v="2"/>
    <x v="0"/>
    <x v="0"/>
  </r>
  <r>
    <s v="AX22648"/>
    <s v="ENX2022"/>
    <s v="A161"/>
    <s v="EMP1037"/>
    <s v="C1105"/>
    <x v="372"/>
    <n v="3"/>
    <n v="561"/>
    <n v="421"/>
    <n v="1263"/>
    <n v="1683"/>
    <n v="420"/>
    <s v="Product 23"/>
    <x v="6"/>
    <s v="Carl Hall"/>
    <x v="15"/>
    <n v="4"/>
    <x v="3"/>
    <x v="2"/>
    <x v="2"/>
    <x v="0"/>
    <x v="0"/>
  </r>
  <r>
    <s v="AX22735"/>
    <s v="ENX2016"/>
    <s v="A138"/>
    <s v="EMP1032"/>
    <s v="C1752"/>
    <x v="372"/>
    <n v="3"/>
    <n v="1351"/>
    <n v="1108"/>
    <n v="3324"/>
    <n v="4053"/>
    <n v="729"/>
    <s v="Product 17"/>
    <x v="37"/>
    <s v="Larry Castillo"/>
    <x v="233"/>
    <n v="4"/>
    <x v="3"/>
    <x v="2"/>
    <x v="2"/>
    <x v="0"/>
    <x v="0"/>
  </r>
  <r>
    <s v="AX22973"/>
    <s v="ENX2093"/>
    <s v="A109"/>
    <s v="EMP1023"/>
    <s v="C1789"/>
    <x v="374"/>
    <n v="3"/>
    <n v="112"/>
    <n v="90"/>
    <n v="270"/>
    <n v="336"/>
    <n v="66"/>
    <s v="Product 94"/>
    <x v="57"/>
    <s v="Brian Davis"/>
    <x v="701"/>
    <n v="4"/>
    <x v="3"/>
    <x v="2"/>
    <x v="2"/>
    <x v="0"/>
    <x v="0"/>
  </r>
  <r>
    <s v="AX23132"/>
    <s v="ENX2071"/>
    <s v="A100"/>
    <s v="EMP1008"/>
    <s v="C1162"/>
    <x v="373"/>
    <n v="1"/>
    <n v="136"/>
    <n v="72"/>
    <n v="72"/>
    <n v="136"/>
    <n v="64"/>
    <s v="Product 72"/>
    <x v="52"/>
    <s v="Carl Elliott"/>
    <x v="177"/>
    <n v="4"/>
    <x v="3"/>
    <x v="2"/>
    <x v="2"/>
    <x v="0"/>
    <x v="0"/>
  </r>
  <r>
    <s v="AX23271"/>
    <s v="ENX2067"/>
    <s v="A113"/>
    <s v="EMP1026"/>
    <s v="C1573"/>
    <x v="374"/>
    <n v="1"/>
    <n v="1119"/>
    <n v="683"/>
    <n v="683"/>
    <n v="1119"/>
    <n v="436"/>
    <s v="Product 68"/>
    <x v="73"/>
    <s v="Martin Perry"/>
    <x v="383"/>
    <n v="4"/>
    <x v="3"/>
    <x v="2"/>
    <x v="2"/>
    <x v="0"/>
    <x v="0"/>
  </r>
  <r>
    <s v="AX23629"/>
    <s v="ENX2049"/>
    <s v="A144"/>
    <s v="EMP1028"/>
    <s v="C1570"/>
    <x v="374"/>
    <n v="1"/>
    <n v="826"/>
    <n v="562"/>
    <n v="562"/>
    <n v="826"/>
    <n v="264"/>
    <s v="Product 50"/>
    <x v="65"/>
    <s v="Howard Sims"/>
    <x v="695"/>
    <n v="4"/>
    <x v="3"/>
    <x v="2"/>
    <x v="2"/>
    <x v="0"/>
    <x v="0"/>
  </r>
  <r>
    <s v="AX23904"/>
    <s v="ENX2054"/>
    <s v="A153"/>
    <s v="EMP1027"/>
    <s v="C1425"/>
    <x v="374"/>
    <n v="1"/>
    <n v="127"/>
    <n v="79"/>
    <n v="79"/>
    <n v="127"/>
    <n v="48"/>
    <s v="Product 55"/>
    <x v="8"/>
    <s v="Gary Rodriguez"/>
    <x v="474"/>
    <n v="4"/>
    <x v="3"/>
    <x v="2"/>
    <x v="2"/>
    <x v="0"/>
    <x v="0"/>
  </r>
  <r>
    <s v="AX24472"/>
    <s v="ENX2099"/>
    <s v="A132"/>
    <s v="EMP1040"/>
    <s v="C1473"/>
    <x v="373"/>
    <n v="1"/>
    <n v="1367"/>
    <n v="984"/>
    <n v="984"/>
    <n v="1367"/>
    <n v="383"/>
    <s v="Product 100"/>
    <x v="48"/>
    <s v="Patrick Ruiz"/>
    <x v="100"/>
    <n v="4"/>
    <x v="3"/>
    <x v="2"/>
    <x v="2"/>
    <x v="0"/>
    <x v="0"/>
  </r>
  <r>
    <s v="AX24546"/>
    <s v="ENX2008"/>
    <s v="A151"/>
    <s v="EMP1043"/>
    <s v="C1001"/>
    <x v="372"/>
    <n v="1"/>
    <n v="315"/>
    <n v="208"/>
    <n v="208"/>
    <n v="315"/>
    <n v="107"/>
    <s v="Product 9"/>
    <x v="1"/>
    <s v="Joshua Taylor"/>
    <x v="725"/>
    <n v="4"/>
    <x v="3"/>
    <x v="2"/>
    <x v="2"/>
    <x v="0"/>
    <x v="0"/>
  </r>
  <r>
    <s v="AX24566"/>
    <s v="ENX2036"/>
    <s v="A122"/>
    <s v="EMP1026"/>
    <s v="C1224"/>
    <x v="372"/>
    <n v="4"/>
    <n v="1582"/>
    <n v="1234"/>
    <n v="4936"/>
    <n v="6328"/>
    <n v="1392"/>
    <s v="Product 37"/>
    <x v="71"/>
    <s v="Martin Perry"/>
    <x v="492"/>
    <n v="4"/>
    <x v="3"/>
    <x v="2"/>
    <x v="2"/>
    <x v="0"/>
    <x v="0"/>
  </r>
  <r>
    <s v="AX24630"/>
    <s v="ENX2099"/>
    <s v="A126"/>
    <s v="EMP1003"/>
    <s v="C1488"/>
    <x v="374"/>
    <n v="3"/>
    <n v="1367"/>
    <n v="984"/>
    <n v="2952"/>
    <n v="4101"/>
    <n v="1149"/>
    <s v="Product 100"/>
    <x v="5"/>
    <s v="Christopher Tucker"/>
    <x v="763"/>
    <n v="4"/>
    <x v="3"/>
    <x v="2"/>
    <x v="2"/>
    <x v="0"/>
    <x v="0"/>
  </r>
  <r>
    <s v="AX11246"/>
    <s v="ENX2060"/>
    <s v="A109"/>
    <s v="EMP1008"/>
    <s v="C1138"/>
    <x v="375"/>
    <n v="1"/>
    <n v="1467"/>
    <n v="807"/>
    <n v="807"/>
    <n v="1467"/>
    <n v="660"/>
    <s v="Product 61"/>
    <x v="57"/>
    <s v="Carl Elliott"/>
    <x v="325"/>
    <n v="4"/>
    <x v="3"/>
    <x v="2"/>
    <x v="2"/>
    <x v="0"/>
    <x v="1"/>
  </r>
  <r>
    <s v="AX11261"/>
    <s v="ENX2077"/>
    <s v="A131"/>
    <s v="EMP1036"/>
    <s v="C1274"/>
    <x v="376"/>
    <n v="2"/>
    <n v="530"/>
    <n v="424"/>
    <n v="848"/>
    <n v="1060"/>
    <n v="212"/>
    <s v="Product 78"/>
    <x v="32"/>
    <s v="Robert Reed"/>
    <x v="173"/>
    <n v="4"/>
    <x v="3"/>
    <x v="2"/>
    <x v="2"/>
    <x v="0"/>
    <x v="1"/>
  </r>
  <r>
    <s v="AX11894"/>
    <s v="ENX2064"/>
    <s v="A131"/>
    <s v="EMP1036"/>
    <s v="C1303"/>
    <x v="376"/>
    <n v="4"/>
    <n v="1414"/>
    <n v="962"/>
    <n v="3848"/>
    <n v="5656"/>
    <n v="1808"/>
    <s v="Product 65"/>
    <x v="32"/>
    <s v="Robert Reed"/>
    <x v="531"/>
    <n v="4"/>
    <x v="3"/>
    <x v="2"/>
    <x v="2"/>
    <x v="0"/>
    <x v="1"/>
  </r>
  <r>
    <s v="AX13495"/>
    <s v="ENX2033"/>
    <s v="A105"/>
    <s v="EMP1013"/>
    <s v="C1743"/>
    <x v="376"/>
    <n v="1"/>
    <n v="2182"/>
    <n v="1200"/>
    <n v="1200"/>
    <n v="2182"/>
    <n v="982"/>
    <s v="Product 34"/>
    <x v="45"/>
    <s v="Charles Harper"/>
    <x v="276"/>
    <n v="4"/>
    <x v="3"/>
    <x v="2"/>
    <x v="2"/>
    <x v="0"/>
    <x v="1"/>
  </r>
  <r>
    <s v="AX14480"/>
    <s v="ENX2088"/>
    <s v="A119"/>
    <s v="EMP1039"/>
    <s v="C1446"/>
    <x v="375"/>
    <n v="1"/>
    <n v="603"/>
    <n v="416"/>
    <n v="416"/>
    <n v="603"/>
    <n v="187"/>
    <s v="Product 89"/>
    <x v="16"/>
    <s v="Eugene Holmes"/>
    <x v="345"/>
    <n v="4"/>
    <x v="3"/>
    <x v="2"/>
    <x v="2"/>
    <x v="0"/>
    <x v="1"/>
  </r>
  <r>
    <s v="AX14548"/>
    <s v="ENX2026"/>
    <s v="A166"/>
    <s v="EMP1020"/>
    <s v="C1136"/>
    <x v="376"/>
    <n v="1"/>
    <n v="947"/>
    <n v="786"/>
    <n v="786"/>
    <n v="947"/>
    <n v="161"/>
    <s v="Product 27"/>
    <x v="70"/>
    <s v="Ryan Butler"/>
    <x v="425"/>
    <n v="4"/>
    <x v="3"/>
    <x v="2"/>
    <x v="2"/>
    <x v="0"/>
    <x v="1"/>
  </r>
  <r>
    <s v="AX14705"/>
    <s v="ENX2051"/>
    <s v="A159"/>
    <s v="EMP1035"/>
    <s v="C1134"/>
    <x v="375"/>
    <n v="3"/>
    <n v="1077"/>
    <n v="732"/>
    <n v="2196"/>
    <n v="3231"/>
    <n v="1035"/>
    <s v="Product 52"/>
    <x v="13"/>
    <s v="Roger Ramos"/>
    <x v="495"/>
    <n v="4"/>
    <x v="3"/>
    <x v="2"/>
    <x v="2"/>
    <x v="0"/>
    <x v="1"/>
  </r>
  <r>
    <s v="AX15120"/>
    <s v="ENX2074"/>
    <s v="A144"/>
    <s v="EMP1039"/>
    <s v="C1673"/>
    <x v="376"/>
    <n v="1"/>
    <n v="504"/>
    <n v="408"/>
    <n v="408"/>
    <n v="504"/>
    <n v="96"/>
    <s v="Product 75"/>
    <x v="65"/>
    <s v="Eugene Holmes"/>
    <x v="87"/>
    <n v="4"/>
    <x v="3"/>
    <x v="2"/>
    <x v="2"/>
    <x v="0"/>
    <x v="1"/>
  </r>
  <r>
    <s v="AX15538"/>
    <s v="ENX2098"/>
    <s v="A129"/>
    <s v="EMP1022"/>
    <s v="C1220"/>
    <x v="375"/>
    <n v="4"/>
    <n v="1178"/>
    <n v="683"/>
    <n v="2732"/>
    <n v="4712"/>
    <n v="1980"/>
    <s v="Product 99"/>
    <x v="22"/>
    <s v="Walter Cook"/>
    <x v="204"/>
    <n v="4"/>
    <x v="3"/>
    <x v="2"/>
    <x v="2"/>
    <x v="0"/>
    <x v="1"/>
  </r>
  <r>
    <s v="AX16169"/>
    <s v="ENX2076"/>
    <s v="A169"/>
    <s v="EMP1009"/>
    <s v="C1720"/>
    <x v="375"/>
    <n v="1"/>
    <n v="1522"/>
    <n v="791"/>
    <n v="791"/>
    <n v="1522"/>
    <n v="731"/>
    <s v="Product 77"/>
    <x v="17"/>
    <s v="Kenneth Fields"/>
    <x v="152"/>
    <n v="4"/>
    <x v="3"/>
    <x v="2"/>
    <x v="2"/>
    <x v="0"/>
    <x v="1"/>
  </r>
  <r>
    <s v="AX16680"/>
    <s v="ENX2088"/>
    <s v="A129"/>
    <s v="EMP1042"/>
    <s v="C1107"/>
    <x v="376"/>
    <n v="1"/>
    <n v="603"/>
    <n v="416"/>
    <n v="416"/>
    <n v="603"/>
    <n v="187"/>
    <s v="Product 89"/>
    <x v="22"/>
    <s v="Scott Clark"/>
    <x v="278"/>
    <n v="4"/>
    <x v="3"/>
    <x v="2"/>
    <x v="2"/>
    <x v="0"/>
    <x v="1"/>
  </r>
  <r>
    <s v="AX17077"/>
    <s v="ENX2064"/>
    <s v="A114"/>
    <s v="EMP1027"/>
    <s v="C1464"/>
    <x v="375"/>
    <n v="2"/>
    <n v="1414"/>
    <n v="962"/>
    <n v="1924"/>
    <n v="2828"/>
    <n v="904"/>
    <s v="Product 65"/>
    <x v="28"/>
    <s v="Gary Rodriguez"/>
    <x v="322"/>
    <n v="4"/>
    <x v="3"/>
    <x v="2"/>
    <x v="2"/>
    <x v="0"/>
    <x v="1"/>
  </r>
  <r>
    <s v="AX17369"/>
    <s v="ENX2074"/>
    <s v="A132"/>
    <s v="EMP1039"/>
    <s v="C1788"/>
    <x v="375"/>
    <n v="1"/>
    <n v="504"/>
    <n v="408"/>
    <n v="408"/>
    <n v="504"/>
    <n v="96"/>
    <s v="Product 75"/>
    <x v="48"/>
    <s v="Eugene Holmes"/>
    <x v="218"/>
    <n v="4"/>
    <x v="3"/>
    <x v="2"/>
    <x v="2"/>
    <x v="0"/>
    <x v="1"/>
  </r>
  <r>
    <s v="AX18352"/>
    <s v="ENX2083"/>
    <s v="A123"/>
    <s v="EMP1035"/>
    <s v="C1058"/>
    <x v="375"/>
    <n v="1"/>
    <n v="2141"/>
    <n v="1777"/>
    <n v="1777"/>
    <n v="2141"/>
    <n v="364"/>
    <s v="Product 84"/>
    <x v="34"/>
    <s v="Roger Ramos"/>
    <x v="611"/>
    <n v="4"/>
    <x v="3"/>
    <x v="2"/>
    <x v="2"/>
    <x v="0"/>
    <x v="1"/>
  </r>
  <r>
    <s v="AX18836"/>
    <s v="ENX2085"/>
    <s v="A161"/>
    <s v="EMP1018"/>
    <s v="C1342"/>
    <x v="375"/>
    <n v="1"/>
    <n v="1862"/>
    <n v="1173"/>
    <n v="1173"/>
    <n v="1862"/>
    <n v="689"/>
    <s v="Product 86"/>
    <x v="6"/>
    <s v="Jimmy Young"/>
    <x v="62"/>
    <n v="4"/>
    <x v="3"/>
    <x v="2"/>
    <x v="2"/>
    <x v="0"/>
    <x v="1"/>
  </r>
  <r>
    <s v="AX18837"/>
    <s v="ENX2072"/>
    <s v="A140"/>
    <s v="EMP1034"/>
    <s v="C1509"/>
    <x v="376"/>
    <n v="4"/>
    <n v="1887"/>
    <n v="1378"/>
    <n v="5512"/>
    <n v="7548"/>
    <n v="2036"/>
    <s v="Product 73"/>
    <x v="18"/>
    <s v="Arthur Mccoy"/>
    <x v="442"/>
    <n v="4"/>
    <x v="3"/>
    <x v="2"/>
    <x v="2"/>
    <x v="0"/>
    <x v="1"/>
  </r>
  <r>
    <s v="AX20527"/>
    <s v="ENX2033"/>
    <s v="A152"/>
    <s v="EMP1008"/>
    <s v="C1706"/>
    <x v="376"/>
    <n v="1"/>
    <n v="2182"/>
    <n v="1200"/>
    <n v="1200"/>
    <n v="2182"/>
    <n v="982"/>
    <s v="Product 34"/>
    <x v="26"/>
    <s v="Carl Elliott"/>
    <x v="171"/>
    <n v="4"/>
    <x v="3"/>
    <x v="2"/>
    <x v="2"/>
    <x v="0"/>
    <x v="1"/>
  </r>
  <r>
    <s v="AX20939"/>
    <s v="ENX2017"/>
    <s v="A155"/>
    <s v="EMP1021"/>
    <s v="C1416"/>
    <x v="376"/>
    <n v="1"/>
    <n v="35"/>
    <n v="22"/>
    <n v="22"/>
    <n v="35"/>
    <n v="13"/>
    <s v="Product 18"/>
    <x v="53"/>
    <s v="Clarence Fox"/>
    <x v="554"/>
    <n v="4"/>
    <x v="3"/>
    <x v="2"/>
    <x v="2"/>
    <x v="0"/>
    <x v="1"/>
  </r>
  <r>
    <s v="AX21172"/>
    <s v="ENX2029"/>
    <s v="A124"/>
    <s v="EMP1033"/>
    <s v="C1424"/>
    <x v="376"/>
    <n v="1"/>
    <n v="1848"/>
    <n v="1294"/>
    <n v="1294"/>
    <n v="1848"/>
    <n v="554"/>
    <s v="Product 30"/>
    <x v="67"/>
    <s v="Jerry Perry"/>
    <x v="791"/>
    <n v="4"/>
    <x v="3"/>
    <x v="2"/>
    <x v="2"/>
    <x v="0"/>
    <x v="1"/>
  </r>
  <r>
    <s v="AX23964"/>
    <s v="ENX2021"/>
    <s v="A113"/>
    <s v="EMP1044"/>
    <s v="C1347"/>
    <x v="376"/>
    <n v="1"/>
    <n v="217"/>
    <n v="171"/>
    <n v="171"/>
    <n v="217"/>
    <n v="46"/>
    <s v="Product 22"/>
    <x v="73"/>
    <s v="Martin Carr"/>
    <x v="686"/>
    <n v="4"/>
    <x v="3"/>
    <x v="2"/>
    <x v="2"/>
    <x v="0"/>
    <x v="1"/>
  </r>
  <r>
    <s v="AX23991"/>
    <s v="ENX2074"/>
    <s v="A119"/>
    <s v="EMP1041"/>
    <s v="C1320"/>
    <x v="376"/>
    <n v="2"/>
    <n v="504"/>
    <n v="408"/>
    <n v="816"/>
    <n v="1008"/>
    <n v="192"/>
    <s v="Product 75"/>
    <x v="16"/>
    <s v="Joe Sims"/>
    <x v="480"/>
    <n v="4"/>
    <x v="3"/>
    <x v="2"/>
    <x v="2"/>
    <x v="0"/>
    <x v="1"/>
  </r>
  <r>
    <s v="AX24036"/>
    <s v="ENX2042"/>
    <s v="A172"/>
    <s v="EMP1010"/>
    <s v="C1261"/>
    <x v="375"/>
    <n v="1"/>
    <n v="203"/>
    <n v="154"/>
    <n v="154"/>
    <n v="203"/>
    <n v="49"/>
    <s v="Product 43"/>
    <x v="36"/>
    <s v="Joshua Cook"/>
    <x v="295"/>
    <n v="4"/>
    <x v="3"/>
    <x v="2"/>
    <x v="2"/>
    <x v="0"/>
    <x v="1"/>
  </r>
  <r>
    <s v="AX24143"/>
    <s v="ENX2057"/>
    <s v="A149"/>
    <s v="EMP1043"/>
    <s v="C1623"/>
    <x v="376"/>
    <n v="2"/>
    <n v="181"/>
    <n v="130"/>
    <n v="260"/>
    <n v="362"/>
    <n v="102"/>
    <s v="Product 58"/>
    <x v="59"/>
    <s v="Joshua Taylor"/>
    <x v="282"/>
    <n v="4"/>
    <x v="3"/>
    <x v="2"/>
    <x v="2"/>
    <x v="0"/>
    <x v="1"/>
  </r>
  <r>
    <s v="AX10202"/>
    <s v="ENX2041"/>
    <s v="A107"/>
    <s v="EMP1032"/>
    <s v="C1663"/>
    <x v="377"/>
    <n v="1"/>
    <n v="1380"/>
    <n v="1090"/>
    <n v="1090"/>
    <n v="1380"/>
    <n v="290"/>
    <s v="Product 42"/>
    <x v="21"/>
    <s v="Larry Castillo"/>
    <x v="602"/>
    <n v="4"/>
    <x v="3"/>
    <x v="2"/>
    <x v="2"/>
    <x v="0"/>
    <x v="2"/>
  </r>
  <r>
    <s v="AX10498"/>
    <s v="ENX2061"/>
    <s v="A166"/>
    <s v="EMP1043"/>
    <s v="C1647"/>
    <x v="377"/>
    <n v="1"/>
    <n v="913"/>
    <n v="584"/>
    <n v="584"/>
    <n v="913"/>
    <n v="329"/>
    <s v="Product 62"/>
    <x v="70"/>
    <s v="Joshua Taylor"/>
    <x v="318"/>
    <n v="4"/>
    <x v="3"/>
    <x v="2"/>
    <x v="2"/>
    <x v="0"/>
    <x v="2"/>
  </r>
  <r>
    <s v="AX10553"/>
    <s v="ENX2065"/>
    <s v="A155"/>
    <s v="EMP1036"/>
    <s v="C1695"/>
    <x v="377"/>
    <n v="1"/>
    <n v="2396"/>
    <n v="1965"/>
    <n v="1965"/>
    <n v="2396"/>
    <n v="431"/>
    <s v="Product 66"/>
    <x v="53"/>
    <s v="Robert Reed"/>
    <x v="18"/>
    <n v="4"/>
    <x v="3"/>
    <x v="2"/>
    <x v="2"/>
    <x v="0"/>
    <x v="2"/>
  </r>
  <r>
    <s v="AX10736"/>
    <s v="ENX2060"/>
    <s v="A171"/>
    <s v="EMP1003"/>
    <s v="C1641"/>
    <x v="378"/>
    <n v="3"/>
    <n v="1467"/>
    <n v="807"/>
    <n v="2421"/>
    <n v="4401"/>
    <n v="1980"/>
    <s v="Product 61"/>
    <x v="0"/>
    <s v="Christopher Tucker"/>
    <x v="761"/>
    <n v="4"/>
    <x v="3"/>
    <x v="2"/>
    <x v="2"/>
    <x v="0"/>
    <x v="2"/>
  </r>
  <r>
    <s v="AX10929"/>
    <s v="ENX2089"/>
    <s v="A103"/>
    <s v="EMP1038"/>
    <s v="C1101"/>
    <x v="377"/>
    <n v="1"/>
    <n v="2294"/>
    <n v="1399"/>
    <n v="1399"/>
    <n v="2294"/>
    <n v="895"/>
    <s v="Product 90"/>
    <x v="61"/>
    <s v="Scott Mason"/>
    <x v="347"/>
    <n v="4"/>
    <x v="3"/>
    <x v="2"/>
    <x v="2"/>
    <x v="0"/>
    <x v="2"/>
  </r>
  <r>
    <s v="AX11296"/>
    <s v="ENX2067"/>
    <s v="A152"/>
    <s v="EMP1031"/>
    <s v="C1002"/>
    <x v="379"/>
    <n v="1"/>
    <n v="1119"/>
    <n v="683"/>
    <n v="683"/>
    <n v="1119"/>
    <n v="436"/>
    <s v="Product 68"/>
    <x v="26"/>
    <s v="Brian Thomas"/>
    <x v="49"/>
    <n v="4"/>
    <x v="3"/>
    <x v="2"/>
    <x v="2"/>
    <x v="0"/>
    <x v="2"/>
  </r>
  <r>
    <s v="AX11360"/>
    <s v="ENX2078"/>
    <s v="A168"/>
    <s v="EMP1025"/>
    <s v="C1096"/>
    <x v="378"/>
    <n v="4"/>
    <n v="1798"/>
    <n v="971"/>
    <n v="3884"/>
    <n v="7192"/>
    <n v="3308"/>
    <s v="Product 79"/>
    <x v="40"/>
    <s v="Ernest Wagner"/>
    <x v="91"/>
    <n v="4"/>
    <x v="3"/>
    <x v="2"/>
    <x v="2"/>
    <x v="0"/>
    <x v="2"/>
  </r>
  <r>
    <s v="AX11576"/>
    <s v="ENX2071"/>
    <s v="A117"/>
    <s v="EMP1013"/>
    <s v="C1745"/>
    <x v="377"/>
    <n v="1"/>
    <n v="136"/>
    <n v="72"/>
    <n v="72"/>
    <n v="136"/>
    <n v="64"/>
    <s v="Product 72"/>
    <x v="29"/>
    <s v="Charles Harper"/>
    <x v="784"/>
    <n v="4"/>
    <x v="3"/>
    <x v="2"/>
    <x v="2"/>
    <x v="0"/>
    <x v="2"/>
  </r>
  <r>
    <s v="AX11655"/>
    <s v="ENX2097"/>
    <s v="A149"/>
    <s v="EMP1024"/>
    <s v="C1611"/>
    <x v="379"/>
    <n v="1"/>
    <n v="1052"/>
    <n v="589"/>
    <n v="589"/>
    <n v="1052"/>
    <n v="463"/>
    <s v="Product 98"/>
    <x v="59"/>
    <s v="Ernest Wheeler"/>
    <x v="306"/>
    <n v="4"/>
    <x v="3"/>
    <x v="2"/>
    <x v="2"/>
    <x v="0"/>
    <x v="2"/>
  </r>
  <r>
    <s v="AX12556"/>
    <s v="ENX2088"/>
    <s v="A154"/>
    <s v="EMP1034"/>
    <s v="C1221"/>
    <x v="379"/>
    <n v="4"/>
    <n v="603"/>
    <n v="416"/>
    <n v="1664"/>
    <n v="2412"/>
    <n v="748"/>
    <s v="Product 89"/>
    <x v="24"/>
    <s v="Arthur Mccoy"/>
    <x v="429"/>
    <n v="4"/>
    <x v="3"/>
    <x v="2"/>
    <x v="2"/>
    <x v="0"/>
    <x v="2"/>
  </r>
  <r>
    <s v="AX12746"/>
    <s v="ENX2031"/>
    <s v="A148"/>
    <s v="EMP1008"/>
    <s v="C1572"/>
    <x v="378"/>
    <n v="3"/>
    <n v="1638"/>
    <n v="1261"/>
    <n v="3783"/>
    <n v="4914"/>
    <n v="1131"/>
    <s v="Product 32"/>
    <x v="62"/>
    <s v="Carl Elliott"/>
    <x v="717"/>
    <n v="4"/>
    <x v="3"/>
    <x v="2"/>
    <x v="2"/>
    <x v="0"/>
    <x v="2"/>
  </r>
  <r>
    <s v="AX12903"/>
    <s v="ENX2076"/>
    <s v="A126"/>
    <s v="EMP1020"/>
    <s v="C1795"/>
    <x v="380"/>
    <n v="4"/>
    <n v="1522"/>
    <n v="791"/>
    <n v="3164"/>
    <n v="6088"/>
    <n v="2924"/>
    <s v="Product 77"/>
    <x v="5"/>
    <s v="Ryan Butler"/>
    <x v="592"/>
    <n v="4"/>
    <x v="3"/>
    <x v="2"/>
    <x v="2"/>
    <x v="0"/>
    <x v="2"/>
  </r>
  <r>
    <s v="AX12954"/>
    <s v="ENX2082"/>
    <s v="A112"/>
    <s v="EMP1036"/>
    <s v="C1313"/>
    <x v="379"/>
    <n v="1"/>
    <n v="1103"/>
    <n v="838"/>
    <n v="838"/>
    <n v="1103"/>
    <n v="265"/>
    <s v="Product 83"/>
    <x v="66"/>
    <s v="Robert Reed"/>
    <x v="728"/>
    <n v="4"/>
    <x v="3"/>
    <x v="2"/>
    <x v="2"/>
    <x v="0"/>
    <x v="2"/>
  </r>
  <r>
    <s v="AX13576"/>
    <s v="ENX2052"/>
    <s v="A152"/>
    <s v="EMP1026"/>
    <s v="C1730"/>
    <x v="378"/>
    <n v="1"/>
    <n v="1526"/>
    <n v="1251"/>
    <n v="1251"/>
    <n v="1526"/>
    <n v="275"/>
    <s v="Product 53"/>
    <x v="26"/>
    <s v="Martin Perry"/>
    <x v="777"/>
    <n v="4"/>
    <x v="3"/>
    <x v="2"/>
    <x v="2"/>
    <x v="0"/>
    <x v="2"/>
  </r>
  <r>
    <s v="AX13765"/>
    <s v="ENX2069"/>
    <s v="A138"/>
    <s v="EMP1035"/>
    <s v="C1144"/>
    <x v="378"/>
    <n v="4"/>
    <n v="378"/>
    <n v="291"/>
    <n v="1164"/>
    <n v="1512"/>
    <n v="348"/>
    <s v="Product 70"/>
    <x v="37"/>
    <s v="Roger Ramos"/>
    <x v="478"/>
    <n v="4"/>
    <x v="3"/>
    <x v="2"/>
    <x v="2"/>
    <x v="0"/>
    <x v="2"/>
  </r>
  <r>
    <s v="AX13926"/>
    <s v="ENX2095"/>
    <s v="A156"/>
    <s v="EMP1029"/>
    <s v="C1701"/>
    <x v="380"/>
    <n v="3"/>
    <n v="1743"/>
    <n v="872"/>
    <n v="2616"/>
    <n v="5229"/>
    <n v="2613"/>
    <s v="Product 96"/>
    <x v="14"/>
    <s v="Howard Gardner"/>
    <x v="736"/>
    <n v="4"/>
    <x v="3"/>
    <x v="2"/>
    <x v="2"/>
    <x v="0"/>
    <x v="2"/>
  </r>
  <r>
    <s v="AX14119"/>
    <s v="ENX2099"/>
    <s v="A169"/>
    <s v="EMP1003"/>
    <s v="C1162"/>
    <x v="377"/>
    <n v="2"/>
    <n v="1367"/>
    <n v="984"/>
    <n v="1968"/>
    <n v="2734"/>
    <n v="766"/>
    <s v="Product 100"/>
    <x v="17"/>
    <s v="Christopher Tucker"/>
    <x v="177"/>
    <n v="4"/>
    <x v="3"/>
    <x v="2"/>
    <x v="2"/>
    <x v="0"/>
    <x v="2"/>
  </r>
  <r>
    <s v="AX14554"/>
    <s v="ENX2041"/>
    <s v="A144"/>
    <s v="EMP1014"/>
    <s v="C1100"/>
    <x v="378"/>
    <n v="1"/>
    <n v="1380"/>
    <n v="1090"/>
    <n v="1090"/>
    <n v="1380"/>
    <n v="290"/>
    <s v="Product 42"/>
    <x v="65"/>
    <s v="Ronald Reed"/>
    <x v="110"/>
    <n v="4"/>
    <x v="3"/>
    <x v="2"/>
    <x v="2"/>
    <x v="0"/>
    <x v="2"/>
  </r>
  <r>
    <s v="AX14978"/>
    <s v="ENX2080"/>
    <s v="A150"/>
    <s v="EMP1015"/>
    <s v="C1436"/>
    <x v="380"/>
    <n v="1"/>
    <n v="2353"/>
    <n v="1788"/>
    <n v="1788"/>
    <n v="2353"/>
    <n v="565"/>
    <s v="Product 81"/>
    <x v="30"/>
    <s v="Justin Lynch"/>
    <x v="283"/>
    <n v="4"/>
    <x v="3"/>
    <x v="2"/>
    <x v="2"/>
    <x v="0"/>
    <x v="2"/>
  </r>
  <r>
    <s v="AX15012"/>
    <s v="ENX2045"/>
    <s v="A155"/>
    <s v="EMP1024"/>
    <s v="C1409"/>
    <x v="380"/>
    <n v="2"/>
    <n v="556"/>
    <n v="395"/>
    <n v="790"/>
    <n v="1112"/>
    <n v="322"/>
    <s v="Product 46"/>
    <x v="53"/>
    <s v="Ernest Wheeler"/>
    <x v="44"/>
    <n v="4"/>
    <x v="3"/>
    <x v="2"/>
    <x v="2"/>
    <x v="0"/>
    <x v="2"/>
  </r>
  <r>
    <s v="AX15030"/>
    <s v="ENX2023"/>
    <s v="A173"/>
    <s v="EMP1043"/>
    <s v="C1015"/>
    <x v="378"/>
    <n v="2"/>
    <n v="818"/>
    <n v="450"/>
    <n v="900"/>
    <n v="1636"/>
    <n v="736"/>
    <s v="Product 24"/>
    <x v="25"/>
    <s v="Joshua Taylor"/>
    <x v="583"/>
    <n v="4"/>
    <x v="3"/>
    <x v="2"/>
    <x v="2"/>
    <x v="0"/>
    <x v="2"/>
  </r>
  <r>
    <s v="AX15523"/>
    <s v="ENX2092"/>
    <s v="A113"/>
    <s v="EMP1015"/>
    <s v="C1675"/>
    <x v="379"/>
    <n v="2"/>
    <n v="1639"/>
    <n v="1295"/>
    <n v="2590"/>
    <n v="3278"/>
    <n v="688"/>
    <s v="Product 93"/>
    <x v="73"/>
    <s v="Justin Lynch"/>
    <x v="453"/>
    <n v="4"/>
    <x v="3"/>
    <x v="2"/>
    <x v="2"/>
    <x v="0"/>
    <x v="2"/>
  </r>
  <r>
    <s v="AX15829"/>
    <s v="ENX2083"/>
    <s v="A157"/>
    <s v="EMP1005"/>
    <s v="C1791"/>
    <x v="379"/>
    <n v="4"/>
    <n v="2141"/>
    <n v="1777"/>
    <n v="7108"/>
    <n v="8564"/>
    <n v="1456"/>
    <s v="Product 84"/>
    <x v="7"/>
    <s v="Ryan Welch"/>
    <x v="193"/>
    <n v="4"/>
    <x v="3"/>
    <x v="2"/>
    <x v="2"/>
    <x v="0"/>
    <x v="2"/>
  </r>
  <r>
    <s v="AX15854"/>
    <s v="ENX2039"/>
    <s v="A138"/>
    <s v="EMP1002"/>
    <s v="C1180"/>
    <x v="380"/>
    <n v="3"/>
    <n v="817"/>
    <n v="409"/>
    <n v="1227"/>
    <n v="2451"/>
    <n v="1224"/>
    <s v="Product 40"/>
    <x v="37"/>
    <s v="Andrew Bowman"/>
    <x v="212"/>
    <n v="4"/>
    <x v="3"/>
    <x v="2"/>
    <x v="2"/>
    <x v="0"/>
    <x v="2"/>
  </r>
  <r>
    <s v="AX16041"/>
    <s v="ENX2011"/>
    <s v="A137"/>
    <s v="EMP1009"/>
    <s v="C1189"/>
    <x v="380"/>
    <n v="4"/>
    <n v="530"/>
    <n v="435"/>
    <n v="1740"/>
    <n v="2120"/>
    <n v="380"/>
    <s v="Product 12"/>
    <x v="68"/>
    <s v="Kenneth Fields"/>
    <x v="752"/>
    <n v="4"/>
    <x v="3"/>
    <x v="2"/>
    <x v="2"/>
    <x v="0"/>
    <x v="2"/>
  </r>
  <r>
    <s v="AX16475"/>
    <s v="ENX2032"/>
    <s v="A171"/>
    <s v="EMP1026"/>
    <s v="C1212"/>
    <x v="380"/>
    <n v="3"/>
    <n v="1967"/>
    <n v="1397"/>
    <n v="4191"/>
    <n v="5901"/>
    <n v="1710"/>
    <s v="Product 33"/>
    <x v="0"/>
    <s v="Martin Perry"/>
    <x v="220"/>
    <n v="4"/>
    <x v="3"/>
    <x v="2"/>
    <x v="2"/>
    <x v="0"/>
    <x v="2"/>
  </r>
  <r>
    <s v="AX17583"/>
    <s v="ENX2060"/>
    <s v="A160"/>
    <s v="EMP1022"/>
    <s v="C1560"/>
    <x v="379"/>
    <n v="1"/>
    <n v="1467"/>
    <n v="807"/>
    <n v="807"/>
    <n v="1467"/>
    <n v="660"/>
    <s v="Product 61"/>
    <x v="9"/>
    <s v="Walter Cook"/>
    <x v="208"/>
    <n v="4"/>
    <x v="3"/>
    <x v="2"/>
    <x v="2"/>
    <x v="0"/>
    <x v="2"/>
  </r>
  <r>
    <s v="AX17794"/>
    <s v="ENX2005"/>
    <s v="A109"/>
    <s v="EMP1007"/>
    <s v="C1120"/>
    <x v="380"/>
    <n v="3"/>
    <n v="684"/>
    <n v="561"/>
    <n v="1683"/>
    <n v="2052"/>
    <n v="369"/>
    <s v="Product 6"/>
    <x v="57"/>
    <s v="Jeremy Mendoza"/>
    <x v="685"/>
    <n v="4"/>
    <x v="3"/>
    <x v="2"/>
    <x v="2"/>
    <x v="0"/>
    <x v="2"/>
  </r>
  <r>
    <s v="AX18827"/>
    <s v="ENX2062"/>
    <s v="A100"/>
    <s v="EMP1037"/>
    <s v="C1542"/>
    <x v="380"/>
    <n v="3"/>
    <n v="2464"/>
    <n v="1774"/>
    <n v="5322"/>
    <n v="7392"/>
    <n v="2070"/>
    <s v="Product 63"/>
    <x v="52"/>
    <s v="Carl Hall"/>
    <x v="712"/>
    <n v="4"/>
    <x v="3"/>
    <x v="2"/>
    <x v="2"/>
    <x v="0"/>
    <x v="2"/>
  </r>
  <r>
    <s v="AX18910"/>
    <s v="ENX2031"/>
    <s v="A109"/>
    <s v="EMP1013"/>
    <s v="C1189"/>
    <x v="379"/>
    <n v="1"/>
    <n v="1638"/>
    <n v="1261"/>
    <n v="1261"/>
    <n v="1638"/>
    <n v="377"/>
    <s v="Product 32"/>
    <x v="57"/>
    <s v="Charles Harper"/>
    <x v="752"/>
    <n v="4"/>
    <x v="3"/>
    <x v="2"/>
    <x v="2"/>
    <x v="0"/>
    <x v="2"/>
  </r>
  <r>
    <s v="AX19039"/>
    <s v="ENX2036"/>
    <s v="A132"/>
    <s v="EMP1044"/>
    <s v="C1099"/>
    <x v="380"/>
    <n v="3"/>
    <n v="1582"/>
    <n v="1234"/>
    <n v="3702"/>
    <n v="4746"/>
    <n v="1044"/>
    <s v="Product 37"/>
    <x v="48"/>
    <s v="Martin Carr"/>
    <x v="394"/>
    <n v="4"/>
    <x v="3"/>
    <x v="2"/>
    <x v="2"/>
    <x v="0"/>
    <x v="2"/>
  </r>
  <r>
    <s v="AX19064"/>
    <s v="ENX2073"/>
    <s v="A126"/>
    <s v="EMP1027"/>
    <s v="C1261"/>
    <x v="379"/>
    <n v="1"/>
    <n v="95"/>
    <n v="61"/>
    <n v="61"/>
    <n v="95"/>
    <n v="34"/>
    <s v="Product 74"/>
    <x v="5"/>
    <s v="Gary Rodriguez"/>
    <x v="295"/>
    <n v="4"/>
    <x v="3"/>
    <x v="2"/>
    <x v="2"/>
    <x v="0"/>
    <x v="2"/>
  </r>
  <r>
    <s v="AX19887"/>
    <s v="ENX2069"/>
    <s v="A146"/>
    <s v="EMP1011"/>
    <s v="C1012"/>
    <x v="379"/>
    <n v="1"/>
    <n v="378"/>
    <n v="291"/>
    <n v="291"/>
    <n v="378"/>
    <n v="87"/>
    <s v="Product 70"/>
    <x v="27"/>
    <s v="Larry Marshall"/>
    <x v="738"/>
    <n v="4"/>
    <x v="3"/>
    <x v="2"/>
    <x v="2"/>
    <x v="0"/>
    <x v="2"/>
  </r>
  <r>
    <s v="AX19946"/>
    <s v="ENX2070"/>
    <s v="A100"/>
    <s v="EMP1005"/>
    <s v="C1800"/>
    <x v="377"/>
    <n v="1"/>
    <n v="1671"/>
    <n v="1220"/>
    <n v="1220"/>
    <n v="1671"/>
    <n v="451"/>
    <s v="Product 71"/>
    <x v="52"/>
    <s v="Ryan Welch"/>
    <x v="319"/>
    <n v="4"/>
    <x v="3"/>
    <x v="2"/>
    <x v="2"/>
    <x v="0"/>
    <x v="2"/>
  </r>
  <r>
    <s v="AX20448"/>
    <s v="ENX2025"/>
    <s v="A152"/>
    <s v="EMP1003"/>
    <s v="C1771"/>
    <x v="377"/>
    <n v="1"/>
    <n v="667"/>
    <n v="387"/>
    <n v="387"/>
    <n v="667"/>
    <n v="280"/>
    <s v="Product 26"/>
    <x v="26"/>
    <s v="Christopher Tucker"/>
    <x v="34"/>
    <n v="4"/>
    <x v="3"/>
    <x v="2"/>
    <x v="2"/>
    <x v="0"/>
    <x v="2"/>
  </r>
  <r>
    <s v="AX20859"/>
    <s v="ENX2072"/>
    <s v="A139"/>
    <s v="EMP1029"/>
    <s v="C1260"/>
    <x v="380"/>
    <n v="2"/>
    <n v="1887"/>
    <n v="1378"/>
    <n v="2756"/>
    <n v="3774"/>
    <n v="1018"/>
    <s v="Product 73"/>
    <x v="38"/>
    <s v="Howard Gardner"/>
    <x v="27"/>
    <n v="4"/>
    <x v="3"/>
    <x v="2"/>
    <x v="2"/>
    <x v="0"/>
    <x v="2"/>
  </r>
  <r>
    <s v="AX21014"/>
    <s v="ENX2014"/>
    <s v="A121"/>
    <s v="EMP1033"/>
    <s v="C1254"/>
    <x v="380"/>
    <n v="2"/>
    <n v="1809"/>
    <n v="1067"/>
    <n v="2134"/>
    <n v="3618"/>
    <n v="1484"/>
    <s v="Product 15"/>
    <x v="72"/>
    <s v="Jerry Perry"/>
    <x v="104"/>
    <n v="4"/>
    <x v="3"/>
    <x v="2"/>
    <x v="2"/>
    <x v="0"/>
    <x v="2"/>
  </r>
  <r>
    <s v="AX21669"/>
    <s v="ENX2055"/>
    <s v="A141"/>
    <s v="EMP1036"/>
    <s v="C1606"/>
    <x v="380"/>
    <n v="1"/>
    <n v="2495"/>
    <n v="1896"/>
    <n v="1896"/>
    <n v="2495"/>
    <n v="599"/>
    <s v="Product 56"/>
    <x v="23"/>
    <s v="Robert Reed"/>
    <x v="250"/>
    <n v="4"/>
    <x v="3"/>
    <x v="2"/>
    <x v="2"/>
    <x v="0"/>
    <x v="2"/>
  </r>
  <r>
    <s v="AX22064"/>
    <s v="ENX2039"/>
    <s v="A134"/>
    <s v="EMP1013"/>
    <s v="C1636"/>
    <x v="377"/>
    <n v="4"/>
    <n v="817"/>
    <n v="409"/>
    <n v="1636"/>
    <n v="3268"/>
    <n v="1632"/>
    <s v="Product 40"/>
    <x v="41"/>
    <s v="Charles Harper"/>
    <x v="668"/>
    <n v="4"/>
    <x v="3"/>
    <x v="2"/>
    <x v="2"/>
    <x v="0"/>
    <x v="2"/>
  </r>
  <r>
    <s v="AX22345"/>
    <s v="ENX2045"/>
    <s v="A132"/>
    <s v="EMP1032"/>
    <s v="C1341"/>
    <x v="377"/>
    <n v="2"/>
    <n v="556"/>
    <n v="395"/>
    <n v="790"/>
    <n v="1112"/>
    <n v="322"/>
    <s v="Product 46"/>
    <x v="48"/>
    <s v="Larry Castillo"/>
    <x v="750"/>
    <n v="4"/>
    <x v="3"/>
    <x v="2"/>
    <x v="2"/>
    <x v="0"/>
    <x v="2"/>
  </r>
  <r>
    <s v="AX22523"/>
    <s v="ENX2003"/>
    <s v="A170"/>
    <s v="EMP1003"/>
    <s v="C1479"/>
    <x v="379"/>
    <n v="3"/>
    <n v="1783"/>
    <n v="1516"/>
    <n v="4548"/>
    <n v="5349"/>
    <n v="801"/>
    <s v="Product 4"/>
    <x v="47"/>
    <s v="Christopher Tucker"/>
    <x v="385"/>
    <n v="4"/>
    <x v="3"/>
    <x v="2"/>
    <x v="2"/>
    <x v="0"/>
    <x v="2"/>
  </r>
  <r>
    <s v="AX22714"/>
    <s v="ENX2011"/>
    <s v="A137"/>
    <s v="EMP1024"/>
    <s v="C1688"/>
    <x v="378"/>
    <n v="4"/>
    <n v="530"/>
    <n v="435"/>
    <n v="1740"/>
    <n v="2120"/>
    <n v="380"/>
    <s v="Product 12"/>
    <x v="68"/>
    <s v="Ernest Wheeler"/>
    <x v="213"/>
    <n v="4"/>
    <x v="3"/>
    <x v="2"/>
    <x v="2"/>
    <x v="0"/>
    <x v="2"/>
  </r>
  <r>
    <s v="AX23150"/>
    <s v="ENX2012"/>
    <s v="A130"/>
    <s v="EMP1026"/>
    <s v="C1214"/>
    <x v="379"/>
    <n v="4"/>
    <n v="1353"/>
    <n v="947"/>
    <n v="3788"/>
    <n v="5412"/>
    <n v="1624"/>
    <s v="Product 13"/>
    <x v="4"/>
    <s v="Martin Perry"/>
    <x v="262"/>
    <n v="4"/>
    <x v="3"/>
    <x v="2"/>
    <x v="2"/>
    <x v="0"/>
    <x v="2"/>
  </r>
  <r>
    <s v="AX23281"/>
    <s v="ENX2070"/>
    <s v="A142"/>
    <s v="EMP1002"/>
    <s v="C1673"/>
    <x v="378"/>
    <n v="1"/>
    <n v="1671"/>
    <n v="1220"/>
    <n v="1220"/>
    <n v="1671"/>
    <n v="451"/>
    <s v="Product 71"/>
    <x v="56"/>
    <s v="Andrew Bowman"/>
    <x v="87"/>
    <n v="4"/>
    <x v="3"/>
    <x v="2"/>
    <x v="2"/>
    <x v="0"/>
    <x v="2"/>
  </r>
  <r>
    <s v="AX23470"/>
    <s v="ENX2040"/>
    <s v="A163"/>
    <s v="EMP1027"/>
    <s v="C1440"/>
    <x v="377"/>
    <n v="3"/>
    <n v="1889"/>
    <n v="945"/>
    <n v="2835"/>
    <n v="5667"/>
    <n v="2832"/>
    <s v="Product 41"/>
    <x v="51"/>
    <s v="Gary Rodriguez"/>
    <x v="52"/>
    <n v="4"/>
    <x v="3"/>
    <x v="2"/>
    <x v="2"/>
    <x v="0"/>
    <x v="2"/>
  </r>
  <r>
    <s v="AX23748"/>
    <s v="ENX2009"/>
    <s v="A123"/>
    <s v="EMP1034"/>
    <s v="C1661"/>
    <x v="379"/>
    <n v="3"/>
    <n v="584"/>
    <n v="420"/>
    <n v="1260"/>
    <n v="1752"/>
    <n v="492"/>
    <s v="Product 10"/>
    <x v="34"/>
    <s v="Arthur Mccoy"/>
    <x v="767"/>
    <n v="4"/>
    <x v="3"/>
    <x v="2"/>
    <x v="2"/>
    <x v="0"/>
    <x v="2"/>
  </r>
  <r>
    <s v="AX24114"/>
    <s v="ENX2040"/>
    <s v="A117"/>
    <s v="EMP1036"/>
    <s v="C1342"/>
    <x v="378"/>
    <n v="2"/>
    <n v="1889"/>
    <n v="945"/>
    <n v="1890"/>
    <n v="3778"/>
    <n v="1888"/>
    <s v="Product 41"/>
    <x v="29"/>
    <s v="Robert Reed"/>
    <x v="62"/>
    <n v="4"/>
    <x v="3"/>
    <x v="2"/>
    <x v="2"/>
    <x v="0"/>
    <x v="2"/>
  </r>
  <r>
    <s v="AX24358"/>
    <s v="ENX2098"/>
    <s v="A133"/>
    <s v="EMP1032"/>
    <s v="C1399"/>
    <x v="377"/>
    <n v="4"/>
    <n v="1178"/>
    <n v="683"/>
    <n v="2732"/>
    <n v="4712"/>
    <n v="1980"/>
    <s v="Product 99"/>
    <x v="46"/>
    <s v="Larry Castillo"/>
    <x v="776"/>
    <n v="4"/>
    <x v="3"/>
    <x v="2"/>
    <x v="2"/>
    <x v="0"/>
    <x v="2"/>
  </r>
  <r>
    <s v="AX24443"/>
    <s v="ENX2023"/>
    <s v="A121"/>
    <s v="EMP1012"/>
    <s v="C1430"/>
    <x v="380"/>
    <n v="2"/>
    <n v="818"/>
    <n v="450"/>
    <n v="900"/>
    <n v="1636"/>
    <n v="736"/>
    <s v="Product 24"/>
    <x v="72"/>
    <s v="John Reyes"/>
    <x v="741"/>
    <n v="4"/>
    <x v="3"/>
    <x v="2"/>
    <x v="2"/>
    <x v="0"/>
    <x v="2"/>
  </r>
  <r>
    <s v="AX24506"/>
    <s v="ENX2010"/>
    <s v="A119"/>
    <s v="EMP1004"/>
    <s v="C1288"/>
    <x v="379"/>
    <n v="1"/>
    <n v="1812"/>
    <n v="1305"/>
    <n v="1305"/>
    <n v="1812"/>
    <n v="507"/>
    <s v="Product 11"/>
    <x v="16"/>
    <s v="Kenneth Bradley"/>
    <x v="674"/>
    <n v="4"/>
    <x v="3"/>
    <x v="2"/>
    <x v="2"/>
    <x v="0"/>
    <x v="2"/>
  </r>
  <r>
    <s v="AX24564"/>
    <s v="ENX2084"/>
    <s v="A164"/>
    <s v="EMP1019"/>
    <s v="C1221"/>
    <x v="378"/>
    <n v="1"/>
    <n v="1783"/>
    <n v="1230"/>
    <n v="1230"/>
    <n v="1783"/>
    <n v="553"/>
    <s v="Product 85"/>
    <x v="3"/>
    <s v="Roger Robertson"/>
    <x v="429"/>
    <n v="4"/>
    <x v="3"/>
    <x v="2"/>
    <x v="2"/>
    <x v="0"/>
    <x v="2"/>
  </r>
  <r>
    <s v="AX24829"/>
    <s v="ENX2033"/>
    <s v="A126"/>
    <s v="EMP1003"/>
    <s v="C1332"/>
    <x v="380"/>
    <n v="1"/>
    <n v="2182"/>
    <n v="1200"/>
    <n v="1200"/>
    <n v="2182"/>
    <n v="982"/>
    <s v="Product 34"/>
    <x v="5"/>
    <s v="Christopher Tucker"/>
    <x v="7"/>
    <n v="4"/>
    <x v="3"/>
    <x v="2"/>
    <x v="2"/>
    <x v="0"/>
    <x v="2"/>
  </r>
  <r>
    <s v="AX10943"/>
    <s v="ENX2042"/>
    <s v="A125"/>
    <s v="EMP1025"/>
    <s v="C1287"/>
    <x v="381"/>
    <n v="1"/>
    <n v="203"/>
    <n v="154"/>
    <n v="154"/>
    <n v="203"/>
    <n v="49"/>
    <s v="Product 43"/>
    <x v="31"/>
    <s v="Ernest Wagner"/>
    <x v="443"/>
    <n v="4"/>
    <x v="3"/>
    <x v="3"/>
    <x v="3"/>
    <x v="1"/>
    <x v="0"/>
  </r>
  <r>
    <s v="AX11120"/>
    <s v="ENX2067"/>
    <s v="A123"/>
    <s v="EMP1025"/>
    <s v="C1098"/>
    <x v="381"/>
    <n v="3"/>
    <n v="1119"/>
    <n v="683"/>
    <n v="2049"/>
    <n v="3357"/>
    <n v="1308"/>
    <s v="Product 68"/>
    <x v="34"/>
    <s v="Ernest Wagner"/>
    <x v="622"/>
    <n v="4"/>
    <x v="3"/>
    <x v="3"/>
    <x v="3"/>
    <x v="1"/>
    <x v="0"/>
  </r>
  <r>
    <s v="AX11483"/>
    <s v="ENX2100"/>
    <s v="A137"/>
    <s v="EMP1022"/>
    <s v="C1731"/>
    <x v="381"/>
    <n v="4"/>
    <n v="799"/>
    <n v="455"/>
    <n v="1820"/>
    <n v="3196"/>
    <n v="1376"/>
    <s v="Product 101"/>
    <x v="68"/>
    <s v="Walter Cook"/>
    <x v="762"/>
    <n v="4"/>
    <x v="3"/>
    <x v="3"/>
    <x v="3"/>
    <x v="1"/>
    <x v="0"/>
  </r>
  <r>
    <s v="AX11591"/>
    <s v="ENX2097"/>
    <s v="A136"/>
    <s v="EMP1009"/>
    <s v="C1493"/>
    <x v="382"/>
    <n v="2"/>
    <n v="1052"/>
    <n v="589"/>
    <n v="1178"/>
    <n v="2104"/>
    <n v="926"/>
    <s v="Product 98"/>
    <x v="43"/>
    <s v="Kenneth Fields"/>
    <x v="380"/>
    <n v="4"/>
    <x v="3"/>
    <x v="3"/>
    <x v="3"/>
    <x v="1"/>
    <x v="0"/>
  </r>
  <r>
    <s v="AX12177"/>
    <s v="ENX2081"/>
    <s v="A144"/>
    <s v="EMP1038"/>
    <s v="C1277"/>
    <x v="382"/>
    <n v="1"/>
    <n v="1566"/>
    <n v="1190"/>
    <n v="1190"/>
    <n v="1566"/>
    <n v="376"/>
    <s v="Product 82"/>
    <x v="65"/>
    <s v="Scott Mason"/>
    <x v="151"/>
    <n v="4"/>
    <x v="3"/>
    <x v="3"/>
    <x v="3"/>
    <x v="1"/>
    <x v="0"/>
  </r>
  <r>
    <s v="AX12335"/>
    <s v="ENX2008"/>
    <s v="A161"/>
    <s v="EMP1027"/>
    <s v="C1294"/>
    <x v="383"/>
    <n v="1"/>
    <n v="315"/>
    <n v="208"/>
    <n v="208"/>
    <n v="315"/>
    <n v="107"/>
    <s v="Product 9"/>
    <x v="6"/>
    <s v="Gary Rodriguez"/>
    <x v="419"/>
    <n v="4"/>
    <x v="3"/>
    <x v="3"/>
    <x v="3"/>
    <x v="1"/>
    <x v="0"/>
  </r>
  <r>
    <s v="AX12547"/>
    <s v="ENX2009"/>
    <s v="A126"/>
    <s v="EMP1003"/>
    <s v="C1554"/>
    <x v="381"/>
    <n v="1"/>
    <n v="584"/>
    <n v="420"/>
    <n v="420"/>
    <n v="584"/>
    <n v="164"/>
    <s v="Product 10"/>
    <x v="5"/>
    <s v="Christopher Tucker"/>
    <x v="516"/>
    <n v="4"/>
    <x v="3"/>
    <x v="3"/>
    <x v="3"/>
    <x v="1"/>
    <x v="0"/>
  </r>
  <r>
    <s v="AX12657"/>
    <s v="ENX2054"/>
    <s v="A161"/>
    <s v="EMP1024"/>
    <s v="C1284"/>
    <x v="383"/>
    <n v="1"/>
    <n v="127"/>
    <n v="79"/>
    <n v="79"/>
    <n v="127"/>
    <n v="48"/>
    <s v="Product 55"/>
    <x v="6"/>
    <s v="Ernest Wheeler"/>
    <x v="713"/>
    <n v="4"/>
    <x v="3"/>
    <x v="3"/>
    <x v="3"/>
    <x v="1"/>
    <x v="0"/>
  </r>
  <r>
    <s v="AX13294"/>
    <s v="ENX2038"/>
    <s v="A131"/>
    <s v="EMP1035"/>
    <s v="C1680"/>
    <x v="381"/>
    <n v="1"/>
    <n v="392"/>
    <n v="255"/>
    <n v="255"/>
    <n v="392"/>
    <n v="137"/>
    <s v="Product 39"/>
    <x v="32"/>
    <s v="Roger Ramos"/>
    <x v="797"/>
    <n v="4"/>
    <x v="3"/>
    <x v="3"/>
    <x v="3"/>
    <x v="1"/>
    <x v="0"/>
  </r>
  <r>
    <s v="AX13364"/>
    <s v="ENX2061"/>
    <s v="A139"/>
    <s v="EMP1000"/>
    <s v="C1377"/>
    <x v="383"/>
    <n v="1"/>
    <n v="913"/>
    <n v="584"/>
    <n v="584"/>
    <n v="913"/>
    <n v="329"/>
    <s v="Product 62"/>
    <x v="38"/>
    <s v="Fred Robertson"/>
    <x v="214"/>
    <n v="4"/>
    <x v="3"/>
    <x v="3"/>
    <x v="3"/>
    <x v="1"/>
    <x v="0"/>
  </r>
  <r>
    <s v="AX13633"/>
    <s v="ENX2068"/>
    <s v="A161"/>
    <s v="EMP1026"/>
    <s v="C1228"/>
    <x v="381"/>
    <n v="2"/>
    <n v="1500"/>
    <n v="900"/>
    <n v="1800"/>
    <n v="3000"/>
    <n v="1200"/>
    <s v="Product 69"/>
    <x v="6"/>
    <s v="Martin Perry"/>
    <x v="530"/>
    <n v="4"/>
    <x v="3"/>
    <x v="3"/>
    <x v="3"/>
    <x v="1"/>
    <x v="0"/>
  </r>
  <r>
    <s v="AX13797"/>
    <s v="ENX2091"/>
    <s v="A152"/>
    <s v="EMP1027"/>
    <s v="C1647"/>
    <x v="383"/>
    <n v="1"/>
    <n v="368"/>
    <n v="294"/>
    <n v="294"/>
    <n v="368"/>
    <n v="74"/>
    <s v="Product 92"/>
    <x v="26"/>
    <s v="Gary Rodriguez"/>
    <x v="318"/>
    <n v="4"/>
    <x v="3"/>
    <x v="3"/>
    <x v="3"/>
    <x v="1"/>
    <x v="0"/>
  </r>
  <r>
    <s v="AX13810"/>
    <s v="ENX2023"/>
    <s v="A159"/>
    <s v="EMP1014"/>
    <s v="C1732"/>
    <x v="381"/>
    <n v="3"/>
    <n v="818"/>
    <n v="450"/>
    <n v="1350"/>
    <n v="2454"/>
    <n v="1104"/>
    <s v="Product 24"/>
    <x v="13"/>
    <s v="Ronald Reed"/>
    <x v="136"/>
    <n v="4"/>
    <x v="3"/>
    <x v="3"/>
    <x v="3"/>
    <x v="1"/>
    <x v="0"/>
  </r>
  <r>
    <s v="AX14344"/>
    <s v="ENX2002"/>
    <s v="A123"/>
    <s v="EMP1001"/>
    <s v="C1660"/>
    <x v="382"/>
    <n v="4"/>
    <n v="847"/>
    <n v="534"/>
    <n v="2136"/>
    <n v="3388"/>
    <n v="1252"/>
    <s v="Product 3"/>
    <x v="34"/>
    <s v="Kevin Butler"/>
    <x v="146"/>
    <n v="4"/>
    <x v="3"/>
    <x v="3"/>
    <x v="3"/>
    <x v="1"/>
    <x v="0"/>
  </r>
  <r>
    <s v="AX14365"/>
    <s v="ENX2039"/>
    <s v="A119"/>
    <s v="EMP1022"/>
    <s v="C1516"/>
    <x v="381"/>
    <n v="2"/>
    <n v="817"/>
    <n v="409"/>
    <n v="818"/>
    <n v="1634"/>
    <n v="816"/>
    <s v="Product 40"/>
    <x v="16"/>
    <s v="Walter Cook"/>
    <x v="568"/>
    <n v="4"/>
    <x v="3"/>
    <x v="3"/>
    <x v="3"/>
    <x v="1"/>
    <x v="0"/>
  </r>
  <r>
    <s v="AX14736"/>
    <s v="ENX2069"/>
    <s v="A105"/>
    <s v="EMP1004"/>
    <s v="C1450"/>
    <x v="383"/>
    <n v="1"/>
    <n v="378"/>
    <n v="291"/>
    <n v="291"/>
    <n v="378"/>
    <n v="87"/>
    <s v="Product 70"/>
    <x v="45"/>
    <s v="Kenneth Bradley"/>
    <x v="13"/>
    <n v="4"/>
    <x v="3"/>
    <x v="3"/>
    <x v="3"/>
    <x v="1"/>
    <x v="0"/>
  </r>
  <r>
    <s v="AX14779"/>
    <s v="ENX2073"/>
    <s v="A168"/>
    <s v="EMP1006"/>
    <s v="C1100"/>
    <x v="382"/>
    <n v="4"/>
    <n v="95"/>
    <n v="61"/>
    <n v="244"/>
    <n v="380"/>
    <n v="136"/>
    <s v="Product 74"/>
    <x v="40"/>
    <s v="Sean Miller"/>
    <x v="110"/>
    <n v="4"/>
    <x v="3"/>
    <x v="3"/>
    <x v="3"/>
    <x v="1"/>
    <x v="0"/>
  </r>
  <r>
    <s v="AX15119"/>
    <s v="ENX2058"/>
    <s v="A105"/>
    <s v="EMP1000"/>
    <s v="C1693"/>
    <x v="383"/>
    <n v="2"/>
    <n v="2257"/>
    <n v="1535"/>
    <n v="3070"/>
    <n v="4514"/>
    <n v="1444"/>
    <s v="Product 59"/>
    <x v="45"/>
    <s v="Fred Robertson"/>
    <x v="724"/>
    <n v="4"/>
    <x v="3"/>
    <x v="3"/>
    <x v="3"/>
    <x v="1"/>
    <x v="0"/>
  </r>
  <r>
    <s v="AX15323"/>
    <s v="ENX2050"/>
    <s v="A150"/>
    <s v="EMP1029"/>
    <s v="C1663"/>
    <x v="381"/>
    <n v="4"/>
    <n v="2391"/>
    <n v="1291"/>
    <n v="5164"/>
    <n v="9564"/>
    <n v="4400"/>
    <s v="Product 51"/>
    <x v="30"/>
    <s v="Howard Gardner"/>
    <x v="602"/>
    <n v="4"/>
    <x v="3"/>
    <x v="3"/>
    <x v="3"/>
    <x v="1"/>
    <x v="0"/>
  </r>
  <r>
    <s v="AX15406"/>
    <s v="ENX2048"/>
    <s v="A154"/>
    <s v="EMP1026"/>
    <s v="C1136"/>
    <x v="382"/>
    <n v="3"/>
    <n v="502"/>
    <n v="296"/>
    <n v="888"/>
    <n v="1506"/>
    <n v="618"/>
    <s v="Product 49"/>
    <x v="24"/>
    <s v="Martin Perry"/>
    <x v="425"/>
    <n v="4"/>
    <x v="3"/>
    <x v="3"/>
    <x v="3"/>
    <x v="1"/>
    <x v="0"/>
  </r>
  <r>
    <s v="AX15697"/>
    <s v="ENX2027"/>
    <s v="A110"/>
    <s v="EMP1020"/>
    <s v="C1767"/>
    <x v="381"/>
    <n v="1"/>
    <n v="2497"/>
    <n v="1473"/>
    <n v="1473"/>
    <n v="2497"/>
    <n v="1024"/>
    <s v="Product 28"/>
    <x v="63"/>
    <s v="Ryan Butler"/>
    <x v="4"/>
    <n v="4"/>
    <x v="3"/>
    <x v="3"/>
    <x v="3"/>
    <x v="1"/>
    <x v="0"/>
  </r>
  <r>
    <s v="AX15878"/>
    <s v="ENX2076"/>
    <s v="A119"/>
    <s v="EMP1032"/>
    <s v="C1000"/>
    <x v="384"/>
    <n v="1"/>
    <n v="1522"/>
    <n v="791"/>
    <n v="791"/>
    <n v="1522"/>
    <n v="731"/>
    <s v="Product 77"/>
    <x v="16"/>
    <s v="Larry Castillo"/>
    <x v="57"/>
    <n v="4"/>
    <x v="3"/>
    <x v="3"/>
    <x v="3"/>
    <x v="1"/>
    <x v="0"/>
  </r>
  <r>
    <s v="AX16238"/>
    <s v="ENX2081"/>
    <s v="A125"/>
    <s v="EMP1008"/>
    <s v="C1052"/>
    <x v="385"/>
    <n v="3"/>
    <n v="1566"/>
    <n v="1190"/>
    <n v="3570"/>
    <n v="4698"/>
    <n v="1128"/>
    <s v="Product 82"/>
    <x v="31"/>
    <s v="Carl Elliott"/>
    <x v="638"/>
    <n v="4"/>
    <x v="3"/>
    <x v="3"/>
    <x v="3"/>
    <x v="1"/>
    <x v="0"/>
  </r>
  <r>
    <s v="AX16687"/>
    <s v="ENX2041"/>
    <s v="A169"/>
    <s v="EMP1030"/>
    <s v="C1795"/>
    <x v="383"/>
    <n v="2"/>
    <n v="1380"/>
    <n v="1090"/>
    <n v="2180"/>
    <n v="2760"/>
    <n v="580"/>
    <s v="Product 42"/>
    <x v="17"/>
    <s v="Bobby Russell"/>
    <x v="592"/>
    <n v="4"/>
    <x v="3"/>
    <x v="3"/>
    <x v="3"/>
    <x v="1"/>
    <x v="0"/>
  </r>
  <r>
    <s v="AX17437"/>
    <s v="ENX2060"/>
    <s v="A110"/>
    <s v="EMP1025"/>
    <s v="C1424"/>
    <x v="381"/>
    <n v="1"/>
    <n v="1467"/>
    <n v="807"/>
    <n v="807"/>
    <n v="1467"/>
    <n v="660"/>
    <s v="Product 61"/>
    <x v="63"/>
    <s v="Ernest Wagner"/>
    <x v="791"/>
    <n v="4"/>
    <x v="3"/>
    <x v="3"/>
    <x v="3"/>
    <x v="1"/>
    <x v="0"/>
  </r>
  <r>
    <s v="AX17766"/>
    <s v="ENX2030"/>
    <s v="A168"/>
    <s v="EMP1033"/>
    <s v="C1439"/>
    <x v="381"/>
    <n v="3"/>
    <n v="1899"/>
    <n v="1044"/>
    <n v="3132"/>
    <n v="5697"/>
    <n v="2565"/>
    <s v="Product 31"/>
    <x v="40"/>
    <s v="Jerry Perry"/>
    <x v="172"/>
    <n v="4"/>
    <x v="3"/>
    <x v="3"/>
    <x v="3"/>
    <x v="1"/>
    <x v="0"/>
  </r>
  <r>
    <s v="AX18298"/>
    <s v="ENX2100"/>
    <s v="A158"/>
    <s v="EMP1037"/>
    <s v="C1054"/>
    <x v="381"/>
    <n v="3"/>
    <n v="799"/>
    <n v="455"/>
    <n v="1365"/>
    <n v="2397"/>
    <n v="1032"/>
    <s v="Product 101"/>
    <x v="58"/>
    <s v="Carl Hall"/>
    <x v="58"/>
    <n v="4"/>
    <x v="3"/>
    <x v="3"/>
    <x v="3"/>
    <x v="1"/>
    <x v="0"/>
  </r>
  <r>
    <s v="AX18469"/>
    <s v="ENX2011"/>
    <s v="A156"/>
    <s v="EMP1024"/>
    <s v="C1695"/>
    <x v="383"/>
    <n v="1"/>
    <n v="530"/>
    <n v="435"/>
    <n v="435"/>
    <n v="530"/>
    <n v="95"/>
    <s v="Product 12"/>
    <x v="14"/>
    <s v="Ernest Wheeler"/>
    <x v="18"/>
    <n v="4"/>
    <x v="3"/>
    <x v="3"/>
    <x v="3"/>
    <x v="1"/>
    <x v="0"/>
  </r>
  <r>
    <s v="AX18748"/>
    <s v="ENX2065"/>
    <s v="A157"/>
    <s v="EMP1024"/>
    <s v="C1520"/>
    <x v="384"/>
    <n v="1"/>
    <n v="2396"/>
    <n v="1965"/>
    <n v="1965"/>
    <n v="2396"/>
    <n v="431"/>
    <s v="Product 66"/>
    <x v="7"/>
    <s v="Ernest Wheeler"/>
    <x v="576"/>
    <n v="4"/>
    <x v="3"/>
    <x v="3"/>
    <x v="3"/>
    <x v="1"/>
    <x v="0"/>
  </r>
  <r>
    <s v="AX18789"/>
    <s v="ENX2044"/>
    <s v="A127"/>
    <s v="EMP1024"/>
    <s v="C1373"/>
    <x v="382"/>
    <n v="2"/>
    <n v="886"/>
    <n v="478"/>
    <n v="956"/>
    <n v="1772"/>
    <n v="816"/>
    <s v="Product 45"/>
    <x v="69"/>
    <s v="Ernest Wheeler"/>
    <x v="471"/>
    <n v="4"/>
    <x v="3"/>
    <x v="3"/>
    <x v="3"/>
    <x v="1"/>
    <x v="0"/>
  </r>
  <r>
    <s v="AX18993"/>
    <s v="ENX2053"/>
    <s v="A101"/>
    <s v="EMP1017"/>
    <s v="C1381"/>
    <x v="385"/>
    <n v="1"/>
    <n v="596"/>
    <n v="358"/>
    <n v="358"/>
    <n v="596"/>
    <n v="238"/>
    <s v="Product 54"/>
    <x v="60"/>
    <s v="Brian Hansen"/>
    <x v="714"/>
    <n v="4"/>
    <x v="3"/>
    <x v="3"/>
    <x v="3"/>
    <x v="1"/>
    <x v="0"/>
  </r>
  <r>
    <s v="AX19010"/>
    <s v="ENX2069"/>
    <s v="A146"/>
    <s v="EMP1003"/>
    <s v="C1202"/>
    <x v="382"/>
    <n v="4"/>
    <n v="378"/>
    <n v="291"/>
    <n v="1164"/>
    <n v="1512"/>
    <n v="348"/>
    <s v="Product 70"/>
    <x v="27"/>
    <s v="Christopher Tucker"/>
    <x v="3"/>
    <n v="4"/>
    <x v="3"/>
    <x v="3"/>
    <x v="3"/>
    <x v="1"/>
    <x v="0"/>
  </r>
  <r>
    <s v="AX19109"/>
    <s v="ENX2096"/>
    <s v="A167"/>
    <s v="EMP1029"/>
    <s v="C1120"/>
    <x v="381"/>
    <n v="3"/>
    <n v="1587"/>
    <n v="1301"/>
    <n v="3903"/>
    <n v="4761"/>
    <n v="858"/>
    <s v="Product 97"/>
    <x v="64"/>
    <s v="Howard Gardner"/>
    <x v="685"/>
    <n v="4"/>
    <x v="3"/>
    <x v="3"/>
    <x v="3"/>
    <x v="1"/>
    <x v="0"/>
  </r>
  <r>
    <s v="AX19278"/>
    <s v="ENX2061"/>
    <s v="A129"/>
    <s v="EMP1008"/>
    <s v="C1217"/>
    <x v="381"/>
    <n v="1"/>
    <n v="913"/>
    <n v="584"/>
    <n v="584"/>
    <n v="913"/>
    <n v="329"/>
    <s v="Product 62"/>
    <x v="22"/>
    <s v="Carl Elliott"/>
    <x v="619"/>
    <n v="4"/>
    <x v="3"/>
    <x v="3"/>
    <x v="3"/>
    <x v="1"/>
    <x v="0"/>
  </r>
  <r>
    <s v="AX19656"/>
    <s v="ENX2019"/>
    <s v="A154"/>
    <s v="EMP1017"/>
    <s v="C1589"/>
    <x v="385"/>
    <n v="1"/>
    <n v="800"/>
    <n v="536"/>
    <n v="536"/>
    <n v="800"/>
    <n v="264"/>
    <s v="Product 20"/>
    <x v="24"/>
    <s v="Brian Hansen"/>
    <x v="39"/>
    <n v="4"/>
    <x v="3"/>
    <x v="3"/>
    <x v="3"/>
    <x v="1"/>
    <x v="0"/>
  </r>
  <r>
    <s v="AX19699"/>
    <s v="ENX2080"/>
    <s v="A127"/>
    <s v="EMP1041"/>
    <s v="C1482"/>
    <x v="383"/>
    <n v="4"/>
    <n v="2353"/>
    <n v="1788"/>
    <n v="7152"/>
    <n v="9412"/>
    <n v="2260"/>
    <s v="Product 81"/>
    <x v="69"/>
    <s v="Joe Sims"/>
    <x v="155"/>
    <n v="4"/>
    <x v="3"/>
    <x v="3"/>
    <x v="3"/>
    <x v="1"/>
    <x v="0"/>
  </r>
  <r>
    <s v="AX20107"/>
    <s v="ENX2046"/>
    <s v="A119"/>
    <s v="EMP1005"/>
    <s v="C1272"/>
    <x v="383"/>
    <n v="2"/>
    <n v="2410"/>
    <n v="1518"/>
    <n v="3036"/>
    <n v="4820"/>
    <n v="1784"/>
    <s v="Product 47"/>
    <x v="16"/>
    <s v="Ryan Welch"/>
    <x v="491"/>
    <n v="4"/>
    <x v="3"/>
    <x v="3"/>
    <x v="3"/>
    <x v="1"/>
    <x v="0"/>
  </r>
  <r>
    <s v="AX20601"/>
    <s v="ENX2044"/>
    <s v="A163"/>
    <s v="EMP1034"/>
    <s v="C1388"/>
    <x v="383"/>
    <n v="1"/>
    <n v="886"/>
    <n v="478"/>
    <n v="478"/>
    <n v="886"/>
    <n v="408"/>
    <s v="Product 45"/>
    <x v="51"/>
    <s v="Arthur Mccoy"/>
    <x v="120"/>
    <n v="4"/>
    <x v="3"/>
    <x v="3"/>
    <x v="3"/>
    <x v="1"/>
    <x v="0"/>
  </r>
  <r>
    <s v="AX22144"/>
    <s v="ENX2042"/>
    <s v="A166"/>
    <s v="EMP1001"/>
    <s v="C1509"/>
    <x v="384"/>
    <n v="1"/>
    <n v="203"/>
    <n v="154"/>
    <n v="154"/>
    <n v="203"/>
    <n v="49"/>
    <s v="Product 43"/>
    <x v="70"/>
    <s v="Kevin Butler"/>
    <x v="442"/>
    <n v="4"/>
    <x v="3"/>
    <x v="3"/>
    <x v="3"/>
    <x v="1"/>
    <x v="0"/>
  </r>
  <r>
    <s v="AX22223"/>
    <s v="ENX2076"/>
    <s v="A145"/>
    <s v="EMP1018"/>
    <s v="C1460"/>
    <x v="385"/>
    <n v="1"/>
    <n v="1522"/>
    <n v="791"/>
    <n v="791"/>
    <n v="1522"/>
    <n v="731"/>
    <s v="Product 77"/>
    <x v="35"/>
    <s v="Jimmy Young"/>
    <x v="613"/>
    <n v="4"/>
    <x v="3"/>
    <x v="3"/>
    <x v="3"/>
    <x v="1"/>
    <x v="0"/>
  </r>
  <r>
    <s v="AX22244"/>
    <s v="ENX2100"/>
    <s v="A160"/>
    <s v="EMP1021"/>
    <s v="C1519"/>
    <x v="382"/>
    <n v="4"/>
    <n v="799"/>
    <n v="455"/>
    <n v="1820"/>
    <n v="3196"/>
    <n v="1376"/>
    <s v="Product 101"/>
    <x v="9"/>
    <s v="Clarence Fox"/>
    <x v="426"/>
    <n v="4"/>
    <x v="3"/>
    <x v="3"/>
    <x v="3"/>
    <x v="1"/>
    <x v="0"/>
  </r>
  <r>
    <s v="AX22363"/>
    <s v="ENX2054"/>
    <s v="A139"/>
    <s v="EMP1007"/>
    <s v="C1721"/>
    <x v="381"/>
    <n v="3"/>
    <n v="127"/>
    <n v="79"/>
    <n v="237"/>
    <n v="381"/>
    <n v="144"/>
    <s v="Product 55"/>
    <x v="38"/>
    <s v="Jeremy Mendoza"/>
    <x v="678"/>
    <n v="4"/>
    <x v="3"/>
    <x v="3"/>
    <x v="3"/>
    <x v="1"/>
    <x v="0"/>
  </r>
  <r>
    <s v="AX22403"/>
    <s v="ENX2026"/>
    <s v="A145"/>
    <s v="EMP1034"/>
    <s v="C1428"/>
    <x v="383"/>
    <n v="4"/>
    <n v="947"/>
    <n v="786"/>
    <n v="3144"/>
    <n v="3788"/>
    <n v="644"/>
    <s v="Product 27"/>
    <x v="35"/>
    <s v="Arthur Mccoy"/>
    <x v="509"/>
    <n v="4"/>
    <x v="3"/>
    <x v="3"/>
    <x v="3"/>
    <x v="1"/>
    <x v="0"/>
  </r>
  <r>
    <s v="AX22511"/>
    <s v="ENX2004"/>
    <s v="A136"/>
    <s v="EMP1020"/>
    <s v="C1616"/>
    <x v="383"/>
    <n v="3"/>
    <n v="1278"/>
    <n v="665"/>
    <n v="1995"/>
    <n v="3834"/>
    <n v="1839"/>
    <s v="Product 5"/>
    <x v="43"/>
    <s v="Ryan Butler"/>
    <x v="253"/>
    <n v="4"/>
    <x v="3"/>
    <x v="3"/>
    <x v="3"/>
    <x v="1"/>
    <x v="0"/>
  </r>
  <r>
    <s v="AX22574"/>
    <s v="ENX2026"/>
    <s v="A136"/>
    <s v="EMP1030"/>
    <s v="C1066"/>
    <x v="385"/>
    <n v="1"/>
    <n v="947"/>
    <n v="786"/>
    <n v="786"/>
    <n v="947"/>
    <n v="161"/>
    <s v="Product 27"/>
    <x v="43"/>
    <s v="Bobby Russell"/>
    <x v="124"/>
    <n v="4"/>
    <x v="3"/>
    <x v="3"/>
    <x v="3"/>
    <x v="1"/>
    <x v="0"/>
  </r>
  <r>
    <s v="AX23034"/>
    <s v="ENX2096"/>
    <s v="A156"/>
    <s v="EMP1014"/>
    <s v="C1797"/>
    <x v="381"/>
    <n v="4"/>
    <n v="1587"/>
    <n v="1301"/>
    <n v="5204"/>
    <n v="6348"/>
    <n v="1144"/>
    <s v="Product 97"/>
    <x v="14"/>
    <s v="Ronald Reed"/>
    <x v="407"/>
    <n v="4"/>
    <x v="3"/>
    <x v="3"/>
    <x v="3"/>
    <x v="1"/>
    <x v="0"/>
  </r>
  <r>
    <s v="AX23175"/>
    <s v="ENX2017"/>
    <s v="A160"/>
    <s v="EMP1026"/>
    <s v="C1141"/>
    <x v="383"/>
    <n v="1"/>
    <n v="35"/>
    <n v="22"/>
    <n v="22"/>
    <n v="35"/>
    <n v="13"/>
    <s v="Product 18"/>
    <x v="9"/>
    <s v="Martin Perry"/>
    <x v="166"/>
    <n v="4"/>
    <x v="3"/>
    <x v="3"/>
    <x v="3"/>
    <x v="1"/>
    <x v="0"/>
  </r>
  <r>
    <s v="AX23786"/>
    <s v="ENX2094"/>
    <s v="A119"/>
    <s v="EMP1035"/>
    <s v="C1183"/>
    <x v="385"/>
    <n v="4"/>
    <n v="771"/>
    <n v="648"/>
    <n v="2592"/>
    <n v="3084"/>
    <n v="492"/>
    <s v="Product 95"/>
    <x v="16"/>
    <s v="Roger Ramos"/>
    <x v="404"/>
    <n v="4"/>
    <x v="3"/>
    <x v="3"/>
    <x v="3"/>
    <x v="1"/>
    <x v="0"/>
  </r>
  <r>
    <s v="AX23881"/>
    <s v="ENX2051"/>
    <s v="A102"/>
    <s v="EMP1029"/>
    <s v="C1217"/>
    <x v="382"/>
    <n v="3"/>
    <n v="1077"/>
    <n v="732"/>
    <n v="2196"/>
    <n v="3231"/>
    <n v="1035"/>
    <s v="Product 52"/>
    <x v="44"/>
    <s v="Howard Gardner"/>
    <x v="619"/>
    <n v="4"/>
    <x v="3"/>
    <x v="3"/>
    <x v="3"/>
    <x v="1"/>
    <x v="0"/>
  </r>
  <r>
    <s v="AX24985"/>
    <s v="ENX2007"/>
    <s v="A139"/>
    <s v="EMP1020"/>
    <s v="C1257"/>
    <x v="384"/>
    <n v="1"/>
    <n v="1405"/>
    <n v="1054"/>
    <n v="1054"/>
    <n v="1405"/>
    <n v="351"/>
    <s v="Product 8"/>
    <x v="38"/>
    <s v="Ryan Butler"/>
    <x v="287"/>
    <n v="4"/>
    <x v="3"/>
    <x v="3"/>
    <x v="3"/>
    <x v="1"/>
    <x v="0"/>
  </r>
  <r>
    <s v="AX24992"/>
    <s v="ENX2100"/>
    <s v="A135"/>
    <s v="EMP1005"/>
    <s v="C1644"/>
    <x v="384"/>
    <n v="4"/>
    <n v="799"/>
    <n v="455"/>
    <n v="1820"/>
    <n v="3196"/>
    <n v="1376"/>
    <s v="Product 101"/>
    <x v="10"/>
    <s v="Ryan Welch"/>
    <x v="109"/>
    <n v="4"/>
    <x v="3"/>
    <x v="3"/>
    <x v="3"/>
    <x v="1"/>
    <x v="0"/>
  </r>
  <r>
    <s v="AX10863"/>
    <s v="ENX2011"/>
    <s v="A133"/>
    <s v="EMP1030"/>
    <s v="C1574"/>
    <x v="386"/>
    <n v="3"/>
    <n v="530"/>
    <n v="435"/>
    <n v="1305"/>
    <n v="1590"/>
    <n v="285"/>
    <s v="Product 12"/>
    <x v="46"/>
    <s v="Bobby Russell"/>
    <x v="521"/>
    <n v="4"/>
    <x v="3"/>
    <x v="3"/>
    <x v="3"/>
    <x v="1"/>
    <x v="2"/>
  </r>
  <r>
    <s v="AX10979"/>
    <s v="ENX2092"/>
    <s v="A103"/>
    <s v="EMP1001"/>
    <s v="C1339"/>
    <x v="387"/>
    <n v="2"/>
    <n v="1639"/>
    <n v="1295"/>
    <n v="2590"/>
    <n v="3278"/>
    <n v="688"/>
    <s v="Product 93"/>
    <x v="61"/>
    <s v="Kevin Butler"/>
    <x v="401"/>
    <n v="4"/>
    <x v="3"/>
    <x v="3"/>
    <x v="3"/>
    <x v="1"/>
    <x v="2"/>
  </r>
  <r>
    <s v="AX11159"/>
    <s v="ENX2000"/>
    <s v="A110"/>
    <s v="EMP1020"/>
    <s v="C1208"/>
    <x v="386"/>
    <n v="2"/>
    <n v="2241"/>
    <n v="1367"/>
    <n v="2734"/>
    <n v="4482"/>
    <n v="1748"/>
    <s v="Product 1"/>
    <x v="63"/>
    <s v="Ryan Butler"/>
    <x v="582"/>
    <n v="4"/>
    <x v="3"/>
    <x v="3"/>
    <x v="3"/>
    <x v="1"/>
    <x v="2"/>
  </r>
  <r>
    <s v="AX11803"/>
    <s v="ENX2093"/>
    <s v="A124"/>
    <s v="EMP1033"/>
    <s v="C1281"/>
    <x v="388"/>
    <n v="3"/>
    <n v="112"/>
    <n v="90"/>
    <n v="270"/>
    <n v="336"/>
    <n v="66"/>
    <s v="Product 94"/>
    <x v="67"/>
    <s v="Jerry Perry"/>
    <x v="216"/>
    <n v="4"/>
    <x v="3"/>
    <x v="3"/>
    <x v="3"/>
    <x v="1"/>
    <x v="2"/>
  </r>
  <r>
    <s v="AX11890"/>
    <s v="ENX2031"/>
    <s v="A134"/>
    <s v="EMP1033"/>
    <s v="C1554"/>
    <x v="388"/>
    <n v="3"/>
    <n v="1638"/>
    <n v="1261"/>
    <n v="3783"/>
    <n v="4914"/>
    <n v="1131"/>
    <s v="Product 32"/>
    <x v="41"/>
    <s v="Jerry Perry"/>
    <x v="516"/>
    <n v="4"/>
    <x v="3"/>
    <x v="3"/>
    <x v="3"/>
    <x v="1"/>
    <x v="2"/>
  </r>
  <r>
    <s v="AX11911"/>
    <s v="ENX2036"/>
    <s v="A128"/>
    <s v="EMP1030"/>
    <s v="C1650"/>
    <x v="387"/>
    <n v="3"/>
    <n v="1582"/>
    <n v="1234"/>
    <n v="3702"/>
    <n v="4746"/>
    <n v="1044"/>
    <s v="Product 37"/>
    <x v="12"/>
    <s v="Bobby Russell"/>
    <x v="645"/>
    <n v="4"/>
    <x v="3"/>
    <x v="3"/>
    <x v="3"/>
    <x v="1"/>
    <x v="2"/>
  </r>
  <r>
    <s v="AX11948"/>
    <s v="ENX2014"/>
    <s v="A150"/>
    <s v="EMP1017"/>
    <s v="C1200"/>
    <x v="389"/>
    <n v="2"/>
    <n v="1809"/>
    <n v="1067"/>
    <n v="2134"/>
    <n v="3618"/>
    <n v="1484"/>
    <s v="Product 15"/>
    <x v="30"/>
    <s v="Brian Hansen"/>
    <x v="778"/>
    <n v="4"/>
    <x v="3"/>
    <x v="3"/>
    <x v="3"/>
    <x v="1"/>
    <x v="2"/>
  </r>
  <r>
    <s v="AX12739"/>
    <s v="ENX2026"/>
    <s v="A104"/>
    <s v="EMP1025"/>
    <s v="C1369"/>
    <x v="386"/>
    <n v="2"/>
    <n v="947"/>
    <n v="786"/>
    <n v="1572"/>
    <n v="1894"/>
    <n v="322"/>
    <s v="Product 27"/>
    <x v="50"/>
    <s v="Ernest Wagner"/>
    <x v="126"/>
    <n v="4"/>
    <x v="3"/>
    <x v="3"/>
    <x v="3"/>
    <x v="1"/>
    <x v="2"/>
  </r>
  <r>
    <s v="AX12888"/>
    <s v="ENX2075"/>
    <s v="A130"/>
    <s v="EMP1029"/>
    <s v="C1234"/>
    <x v="388"/>
    <n v="1"/>
    <n v="400"/>
    <n v="208"/>
    <n v="208"/>
    <n v="400"/>
    <n v="192"/>
    <s v="Product 76"/>
    <x v="4"/>
    <s v="Howard Gardner"/>
    <x v="636"/>
    <n v="4"/>
    <x v="3"/>
    <x v="3"/>
    <x v="3"/>
    <x v="1"/>
    <x v="2"/>
  </r>
  <r>
    <s v="AX13087"/>
    <s v="ENX2093"/>
    <s v="A141"/>
    <s v="EMP1018"/>
    <s v="C1229"/>
    <x v="387"/>
    <n v="1"/>
    <n v="112"/>
    <n v="90"/>
    <n v="90"/>
    <n v="112"/>
    <n v="22"/>
    <s v="Product 94"/>
    <x v="23"/>
    <s v="Jimmy Young"/>
    <x v="562"/>
    <n v="4"/>
    <x v="3"/>
    <x v="3"/>
    <x v="3"/>
    <x v="1"/>
    <x v="2"/>
  </r>
  <r>
    <s v="AX13746"/>
    <s v="ENX2012"/>
    <s v="A137"/>
    <s v="EMP1022"/>
    <s v="C1625"/>
    <x v="386"/>
    <n v="1"/>
    <n v="1353"/>
    <n v="947"/>
    <n v="947"/>
    <n v="1353"/>
    <n v="406"/>
    <s v="Product 13"/>
    <x v="68"/>
    <s v="Walter Cook"/>
    <x v="575"/>
    <n v="4"/>
    <x v="3"/>
    <x v="3"/>
    <x v="3"/>
    <x v="1"/>
    <x v="2"/>
  </r>
  <r>
    <s v="AX13898"/>
    <s v="ENX2090"/>
    <s v="A165"/>
    <s v="EMP1029"/>
    <s v="C1561"/>
    <x v="388"/>
    <n v="1"/>
    <n v="1338"/>
    <n v="682"/>
    <n v="682"/>
    <n v="1338"/>
    <n v="656"/>
    <s v="Product 91"/>
    <x v="55"/>
    <s v="Howard Gardner"/>
    <x v="114"/>
    <n v="4"/>
    <x v="3"/>
    <x v="3"/>
    <x v="3"/>
    <x v="1"/>
    <x v="2"/>
  </r>
  <r>
    <s v="AX14192"/>
    <s v="ENX2100"/>
    <s v="A150"/>
    <s v="EMP1011"/>
    <s v="C1023"/>
    <x v="388"/>
    <n v="1"/>
    <n v="799"/>
    <n v="455"/>
    <n v="455"/>
    <n v="799"/>
    <n v="344"/>
    <s v="Product 101"/>
    <x v="30"/>
    <s v="Larry Marshall"/>
    <x v="799"/>
    <n v="4"/>
    <x v="3"/>
    <x v="3"/>
    <x v="3"/>
    <x v="1"/>
    <x v="2"/>
  </r>
  <r>
    <s v="AX14207"/>
    <s v="ENX2058"/>
    <s v="A166"/>
    <s v="EMP1032"/>
    <s v="C1402"/>
    <x v="389"/>
    <n v="1"/>
    <n v="2257"/>
    <n v="1535"/>
    <n v="1535"/>
    <n v="2257"/>
    <n v="722"/>
    <s v="Product 59"/>
    <x v="70"/>
    <s v="Larry Castillo"/>
    <x v="79"/>
    <n v="4"/>
    <x v="3"/>
    <x v="3"/>
    <x v="3"/>
    <x v="1"/>
    <x v="2"/>
  </r>
  <r>
    <s v="AX14379"/>
    <s v="ENX2090"/>
    <s v="A147"/>
    <s v="EMP1008"/>
    <s v="C1578"/>
    <x v="388"/>
    <n v="3"/>
    <n v="1338"/>
    <n v="682"/>
    <n v="2046"/>
    <n v="4014"/>
    <n v="1968"/>
    <s v="Product 91"/>
    <x v="42"/>
    <s v="Carl Elliott"/>
    <x v="17"/>
    <n v="4"/>
    <x v="3"/>
    <x v="3"/>
    <x v="3"/>
    <x v="1"/>
    <x v="2"/>
  </r>
  <r>
    <s v="AX14483"/>
    <s v="ENX2062"/>
    <s v="A117"/>
    <s v="EMP1031"/>
    <s v="C1264"/>
    <x v="389"/>
    <n v="3"/>
    <n v="2464"/>
    <n v="1774"/>
    <n v="5322"/>
    <n v="7392"/>
    <n v="2070"/>
    <s v="Product 63"/>
    <x v="29"/>
    <s v="Brian Thomas"/>
    <x v="206"/>
    <n v="4"/>
    <x v="3"/>
    <x v="3"/>
    <x v="3"/>
    <x v="1"/>
    <x v="2"/>
  </r>
  <r>
    <s v="AX14719"/>
    <s v="ENX2012"/>
    <s v="A155"/>
    <s v="EMP1035"/>
    <s v="C1748"/>
    <x v="387"/>
    <n v="1"/>
    <n v="1353"/>
    <n v="947"/>
    <n v="947"/>
    <n v="1353"/>
    <n v="406"/>
    <s v="Product 13"/>
    <x v="53"/>
    <s v="Roger Ramos"/>
    <x v="162"/>
    <n v="4"/>
    <x v="3"/>
    <x v="3"/>
    <x v="3"/>
    <x v="1"/>
    <x v="2"/>
  </r>
  <r>
    <s v="AX14944"/>
    <s v="ENX2079"/>
    <s v="A101"/>
    <s v="EMP1016"/>
    <s v="C1421"/>
    <x v="388"/>
    <n v="1"/>
    <n v="1725"/>
    <n v="1363"/>
    <n v="1363"/>
    <n v="1725"/>
    <n v="362"/>
    <s v="Product 80"/>
    <x v="60"/>
    <s v="Henry Nelson"/>
    <x v="564"/>
    <n v="4"/>
    <x v="3"/>
    <x v="3"/>
    <x v="3"/>
    <x v="1"/>
    <x v="2"/>
  </r>
  <r>
    <s v="AX15043"/>
    <s v="ENX2083"/>
    <s v="A137"/>
    <s v="EMP1043"/>
    <s v="C1315"/>
    <x v="386"/>
    <n v="1"/>
    <n v="2141"/>
    <n v="1777"/>
    <n v="1777"/>
    <n v="2141"/>
    <n v="364"/>
    <s v="Product 84"/>
    <x v="68"/>
    <s v="Joshua Taylor"/>
    <x v="388"/>
    <n v="4"/>
    <x v="3"/>
    <x v="3"/>
    <x v="3"/>
    <x v="1"/>
    <x v="2"/>
  </r>
  <r>
    <s v="AX15161"/>
    <s v="ENX2039"/>
    <s v="A157"/>
    <s v="EMP1015"/>
    <s v="C1133"/>
    <x v="386"/>
    <n v="3"/>
    <n v="817"/>
    <n v="409"/>
    <n v="1227"/>
    <n v="2451"/>
    <n v="1224"/>
    <s v="Product 40"/>
    <x v="7"/>
    <s v="Justin Lynch"/>
    <x v="468"/>
    <n v="4"/>
    <x v="3"/>
    <x v="3"/>
    <x v="3"/>
    <x v="1"/>
    <x v="2"/>
  </r>
  <r>
    <s v="AX15199"/>
    <s v="ENX2030"/>
    <s v="A118"/>
    <s v="EMP1005"/>
    <s v="C1647"/>
    <x v="387"/>
    <n v="1"/>
    <n v="1899"/>
    <n v="1044"/>
    <n v="1044"/>
    <n v="1899"/>
    <n v="855"/>
    <s v="Product 31"/>
    <x v="19"/>
    <s v="Ryan Welch"/>
    <x v="318"/>
    <n v="4"/>
    <x v="3"/>
    <x v="3"/>
    <x v="3"/>
    <x v="1"/>
    <x v="2"/>
  </r>
  <r>
    <s v="AX15400"/>
    <s v="ENX2099"/>
    <s v="A133"/>
    <s v="EMP1027"/>
    <s v="C1335"/>
    <x v="386"/>
    <n v="1"/>
    <n v="1367"/>
    <n v="984"/>
    <n v="984"/>
    <n v="1367"/>
    <n v="383"/>
    <s v="Product 100"/>
    <x v="46"/>
    <s v="Gary Rodriguez"/>
    <x v="2"/>
    <n v="4"/>
    <x v="3"/>
    <x v="3"/>
    <x v="3"/>
    <x v="1"/>
    <x v="2"/>
  </r>
  <r>
    <s v="AX15414"/>
    <s v="ENX2091"/>
    <s v="A115"/>
    <s v="EMP1022"/>
    <s v="C1760"/>
    <x v="387"/>
    <n v="1"/>
    <n v="368"/>
    <n v="294"/>
    <n v="294"/>
    <n v="368"/>
    <n v="74"/>
    <s v="Product 92"/>
    <x v="33"/>
    <s v="Walter Cook"/>
    <x v="502"/>
    <n v="4"/>
    <x v="3"/>
    <x v="3"/>
    <x v="3"/>
    <x v="1"/>
    <x v="2"/>
  </r>
  <r>
    <s v="AX15458"/>
    <s v="ENX2063"/>
    <s v="A111"/>
    <s v="EMP1005"/>
    <s v="C1602"/>
    <x v="389"/>
    <n v="1"/>
    <n v="1708"/>
    <n v="871"/>
    <n v="871"/>
    <n v="1708"/>
    <n v="837"/>
    <s v="Product 64"/>
    <x v="54"/>
    <s v="Ryan Welch"/>
    <x v="749"/>
    <n v="4"/>
    <x v="3"/>
    <x v="3"/>
    <x v="3"/>
    <x v="1"/>
    <x v="2"/>
  </r>
  <r>
    <s v="AX15572"/>
    <s v="ENX2098"/>
    <s v="A125"/>
    <s v="EMP1020"/>
    <s v="C1148"/>
    <x v="389"/>
    <n v="4"/>
    <n v="1178"/>
    <n v="683"/>
    <n v="2732"/>
    <n v="4712"/>
    <n v="1980"/>
    <s v="Product 99"/>
    <x v="31"/>
    <s v="Ryan Butler"/>
    <x v="55"/>
    <n v="4"/>
    <x v="3"/>
    <x v="3"/>
    <x v="3"/>
    <x v="1"/>
    <x v="2"/>
  </r>
  <r>
    <s v="AX16521"/>
    <s v="ENX2042"/>
    <s v="A149"/>
    <s v="EMP1032"/>
    <s v="C1705"/>
    <x v="388"/>
    <n v="1"/>
    <n v="203"/>
    <n v="154"/>
    <n v="154"/>
    <n v="203"/>
    <n v="49"/>
    <s v="Product 43"/>
    <x v="59"/>
    <s v="Larry Castillo"/>
    <x v="507"/>
    <n v="4"/>
    <x v="3"/>
    <x v="3"/>
    <x v="3"/>
    <x v="1"/>
    <x v="2"/>
  </r>
  <r>
    <s v="AX16737"/>
    <s v="ENX2017"/>
    <s v="A134"/>
    <s v="EMP1002"/>
    <s v="C1592"/>
    <x v="387"/>
    <n v="1"/>
    <n v="35"/>
    <n v="22"/>
    <n v="22"/>
    <n v="35"/>
    <n v="13"/>
    <s v="Product 18"/>
    <x v="41"/>
    <s v="Andrew Bowman"/>
    <x v="499"/>
    <n v="4"/>
    <x v="3"/>
    <x v="3"/>
    <x v="3"/>
    <x v="1"/>
    <x v="2"/>
  </r>
  <r>
    <s v="AX16764"/>
    <s v="ENX2050"/>
    <s v="A156"/>
    <s v="EMP1009"/>
    <s v="C1355"/>
    <x v="389"/>
    <n v="3"/>
    <n v="2391"/>
    <n v="1291"/>
    <n v="3873"/>
    <n v="7173"/>
    <n v="3300"/>
    <s v="Product 51"/>
    <x v="14"/>
    <s v="Kenneth Fields"/>
    <x v="710"/>
    <n v="4"/>
    <x v="3"/>
    <x v="3"/>
    <x v="3"/>
    <x v="1"/>
    <x v="2"/>
  </r>
  <r>
    <s v="AX16893"/>
    <s v="ENX2062"/>
    <s v="A126"/>
    <s v="EMP1028"/>
    <s v="C1179"/>
    <x v="389"/>
    <n v="4"/>
    <n v="2464"/>
    <n v="1774"/>
    <n v="7096"/>
    <n v="9856"/>
    <n v="2760"/>
    <s v="Product 63"/>
    <x v="5"/>
    <s v="Howard Sims"/>
    <x v="788"/>
    <n v="4"/>
    <x v="3"/>
    <x v="3"/>
    <x v="3"/>
    <x v="1"/>
    <x v="2"/>
  </r>
  <r>
    <s v="AX16960"/>
    <s v="ENX2059"/>
    <s v="A110"/>
    <s v="EMP1023"/>
    <s v="C1324"/>
    <x v="389"/>
    <n v="1"/>
    <n v="1494"/>
    <n v="971"/>
    <n v="971"/>
    <n v="1494"/>
    <n v="523"/>
    <s v="Product 60"/>
    <x v="63"/>
    <s v="Brian Davis"/>
    <x v="252"/>
    <n v="4"/>
    <x v="3"/>
    <x v="3"/>
    <x v="3"/>
    <x v="1"/>
    <x v="2"/>
  </r>
  <r>
    <s v="AX17436"/>
    <s v="ENX2019"/>
    <s v="A123"/>
    <s v="EMP1004"/>
    <s v="C1401"/>
    <x v="386"/>
    <n v="2"/>
    <n v="800"/>
    <n v="536"/>
    <n v="1072"/>
    <n v="1600"/>
    <n v="528"/>
    <s v="Product 20"/>
    <x v="34"/>
    <s v="Kenneth Bradley"/>
    <x v="36"/>
    <n v="4"/>
    <x v="3"/>
    <x v="3"/>
    <x v="3"/>
    <x v="1"/>
    <x v="2"/>
  </r>
  <r>
    <s v="AX17776"/>
    <s v="ENX2009"/>
    <s v="A133"/>
    <s v="EMP1035"/>
    <s v="C1377"/>
    <x v="388"/>
    <n v="1"/>
    <n v="584"/>
    <n v="420"/>
    <n v="420"/>
    <n v="584"/>
    <n v="164"/>
    <s v="Product 10"/>
    <x v="46"/>
    <s v="Roger Ramos"/>
    <x v="214"/>
    <n v="4"/>
    <x v="3"/>
    <x v="3"/>
    <x v="3"/>
    <x v="1"/>
    <x v="2"/>
  </r>
  <r>
    <s v="AX17940"/>
    <s v="ENX2093"/>
    <s v="A168"/>
    <s v="EMP1009"/>
    <s v="C1588"/>
    <x v="387"/>
    <n v="2"/>
    <n v="112"/>
    <n v="90"/>
    <n v="180"/>
    <n v="224"/>
    <n v="44"/>
    <s v="Product 94"/>
    <x v="40"/>
    <s v="Kenneth Fields"/>
    <x v="653"/>
    <n v="4"/>
    <x v="3"/>
    <x v="3"/>
    <x v="3"/>
    <x v="1"/>
    <x v="2"/>
  </r>
  <r>
    <s v="AX17996"/>
    <s v="ENX2077"/>
    <s v="A106"/>
    <s v="EMP1026"/>
    <s v="C1632"/>
    <x v="388"/>
    <n v="3"/>
    <n v="530"/>
    <n v="424"/>
    <n v="1272"/>
    <n v="1590"/>
    <n v="318"/>
    <s v="Product 78"/>
    <x v="11"/>
    <s v="Martin Perry"/>
    <x v="311"/>
    <n v="4"/>
    <x v="3"/>
    <x v="3"/>
    <x v="3"/>
    <x v="1"/>
    <x v="2"/>
  </r>
  <r>
    <s v="AX18979"/>
    <s v="ENX2086"/>
    <s v="A111"/>
    <s v="EMP1038"/>
    <s v="C1040"/>
    <x v="387"/>
    <n v="1"/>
    <n v="123"/>
    <n v="84"/>
    <n v="84"/>
    <n v="123"/>
    <n v="39"/>
    <s v="Product 87"/>
    <x v="54"/>
    <s v="Scott Mason"/>
    <x v="221"/>
    <n v="4"/>
    <x v="3"/>
    <x v="3"/>
    <x v="3"/>
    <x v="1"/>
    <x v="2"/>
  </r>
  <r>
    <s v="AX19336"/>
    <s v="ENX2068"/>
    <s v="A163"/>
    <s v="EMP1040"/>
    <s v="C1265"/>
    <x v="386"/>
    <n v="1"/>
    <n v="1500"/>
    <n v="900"/>
    <n v="900"/>
    <n v="1500"/>
    <n v="600"/>
    <s v="Product 69"/>
    <x v="51"/>
    <s v="Patrick Ruiz"/>
    <x v="348"/>
    <n v="4"/>
    <x v="3"/>
    <x v="3"/>
    <x v="3"/>
    <x v="1"/>
    <x v="2"/>
  </r>
  <r>
    <s v="AX19579"/>
    <s v="ENX2019"/>
    <s v="A111"/>
    <s v="EMP1016"/>
    <s v="C1014"/>
    <x v="388"/>
    <n v="2"/>
    <n v="800"/>
    <n v="536"/>
    <n v="1072"/>
    <n v="1600"/>
    <n v="528"/>
    <s v="Product 20"/>
    <x v="54"/>
    <s v="Henry Nelson"/>
    <x v="26"/>
    <n v="4"/>
    <x v="3"/>
    <x v="3"/>
    <x v="3"/>
    <x v="1"/>
    <x v="2"/>
  </r>
  <r>
    <s v="AX19956"/>
    <s v="ENX2066"/>
    <s v="A166"/>
    <s v="EMP1005"/>
    <s v="C1476"/>
    <x v="386"/>
    <n v="2"/>
    <n v="2091"/>
    <n v="1485"/>
    <n v="2970"/>
    <n v="4182"/>
    <n v="1212"/>
    <s v="Product 67"/>
    <x v="70"/>
    <s v="Ryan Welch"/>
    <x v="207"/>
    <n v="4"/>
    <x v="3"/>
    <x v="3"/>
    <x v="3"/>
    <x v="1"/>
    <x v="2"/>
  </r>
  <r>
    <s v="AX20362"/>
    <s v="ENX2032"/>
    <s v="A162"/>
    <s v="EMP1023"/>
    <s v="C1517"/>
    <x v="389"/>
    <n v="1"/>
    <n v="1967"/>
    <n v="1397"/>
    <n v="1397"/>
    <n v="1967"/>
    <n v="570"/>
    <s v="Product 33"/>
    <x v="2"/>
    <s v="Brian Davis"/>
    <x v="359"/>
    <n v="4"/>
    <x v="3"/>
    <x v="3"/>
    <x v="3"/>
    <x v="1"/>
    <x v="2"/>
  </r>
  <r>
    <s v="AX20367"/>
    <s v="ENX2096"/>
    <s v="A161"/>
    <s v="EMP1037"/>
    <s v="C1113"/>
    <x v="386"/>
    <n v="3"/>
    <n v="1587"/>
    <n v="1301"/>
    <n v="3903"/>
    <n v="4761"/>
    <n v="858"/>
    <s v="Product 97"/>
    <x v="6"/>
    <s v="Carl Hall"/>
    <x v="101"/>
    <n v="4"/>
    <x v="3"/>
    <x v="3"/>
    <x v="3"/>
    <x v="1"/>
    <x v="2"/>
  </r>
  <r>
    <s v="AX20483"/>
    <s v="ENX2053"/>
    <s v="A110"/>
    <s v="EMP1033"/>
    <s v="C1432"/>
    <x v="386"/>
    <n v="1"/>
    <n v="596"/>
    <n v="358"/>
    <n v="358"/>
    <n v="596"/>
    <n v="238"/>
    <s v="Product 54"/>
    <x v="63"/>
    <s v="Jerry Perry"/>
    <x v="186"/>
    <n v="4"/>
    <x v="3"/>
    <x v="3"/>
    <x v="3"/>
    <x v="1"/>
    <x v="2"/>
  </r>
  <r>
    <s v="AX20534"/>
    <s v="ENX2000"/>
    <s v="A167"/>
    <s v="EMP1044"/>
    <s v="C1475"/>
    <x v="388"/>
    <n v="2"/>
    <n v="2241"/>
    <n v="1367"/>
    <n v="2734"/>
    <n v="4482"/>
    <n v="1748"/>
    <s v="Product 1"/>
    <x v="64"/>
    <s v="Martin Carr"/>
    <x v="527"/>
    <n v="4"/>
    <x v="3"/>
    <x v="3"/>
    <x v="3"/>
    <x v="1"/>
    <x v="2"/>
  </r>
  <r>
    <s v="AX21177"/>
    <s v="ENX2083"/>
    <s v="A151"/>
    <s v="EMP1035"/>
    <s v="C1144"/>
    <x v="387"/>
    <n v="2"/>
    <n v="2141"/>
    <n v="1777"/>
    <n v="3554"/>
    <n v="4282"/>
    <n v="728"/>
    <s v="Product 84"/>
    <x v="1"/>
    <s v="Roger Ramos"/>
    <x v="478"/>
    <n v="4"/>
    <x v="3"/>
    <x v="3"/>
    <x v="3"/>
    <x v="1"/>
    <x v="2"/>
  </r>
  <r>
    <s v="AX21544"/>
    <s v="ENX2005"/>
    <s v="A136"/>
    <s v="EMP1007"/>
    <s v="C1212"/>
    <x v="386"/>
    <n v="1"/>
    <n v="684"/>
    <n v="561"/>
    <n v="561"/>
    <n v="684"/>
    <n v="123"/>
    <s v="Product 6"/>
    <x v="43"/>
    <s v="Jeremy Mendoza"/>
    <x v="220"/>
    <n v="4"/>
    <x v="3"/>
    <x v="3"/>
    <x v="3"/>
    <x v="1"/>
    <x v="2"/>
  </r>
  <r>
    <s v="AX21734"/>
    <s v="ENX2094"/>
    <s v="A127"/>
    <s v="EMP1041"/>
    <s v="C1644"/>
    <x v="386"/>
    <n v="1"/>
    <n v="771"/>
    <n v="648"/>
    <n v="648"/>
    <n v="771"/>
    <n v="123"/>
    <s v="Product 95"/>
    <x v="69"/>
    <s v="Joe Sims"/>
    <x v="109"/>
    <n v="4"/>
    <x v="3"/>
    <x v="3"/>
    <x v="3"/>
    <x v="1"/>
    <x v="2"/>
  </r>
  <r>
    <s v="AX21846"/>
    <s v="ENX2043"/>
    <s v="A126"/>
    <s v="EMP1037"/>
    <s v="C1318"/>
    <x v="387"/>
    <n v="3"/>
    <n v="545"/>
    <n v="425"/>
    <n v="1275"/>
    <n v="1635"/>
    <n v="360"/>
    <s v="Product 44"/>
    <x v="5"/>
    <s v="Carl Hall"/>
    <x v="730"/>
    <n v="4"/>
    <x v="3"/>
    <x v="3"/>
    <x v="3"/>
    <x v="1"/>
    <x v="2"/>
  </r>
  <r>
    <s v="AX22240"/>
    <s v="ENX2026"/>
    <s v="A168"/>
    <s v="EMP1021"/>
    <s v="C1532"/>
    <x v="388"/>
    <n v="2"/>
    <n v="947"/>
    <n v="786"/>
    <n v="1572"/>
    <n v="1894"/>
    <n v="322"/>
    <s v="Product 27"/>
    <x v="40"/>
    <s v="Clarence Fox"/>
    <x v="103"/>
    <n v="4"/>
    <x v="3"/>
    <x v="3"/>
    <x v="3"/>
    <x v="1"/>
    <x v="2"/>
  </r>
  <r>
    <s v="AX22349"/>
    <s v="ENX2063"/>
    <s v="A136"/>
    <s v="EMP1023"/>
    <s v="C1512"/>
    <x v="386"/>
    <n v="2"/>
    <n v="1708"/>
    <n v="871"/>
    <n v="1742"/>
    <n v="3416"/>
    <n v="1674"/>
    <s v="Product 64"/>
    <x v="43"/>
    <s v="Brian Davis"/>
    <x v="671"/>
    <n v="4"/>
    <x v="3"/>
    <x v="3"/>
    <x v="3"/>
    <x v="1"/>
    <x v="2"/>
  </r>
  <r>
    <s v="AX22418"/>
    <s v="ENX2017"/>
    <s v="A112"/>
    <s v="EMP1025"/>
    <s v="C1212"/>
    <x v="386"/>
    <n v="1"/>
    <n v="35"/>
    <n v="22"/>
    <n v="22"/>
    <n v="35"/>
    <n v="13"/>
    <s v="Product 18"/>
    <x v="66"/>
    <s v="Ernest Wagner"/>
    <x v="220"/>
    <n v="4"/>
    <x v="3"/>
    <x v="3"/>
    <x v="3"/>
    <x v="1"/>
    <x v="2"/>
  </r>
  <r>
    <s v="AX22509"/>
    <s v="ENX2091"/>
    <s v="A105"/>
    <s v="EMP1023"/>
    <s v="C1624"/>
    <x v="386"/>
    <n v="3"/>
    <n v="368"/>
    <n v="294"/>
    <n v="882"/>
    <n v="1104"/>
    <n v="222"/>
    <s v="Product 92"/>
    <x v="45"/>
    <s v="Brian Davis"/>
    <x v="339"/>
    <n v="4"/>
    <x v="3"/>
    <x v="3"/>
    <x v="3"/>
    <x v="1"/>
    <x v="2"/>
  </r>
  <r>
    <s v="AX23018"/>
    <s v="ENX2002"/>
    <s v="A120"/>
    <s v="EMP1026"/>
    <s v="C1261"/>
    <x v="388"/>
    <n v="3"/>
    <n v="847"/>
    <n v="534"/>
    <n v="1602"/>
    <n v="2541"/>
    <n v="939"/>
    <s v="Product 3"/>
    <x v="20"/>
    <s v="Martin Perry"/>
    <x v="295"/>
    <n v="4"/>
    <x v="3"/>
    <x v="3"/>
    <x v="3"/>
    <x v="1"/>
    <x v="2"/>
  </r>
  <r>
    <s v="AX23043"/>
    <s v="ENX2056"/>
    <s v="A108"/>
    <s v="EMP1043"/>
    <s v="C1133"/>
    <x v="389"/>
    <n v="1"/>
    <n v="1635"/>
    <n v="1046"/>
    <n v="1046"/>
    <n v="1635"/>
    <n v="589"/>
    <s v="Product 57"/>
    <x v="49"/>
    <s v="Joshua Taylor"/>
    <x v="468"/>
    <n v="4"/>
    <x v="3"/>
    <x v="3"/>
    <x v="3"/>
    <x v="1"/>
    <x v="2"/>
  </r>
  <r>
    <s v="AX23345"/>
    <s v="ENX2016"/>
    <s v="A157"/>
    <s v="EMP1032"/>
    <s v="C1629"/>
    <x v="389"/>
    <n v="1"/>
    <n v="1351"/>
    <n v="1108"/>
    <n v="1108"/>
    <n v="1351"/>
    <n v="243"/>
    <s v="Product 17"/>
    <x v="7"/>
    <s v="Larry Castillo"/>
    <x v="734"/>
    <n v="4"/>
    <x v="3"/>
    <x v="3"/>
    <x v="3"/>
    <x v="1"/>
    <x v="2"/>
  </r>
  <r>
    <s v="AX23535"/>
    <s v="ENX2006"/>
    <s v="A101"/>
    <s v="EMP1034"/>
    <s v="C1755"/>
    <x v="387"/>
    <n v="2"/>
    <n v="1826"/>
    <n v="1443"/>
    <n v="2886"/>
    <n v="3652"/>
    <n v="766"/>
    <s v="Product 7"/>
    <x v="60"/>
    <s v="Arthur Mccoy"/>
    <x v="178"/>
    <n v="4"/>
    <x v="3"/>
    <x v="3"/>
    <x v="3"/>
    <x v="1"/>
    <x v="2"/>
  </r>
  <r>
    <s v="AX23681"/>
    <s v="ENX2026"/>
    <s v="A119"/>
    <s v="EMP1030"/>
    <s v="C1115"/>
    <x v="388"/>
    <n v="1"/>
    <n v="947"/>
    <n v="786"/>
    <n v="786"/>
    <n v="947"/>
    <n v="161"/>
    <s v="Product 27"/>
    <x v="16"/>
    <s v="Bobby Russell"/>
    <x v="338"/>
    <n v="4"/>
    <x v="3"/>
    <x v="3"/>
    <x v="3"/>
    <x v="1"/>
    <x v="2"/>
  </r>
  <r>
    <s v="AX23726"/>
    <s v="ENX2030"/>
    <s v="A137"/>
    <s v="EMP1022"/>
    <s v="C1649"/>
    <x v="388"/>
    <n v="1"/>
    <n v="1899"/>
    <n v="1044"/>
    <n v="1044"/>
    <n v="1899"/>
    <n v="855"/>
    <s v="Product 31"/>
    <x v="68"/>
    <s v="Walter Cook"/>
    <x v="790"/>
    <n v="4"/>
    <x v="3"/>
    <x v="3"/>
    <x v="3"/>
    <x v="1"/>
    <x v="2"/>
  </r>
  <r>
    <s v="AX23948"/>
    <s v="ENX2079"/>
    <s v="A168"/>
    <s v="EMP1031"/>
    <s v="C1473"/>
    <x v="386"/>
    <n v="4"/>
    <n v="1725"/>
    <n v="1363"/>
    <n v="5452"/>
    <n v="6900"/>
    <n v="1448"/>
    <s v="Product 80"/>
    <x v="40"/>
    <s v="Brian Thomas"/>
    <x v="100"/>
    <n v="4"/>
    <x v="3"/>
    <x v="3"/>
    <x v="3"/>
    <x v="1"/>
    <x v="2"/>
  </r>
  <r>
    <s v="AX24138"/>
    <s v="ENX2096"/>
    <s v="A128"/>
    <s v="EMP1038"/>
    <s v="C1738"/>
    <x v="386"/>
    <n v="3"/>
    <n v="1587"/>
    <n v="1301"/>
    <n v="3903"/>
    <n v="4761"/>
    <n v="858"/>
    <s v="Product 97"/>
    <x v="12"/>
    <s v="Scott Mason"/>
    <x v="35"/>
    <n v="4"/>
    <x v="3"/>
    <x v="3"/>
    <x v="3"/>
    <x v="1"/>
    <x v="2"/>
  </r>
  <r>
    <s v="AX24218"/>
    <s v="ENX2076"/>
    <s v="A146"/>
    <s v="EMP1016"/>
    <s v="C1623"/>
    <x v="387"/>
    <n v="3"/>
    <n v="1522"/>
    <n v="791"/>
    <n v="2373"/>
    <n v="4566"/>
    <n v="2193"/>
    <s v="Product 77"/>
    <x v="27"/>
    <s v="Henry Nelson"/>
    <x v="282"/>
    <n v="4"/>
    <x v="3"/>
    <x v="3"/>
    <x v="3"/>
    <x v="1"/>
    <x v="2"/>
  </r>
  <r>
    <s v="AX24704"/>
    <s v="ENX2068"/>
    <s v="A154"/>
    <s v="EMP1021"/>
    <s v="C1418"/>
    <x v="386"/>
    <n v="1"/>
    <n v="1500"/>
    <n v="900"/>
    <n v="900"/>
    <n v="1500"/>
    <n v="600"/>
    <s v="Product 69"/>
    <x v="24"/>
    <s v="Clarence Fox"/>
    <x v="441"/>
    <n v="4"/>
    <x v="3"/>
    <x v="3"/>
    <x v="3"/>
    <x v="1"/>
    <x v="2"/>
  </r>
  <r>
    <s v="AX24909"/>
    <s v="ENX2075"/>
    <s v="A126"/>
    <s v="EMP1006"/>
    <s v="C1542"/>
    <x v="387"/>
    <n v="1"/>
    <n v="400"/>
    <n v="208"/>
    <n v="208"/>
    <n v="400"/>
    <n v="192"/>
    <s v="Product 76"/>
    <x v="5"/>
    <s v="Sean Miller"/>
    <x v="712"/>
    <n v="4"/>
    <x v="3"/>
    <x v="3"/>
    <x v="3"/>
    <x v="1"/>
    <x v="2"/>
  </r>
  <r>
    <s v="AX24935"/>
    <s v="ENX2073"/>
    <s v="A165"/>
    <s v="EMP1026"/>
    <s v="C1218"/>
    <x v="387"/>
    <n v="1"/>
    <n v="95"/>
    <n v="61"/>
    <n v="61"/>
    <n v="95"/>
    <n v="34"/>
    <s v="Product 74"/>
    <x v="55"/>
    <s v="Martin Perry"/>
    <x v="786"/>
    <n v="4"/>
    <x v="3"/>
    <x v="3"/>
    <x v="3"/>
    <x v="1"/>
    <x v="2"/>
  </r>
  <r>
    <s v="AX24965"/>
    <s v="ENX2008"/>
    <s v="A136"/>
    <s v="EMP1040"/>
    <s v="C1305"/>
    <x v="387"/>
    <n v="2"/>
    <n v="315"/>
    <n v="208"/>
    <n v="416"/>
    <n v="630"/>
    <n v="214"/>
    <s v="Product 9"/>
    <x v="43"/>
    <s v="Patrick Ruiz"/>
    <x v="344"/>
    <n v="4"/>
    <x v="3"/>
    <x v="3"/>
    <x v="3"/>
    <x v="1"/>
    <x v="2"/>
  </r>
  <r>
    <s v="AX24971"/>
    <s v="ENX2075"/>
    <s v="A160"/>
    <s v="EMP1004"/>
    <s v="C1258"/>
    <x v="389"/>
    <n v="2"/>
    <n v="400"/>
    <n v="208"/>
    <n v="416"/>
    <n v="800"/>
    <n v="384"/>
    <s v="Product 76"/>
    <x v="9"/>
    <s v="Kenneth Bradley"/>
    <x v="644"/>
    <n v="4"/>
    <x v="3"/>
    <x v="3"/>
    <x v="3"/>
    <x v="1"/>
    <x v="2"/>
  </r>
  <r>
    <s v="AX10239"/>
    <s v="ENX2046"/>
    <s v="A146"/>
    <s v="EMP1030"/>
    <s v="C1028"/>
    <x v="390"/>
    <n v="1"/>
    <n v="2410"/>
    <n v="1518"/>
    <n v="1518"/>
    <n v="2410"/>
    <n v="892"/>
    <s v="Product 47"/>
    <x v="27"/>
    <s v="Bobby Russell"/>
    <x v="135"/>
    <n v="4"/>
    <x v="3"/>
    <x v="4"/>
    <x v="4"/>
    <x v="1"/>
    <x v="0"/>
  </r>
  <r>
    <s v="AX10450"/>
    <s v="ENX2020"/>
    <s v="A163"/>
    <s v="EMP1013"/>
    <s v="C1553"/>
    <x v="391"/>
    <n v="1"/>
    <n v="2005"/>
    <n v="1223"/>
    <n v="1223"/>
    <n v="2005"/>
    <n v="782"/>
    <s v="Product 21"/>
    <x v="51"/>
    <s v="Charles Harper"/>
    <x v="726"/>
    <n v="4"/>
    <x v="3"/>
    <x v="4"/>
    <x v="4"/>
    <x v="1"/>
    <x v="0"/>
  </r>
  <r>
    <s v="AX10494"/>
    <s v="ENX2029"/>
    <s v="A172"/>
    <s v="EMP1019"/>
    <s v="C1726"/>
    <x v="392"/>
    <n v="1"/>
    <n v="1848"/>
    <n v="1294"/>
    <n v="1294"/>
    <n v="1848"/>
    <n v="554"/>
    <s v="Product 30"/>
    <x v="36"/>
    <s v="Roger Robertson"/>
    <x v="755"/>
    <n v="4"/>
    <x v="3"/>
    <x v="4"/>
    <x v="4"/>
    <x v="1"/>
    <x v="0"/>
  </r>
  <r>
    <s v="AX10723"/>
    <s v="ENX2097"/>
    <s v="A125"/>
    <s v="EMP1015"/>
    <s v="C1139"/>
    <x v="393"/>
    <n v="2"/>
    <n v="1052"/>
    <n v="589"/>
    <n v="1178"/>
    <n v="2104"/>
    <n v="926"/>
    <s v="Product 98"/>
    <x v="31"/>
    <s v="Justin Lynch"/>
    <x v="561"/>
    <n v="4"/>
    <x v="3"/>
    <x v="4"/>
    <x v="4"/>
    <x v="1"/>
    <x v="0"/>
  </r>
  <r>
    <s v="AX11151"/>
    <s v="ENX2046"/>
    <s v="A143"/>
    <s v="EMP1009"/>
    <s v="C1783"/>
    <x v="392"/>
    <n v="1"/>
    <n v="2410"/>
    <n v="1518"/>
    <n v="1518"/>
    <n v="2410"/>
    <n v="892"/>
    <s v="Product 47"/>
    <x v="39"/>
    <s v="Kenneth Fields"/>
    <x v="272"/>
    <n v="4"/>
    <x v="3"/>
    <x v="4"/>
    <x v="4"/>
    <x v="1"/>
    <x v="0"/>
  </r>
  <r>
    <s v="AX12041"/>
    <s v="ENX2051"/>
    <s v="A171"/>
    <s v="EMP1024"/>
    <s v="C1563"/>
    <x v="391"/>
    <n v="1"/>
    <n v="1077"/>
    <n v="732"/>
    <n v="732"/>
    <n v="1077"/>
    <n v="345"/>
    <s v="Product 52"/>
    <x v="0"/>
    <s v="Ernest Wheeler"/>
    <x v="130"/>
    <n v="4"/>
    <x v="3"/>
    <x v="4"/>
    <x v="4"/>
    <x v="1"/>
    <x v="0"/>
  </r>
  <r>
    <s v="AX12461"/>
    <s v="ENX2055"/>
    <s v="A146"/>
    <s v="EMP1014"/>
    <s v="C1006"/>
    <x v="392"/>
    <n v="2"/>
    <n v="2495"/>
    <n v="1896"/>
    <n v="3792"/>
    <n v="4990"/>
    <n v="1198"/>
    <s v="Product 56"/>
    <x v="27"/>
    <s v="Ronald Reed"/>
    <x v="687"/>
    <n v="4"/>
    <x v="3"/>
    <x v="4"/>
    <x v="4"/>
    <x v="1"/>
    <x v="0"/>
  </r>
  <r>
    <s v="AX13201"/>
    <s v="ENX2068"/>
    <s v="A167"/>
    <s v="EMP1038"/>
    <s v="C1709"/>
    <x v="393"/>
    <n v="3"/>
    <n v="1500"/>
    <n v="900"/>
    <n v="2700"/>
    <n v="4500"/>
    <n v="1800"/>
    <s v="Product 69"/>
    <x v="64"/>
    <s v="Scott Mason"/>
    <x v="203"/>
    <n v="4"/>
    <x v="3"/>
    <x v="4"/>
    <x v="4"/>
    <x v="1"/>
    <x v="0"/>
  </r>
  <r>
    <s v="AX13226"/>
    <s v="ENX2034"/>
    <s v="A156"/>
    <s v="EMP1021"/>
    <s v="C1482"/>
    <x v="392"/>
    <n v="3"/>
    <n v="871"/>
    <n v="540"/>
    <n v="1620"/>
    <n v="2613"/>
    <n v="993"/>
    <s v="Product 35"/>
    <x v="14"/>
    <s v="Clarence Fox"/>
    <x v="155"/>
    <n v="4"/>
    <x v="3"/>
    <x v="4"/>
    <x v="4"/>
    <x v="1"/>
    <x v="0"/>
  </r>
  <r>
    <s v="AX13324"/>
    <s v="ENX2010"/>
    <s v="A161"/>
    <s v="EMP1031"/>
    <s v="C1553"/>
    <x v="390"/>
    <n v="1"/>
    <n v="1812"/>
    <n v="1305"/>
    <n v="1305"/>
    <n v="1812"/>
    <n v="507"/>
    <s v="Product 11"/>
    <x v="6"/>
    <s v="Brian Thomas"/>
    <x v="726"/>
    <n v="4"/>
    <x v="3"/>
    <x v="4"/>
    <x v="4"/>
    <x v="1"/>
    <x v="0"/>
  </r>
  <r>
    <s v="AX14774"/>
    <s v="ENX2027"/>
    <s v="A114"/>
    <s v="EMP1008"/>
    <s v="C1140"/>
    <x v="390"/>
    <n v="3"/>
    <n v="2497"/>
    <n v="1473"/>
    <n v="4419"/>
    <n v="7491"/>
    <n v="3072"/>
    <s v="Product 28"/>
    <x v="28"/>
    <s v="Carl Elliott"/>
    <x v="40"/>
    <n v="4"/>
    <x v="3"/>
    <x v="4"/>
    <x v="4"/>
    <x v="1"/>
    <x v="0"/>
  </r>
  <r>
    <s v="AX15135"/>
    <s v="ENX2054"/>
    <s v="A111"/>
    <s v="EMP1005"/>
    <s v="C1776"/>
    <x v="393"/>
    <n v="1"/>
    <n v="127"/>
    <n v="79"/>
    <n v="79"/>
    <n v="127"/>
    <n v="48"/>
    <s v="Product 55"/>
    <x v="54"/>
    <s v="Ryan Welch"/>
    <x v="160"/>
    <n v="4"/>
    <x v="3"/>
    <x v="4"/>
    <x v="4"/>
    <x v="1"/>
    <x v="0"/>
  </r>
  <r>
    <s v="AX15384"/>
    <s v="ENX2097"/>
    <s v="A162"/>
    <s v="EMP1001"/>
    <s v="C1101"/>
    <x v="392"/>
    <n v="3"/>
    <n v="1052"/>
    <n v="589"/>
    <n v="1767"/>
    <n v="3156"/>
    <n v="1389"/>
    <s v="Product 98"/>
    <x v="2"/>
    <s v="Kevin Butler"/>
    <x v="347"/>
    <n v="4"/>
    <x v="3"/>
    <x v="4"/>
    <x v="4"/>
    <x v="1"/>
    <x v="0"/>
  </r>
  <r>
    <s v="AX15532"/>
    <s v="ENX2033"/>
    <s v="A142"/>
    <s v="EMP1003"/>
    <s v="C1131"/>
    <x v="391"/>
    <n v="1"/>
    <n v="2182"/>
    <n v="1200"/>
    <n v="1200"/>
    <n v="2182"/>
    <n v="982"/>
    <s v="Product 34"/>
    <x v="56"/>
    <s v="Christopher Tucker"/>
    <x v="76"/>
    <n v="4"/>
    <x v="3"/>
    <x v="4"/>
    <x v="4"/>
    <x v="1"/>
    <x v="0"/>
  </r>
  <r>
    <s v="AX15647"/>
    <s v="ENX2085"/>
    <s v="A170"/>
    <s v="EMP1031"/>
    <s v="C1237"/>
    <x v="393"/>
    <n v="2"/>
    <n v="1862"/>
    <n v="1173"/>
    <n v="2346"/>
    <n v="3724"/>
    <n v="1378"/>
    <s v="Product 86"/>
    <x v="47"/>
    <s v="Brian Thomas"/>
    <x v="484"/>
    <n v="4"/>
    <x v="3"/>
    <x v="4"/>
    <x v="4"/>
    <x v="1"/>
    <x v="0"/>
  </r>
  <r>
    <s v="AX16130"/>
    <s v="ENX2050"/>
    <s v="A143"/>
    <s v="EMP1044"/>
    <s v="C1316"/>
    <x v="390"/>
    <n v="3"/>
    <n v="2391"/>
    <n v="1291"/>
    <n v="3873"/>
    <n v="7173"/>
    <n v="3300"/>
    <s v="Product 51"/>
    <x v="39"/>
    <s v="Martin Carr"/>
    <x v="771"/>
    <n v="4"/>
    <x v="3"/>
    <x v="4"/>
    <x v="4"/>
    <x v="1"/>
    <x v="0"/>
  </r>
  <r>
    <s v="AX16349"/>
    <s v="ENX2100"/>
    <s v="A138"/>
    <s v="EMP1007"/>
    <s v="C1246"/>
    <x v="391"/>
    <n v="1"/>
    <n v="799"/>
    <n v="455"/>
    <n v="455"/>
    <n v="799"/>
    <n v="344"/>
    <s v="Product 101"/>
    <x v="37"/>
    <s v="Jeremy Mendoza"/>
    <x v="665"/>
    <n v="4"/>
    <x v="3"/>
    <x v="4"/>
    <x v="4"/>
    <x v="1"/>
    <x v="0"/>
  </r>
  <r>
    <s v="AX16487"/>
    <s v="ENX2013"/>
    <s v="A103"/>
    <s v="EMP1035"/>
    <s v="C1457"/>
    <x v="390"/>
    <n v="4"/>
    <n v="368"/>
    <n v="269"/>
    <n v="1076"/>
    <n v="1472"/>
    <n v="396"/>
    <s v="Product 14"/>
    <x v="61"/>
    <s v="Roger Ramos"/>
    <x v="522"/>
    <n v="4"/>
    <x v="3"/>
    <x v="4"/>
    <x v="4"/>
    <x v="1"/>
    <x v="0"/>
  </r>
  <r>
    <s v="AX16711"/>
    <s v="ENX2048"/>
    <s v="A129"/>
    <s v="EMP1014"/>
    <s v="C1486"/>
    <x v="391"/>
    <n v="3"/>
    <n v="502"/>
    <n v="296"/>
    <n v="888"/>
    <n v="1506"/>
    <n v="618"/>
    <s v="Product 49"/>
    <x v="22"/>
    <s v="Ronald Reed"/>
    <x v="357"/>
    <n v="4"/>
    <x v="3"/>
    <x v="4"/>
    <x v="4"/>
    <x v="1"/>
    <x v="0"/>
  </r>
  <r>
    <s v="AX16821"/>
    <s v="ENX2048"/>
    <s v="A168"/>
    <s v="EMP1002"/>
    <s v="C1168"/>
    <x v="392"/>
    <n v="1"/>
    <n v="502"/>
    <n v="296"/>
    <n v="296"/>
    <n v="502"/>
    <n v="206"/>
    <s v="Product 49"/>
    <x v="40"/>
    <s v="Andrew Bowman"/>
    <x v="532"/>
    <n v="4"/>
    <x v="3"/>
    <x v="4"/>
    <x v="4"/>
    <x v="1"/>
    <x v="0"/>
  </r>
  <r>
    <s v="AX17309"/>
    <s v="ENX2084"/>
    <s v="A164"/>
    <s v="EMP1025"/>
    <s v="C1375"/>
    <x v="393"/>
    <n v="1"/>
    <n v="1783"/>
    <n v="1230"/>
    <n v="1230"/>
    <n v="1783"/>
    <n v="553"/>
    <s v="Product 85"/>
    <x v="3"/>
    <s v="Ernest Wagner"/>
    <x v="9"/>
    <n v="4"/>
    <x v="3"/>
    <x v="4"/>
    <x v="4"/>
    <x v="1"/>
    <x v="0"/>
  </r>
  <r>
    <s v="AX18999"/>
    <s v="ENX2034"/>
    <s v="A113"/>
    <s v="EMP1003"/>
    <s v="C1621"/>
    <x v="391"/>
    <n v="1"/>
    <n v="871"/>
    <n v="540"/>
    <n v="540"/>
    <n v="871"/>
    <n v="331"/>
    <s v="Product 35"/>
    <x v="73"/>
    <s v="Christopher Tucker"/>
    <x v="159"/>
    <n v="4"/>
    <x v="3"/>
    <x v="4"/>
    <x v="4"/>
    <x v="1"/>
    <x v="0"/>
  </r>
  <r>
    <s v="AX19476"/>
    <s v="ENX2029"/>
    <s v="A130"/>
    <s v="EMP1024"/>
    <s v="C1250"/>
    <x v="391"/>
    <n v="2"/>
    <n v="1848"/>
    <n v="1294"/>
    <n v="2588"/>
    <n v="3696"/>
    <n v="1108"/>
    <s v="Product 30"/>
    <x v="4"/>
    <s v="Ernest Wheeler"/>
    <x v="705"/>
    <n v="4"/>
    <x v="3"/>
    <x v="4"/>
    <x v="4"/>
    <x v="1"/>
    <x v="0"/>
  </r>
  <r>
    <s v="AX19504"/>
    <s v="ENX2006"/>
    <s v="A142"/>
    <s v="EMP1007"/>
    <s v="C1721"/>
    <x v="391"/>
    <n v="4"/>
    <n v="1826"/>
    <n v="1443"/>
    <n v="5772"/>
    <n v="7304"/>
    <n v="1532"/>
    <s v="Product 7"/>
    <x v="56"/>
    <s v="Jeremy Mendoza"/>
    <x v="678"/>
    <n v="4"/>
    <x v="3"/>
    <x v="4"/>
    <x v="4"/>
    <x v="1"/>
    <x v="0"/>
  </r>
  <r>
    <s v="AX19929"/>
    <s v="ENX2051"/>
    <s v="A112"/>
    <s v="EMP1008"/>
    <s v="C1376"/>
    <x v="393"/>
    <n v="1"/>
    <n v="1077"/>
    <n v="732"/>
    <n v="732"/>
    <n v="1077"/>
    <n v="345"/>
    <s v="Product 52"/>
    <x v="66"/>
    <s v="Carl Elliott"/>
    <x v="356"/>
    <n v="4"/>
    <x v="3"/>
    <x v="4"/>
    <x v="4"/>
    <x v="1"/>
    <x v="0"/>
  </r>
  <r>
    <s v="AX20006"/>
    <s v="ENX2076"/>
    <s v="A156"/>
    <s v="EMP1033"/>
    <s v="C1114"/>
    <x v="392"/>
    <n v="4"/>
    <n v="1522"/>
    <n v="791"/>
    <n v="3164"/>
    <n v="6088"/>
    <n v="2924"/>
    <s v="Product 77"/>
    <x v="14"/>
    <s v="Jerry Perry"/>
    <x v="405"/>
    <n v="4"/>
    <x v="3"/>
    <x v="4"/>
    <x v="4"/>
    <x v="1"/>
    <x v="0"/>
  </r>
  <r>
    <s v="AX20216"/>
    <s v="ENX2023"/>
    <s v="A139"/>
    <s v="EMP1002"/>
    <s v="C1397"/>
    <x v="393"/>
    <n v="2"/>
    <n v="818"/>
    <n v="450"/>
    <n v="900"/>
    <n v="1636"/>
    <n v="736"/>
    <s v="Product 24"/>
    <x v="38"/>
    <s v="Andrew Bowman"/>
    <x v="560"/>
    <n v="4"/>
    <x v="3"/>
    <x v="4"/>
    <x v="4"/>
    <x v="1"/>
    <x v="0"/>
  </r>
  <r>
    <s v="AX20716"/>
    <s v="ENX2066"/>
    <s v="A109"/>
    <s v="EMP1003"/>
    <s v="C1609"/>
    <x v="393"/>
    <n v="1"/>
    <n v="2091"/>
    <n v="1485"/>
    <n v="1485"/>
    <n v="2091"/>
    <n v="606"/>
    <s v="Product 67"/>
    <x v="57"/>
    <s v="Christopher Tucker"/>
    <x v="757"/>
    <n v="4"/>
    <x v="3"/>
    <x v="4"/>
    <x v="4"/>
    <x v="1"/>
    <x v="0"/>
  </r>
  <r>
    <s v="AX21523"/>
    <s v="ENX2031"/>
    <s v="A113"/>
    <s v="EMP1004"/>
    <s v="C1221"/>
    <x v="390"/>
    <n v="1"/>
    <n v="1638"/>
    <n v="1261"/>
    <n v="1261"/>
    <n v="1638"/>
    <n v="377"/>
    <s v="Product 32"/>
    <x v="73"/>
    <s v="Kenneth Bradley"/>
    <x v="429"/>
    <n v="4"/>
    <x v="3"/>
    <x v="4"/>
    <x v="4"/>
    <x v="1"/>
    <x v="0"/>
  </r>
  <r>
    <s v="AX22060"/>
    <s v="ENX2013"/>
    <s v="A145"/>
    <s v="EMP1012"/>
    <s v="C1743"/>
    <x v="391"/>
    <n v="1"/>
    <n v="368"/>
    <n v="269"/>
    <n v="269"/>
    <n v="368"/>
    <n v="99"/>
    <s v="Product 14"/>
    <x v="35"/>
    <s v="John Reyes"/>
    <x v="276"/>
    <n v="4"/>
    <x v="3"/>
    <x v="4"/>
    <x v="4"/>
    <x v="1"/>
    <x v="0"/>
  </r>
  <r>
    <s v="AX22581"/>
    <s v="ENX2097"/>
    <s v="A107"/>
    <s v="EMP1000"/>
    <s v="C1442"/>
    <x v="391"/>
    <n v="1"/>
    <n v="1052"/>
    <n v="589"/>
    <n v="589"/>
    <n v="1052"/>
    <n v="463"/>
    <s v="Product 98"/>
    <x v="21"/>
    <s v="Fred Robertson"/>
    <x v="299"/>
    <n v="4"/>
    <x v="3"/>
    <x v="4"/>
    <x v="4"/>
    <x v="1"/>
    <x v="0"/>
  </r>
  <r>
    <s v="AX22685"/>
    <s v="ENX2019"/>
    <s v="A155"/>
    <s v="EMP1040"/>
    <s v="C1414"/>
    <x v="393"/>
    <n v="3"/>
    <n v="800"/>
    <n v="536"/>
    <n v="1608"/>
    <n v="2400"/>
    <n v="792"/>
    <s v="Product 20"/>
    <x v="53"/>
    <s v="Patrick Ruiz"/>
    <x v="140"/>
    <n v="4"/>
    <x v="3"/>
    <x v="4"/>
    <x v="4"/>
    <x v="1"/>
    <x v="0"/>
  </r>
  <r>
    <s v="AX23611"/>
    <s v="ENX2098"/>
    <s v="A102"/>
    <s v="EMP1005"/>
    <s v="C1628"/>
    <x v="392"/>
    <n v="3"/>
    <n v="1178"/>
    <n v="683"/>
    <n v="2049"/>
    <n v="3534"/>
    <n v="1485"/>
    <s v="Product 99"/>
    <x v="44"/>
    <s v="Ryan Welch"/>
    <x v="161"/>
    <n v="4"/>
    <x v="3"/>
    <x v="4"/>
    <x v="4"/>
    <x v="1"/>
    <x v="0"/>
  </r>
  <r>
    <s v="AX23816"/>
    <s v="ENX2003"/>
    <s v="A129"/>
    <s v="EMP1025"/>
    <s v="C1446"/>
    <x v="391"/>
    <n v="1"/>
    <n v="1783"/>
    <n v="1516"/>
    <n v="1516"/>
    <n v="1783"/>
    <n v="267"/>
    <s v="Product 4"/>
    <x v="22"/>
    <s v="Ernest Wagner"/>
    <x v="345"/>
    <n v="4"/>
    <x v="3"/>
    <x v="4"/>
    <x v="4"/>
    <x v="1"/>
    <x v="0"/>
  </r>
  <r>
    <s v="AX24178"/>
    <s v="ENX2043"/>
    <s v="A142"/>
    <s v="EMP1042"/>
    <s v="C1445"/>
    <x v="392"/>
    <n v="3"/>
    <n v="545"/>
    <n v="425"/>
    <n v="1275"/>
    <n v="1635"/>
    <n v="360"/>
    <s v="Product 44"/>
    <x v="56"/>
    <s v="Scott Clark"/>
    <x v="239"/>
    <n v="4"/>
    <x v="3"/>
    <x v="4"/>
    <x v="4"/>
    <x v="1"/>
    <x v="0"/>
  </r>
  <r>
    <s v="AX24368"/>
    <s v="ENX2001"/>
    <s v="A115"/>
    <s v="EMP1020"/>
    <s v="C1783"/>
    <x v="393"/>
    <n v="1"/>
    <n v="951"/>
    <n v="504"/>
    <n v="504"/>
    <n v="951"/>
    <n v="447"/>
    <s v="Product 2"/>
    <x v="33"/>
    <s v="Ryan Butler"/>
    <x v="272"/>
    <n v="4"/>
    <x v="3"/>
    <x v="4"/>
    <x v="4"/>
    <x v="1"/>
    <x v="0"/>
  </r>
  <r>
    <s v="AX24841"/>
    <s v="ENX2082"/>
    <s v="A109"/>
    <s v="EMP1005"/>
    <s v="C1024"/>
    <x v="391"/>
    <n v="3"/>
    <n v="1103"/>
    <n v="838"/>
    <n v="2514"/>
    <n v="3309"/>
    <n v="795"/>
    <s v="Product 83"/>
    <x v="57"/>
    <s v="Ryan Welch"/>
    <x v="599"/>
    <n v="4"/>
    <x v="3"/>
    <x v="4"/>
    <x v="4"/>
    <x v="1"/>
    <x v="0"/>
  </r>
  <r>
    <s v="AX10034"/>
    <s v="ENX2099"/>
    <s v="A103"/>
    <s v="EMP1029"/>
    <s v="C1299"/>
    <x v="394"/>
    <n v="1"/>
    <n v="1367"/>
    <n v="984"/>
    <n v="984"/>
    <n v="1367"/>
    <n v="383"/>
    <s v="Product 100"/>
    <x v="61"/>
    <s v="Howard Gardner"/>
    <x v="655"/>
    <n v="4"/>
    <x v="3"/>
    <x v="4"/>
    <x v="4"/>
    <x v="1"/>
    <x v="2"/>
  </r>
  <r>
    <s v="AX10085"/>
    <s v="ENX2002"/>
    <s v="A130"/>
    <s v="EMP1004"/>
    <s v="C1043"/>
    <x v="395"/>
    <n v="3"/>
    <n v="847"/>
    <n v="534"/>
    <n v="1602"/>
    <n v="2541"/>
    <n v="939"/>
    <s v="Product 3"/>
    <x v="4"/>
    <s v="Kenneth Bradley"/>
    <x v="546"/>
    <n v="4"/>
    <x v="3"/>
    <x v="4"/>
    <x v="4"/>
    <x v="1"/>
    <x v="2"/>
  </r>
  <r>
    <s v="AX10113"/>
    <s v="ENX2010"/>
    <s v="A167"/>
    <s v="EMP1007"/>
    <s v="C1471"/>
    <x v="395"/>
    <n v="3"/>
    <n v="1812"/>
    <n v="1305"/>
    <n v="3915"/>
    <n v="5436"/>
    <n v="1521"/>
    <s v="Product 11"/>
    <x v="64"/>
    <s v="Jeremy Mendoza"/>
    <x v="586"/>
    <n v="4"/>
    <x v="3"/>
    <x v="4"/>
    <x v="4"/>
    <x v="1"/>
    <x v="2"/>
  </r>
  <r>
    <s v="AX10480"/>
    <s v="ENX2095"/>
    <s v="A125"/>
    <s v="EMP1040"/>
    <s v="C1213"/>
    <x v="394"/>
    <n v="4"/>
    <n v="1743"/>
    <n v="872"/>
    <n v="3488"/>
    <n v="6972"/>
    <n v="3484"/>
    <s v="Product 96"/>
    <x v="31"/>
    <s v="Patrick Ruiz"/>
    <x v="487"/>
    <n v="4"/>
    <x v="3"/>
    <x v="4"/>
    <x v="4"/>
    <x v="1"/>
    <x v="2"/>
  </r>
  <r>
    <s v="AX10776"/>
    <s v="ENX2097"/>
    <s v="A170"/>
    <s v="EMP1002"/>
    <s v="C1088"/>
    <x v="396"/>
    <n v="1"/>
    <n v="1052"/>
    <n v="589"/>
    <n v="589"/>
    <n v="1052"/>
    <n v="463"/>
    <s v="Product 98"/>
    <x v="47"/>
    <s v="Andrew Bowman"/>
    <x v="498"/>
    <n v="4"/>
    <x v="3"/>
    <x v="4"/>
    <x v="4"/>
    <x v="1"/>
    <x v="2"/>
  </r>
  <r>
    <s v="AX10864"/>
    <s v="ENX2014"/>
    <s v="A144"/>
    <s v="EMP1000"/>
    <s v="C1778"/>
    <x v="395"/>
    <n v="1"/>
    <n v="1809"/>
    <n v="1067"/>
    <n v="1067"/>
    <n v="1809"/>
    <n v="742"/>
    <s v="Product 15"/>
    <x v="65"/>
    <s v="Fred Robertson"/>
    <x v="420"/>
    <n v="4"/>
    <x v="3"/>
    <x v="4"/>
    <x v="4"/>
    <x v="1"/>
    <x v="2"/>
  </r>
  <r>
    <s v="AX11392"/>
    <s v="ENX2043"/>
    <s v="A129"/>
    <s v="EMP1040"/>
    <s v="C1658"/>
    <x v="396"/>
    <n v="3"/>
    <n v="545"/>
    <n v="425"/>
    <n v="1275"/>
    <n v="1635"/>
    <n v="360"/>
    <s v="Product 44"/>
    <x v="22"/>
    <s v="Patrick Ruiz"/>
    <x v="612"/>
    <n v="4"/>
    <x v="3"/>
    <x v="4"/>
    <x v="4"/>
    <x v="1"/>
    <x v="2"/>
  </r>
  <r>
    <s v="AX12324"/>
    <s v="ENX2080"/>
    <s v="A133"/>
    <s v="EMP1016"/>
    <s v="C1577"/>
    <x v="397"/>
    <n v="3"/>
    <n v="2353"/>
    <n v="1788"/>
    <n v="5364"/>
    <n v="7059"/>
    <n v="1695"/>
    <s v="Product 81"/>
    <x v="46"/>
    <s v="Henry Nelson"/>
    <x v="50"/>
    <n v="4"/>
    <x v="3"/>
    <x v="4"/>
    <x v="4"/>
    <x v="1"/>
    <x v="2"/>
  </r>
  <r>
    <s v="AX12350"/>
    <s v="ENX2097"/>
    <s v="A122"/>
    <s v="EMP1025"/>
    <s v="C1730"/>
    <x v="398"/>
    <n v="3"/>
    <n v="1052"/>
    <n v="589"/>
    <n v="1767"/>
    <n v="3156"/>
    <n v="1389"/>
    <s v="Product 98"/>
    <x v="71"/>
    <s v="Ernest Wagner"/>
    <x v="777"/>
    <n v="4"/>
    <x v="3"/>
    <x v="4"/>
    <x v="4"/>
    <x v="1"/>
    <x v="2"/>
  </r>
  <r>
    <s v="AX12565"/>
    <s v="ENX2034"/>
    <s v="A140"/>
    <s v="EMP1013"/>
    <s v="C1211"/>
    <x v="396"/>
    <n v="1"/>
    <n v="871"/>
    <n v="540"/>
    <n v="540"/>
    <n v="871"/>
    <n v="331"/>
    <s v="Product 35"/>
    <x v="18"/>
    <s v="Charles Harper"/>
    <x v="137"/>
    <n v="4"/>
    <x v="3"/>
    <x v="4"/>
    <x v="4"/>
    <x v="1"/>
    <x v="2"/>
  </r>
  <r>
    <s v="AX13082"/>
    <s v="ENX2094"/>
    <s v="A153"/>
    <s v="EMP1024"/>
    <s v="C1158"/>
    <x v="396"/>
    <n v="3"/>
    <n v="771"/>
    <n v="648"/>
    <n v="1944"/>
    <n v="2313"/>
    <n v="369"/>
    <s v="Product 95"/>
    <x v="8"/>
    <s v="Ernest Wheeler"/>
    <x v="541"/>
    <n v="4"/>
    <x v="3"/>
    <x v="4"/>
    <x v="4"/>
    <x v="1"/>
    <x v="2"/>
  </r>
  <r>
    <s v="AX13607"/>
    <s v="ENX2052"/>
    <s v="A168"/>
    <s v="EMP1018"/>
    <s v="C1656"/>
    <x v="398"/>
    <n v="1"/>
    <n v="1526"/>
    <n v="1251"/>
    <n v="1251"/>
    <n v="1526"/>
    <n v="275"/>
    <s v="Product 53"/>
    <x v="40"/>
    <s v="Jimmy Young"/>
    <x v="115"/>
    <n v="4"/>
    <x v="3"/>
    <x v="4"/>
    <x v="4"/>
    <x v="1"/>
    <x v="2"/>
  </r>
  <r>
    <s v="AX13864"/>
    <s v="ENX2050"/>
    <s v="A109"/>
    <s v="EMP1000"/>
    <s v="C1190"/>
    <x v="396"/>
    <n v="2"/>
    <n v="2391"/>
    <n v="1291"/>
    <n v="2582"/>
    <n v="4782"/>
    <n v="2200"/>
    <s v="Product 51"/>
    <x v="57"/>
    <s v="Fred Robertson"/>
    <x v="1"/>
    <n v="4"/>
    <x v="3"/>
    <x v="4"/>
    <x v="4"/>
    <x v="1"/>
    <x v="2"/>
  </r>
  <r>
    <s v="AX14018"/>
    <s v="ENX2045"/>
    <s v="A103"/>
    <s v="EMP1016"/>
    <s v="C1386"/>
    <x v="394"/>
    <n v="3"/>
    <n v="556"/>
    <n v="395"/>
    <n v="1185"/>
    <n v="1668"/>
    <n v="483"/>
    <s v="Product 46"/>
    <x v="61"/>
    <s v="Henry Nelson"/>
    <x v="123"/>
    <n v="4"/>
    <x v="3"/>
    <x v="4"/>
    <x v="4"/>
    <x v="1"/>
    <x v="2"/>
  </r>
  <r>
    <s v="AX14090"/>
    <s v="ENX2040"/>
    <s v="A140"/>
    <s v="EMP1035"/>
    <s v="C1738"/>
    <x v="394"/>
    <n v="1"/>
    <n v="1889"/>
    <n v="945"/>
    <n v="945"/>
    <n v="1889"/>
    <n v="944"/>
    <s v="Product 41"/>
    <x v="18"/>
    <s v="Roger Ramos"/>
    <x v="35"/>
    <n v="4"/>
    <x v="3"/>
    <x v="4"/>
    <x v="4"/>
    <x v="1"/>
    <x v="2"/>
  </r>
  <r>
    <s v="AX14368"/>
    <s v="ENX2014"/>
    <s v="A134"/>
    <s v="EMP1013"/>
    <s v="C1142"/>
    <x v="395"/>
    <n v="1"/>
    <n v="1809"/>
    <n v="1067"/>
    <n v="1067"/>
    <n v="1809"/>
    <n v="742"/>
    <s v="Product 15"/>
    <x v="41"/>
    <s v="Charles Harper"/>
    <x v="731"/>
    <n v="4"/>
    <x v="3"/>
    <x v="4"/>
    <x v="4"/>
    <x v="1"/>
    <x v="2"/>
  </r>
  <r>
    <s v="AX14511"/>
    <s v="ENX2054"/>
    <s v="A151"/>
    <s v="EMP1025"/>
    <s v="C1531"/>
    <x v="397"/>
    <n v="2"/>
    <n v="127"/>
    <n v="79"/>
    <n v="158"/>
    <n v="254"/>
    <n v="96"/>
    <s v="Product 55"/>
    <x v="1"/>
    <s v="Ernest Wagner"/>
    <x v="743"/>
    <n v="4"/>
    <x v="3"/>
    <x v="4"/>
    <x v="4"/>
    <x v="1"/>
    <x v="2"/>
  </r>
  <r>
    <s v="AX14942"/>
    <s v="ENX2018"/>
    <s v="A136"/>
    <s v="EMP1031"/>
    <s v="C1589"/>
    <x v="396"/>
    <n v="1"/>
    <n v="1972"/>
    <n v="1321"/>
    <n v="1321"/>
    <n v="1972"/>
    <n v="651"/>
    <s v="Product 19"/>
    <x v="43"/>
    <s v="Brian Thomas"/>
    <x v="39"/>
    <n v="4"/>
    <x v="3"/>
    <x v="4"/>
    <x v="4"/>
    <x v="1"/>
    <x v="2"/>
  </r>
  <r>
    <s v="AX15408"/>
    <s v="ENX2018"/>
    <s v="A141"/>
    <s v="EMP1036"/>
    <s v="C1738"/>
    <x v="394"/>
    <n v="4"/>
    <n v="1972"/>
    <n v="1321"/>
    <n v="5284"/>
    <n v="7888"/>
    <n v="2604"/>
    <s v="Product 19"/>
    <x v="23"/>
    <s v="Robert Reed"/>
    <x v="35"/>
    <n v="4"/>
    <x v="3"/>
    <x v="4"/>
    <x v="4"/>
    <x v="1"/>
    <x v="2"/>
  </r>
  <r>
    <s v="AX15413"/>
    <s v="ENX2094"/>
    <s v="A108"/>
    <s v="EMP1043"/>
    <s v="C1566"/>
    <x v="395"/>
    <n v="1"/>
    <n v="771"/>
    <n v="648"/>
    <n v="648"/>
    <n v="771"/>
    <n v="123"/>
    <s v="Product 95"/>
    <x v="49"/>
    <s v="Joshua Taylor"/>
    <x v="45"/>
    <n v="4"/>
    <x v="3"/>
    <x v="4"/>
    <x v="4"/>
    <x v="1"/>
    <x v="2"/>
  </r>
  <r>
    <s v="AX15578"/>
    <s v="ENX2083"/>
    <s v="A164"/>
    <s v="EMP1031"/>
    <s v="C1064"/>
    <x v="395"/>
    <n v="4"/>
    <n v="2141"/>
    <n v="1777"/>
    <n v="7108"/>
    <n v="8564"/>
    <n v="1456"/>
    <s v="Product 84"/>
    <x v="3"/>
    <s v="Brian Thomas"/>
    <x v="597"/>
    <n v="4"/>
    <x v="3"/>
    <x v="4"/>
    <x v="4"/>
    <x v="1"/>
    <x v="2"/>
  </r>
  <r>
    <s v="AX15696"/>
    <s v="ENX2031"/>
    <s v="A158"/>
    <s v="EMP1031"/>
    <s v="C1395"/>
    <x v="397"/>
    <n v="1"/>
    <n v="1638"/>
    <n v="1261"/>
    <n v="1261"/>
    <n v="1638"/>
    <n v="377"/>
    <s v="Product 32"/>
    <x v="58"/>
    <s v="Brian Thomas"/>
    <x v="202"/>
    <n v="4"/>
    <x v="3"/>
    <x v="4"/>
    <x v="4"/>
    <x v="1"/>
    <x v="2"/>
  </r>
  <r>
    <s v="AX15898"/>
    <s v="ENX2067"/>
    <s v="A134"/>
    <s v="EMP1030"/>
    <s v="C1636"/>
    <x v="394"/>
    <n v="4"/>
    <n v="1119"/>
    <n v="683"/>
    <n v="2732"/>
    <n v="4476"/>
    <n v="1744"/>
    <s v="Product 68"/>
    <x v="41"/>
    <s v="Bobby Russell"/>
    <x v="668"/>
    <n v="4"/>
    <x v="3"/>
    <x v="4"/>
    <x v="4"/>
    <x v="1"/>
    <x v="2"/>
  </r>
  <r>
    <s v="AX16430"/>
    <s v="ENX2070"/>
    <s v="A159"/>
    <s v="EMP1031"/>
    <s v="C1669"/>
    <x v="397"/>
    <n v="1"/>
    <n v="1671"/>
    <n v="1220"/>
    <n v="1220"/>
    <n v="1671"/>
    <n v="451"/>
    <s v="Product 71"/>
    <x v="13"/>
    <s v="Brian Thomas"/>
    <x v="447"/>
    <n v="4"/>
    <x v="3"/>
    <x v="4"/>
    <x v="4"/>
    <x v="1"/>
    <x v="2"/>
  </r>
  <r>
    <s v="AX16510"/>
    <s v="ENX2005"/>
    <s v="A118"/>
    <s v="EMP1023"/>
    <s v="C1023"/>
    <x v="397"/>
    <n v="1"/>
    <n v="684"/>
    <n v="561"/>
    <n v="561"/>
    <n v="684"/>
    <n v="123"/>
    <s v="Product 6"/>
    <x v="19"/>
    <s v="Brian Davis"/>
    <x v="799"/>
    <n v="4"/>
    <x v="3"/>
    <x v="4"/>
    <x v="4"/>
    <x v="1"/>
    <x v="2"/>
  </r>
  <r>
    <s v="AX16992"/>
    <s v="ENX2009"/>
    <s v="A163"/>
    <s v="EMP1018"/>
    <s v="C1506"/>
    <x v="395"/>
    <n v="1"/>
    <n v="584"/>
    <n v="420"/>
    <n v="420"/>
    <n v="584"/>
    <n v="164"/>
    <s v="Product 10"/>
    <x v="51"/>
    <s v="Jimmy Young"/>
    <x v="538"/>
    <n v="4"/>
    <x v="3"/>
    <x v="4"/>
    <x v="4"/>
    <x v="1"/>
    <x v="2"/>
  </r>
  <r>
    <s v="AX17014"/>
    <s v="ENX2012"/>
    <s v="A155"/>
    <s v="EMP1030"/>
    <s v="C1732"/>
    <x v="398"/>
    <n v="1"/>
    <n v="1353"/>
    <n v="947"/>
    <n v="947"/>
    <n v="1353"/>
    <n v="406"/>
    <s v="Product 13"/>
    <x v="53"/>
    <s v="Bobby Russell"/>
    <x v="136"/>
    <n v="4"/>
    <x v="3"/>
    <x v="4"/>
    <x v="4"/>
    <x v="1"/>
    <x v="2"/>
  </r>
  <r>
    <s v="AX17069"/>
    <s v="ENX2092"/>
    <s v="A148"/>
    <s v="EMP1037"/>
    <s v="C1570"/>
    <x v="394"/>
    <n v="1"/>
    <n v="1639"/>
    <n v="1295"/>
    <n v="1295"/>
    <n v="1639"/>
    <n v="344"/>
    <s v="Product 93"/>
    <x v="62"/>
    <s v="Carl Hall"/>
    <x v="695"/>
    <n v="4"/>
    <x v="3"/>
    <x v="4"/>
    <x v="4"/>
    <x v="1"/>
    <x v="2"/>
  </r>
  <r>
    <s v="AX17185"/>
    <s v="ENX2080"/>
    <s v="A138"/>
    <s v="EMP1038"/>
    <s v="C1637"/>
    <x v="397"/>
    <n v="4"/>
    <n v="2353"/>
    <n v="1788"/>
    <n v="7152"/>
    <n v="9412"/>
    <n v="2260"/>
    <s v="Product 81"/>
    <x v="37"/>
    <s v="Scott Mason"/>
    <x v="326"/>
    <n v="4"/>
    <x v="3"/>
    <x v="4"/>
    <x v="4"/>
    <x v="1"/>
    <x v="2"/>
  </r>
  <r>
    <s v="AX17555"/>
    <s v="ENX2030"/>
    <s v="A134"/>
    <s v="EMP1003"/>
    <s v="C1164"/>
    <x v="397"/>
    <n v="1"/>
    <n v="1899"/>
    <n v="1044"/>
    <n v="1044"/>
    <n v="1899"/>
    <n v="855"/>
    <s v="Product 31"/>
    <x v="41"/>
    <s v="Christopher Tucker"/>
    <x v="149"/>
    <n v="4"/>
    <x v="3"/>
    <x v="4"/>
    <x v="4"/>
    <x v="1"/>
    <x v="2"/>
  </r>
  <r>
    <s v="AX18329"/>
    <s v="ENX2037"/>
    <s v="A124"/>
    <s v="EMP1030"/>
    <s v="C1167"/>
    <x v="395"/>
    <n v="2"/>
    <n v="880"/>
    <n v="634"/>
    <n v="1268"/>
    <n v="1760"/>
    <n v="492"/>
    <s v="Product 38"/>
    <x v="67"/>
    <s v="Bobby Russell"/>
    <x v="481"/>
    <n v="4"/>
    <x v="3"/>
    <x v="4"/>
    <x v="4"/>
    <x v="1"/>
    <x v="2"/>
  </r>
  <r>
    <s v="AX18345"/>
    <s v="ENX2085"/>
    <s v="A173"/>
    <s v="EMP1041"/>
    <s v="C1677"/>
    <x v="394"/>
    <n v="3"/>
    <n v="1862"/>
    <n v="1173"/>
    <n v="3519"/>
    <n v="5586"/>
    <n v="2067"/>
    <s v="Product 86"/>
    <x v="25"/>
    <s v="Joe Sims"/>
    <x v="641"/>
    <n v="4"/>
    <x v="3"/>
    <x v="4"/>
    <x v="4"/>
    <x v="1"/>
    <x v="2"/>
  </r>
  <r>
    <s v="AX18368"/>
    <s v="ENX2074"/>
    <s v="A152"/>
    <s v="EMP1016"/>
    <s v="C1260"/>
    <x v="396"/>
    <n v="2"/>
    <n v="504"/>
    <n v="408"/>
    <n v="816"/>
    <n v="1008"/>
    <n v="192"/>
    <s v="Product 75"/>
    <x v="26"/>
    <s v="Henry Nelson"/>
    <x v="27"/>
    <n v="4"/>
    <x v="3"/>
    <x v="4"/>
    <x v="4"/>
    <x v="1"/>
    <x v="2"/>
  </r>
  <r>
    <s v="AX18582"/>
    <s v="ENX2050"/>
    <s v="A110"/>
    <s v="EMP1034"/>
    <s v="C1798"/>
    <x v="397"/>
    <n v="3"/>
    <n v="2391"/>
    <n v="1291"/>
    <n v="3873"/>
    <n v="7173"/>
    <n v="3300"/>
    <s v="Product 51"/>
    <x v="63"/>
    <s v="Arthur Mccoy"/>
    <x v="608"/>
    <n v="4"/>
    <x v="3"/>
    <x v="4"/>
    <x v="4"/>
    <x v="1"/>
    <x v="2"/>
  </r>
  <r>
    <s v="AX18666"/>
    <s v="ENX2011"/>
    <s v="A106"/>
    <s v="EMP1017"/>
    <s v="C1063"/>
    <x v="395"/>
    <n v="2"/>
    <n v="530"/>
    <n v="435"/>
    <n v="870"/>
    <n v="1060"/>
    <n v="190"/>
    <s v="Product 12"/>
    <x v="11"/>
    <s v="Brian Hansen"/>
    <x v="296"/>
    <n v="4"/>
    <x v="3"/>
    <x v="4"/>
    <x v="4"/>
    <x v="1"/>
    <x v="2"/>
  </r>
  <r>
    <s v="AX19158"/>
    <s v="ENX2045"/>
    <s v="A117"/>
    <s v="EMP1030"/>
    <s v="C1686"/>
    <x v="394"/>
    <n v="3"/>
    <n v="556"/>
    <n v="395"/>
    <n v="1185"/>
    <n v="1668"/>
    <n v="483"/>
    <s v="Product 46"/>
    <x v="29"/>
    <s v="Bobby Russell"/>
    <x v="748"/>
    <n v="4"/>
    <x v="3"/>
    <x v="4"/>
    <x v="4"/>
    <x v="1"/>
    <x v="2"/>
  </r>
  <r>
    <s v="AX19183"/>
    <s v="ENX2054"/>
    <s v="A132"/>
    <s v="EMP1010"/>
    <s v="C1195"/>
    <x v="394"/>
    <n v="2"/>
    <n v="127"/>
    <n v="79"/>
    <n v="158"/>
    <n v="254"/>
    <n v="96"/>
    <s v="Product 55"/>
    <x v="48"/>
    <s v="Joshua Cook"/>
    <x v="188"/>
    <n v="4"/>
    <x v="3"/>
    <x v="4"/>
    <x v="4"/>
    <x v="1"/>
    <x v="2"/>
  </r>
  <r>
    <s v="AX19184"/>
    <s v="ENX2046"/>
    <s v="A156"/>
    <s v="EMP1019"/>
    <s v="C1196"/>
    <x v="397"/>
    <n v="1"/>
    <n v="2410"/>
    <n v="1518"/>
    <n v="1518"/>
    <n v="2410"/>
    <n v="892"/>
    <s v="Product 47"/>
    <x v="14"/>
    <s v="Roger Robertson"/>
    <x v="65"/>
    <n v="4"/>
    <x v="3"/>
    <x v="4"/>
    <x v="4"/>
    <x v="1"/>
    <x v="2"/>
  </r>
  <r>
    <s v="AX20160"/>
    <s v="ENX2061"/>
    <s v="A153"/>
    <s v="EMP1000"/>
    <s v="C1768"/>
    <x v="394"/>
    <n v="2"/>
    <n v="913"/>
    <n v="584"/>
    <n v="1168"/>
    <n v="1826"/>
    <n v="658"/>
    <s v="Product 62"/>
    <x v="8"/>
    <s v="Fred Robertson"/>
    <x v="496"/>
    <n v="4"/>
    <x v="3"/>
    <x v="4"/>
    <x v="4"/>
    <x v="1"/>
    <x v="2"/>
  </r>
  <r>
    <s v="AX20190"/>
    <s v="ENX2085"/>
    <s v="A163"/>
    <s v="EMP1001"/>
    <s v="C1445"/>
    <x v="397"/>
    <n v="1"/>
    <n v="1862"/>
    <n v="1173"/>
    <n v="1173"/>
    <n v="1862"/>
    <n v="689"/>
    <s v="Product 86"/>
    <x v="51"/>
    <s v="Kevin Butler"/>
    <x v="239"/>
    <n v="4"/>
    <x v="3"/>
    <x v="4"/>
    <x v="4"/>
    <x v="1"/>
    <x v="2"/>
  </r>
  <r>
    <s v="AX20469"/>
    <s v="ENX2018"/>
    <s v="A163"/>
    <s v="EMP1020"/>
    <s v="C1510"/>
    <x v="398"/>
    <n v="2"/>
    <n v="1972"/>
    <n v="1321"/>
    <n v="2642"/>
    <n v="3944"/>
    <n v="1302"/>
    <s v="Product 19"/>
    <x v="51"/>
    <s v="Ryan Butler"/>
    <x v="113"/>
    <n v="4"/>
    <x v="3"/>
    <x v="4"/>
    <x v="4"/>
    <x v="1"/>
    <x v="2"/>
  </r>
  <r>
    <s v="AX20681"/>
    <s v="ENX2012"/>
    <s v="A133"/>
    <s v="EMP1031"/>
    <s v="C1107"/>
    <x v="396"/>
    <n v="1"/>
    <n v="1353"/>
    <n v="947"/>
    <n v="947"/>
    <n v="1353"/>
    <n v="406"/>
    <s v="Product 13"/>
    <x v="46"/>
    <s v="Brian Thomas"/>
    <x v="278"/>
    <n v="4"/>
    <x v="3"/>
    <x v="4"/>
    <x v="4"/>
    <x v="1"/>
    <x v="2"/>
  </r>
  <r>
    <s v="AX20848"/>
    <s v="ENX2081"/>
    <s v="A103"/>
    <s v="EMP1038"/>
    <s v="C1602"/>
    <x v="394"/>
    <n v="1"/>
    <n v="1566"/>
    <n v="1190"/>
    <n v="1190"/>
    <n v="1566"/>
    <n v="376"/>
    <s v="Product 82"/>
    <x v="61"/>
    <s v="Scott Mason"/>
    <x v="749"/>
    <n v="4"/>
    <x v="3"/>
    <x v="4"/>
    <x v="4"/>
    <x v="1"/>
    <x v="2"/>
  </r>
  <r>
    <s v="AX20878"/>
    <s v="ENX2053"/>
    <s v="A170"/>
    <s v="EMP1040"/>
    <s v="C1392"/>
    <x v="395"/>
    <n v="1"/>
    <n v="596"/>
    <n v="358"/>
    <n v="358"/>
    <n v="596"/>
    <n v="238"/>
    <s v="Product 54"/>
    <x v="47"/>
    <s v="Patrick Ruiz"/>
    <x v="78"/>
    <n v="4"/>
    <x v="3"/>
    <x v="4"/>
    <x v="4"/>
    <x v="1"/>
    <x v="2"/>
  </r>
  <r>
    <s v="AX21165"/>
    <s v="ENX2050"/>
    <s v="A111"/>
    <s v="EMP1010"/>
    <s v="C1292"/>
    <x v="397"/>
    <n v="1"/>
    <n v="2391"/>
    <n v="1291"/>
    <n v="1291"/>
    <n v="2391"/>
    <n v="1100"/>
    <s v="Product 51"/>
    <x v="54"/>
    <s v="Joshua Cook"/>
    <x v="333"/>
    <n v="4"/>
    <x v="3"/>
    <x v="4"/>
    <x v="4"/>
    <x v="1"/>
    <x v="2"/>
  </r>
  <r>
    <s v="AX21309"/>
    <s v="ENX2057"/>
    <s v="A142"/>
    <s v="EMP1024"/>
    <s v="C1066"/>
    <x v="396"/>
    <n v="4"/>
    <n v="181"/>
    <n v="130"/>
    <n v="520"/>
    <n v="724"/>
    <n v="204"/>
    <s v="Product 58"/>
    <x v="56"/>
    <s v="Ernest Wheeler"/>
    <x v="124"/>
    <n v="4"/>
    <x v="3"/>
    <x v="4"/>
    <x v="4"/>
    <x v="1"/>
    <x v="2"/>
  </r>
  <r>
    <s v="AX21696"/>
    <s v="ENX2004"/>
    <s v="A151"/>
    <s v="EMP1011"/>
    <s v="C1096"/>
    <x v="398"/>
    <n v="3"/>
    <n v="1278"/>
    <n v="665"/>
    <n v="1995"/>
    <n v="3834"/>
    <n v="1839"/>
    <s v="Product 5"/>
    <x v="1"/>
    <s v="Larry Marshall"/>
    <x v="91"/>
    <n v="4"/>
    <x v="3"/>
    <x v="4"/>
    <x v="4"/>
    <x v="1"/>
    <x v="2"/>
  </r>
  <r>
    <s v="AX21995"/>
    <s v="ENX2074"/>
    <s v="A133"/>
    <s v="EMP1008"/>
    <s v="C1555"/>
    <x v="394"/>
    <n v="1"/>
    <n v="504"/>
    <n v="408"/>
    <n v="408"/>
    <n v="504"/>
    <n v="96"/>
    <s v="Product 75"/>
    <x v="46"/>
    <s v="Carl Elliott"/>
    <x v="148"/>
    <n v="4"/>
    <x v="3"/>
    <x v="4"/>
    <x v="4"/>
    <x v="1"/>
    <x v="2"/>
  </r>
  <r>
    <s v="AX22149"/>
    <s v="ENX2011"/>
    <s v="A153"/>
    <s v="EMP1001"/>
    <s v="C1230"/>
    <x v="396"/>
    <n v="4"/>
    <n v="530"/>
    <n v="435"/>
    <n v="1740"/>
    <n v="2120"/>
    <n v="380"/>
    <s v="Product 12"/>
    <x v="8"/>
    <s v="Kevin Butler"/>
    <x v="578"/>
    <n v="4"/>
    <x v="3"/>
    <x v="4"/>
    <x v="4"/>
    <x v="1"/>
    <x v="2"/>
  </r>
  <r>
    <s v="AX22308"/>
    <s v="ENX2079"/>
    <s v="A108"/>
    <s v="EMP1018"/>
    <s v="C1639"/>
    <x v="396"/>
    <n v="2"/>
    <n v="1725"/>
    <n v="1363"/>
    <n v="2726"/>
    <n v="3450"/>
    <n v="724"/>
    <s v="Product 80"/>
    <x v="49"/>
    <s v="Jimmy Young"/>
    <x v="30"/>
    <n v="4"/>
    <x v="3"/>
    <x v="4"/>
    <x v="4"/>
    <x v="1"/>
    <x v="2"/>
  </r>
  <r>
    <s v="AX22492"/>
    <s v="ENX2004"/>
    <s v="A108"/>
    <s v="EMP1033"/>
    <s v="C1454"/>
    <x v="395"/>
    <n v="3"/>
    <n v="1278"/>
    <n v="665"/>
    <n v="1995"/>
    <n v="3834"/>
    <n v="1839"/>
    <s v="Product 5"/>
    <x v="49"/>
    <s v="Jerry Perry"/>
    <x v="68"/>
    <n v="4"/>
    <x v="3"/>
    <x v="4"/>
    <x v="4"/>
    <x v="1"/>
    <x v="2"/>
  </r>
  <r>
    <s v="AX22566"/>
    <s v="ENX2061"/>
    <s v="A130"/>
    <s v="EMP1041"/>
    <s v="C1370"/>
    <x v="394"/>
    <n v="1"/>
    <n v="913"/>
    <n v="584"/>
    <n v="584"/>
    <n v="913"/>
    <n v="329"/>
    <s v="Product 62"/>
    <x v="4"/>
    <s v="Joe Sims"/>
    <x v="341"/>
    <n v="4"/>
    <x v="3"/>
    <x v="4"/>
    <x v="4"/>
    <x v="1"/>
    <x v="2"/>
  </r>
  <r>
    <s v="AX22577"/>
    <s v="ENX2041"/>
    <s v="A162"/>
    <s v="EMP1022"/>
    <s v="C1476"/>
    <x v="397"/>
    <n v="2"/>
    <n v="1380"/>
    <n v="1090"/>
    <n v="2180"/>
    <n v="2760"/>
    <n v="580"/>
    <s v="Product 42"/>
    <x v="2"/>
    <s v="Walter Cook"/>
    <x v="207"/>
    <n v="4"/>
    <x v="3"/>
    <x v="4"/>
    <x v="4"/>
    <x v="1"/>
    <x v="2"/>
  </r>
  <r>
    <s v="AX22829"/>
    <s v="ENX2038"/>
    <s v="A167"/>
    <s v="EMP1005"/>
    <s v="C1519"/>
    <x v="398"/>
    <n v="1"/>
    <n v="392"/>
    <n v="255"/>
    <n v="255"/>
    <n v="392"/>
    <n v="137"/>
    <s v="Product 39"/>
    <x v="64"/>
    <s v="Ryan Welch"/>
    <x v="426"/>
    <n v="4"/>
    <x v="3"/>
    <x v="4"/>
    <x v="4"/>
    <x v="1"/>
    <x v="2"/>
  </r>
  <r>
    <s v="AX22865"/>
    <s v="ENX2085"/>
    <s v="A131"/>
    <s v="EMP1044"/>
    <s v="C1600"/>
    <x v="398"/>
    <n v="1"/>
    <n v="1862"/>
    <n v="1173"/>
    <n v="1173"/>
    <n v="1862"/>
    <n v="689"/>
    <s v="Product 86"/>
    <x v="32"/>
    <s v="Martin Carr"/>
    <x v="266"/>
    <n v="4"/>
    <x v="3"/>
    <x v="4"/>
    <x v="4"/>
    <x v="1"/>
    <x v="2"/>
  </r>
  <r>
    <s v="AX23106"/>
    <s v="ENX2029"/>
    <s v="A137"/>
    <s v="EMP1001"/>
    <s v="C1212"/>
    <x v="397"/>
    <n v="2"/>
    <n v="1848"/>
    <n v="1294"/>
    <n v="2588"/>
    <n v="3696"/>
    <n v="1108"/>
    <s v="Product 30"/>
    <x v="68"/>
    <s v="Kevin Butler"/>
    <x v="220"/>
    <n v="4"/>
    <x v="3"/>
    <x v="4"/>
    <x v="4"/>
    <x v="1"/>
    <x v="2"/>
  </r>
  <r>
    <s v="AX23124"/>
    <s v="ENX2078"/>
    <s v="A132"/>
    <s v="EMP1018"/>
    <s v="C1446"/>
    <x v="394"/>
    <n v="1"/>
    <n v="1798"/>
    <n v="971"/>
    <n v="971"/>
    <n v="1798"/>
    <n v="827"/>
    <s v="Product 79"/>
    <x v="48"/>
    <s v="Jimmy Young"/>
    <x v="345"/>
    <n v="4"/>
    <x v="3"/>
    <x v="4"/>
    <x v="4"/>
    <x v="1"/>
    <x v="2"/>
  </r>
  <r>
    <s v="AX23133"/>
    <s v="ENX2045"/>
    <s v="A121"/>
    <s v="EMP1018"/>
    <s v="C1345"/>
    <x v="394"/>
    <n v="2"/>
    <n v="556"/>
    <n v="395"/>
    <n v="790"/>
    <n v="1112"/>
    <n v="322"/>
    <s v="Product 46"/>
    <x v="72"/>
    <s v="Jimmy Young"/>
    <x v="567"/>
    <n v="4"/>
    <x v="3"/>
    <x v="4"/>
    <x v="4"/>
    <x v="1"/>
    <x v="2"/>
  </r>
  <r>
    <s v="AX23210"/>
    <s v="ENX2028"/>
    <s v="A117"/>
    <s v="EMP1040"/>
    <s v="C1530"/>
    <x v="397"/>
    <n v="2"/>
    <n v="2283"/>
    <n v="1484"/>
    <n v="2968"/>
    <n v="4566"/>
    <n v="1598"/>
    <s v="Product 29"/>
    <x v="29"/>
    <s v="Patrick Ruiz"/>
    <x v="224"/>
    <n v="4"/>
    <x v="3"/>
    <x v="4"/>
    <x v="4"/>
    <x v="1"/>
    <x v="2"/>
  </r>
  <r>
    <s v="AX23371"/>
    <s v="ENX2012"/>
    <s v="A136"/>
    <s v="EMP1000"/>
    <s v="C1556"/>
    <x v="397"/>
    <n v="1"/>
    <n v="1353"/>
    <n v="947"/>
    <n v="947"/>
    <n v="1353"/>
    <n v="406"/>
    <s v="Product 13"/>
    <x v="43"/>
    <s v="Fred Robertson"/>
    <x v="223"/>
    <n v="4"/>
    <x v="3"/>
    <x v="4"/>
    <x v="4"/>
    <x v="1"/>
    <x v="2"/>
  </r>
  <r>
    <s v="AX23467"/>
    <s v="ENX2060"/>
    <s v="A105"/>
    <s v="EMP1044"/>
    <s v="C1059"/>
    <x v="397"/>
    <n v="1"/>
    <n v="1467"/>
    <n v="807"/>
    <n v="807"/>
    <n v="1467"/>
    <n v="660"/>
    <s v="Product 61"/>
    <x v="45"/>
    <s v="Martin Carr"/>
    <x v="297"/>
    <n v="4"/>
    <x v="3"/>
    <x v="4"/>
    <x v="4"/>
    <x v="1"/>
    <x v="2"/>
  </r>
  <r>
    <s v="AX23667"/>
    <s v="ENX2057"/>
    <s v="A161"/>
    <s v="EMP1040"/>
    <s v="C1579"/>
    <x v="398"/>
    <n v="1"/>
    <n v="181"/>
    <n v="130"/>
    <n v="130"/>
    <n v="181"/>
    <n v="51"/>
    <s v="Product 58"/>
    <x v="6"/>
    <s v="Patrick Ruiz"/>
    <x v="422"/>
    <n v="4"/>
    <x v="3"/>
    <x v="4"/>
    <x v="4"/>
    <x v="1"/>
    <x v="2"/>
  </r>
  <r>
    <s v="AX23700"/>
    <s v="ENX2002"/>
    <s v="A154"/>
    <s v="EMP1013"/>
    <s v="C1748"/>
    <x v="397"/>
    <n v="4"/>
    <n v="847"/>
    <n v="534"/>
    <n v="2136"/>
    <n v="3388"/>
    <n v="1252"/>
    <s v="Product 3"/>
    <x v="24"/>
    <s v="Charles Harper"/>
    <x v="162"/>
    <n v="4"/>
    <x v="3"/>
    <x v="4"/>
    <x v="4"/>
    <x v="1"/>
    <x v="2"/>
  </r>
  <r>
    <s v="AX23729"/>
    <s v="ENX2018"/>
    <s v="A117"/>
    <s v="EMP1004"/>
    <s v="C1373"/>
    <x v="395"/>
    <n v="1"/>
    <n v="1972"/>
    <n v="1321"/>
    <n v="1321"/>
    <n v="1972"/>
    <n v="651"/>
    <s v="Product 19"/>
    <x v="29"/>
    <s v="Kenneth Bradley"/>
    <x v="471"/>
    <n v="4"/>
    <x v="3"/>
    <x v="4"/>
    <x v="4"/>
    <x v="1"/>
    <x v="2"/>
  </r>
  <r>
    <s v="AX24455"/>
    <s v="ENX2073"/>
    <s v="A163"/>
    <s v="EMP1035"/>
    <s v="C1374"/>
    <x v="398"/>
    <n v="1"/>
    <n v="95"/>
    <n v="61"/>
    <n v="61"/>
    <n v="95"/>
    <n v="34"/>
    <s v="Product 74"/>
    <x v="51"/>
    <s v="Roger Ramos"/>
    <x v="189"/>
    <n v="4"/>
    <x v="3"/>
    <x v="4"/>
    <x v="4"/>
    <x v="1"/>
    <x v="2"/>
  </r>
  <r>
    <s v="AX24653"/>
    <s v="ENX2087"/>
    <s v="A108"/>
    <s v="EMP1009"/>
    <s v="C1682"/>
    <x v="398"/>
    <n v="4"/>
    <n v="1022"/>
    <n v="818"/>
    <n v="3272"/>
    <n v="4088"/>
    <n v="816"/>
    <s v="Product 88"/>
    <x v="49"/>
    <s v="Kenneth Fields"/>
    <x v="313"/>
    <n v="4"/>
    <x v="3"/>
    <x v="4"/>
    <x v="4"/>
    <x v="1"/>
    <x v="2"/>
  </r>
  <r>
    <s v="AX24676"/>
    <s v="ENX2100"/>
    <s v="A111"/>
    <s v="EMP1015"/>
    <s v="C1687"/>
    <x v="396"/>
    <n v="3"/>
    <n v="799"/>
    <n v="455"/>
    <n v="1365"/>
    <n v="2397"/>
    <n v="1032"/>
    <s v="Product 101"/>
    <x v="54"/>
    <s v="Justin Lynch"/>
    <x v="389"/>
    <n v="4"/>
    <x v="3"/>
    <x v="4"/>
    <x v="4"/>
    <x v="1"/>
    <x v="2"/>
  </r>
  <r>
    <s v="AX24718"/>
    <s v="ENX2071"/>
    <s v="A119"/>
    <s v="EMP1003"/>
    <s v="C1523"/>
    <x v="394"/>
    <n v="1"/>
    <n v="136"/>
    <n v="72"/>
    <n v="72"/>
    <n v="136"/>
    <n v="64"/>
    <s v="Product 72"/>
    <x v="16"/>
    <s v="Christopher Tucker"/>
    <x v="543"/>
    <n v="4"/>
    <x v="3"/>
    <x v="4"/>
    <x v="4"/>
    <x v="1"/>
    <x v="2"/>
  </r>
  <r>
    <s v="AX24849"/>
    <s v="ENX2077"/>
    <s v="A101"/>
    <s v="EMP1034"/>
    <s v="C1769"/>
    <x v="396"/>
    <n v="4"/>
    <n v="530"/>
    <n v="424"/>
    <n v="1696"/>
    <n v="2120"/>
    <n v="424"/>
    <s v="Product 78"/>
    <x v="60"/>
    <s v="Arthur Mccoy"/>
    <x v="269"/>
    <n v="4"/>
    <x v="3"/>
    <x v="4"/>
    <x v="4"/>
    <x v="1"/>
    <x v="2"/>
  </r>
  <r>
    <s v="AX10418"/>
    <s v="ENX2083"/>
    <s v="A129"/>
    <s v="EMP1040"/>
    <s v="C1787"/>
    <x v="399"/>
    <n v="3"/>
    <n v="2141"/>
    <n v="1777"/>
    <n v="5331"/>
    <n v="6423"/>
    <n v="1092"/>
    <s v="Product 84"/>
    <x v="22"/>
    <s v="Patrick Ruiz"/>
    <x v="439"/>
    <n v="4"/>
    <x v="3"/>
    <x v="5"/>
    <x v="5"/>
    <x v="1"/>
    <x v="0"/>
  </r>
  <r>
    <s v="AX10786"/>
    <s v="ENX2005"/>
    <s v="A152"/>
    <s v="EMP1015"/>
    <s v="C1701"/>
    <x v="400"/>
    <n v="1"/>
    <n v="684"/>
    <n v="561"/>
    <n v="561"/>
    <n v="684"/>
    <n v="123"/>
    <s v="Product 6"/>
    <x v="26"/>
    <s v="Justin Lynch"/>
    <x v="736"/>
    <n v="4"/>
    <x v="3"/>
    <x v="5"/>
    <x v="5"/>
    <x v="1"/>
    <x v="0"/>
  </r>
  <r>
    <s v="AX11463"/>
    <s v="ENX2084"/>
    <s v="A110"/>
    <s v="EMP1009"/>
    <s v="C1330"/>
    <x v="401"/>
    <n v="2"/>
    <n v="1783"/>
    <n v="1230"/>
    <n v="2460"/>
    <n v="3566"/>
    <n v="1106"/>
    <s v="Product 85"/>
    <x v="63"/>
    <s v="Kenneth Fields"/>
    <x v="511"/>
    <n v="4"/>
    <x v="3"/>
    <x v="5"/>
    <x v="5"/>
    <x v="1"/>
    <x v="0"/>
  </r>
  <r>
    <s v="AX11876"/>
    <s v="ENX2040"/>
    <s v="A122"/>
    <s v="EMP1024"/>
    <s v="C1702"/>
    <x v="402"/>
    <n v="3"/>
    <n v="1889"/>
    <n v="945"/>
    <n v="2835"/>
    <n v="5667"/>
    <n v="2832"/>
    <s v="Product 41"/>
    <x v="71"/>
    <s v="Ernest Wheeler"/>
    <x v="70"/>
    <n v="4"/>
    <x v="3"/>
    <x v="5"/>
    <x v="5"/>
    <x v="1"/>
    <x v="0"/>
  </r>
  <r>
    <s v="AX11970"/>
    <s v="ENX2034"/>
    <s v="A158"/>
    <s v="EMP1026"/>
    <s v="C1531"/>
    <x v="400"/>
    <n v="2"/>
    <n v="871"/>
    <n v="540"/>
    <n v="1080"/>
    <n v="1742"/>
    <n v="662"/>
    <s v="Product 35"/>
    <x v="58"/>
    <s v="Martin Perry"/>
    <x v="743"/>
    <n v="4"/>
    <x v="3"/>
    <x v="5"/>
    <x v="5"/>
    <x v="1"/>
    <x v="0"/>
  </r>
  <r>
    <s v="AX12003"/>
    <s v="ENX2063"/>
    <s v="A125"/>
    <s v="EMP1032"/>
    <s v="C1263"/>
    <x v="401"/>
    <n v="2"/>
    <n v="1708"/>
    <n v="871"/>
    <n v="1742"/>
    <n v="3416"/>
    <n v="1674"/>
    <s v="Product 64"/>
    <x v="31"/>
    <s v="Larry Castillo"/>
    <x v="368"/>
    <n v="4"/>
    <x v="3"/>
    <x v="5"/>
    <x v="5"/>
    <x v="1"/>
    <x v="0"/>
  </r>
  <r>
    <s v="AX12390"/>
    <s v="ENX2035"/>
    <s v="A146"/>
    <s v="EMP1034"/>
    <s v="C1363"/>
    <x v="399"/>
    <n v="1"/>
    <n v="458"/>
    <n v="376"/>
    <n v="376"/>
    <n v="458"/>
    <n v="82"/>
    <s v="Product 36"/>
    <x v="27"/>
    <s v="Arthur Mccoy"/>
    <x v="505"/>
    <n v="4"/>
    <x v="3"/>
    <x v="5"/>
    <x v="5"/>
    <x v="1"/>
    <x v="0"/>
  </r>
  <r>
    <s v="AX12839"/>
    <s v="ENX2013"/>
    <s v="A152"/>
    <s v="EMP1032"/>
    <s v="C1641"/>
    <x v="399"/>
    <n v="4"/>
    <n v="368"/>
    <n v="269"/>
    <n v="1076"/>
    <n v="1472"/>
    <n v="396"/>
    <s v="Product 14"/>
    <x v="26"/>
    <s v="Larry Castillo"/>
    <x v="761"/>
    <n v="4"/>
    <x v="3"/>
    <x v="5"/>
    <x v="5"/>
    <x v="1"/>
    <x v="0"/>
  </r>
  <r>
    <s v="AX13535"/>
    <s v="ENX2019"/>
    <s v="A136"/>
    <s v="EMP1006"/>
    <s v="C1521"/>
    <x v="401"/>
    <n v="2"/>
    <n v="800"/>
    <n v="536"/>
    <n v="1072"/>
    <n v="1600"/>
    <n v="528"/>
    <s v="Product 20"/>
    <x v="43"/>
    <s v="Sean Miller"/>
    <x v="697"/>
    <n v="4"/>
    <x v="3"/>
    <x v="5"/>
    <x v="5"/>
    <x v="1"/>
    <x v="0"/>
  </r>
  <r>
    <s v="AX13727"/>
    <s v="ENX2008"/>
    <s v="A123"/>
    <s v="EMP1013"/>
    <s v="C1427"/>
    <x v="400"/>
    <n v="3"/>
    <n v="315"/>
    <n v="208"/>
    <n v="624"/>
    <n v="945"/>
    <n v="321"/>
    <s v="Product 9"/>
    <x v="34"/>
    <s v="Charles Harper"/>
    <x v="768"/>
    <n v="4"/>
    <x v="3"/>
    <x v="5"/>
    <x v="5"/>
    <x v="1"/>
    <x v="0"/>
  </r>
  <r>
    <s v="AX13844"/>
    <s v="ENX2002"/>
    <s v="A103"/>
    <s v="EMP1003"/>
    <s v="C1490"/>
    <x v="400"/>
    <n v="1"/>
    <n v="847"/>
    <n v="534"/>
    <n v="534"/>
    <n v="847"/>
    <n v="313"/>
    <s v="Product 3"/>
    <x v="61"/>
    <s v="Christopher Tucker"/>
    <x v="61"/>
    <n v="4"/>
    <x v="3"/>
    <x v="5"/>
    <x v="5"/>
    <x v="1"/>
    <x v="0"/>
  </r>
  <r>
    <s v="AX14444"/>
    <s v="ENX2025"/>
    <s v="A140"/>
    <s v="EMP1012"/>
    <s v="C1061"/>
    <x v="401"/>
    <n v="1"/>
    <n v="667"/>
    <n v="387"/>
    <n v="387"/>
    <n v="667"/>
    <n v="280"/>
    <s v="Product 26"/>
    <x v="18"/>
    <s v="John Reyes"/>
    <x v="228"/>
    <n v="4"/>
    <x v="3"/>
    <x v="5"/>
    <x v="5"/>
    <x v="1"/>
    <x v="0"/>
  </r>
  <r>
    <s v="AX14641"/>
    <s v="ENX2066"/>
    <s v="A101"/>
    <s v="EMP1036"/>
    <s v="C1346"/>
    <x v="401"/>
    <n v="3"/>
    <n v="2091"/>
    <n v="1485"/>
    <n v="4455"/>
    <n v="6273"/>
    <n v="1818"/>
    <s v="Product 67"/>
    <x v="60"/>
    <s v="Robert Reed"/>
    <x v="340"/>
    <n v="4"/>
    <x v="3"/>
    <x v="5"/>
    <x v="5"/>
    <x v="1"/>
    <x v="0"/>
  </r>
  <r>
    <s v="AX15293"/>
    <s v="ENX2024"/>
    <s v="A126"/>
    <s v="EMP1020"/>
    <s v="C1585"/>
    <x v="399"/>
    <n v="1"/>
    <n v="356"/>
    <n v="292"/>
    <n v="292"/>
    <n v="356"/>
    <n v="64"/>
    <s v="Product 25"/>
    <x v="5"/>
    <s v="Ryan Butler"/>
    <x v="400"/>
    <n v="4"/>
    <x v="3"/>
    <x v="5"/>
    <x v="5"/>
    <x v="1"/>
    <x v="0"/>
  </r>
  <r>
    <s v="AX15314"/>
    <s v="ENX2000"/>
    <s v="A104"/>
    <s v="EMP1029"/>
    <s v="C1407"/>
    <x v="399"/>
    <n v="1"/>
    <n v="2241"/>
    <n v="1367"/>
    <n v="1367"/>
    <n v="2241"/>
    <n v="874"/>
    <s v="Product 1"/>
    <x v="50"/>
    <s v="Howard Gardner"/>
    <x v="294"/>
    <n v="4"/>
    <x v="3"/>
    <x v="5"/>
    <x v="5"/>
    <x v="1"/>
    <x v="0"/>
  </r>
  <r>
    <s v="AX15331"/>
    <s v="ENX2087"/>
    <s v="A148"/>
    <s v="EMP1029"/>
    <s v="C1748"/>
    <x v="399"/>
    <n v="3"/>
    <n v="1022"/>
    <n v="818"/>
    <n v="2454"/>
    <n v="3066"/>
    <n v="612"/>
    <s v="Product 88"/>
    <x v="62"/>
    <s v="Howard Gardner"/>
    <x v="162"/>
    <n v="4"/>
    <x v="3"/>
    <x v="5"/>
    <x v="5"/>
    <x v="1"/>
    <x v="0"/>
  </r>
  <r>
    <s v="AX15440"/>
    <s v="ENX2033"/>
    <s v="A143"/>
    <s v="EMP1003"/>
    <s v="C1357"/>
    <x v="399"/>
    <n v="1"/>
    <n v="2182"/>
    <n v="1200"/>
    <n v="1200"/>
    <n v="2182"/>
    <n v="982"/>
    <s v="Product 34"/>
    <x v="39"/>
    <s v="Christopher Tucker"/>
    <x v="327"/>
    <n v="4"/>
    <x v="3"/>
    <x v="5"/>
    <x v="5"/>
    <x v="1"/>
    <x v="0"/>
  </r>
  <r>
    <s v="AX15520"/>
    <s v="ENX2029"/>
    <s v="A160"/>
    <s v="EMP1021"/>
    <s v="C1015"/>
    <x v="400"/>
    <n v="1"/>
    <n v="1848"/>
    <n v="1294"/>
    <n v="1294"/>
    <n v="1848"/>
    <n v="554"/>
    <s v="Product 30"/>
    <x v="9"/>
    <s v="Clarence Fox"/>
    <x v="583"/>
    <n v="4"/>
    <x v="3"/>
    <x v="5"/>
    <x v="5"/>
    <x v="1"/>
    <x v="0"/>
  </r>
  <r>
    <s v="AX16227"/>
    <s v="ENX2014"/>
    <s v="A132"/>
    <s v="EMP1007"/>
    <s v="C1552"/>
    <x v="400"/>
    <n v="3"/>
    <n v="1809"/>
    <n v="1067"/>
    <n v="3201"/>
    <n v="5427"/>
    <n v="2226"/>
    <s v="Product 15"/>
    <x v="48"/>
    <s v="Jeremy Mendoza"/>
    <x v="92"/>
    <n v="4"/>
    <x v="3"/>
    <x v="5"/>
    <x v="5"/>
    <x v="1"/>
    <x v="0"/>
  </r>
  <r>
    <s v="AX17126"/>
    <s v="ENX2032"/>
    <s v="A139"/>
    <s v="EMP1019"/>
    <s v="C1168"/>
    <x v="401"/>
    <n v="2"/>
    <n v="1967"/>
    <n v="1397"/>
    <n v="2794"/>
    <n v="3934"/>
    <n v="1140"/>
    <s v="Product 33"/>
    <x v="38"/>
    <s v="Roger Robertson"/>
    <x v="532"/>
    <n v="4"/>
    <x v="3"/>
    <x v="5"/>
    <x v="5"/>
    <x v="1"/>
    <x v="0"/>
  </r>
  <r>
    <s v="AX17230"/>
    <s v="ENX2059"/>
    <s v="A157"/>
    <s v="EMP1016"/>
    <s v="C1690"/>
    <x v="401"/>
    <n v="1"/>
    <n v="1494"/>
    <n v="971"/>
    <n v="971"/>
    <n v="1494"/>
    <n v="523"/>
    <s v="Product 60"/>
    <x v="7"/>
    <s v="Henry Nelson"/>
    <x v="185"/>
    <n v="4"/>
    <x v="3"/>
    <x v="5"/>
    <x v="5"/>
    <x v="1"/>
    <x v="0"/>
  </r>
  <r>
    <s v="AX17238"/>
    <s v="ENX2069"/>
    <s v="A165"/>
    <s v="EMP1026"/>
    <s v="C1588"/>
    <x v="402"/>
    <n v="2"/>
    <n v="378"/>
    <n v="291"/>
    <n v="582"/>
    <n v="756"/>
    <n v="174"/>
    <s v="Product 70"/>
    <x v="55"/>
    <s v="Martin Perry"/>
    <x v="653"/>
    <n v="4"/>
    <x v="3"/>
    <x v="5"/>
    <x v="5"/>
    <x v="1"/>
    <x v="0"/>
  </r>
  <r>
    <s v="AX17432"/>
    <s v="ENX2053"/>
    <s v="A153"/>
    <s v="EMP1026"/>
    <s v="C1296"/>
    <x v="401"/>
    <n v="4"/>
    <n v="596"/>
    <n v="358"/>
    <n v="1432"/>
    <n v="2384"/>
    <n v="952"/>
    <s v="Product 54"/>
    <x v="8"/>
    <s v="Martin Perry"/>
    <x v="105"/>
    <n v="4"/>
    <x v="3"/>
    <x v="5"/>
    <x v="5"/>
    <x v="1"/>
    <x v="0"/>
  </r>
  <r>
    <s v="AX17799"/>
    <s v="ENX2037"/>
    <s v="A153"/>
    <s v="EMP1020"/>
    <s v="C1597"/>
    <x v="401"/>
    <n v="1"/>
    <n v="880"/>
    <n v="634"/>
    <n v="634"/>
    <n v="880"/>
    <n v="246"/>
    <s v="Product 38"/>
    <x v="8"/>
    <s v="Ryan Butler"/>
    <x v="183"/>
    <n v="4"/>
    <x v="3"/>
    <x v="5"/>
    <x v="5"/>
    <x v="1"/>
    <x v="0"/>
  </r>
  <r>
    <s v="AX18218"/>
    <s v="ENX2064"/>
    <s v="A121"/>
    <s v="EMP1005"/>
    <s v="C1310"/>
    <x v="402"/>
    <n v="3"/>
    <n v="1414"/>
    <n v="962"/>
    <n v="2886"/>
    <n v="4242"/>
    <n v="1356"/>
    <s v="Product 65"/>
    <x v="72"/>
    <s v="Ryan Welch"/>
    <x v="169"/>
    <n v="4"/>
    <x v="3"/>
    <x v="5"/>
    <x v="5"/>
    <x v="1"/>
    <x v="0"/>
  </r>
  <r>
    <s v="AX18472"/>
    <s v="ENX2040"/>
    <s v="A115"/>
    <s v="EMP1012"/>
    <s v="C1173"/>
    <x v="402"/>
    <n v="3"/>
    <n v="1889"/>
    <n v="945"/>
    <n v="2835"/>
    <n v="5667"/>
    <n v="2832"/>
    <s v="Product 41"/>
    <x v="33"/>
    <s v="John Reyes"/>
    <x v="167"/>
    <n v="4"/>
    <x v="3"/>
    <x v="5"/>
    <x v="5"/>
    <x v="1"/>
    <x v="0"/>
  </r>
  <r>
    <s v="AX18924"/>
    <s v="ENX2052"/>
    <s v="A158"/>
    <s v="EMP1041"/>
    <s v="C1503"/>
    <x v="399"/>
    <n v="1"/>
    <n v="1526"/>
    <n v="1251"/>
    <n v="1251"/>
    <n v="1526"/>
    <n v="275"/>
    <s v="Product 53"/>
    <x v="58"/>
    <s v="Joe Sims"/>
    <x v="569"/>
    <n v="4"/>
    <x v="3"/>
    <x v="5"/>
    <x v="5"/>
    <x v="1"/>
    <x v="0"/>
  </r>
  <r>
    <s v="AX19356"/>
    <s v="ENX2008"/>
    <s v="A128"/>
    <s v="EMP1012"/>
    <s v="C1113"/>
    <x v="400"/>
    <n v="1"/>
    <n v="315"/>
    <n v="208"/>
    <n v="208"/>
    <n v="315"/>
    <n v="107"/>
    <s v="Product 9"/>
    <x v="12"/>
    <s v="John Reyes"/>
    <x v="101"/>
    <n v="4"/>
    <x v="3"/>
    <x v="5"/>
    <x v="5"/>
    <x v="1"/>
    <x v="0"/>
  </r>
  <r>
    <s v="AX19963"/>
    <s v="ENX2036"/>
    <s v="A114"/>
    <s v="EMP1040"/>
    <s v="C1288"/>
    <x v="402"/>
    <n v="4"/>
    <n v="1582"/>
    <n v="1234"/>
    <n v="4936"/>
    <n v="6328"/>
    <n v="1392"/>
    <s v="Product 37"/>
    <x v="28"/>
    <s v="Patrick Ruiz"/>
    <x v="674"/>
    <n v="4"/>
    <x v="3"/>
    <x v="5"/>
    <x v="5"/>
    <x v="1"/>
    <x v="0"/>
  </r>
  <r>
    <s v="AX19990"/>
    <s v="ENX2063"/>
    <s v="A102"/>
    <s v="EMP1020"/>
    <s v="C1433"/>
    <x v="402"/>
    <n v="1"/>
    <n v="1708"/>
    <n v="871"/>
    <n v="871"/>
    <n v="1708"/>
    <n v="837"/>
    <s v="Product 64"/>
    <x v="44"/>
    <s v="Ryan Butler"/>
    <x v="525"/>
    <n v="4"/>
    <x v="3"/>
    <x v="5"/>
    <x v="5"/>
    <x v="1"/>
    <x v="0"/>
  </r>
  <r>
    <s v="AX20034"/>
    <s v="ENX2046"/>
    <s v="A143"/>
    <s v="EMP1030"/>
    <s v="C1305"/>
    <x v="399"/>
    <n v="3"/>
    <n v="2410"/>
    <n v="1518"/>
    <n v="4554"/>
    <n v="7230"/>
    <n v="2676"/>
    <s v="Product 47"/>
    <x v="39"/>
    <s v="Bobby Russell"/>
    <x v="344"/>
    <n v="4"/>
    <x v="3"/>
    <x v="5"/>
    <x v="5"/>
    <x v="1"/>
    <x v="0"/>
  </r>
  <r>
    <s v="AX20049"/>
    <s v="ENX2065"/>
    <s v="A161"/>
    <s v="EMP1017"/>
    <s v="C1654"/>
    <x v="402"/>
    <n v="2"/>
    <n v="2396"/>
    <n v="1965"/>
    <n v="3930"/>
    <n v="4792"/>
    <n v="862"/>
    <s v="Product 66"/>
    <x v="6"/>
    <s v="Brian Hansen"/>
    <x v="351"/>
    <n v="4"/>
    <x v="3"/>
    <x v="5"/>
    <x v="5"/>
    <x v="1"/>
    <x v="0"/>
  </r>
  <r>
    <s v="AX20150"/>
    <s v="ENX2074"/>
    <s v="A114"/>
    <s v="EMP1038"/>
    <s v="C1056"/>
    <x v="399"/>
    <n v="1"/>
    <n v="504"/>
    <n v="408"/>
    <n v="408"/>
    <n v="504"/>
    <n v="96"/>
    <s v="Product 75"/>
    <x v="28"/>
    <s v="Scott Mason"/>
    <x v="260"/>
    <n v="4"/>
    <x v="3"/>
    <x v="5"/>
    <x v="5"/>
    <x v="1"/>
    <x v="0"/>
  </r>
  <r>
    <s v="AX20273"/>
    <s v="ENX2051"/>
    <s v="A117"/>
    <s v="EMP1007"/>
    <s v="C1291"/>
    <x v="402"/>
    <n v="1"/>
    <n v="1077"/>
    <n v="732"/>
    <n v="732"/>
    <n v="1077"/>
    <n v="345"/>
    <s v="Product 52"/>
    <x v="29"/>
    <s v="Jeremy Mendoza"/>
    <x v="16"/>
    <n v="4"/>
    <x v="3"/>
    <x v="5"/>
    <x v="5"/>
    <x v="1"/>
    <x v="0"/>
  </r>
  <r>
    <s v="AX20308"/>
    <s v="ENX2023"/>
    <s v="A154"/>
    <s v="EMP1000"/>
    <s v="C1538"/>
    <x v="400"/>
    <n v="1"/>
    <n v="818"/>
    <n v="450"/>
    <n v="450"/>
    <n v="818"/>
    <n v="368"/>
    <s v="Product 24"/>
    <x v="24"/>
    <s v="Fred Robertson"/>
    <x v="384"/>
    <n v="4"/>
    <x v="3"/>
    <x v="5"/>
    <x v="5"/>
    <x v="1"/>
    <x v="0"/>
  </r>
  <r>
    <s v="AX20587"/>
    <s v="ENX2040"/>
    <s v="A154"/>
    <s v="EMP1002"/>
    <s v="C1435"/>
    <x v="401"/>
    <n v="4"/>
    <n v="1889"/>
    <n v="945"/>
    <n v="3780"/>
    <n v="7556"/>
    <n v="3776"/>
    <s v="Product 41"/>
    <x v="24"/>
    <s v="Andrew Bowman"/>
    <x v="476"/>
    <n v="4"/>
    <x v="3"/>
    <x v="5"/>
    <x v="5"/>
    <x v="1"/>
    <x v="0"/>
  </r>
  <r>
    <s v="AX20841"/>
    <s v="ENX2089"/>
    <s v="A103"/>
    <s v="EMP1004"/>
    <s v="C1412"/>
    <x v="399"/>
    <n v="1"/>
    <n v="2294"/>
    <n v="1399"/>
    <n v="1399"/>
    <n v="2294"/>
    <n v="895"/>
    <s v="Product 90"/>
    <x v="61"/>
    <s v="Kenneth Bradley"/>
    <x v="460"/>
    <n v="4"/>
    <x v="3"/>
    <x v="5"/>
    <x v="5"/>
    <x v="1"/>
    <x v="0"/>
  </r>
  <r>
    <s v="AX21145"/>
    <s v="ENX2031"/>
    <s v="A103"/>
    <s v="EMP1029"/>
    <s v="C1090"/>
    <x v="402"/>
    <n v="1"/>
    <n v="1638"/>
    <n v="1261"/>
    <n v="1261"/>
    <n v="1638"/>
    <n v="377"/>
    <s v="Product 32"/>
    <x v="61"/>
    <s v="Howard Gardner"/>
    <x v="0"/>
    <n v="4"/>
    <x v="3"/>
    <x v="5"/>
    <x v="5"/>
    <x v="1"/>
    <x v="0"/>
  </r>
  <r>
    <s v="AX21421"/>
    <s v="ENX2093"/>
    <s v="A141"/>
    <s v="EMP1014"/>
    <s v="C1531"/>
    <x v="401"/>
    <n v="1"/>
    <n v="112"/>
    <n v="90"/>
    <n v="90"/>
    <n v="112"/>
    <n v="22"/>
    <s v="Product 94"/>
    <x v="23"/>
    <s v="Ronald Reed"/>
    <x v="743"/>
    <n v="4"/>
    <x v="3"/>
    <x v="5"/>
    <x v="5"/>
    <x v="1"/>
    <x v="0"/>
  </r>
  <r>
    <s v="AX21451"/>
    <s v="ENX2003"/>
    <s v="A116"/>
    <s v="EMP1000"/>
    <s v="C1207"/>
    <x v="401"/>
    <n v="3"/>
    <n v="1783"/>
    <n v="1516"/>
    <n v="4548"/>
    <n v="5349"/>
    <n v="801"/>
    <s v="Product 4"/>
    <x v="15"/>
    <s v="Fred Robertson"/>
    <x v="694"/>
    <n v="4"/>
    <x v="3"/>
    <x v="5"/>
    <x v="5"/>
    <x v="1"/>
    <x v="0"/>
  </r>
  <r>
    <s v="AX21647"/>
    <s v="ENX2018"/>
    <s v="A164"/>
    <s v="EMP1002"/>
    <s v="C1307"/>
    <x v="401"/>
    <n v="1"/>
    <n v="1972"/>
    <n v="1321"/>
    <n v="1321"/>
    <n v="1972"/>
    <n v="651"/>
    <s v="Product 19"/>
    <x v="3"/>
    <s v="Andrew Bowman"/>
    <x v="416"/>
    <n v="4"/>
    <x v="3"/>
    <x v="5"/>
    <x v="5"/>
    <x v="1"/>
    <x v="0"/>
  </r>
  <r>
    <s v="AX21907"/>
    <s v="ENX2030"/>
    <s v="A140"/>
    <s v="EMP1002"/>
    <s v="C1588"/>
    <x v="401"/>
    <n v="3"/>
    <n v="1899"/>
    <n v="1044"/>
    <n v="3132"/>
    <n v="5697"/>
    <n v="2565"/>
    <s v="Product 31"/>
    <x v="18"/>
    <s v="Andrew Bowman"/>
    <x v="653"/>
    <n v="4"/>
    <x v="3"/>
    <x v="5"/>
    <x v="5"/>
    <x v="1"/>
    <x v="0"/>
  </r>
  <r>
    <s v="AX22063"/>
    <s v="ENX2015"/>
    <s v="A152"/>
    <s v="EMP1020"/>
    <s v="C1158"/>
    <x v="401"/>
    <n v="1"/>
    <n v="637"/>
    <n v="389"/>
    <n v="389"/>
    <n v="637"/>
    <n v="248"/>
    <s v="Product 16"/>
    <x v="26"/>
    <s v="Ryan Butler"/>
    <x v="541"/>
    <n v="4"/>
    <x v="3"/>
    <x v="5"/>
    <x v="5"/>
    <x v="1"/>
    <x v="0"/>
  </r>
  <r>
    <s v="AX22694"/>
    <s v="ENX2004"/>
    <s v="A109"/>
    <s v="EMP1036"/>
    <s v="C1505"/>
    <x v="400"/>
    <n v="1"/>
    <n v="1278"/>
    <n v="665"/>
    <n v="665"/>
    <n v="1278"/>
    <n v="613"/>
    <s v="Product 5"/>
    <x v="57"/>
    <s v="Robert Reed"/>
    <x v="632"/>
    <n v="4"/>
    <x v="3"/>
    <x v="5"/>
    <x v="5"/>
    <x v="1"/>
    <x v="0"/>
  </r>
  <r>
    <s v="AX23082"/>
    <s v="ENX2091"/>
    <s v="A103"/>
    <s v="EMP1035"/>
    <s v="C1157"/>
    <x v="401"/>
    <n v="1"/>
    <n v="368"/>
    <n v="294"/>
    <n v="294"/>
    <n v="368"/>
    <n v="74"/>
    <s v="Product 92"/>
    <x v="61"/>
    <s v="Roger Ramos"/>
    <x v="415"/>
    <n v="4"/>
    <x v="3"/>
    <x v="5"/>
    <x v="5"/>
    <x v="1"/>
    <x v="0"/>
  </r>
  <r>
    <s v="AX23148"/>
    <s v="ENX2032"/>
    <s v="A138"/>
    <s v="EMP1023"/>
    <s v="C1076"/>
    <x v="401"/>
    <n v="1"/>
    <n v="1967"/>
    <n v="1397"/>
    <n v="1397"/>
    <n v="1967"/>
    <n v="570"/>
    <s v="Product 33"/>
    <x v="37"/>
    <s v="Brian Davis"/>
    <x v="772"/>
    <n v="4"/>
    <x v="3"/>
    <x v="5"/>
    <x v="5"/>
    <x v="1"/>
    <x v="0"/>
  </r>
  <r>
    <s v="AX23254"/>
    <s v="ENX2046"/>
    <s v="A146"/>
    <s v="EMP1035"/>
    <s v="C1723"/>
    <x v="402"/>
    <n v="1"/>
    <n v="2410"/>
    <n v="1518"/>
    <n v="1518"/>
    <n v="2410"/>
    <n v="892"/>
    <s v="Product 47"/>
    <x v="27"/>
    <s v="Roger Ramos"/>
    <x v="118"/>
    <n v="4"/>
    <x v="3"/>
    <x v="5"/>
    <x v="5"/>
    <x v="1"/>
    <x v="0"/>
  </r>
  <r>
    <s v="AX23390"/>
    <s v="ENX2007"/>
    <s v="A155"/>
    <s v="EMP1016"/>
    <s v="C1334"/>
    <x v="400"/>
    <n v="3"/>
    <n v="1405"/>
    <n v="1054"/>
    <n v="3162"/>
    <n v="4215"/>
    <n v="1053"/>
    <s v="Product 8"/>
    <x v="53"/>
    <s v="Henry Nelson"/>
    <x v="53"/>
    <n v="4"/>
    <x v="3"/>
    <x v="5"/>
    <x v="5"/>
    <x v="1"/>
    <x v="0"/>
  </r>
  <r>
    <s v="AX23444"/>
    <s v="ENX2056"/>
    <s v="A135"/>
    <s v="EMP1000"/>
    <s v="C1216"/>
    <x v="399"/>
    <n v="1"/>
    <n v="1635"/>
    <n v="1046"/>
    <n v="1046"/>
    <n v="1635"/>
    <n v="589"/>
    <s v="Product 57"/>
    <x v="10"/>
    <s v="Fred Robertson"/>
    <x v="580"/>
    <n v="4"/>
    <x v="3"/>
    <x v="5"/>
    <x v="5"/>
    <x v="1"/>
    <x v="0"/>
  </r>
  <r>
    <s v="AX23471"/>
    <s v="ENX2091"/>
    <s v="A143"/>
    <s v="EMP1022"/>
    <s v="C1430"/>
    <x v="399"/>
    <n v="1"/>
    <n v="368"/>
    <n v="294"/>
    <n v="294"/>
    <n v="368"/>
    <n v="74"/>
    <s v="Product 92"/>
    <x v="39"/>
    <s v="Walter Cook"/>
    <x v="741"/>
    <n v="4"/>
    <x v="3"/>
    <x v="5"/>
    <x v="5"/>
    <x v="1"/>
    <x v="0"/>
  </r>
  <r>
    <s v="AX23571"/>
    <s v="ENX2045"/>
    <s v="A105"/>
    <s v="EMP1031"/>
    <s v="C1438"/>
    <x v="399"/>
    <n v="1"/>
    <n v="556"/>
    <n v="395"/>
    <n v="395"/>
    <n v="556"/>
    <n v="161"/>
    <s v="Product 46"/>
    <x v="45"/>
    <s v="Brian Thomas"/>
    <x v="670"/>
    <n v="4"/>
    <x v="3"/>
    <x v="5"/>
    <x v="5"/>
    <x v="1"/>
    <x v="0"/>
  </r>
  <r>
    <s v="AX24016"/>
    <s v="ENX2008"/>
    <s v="A163"/>
    <s v="EMP1040"/>
    <s v="C1153"/>
    <x v="401"/>
    <n v="1"/>
    <n v="315"/>
    <n v="208"/>
    <n v="208"/>
    <n v="315"/>
    <n v="107"/>
    <s v="Product 9"/>
    <x v="51"/>
    <s v="Patrick Ruiz"/>
    <x v="382"/>
    <n v="4"/>
    <x v="3"/>
    <x v="5"/>
    <x v="5"/>
    <x v="1"/>
    <x v="0"/>
  </r>
  <r>
    <s v="AX24084"/>
    <s v="ENX2027"/>
    <s v="A122"/>
    <s v="EMP1018"/>
    <s v="C1737"/>
    <x v="400"/>
    <n v="1"/>
    <n v="2497"/>
    <n v="1473"/>
    <n v="1473"/>
    <n v="2497"/>
    <n v="1024"/>
    <s v="Product 28"/>
    <x v="71"/>
    <s v="Jimmy Young"/>
    <x v="343"/>
    <n v="4"/>
    <x v="3"/>
    <x v="5"/>
    <x v="5"/>
    <x v="1"/>
    <x v="0"/>
  </r>
  <r>
    <s v="AX24325"/>
    <s v="ENX2057"/>
    <s v="A147"/>
    <s v="EMP1035"/>
    <s v="C1364"/>
    <x v="401"/>
    <n v="3"/>
    <n v="181"/>
    <n v="130"/>
    <n v="390"/>
    <n v="543"/>
    <n v="153"/>
    <s v="Product 58"/>
    <x v="42"/>
    <s v="Roger Ramos"/>
    <x v="477"/>
    <n v="4"/>
    <x v="3"/>
    <x v="5"/>
    <x v="5"/>
    <x v="1"/>
    <x v="0"/>
  </r>
  <r>
    <s v="AX10005"/>
    <s v="ENX2030"/>
    <s v="A121"/>
    <s v="EMP1003"/>
    <s v="C1220"/>
    <x v="403"/>
    <n v="1"/>
    <n v="1899"/>
    <n v="1044"/>
    <n v="1044"/>
    <n v="1899"/>
    <n v="855"/>
    <s v="Product 31"/>
    <x v="72"/>
    <s v="Christopher Tucker"/>
    <x v="204"/>
    <n v="4"/>
    <x v="3"/>
    <x v="5"/>
    <x v="5"/>
    <x v="1"/>
    <x v="2"/>
  </r>
  <r>
    <s v="AX10046"/>
    <s v="ENX2010"/>
    <s v="A161"/>
    <s v="EMP1010"/>
    <s v="C1207"/>
    <x v="403"/>
    <n v="4"/>
    <n v="1812"/>
    <n v="1305"/>
    <n v="5220"/>
    <n v="7248"/>
    <n v="2028"/>
    <s v="Product 11"/>
    <x v="6"/>
    <s v="Joshua Cook"/>
    <x v="694"/>
    <n v="4"/>
    <x v="3"/>
    <x v="5"/>
    <x v="5"/>
    <x v="1"/>
    <x v="2"/>
  </r>
  <r>
    <s v="AX10165"/>
    <s v="ENX2025"/>
    <s v="A155"/>
    <s v="EMP1026"/>
    <s v="C1071"/>
    <x v="404"/>
    <n v="1"/>
    <n v="667"/>
    <n v="387"/>
    <n v="387"/>
    <n v="667"/>
    <n v="280"/>
    <s v="Product 26"/>
    <x v="53"/>
    <s v="Martin Perry"/>
    <x v="264"/>
    <n v="4"/>
    <x v="3"/>
    <x v="5"/>
    <x v="5"/>
    <x v="1"/>
    <x v="2"/>
  </r>
  <r>
    <s v="AX10609"/>
    <s v="ENX2058"/>
    <s v="A119"/>
    <s v="EMP1014"/>
    <s v="C1434"/>
    <x v="405"/>
    <n v="1"/>
    <n v="2257"/>
    <n v="1535"/>
    <n v="1535"/>
    <n v="2257"/>
    <n v="722"/>
    <s v="Product 59"/>
    <x v="16"/>
    <s v="Ronald Reed"/>
    <x v="722"/>
    <n v="4"/>
    <x v="3"/>
    <x v="5"/>
    <x v="5"/>
    <x v="1"/>
    <x v="2"/>
  </r>
  <r>
    <s v="AX10806"/>
    <s v="ENX2059"/>
    <s v="A104"/>
    <s v="EMP1019"/>
    <s v="C1670"/>
    <x v="404"/>
    <n v="4"/>
    <n v="1494"/>
    <n v="971"/>
    <n v="3884"/>
    <n v="5976"/>
    <n v="2092"/>
    <s v="Product 60"/>
    <x v="50"/>
    <s v="Roger Robertson"/>
    <x v="663"/>
    <n v="4"/>
    <x v="3"/>
    <x v="5"/>
    <x v="5"/>
    <x v="1"/>
    <x v="2"/>
  </r>
  <r>
    <s v="AX11114"/>
    <s v="ENX2075"/>
    <s v="A142"/>
    <s v="EMP1000"/>
    <s v="C1392"/>
    <x v="403"/>
    <n v="1"/>
    <n v="400"/>
    <n v="208"/>
    <n v="208"/>
    <n v="400"/>
    <n v="192"/>
    <s v="Product 76"/>
    <x v="56"/>
    <s v="Fred Robertson"/>
    <x v="78"/>
    <n v="4"/>
    <x v="3"/>
    <x v="5"/>
    <x v="5"/>
    <x v="1"/>
    <x v="2"/>
  </r>
  <r>
    <s v="AX11169"/>
    <s v="ENX2039"/>
    <s v="A138"/>
    <s v="EMP1004"/>
    <s v="C1150"/>
    <x v="403"/>
    <n v="3"/>
    <n v="817"/>
    <n v="409"/>
    <n v="1227"/>
    <n v="2451"/>
    <n v="1224"/>
    <s v="Product 40"/>
    <x v="37"/>
    <s v="Kenneth Bradley"/>
    <x v="456"/>
    <n v="4"/>
    <x v="3"/>
    <x v="5"/>
    <x v="5"/>
    <x v="1"/>
    <x v="2"/>
  </r>
  <r>
    <s v="AX11454"/>
    <s v="ENX2050"/>
    <s v="A103"/>
    <s v="EMP1029"/>
    <s v="C1704"/>
    <x v="405"/>
    <n v="2"/>
    <n v="2391"/>
    <n v="1291"/>
    <n v="2582"/>
    <n v="4782"/>
    <n v="2200"/>
    <s v="Product 51"/>
    <x v="61"/>
    <s v="Howard Gardner"/>
    <x v="28"/>
    <n v="4"/>
    <x v="3"/>
    <x v="5"/>
    <x v="5"/>
    <x v="1"/>
    <x v="2"/>
  </r>
  <r>
    <s v="AX11487"/>
    <s v="ENX2061"/>
    <s v="A146"/>
    <s v="EMP1021"/>
    <s v="C1800"/>
    <x v="404"/>
    <n v="3"/>
    <n v="913"/>
    <n v="584"/>
    <n v="1752"/>
    <n v="2739"/>
    <n v="987"/>
    <s v="Product 62"/>
    <x v="27"/>
    <s v="Clarence Fox"/>
    <x v="319"/>
    <n v="4"/>
    <x v="3"/>
    <x v="5"/>
    <x v="5"/>
    <x v="1"/>
    <x v="2"/>
  </r>
  <r>
    <s v="AX11530"/>
    <s v="ENX2039"/>
    <s v="A123"/>
    <s v="EMP1033"/>
    <s v="C1099"/>
    <x v="406"/>
    <n v="3"/>
    <n v="817"/>
    <n v="409"/>
    <n v="1227"/>
    <n v="2451"/>
    <n v="1224"/>
    <s v="Product 40"/>
    <x v="34"/>
    <s v="Jerry Perry"/>
    <x v="394"/>
    <n v="4"/>
    <x v="3"/>
    <x v="5"/>
    <x v="5"/>
    <x v="1"/>
    <x v="2"/>
  </r>
  <r>
    <s v="AX11608"/>
    <s v="ENX2100"/>
    <s v="A166"/>
    <s v="EMP1029"/>
    <s v="C1391"/>
    <x v="403"/>
    <n v="3"/>
    <n v="799"/>
    <n v="455"/>
    <n v="1365"/>
    <n v="2397"/>
    <n v="1032"/>
    <s v="Product 101"/>
    <x v="70"/>
    <s v="Howard Gardner"/>
    <x v="745"/>
    <n v="4"/>
    <x v="3"/>
    <x v="5"/>
    <x v="5"/>
    <x v="1"/>
    <x v="2"/>
  </r>
  <r>
    <s v="AX11887"/>
    <s v="ENX2053"/>
    <s v="A168"/>
    <s v="EMP1017"/>
    <s v="C1238"/>
    <x v="404"/>
    <n v="4"/>
    <n v="596"/>
    <n v="358"/>
    <n v="1432"/>
    <n v="2384"/>
    <n v="952"/>
    <s v="Product 54"/>
    <x v="40"/>
    <s v="Brian Hansen"/>
    <x v="627"/>
    <n v="4"/>
    <x v="3"/>
    <x v="5"/>
    <x v="5"/>
    <x v="1"/>
    <x v="2"/>
  </r>
  <r>
    <s v="AX13027"/>
    <s v="ENX2060"/>
    <s v="A165"/>
    <s v="EMP1030"/>
    <s v="C1387"/>
    <x v="404"/>
    <n v="2"/>
    <n v="1467"/>
    <n v="807"/>
    <n v="1614"/>
    <n v="2934"/>
    <n v="1320"/>
    <s v="Product 61"/>
    <x v="55"/>
    <s v="Bobby Russell"/>
    <x v="346"/>
    <n v="4"/>
    <x v="3"/>
    <x v="5"/>
    <x v="5"/>
    <x v="1"/>
    <x v="2"/>
  </r>
  <r>
    <s v="AX13632"/>
    <s v="ENX2083"/>
    <s v="A160"/>
    <s v="EMP1029"/>
    <s v="C1318"/>
    <x v="405"/>
    <n v="4"/>
    <n v="2141"/>
    <n v="1777"/>
    <n v="7108"/>
    <n v="8564"/>
    <n v="1456"/>
    <s v="Product 84"/>
    <x v="9"/>
    <s v="Howard Gardner"/>
    <x v="730"/>
    <n v="4"/>
    <x v="3"/>
    <x v="5"/>
    <x v="5"/>
    <x v="1"/>
    <x v="2"/>
  </r>
  <r>
    <s v="AX14305"/>
    <s v="ENX2021"/>
    <s v="A139"/>
    <s v="EMP1011"/>
    <s v="C1560"/>
    <x v="405"/>
    <n v="4"/>
    <n v="217"/>
    <n v="171"/>
    <n v="684"/>
    <n v="868"/>
    <n v="184"/>
    <s v="Product 22"/>
    <x v="38"/>
    <s v="Larry Marshall"/>
    <x v="208"/>
    <n v="4"/>
    <x v="3"/>
    <x v="5"/>
    <x v="5"/>
    <x v="1"/>
    <x v="2"/>
  </r>
  <r>
    <s v="AX15148"/>
    <s v="ENX2067"/>
    <s v="A164"/>
    <s v="EMP1017"/>
    <s v="C1499"/>
    <x v="405"/>
    <n v="2"/>
    <n v="1119"/>
    <n v="683"/>
    <n v="1366"/>
    <n v="2238"/>
    <n v="872"/>
    <s v="Product 68"/>
    <x v="3"/>
    <s v="Brian Hansen"/>
    <x v="610"/>
    <n v="4"/>
    <x v="3"/>
    <x v="5"/>
    <x v="5"/>
    <x v="1"/>
    <x v="2"/>
  </r>
  <r>
    <s v="AX15163"/>
    <s v="ENX2085"/>
    <s v="A131"/>
    <s v="EMP1033"/>
    <s v="C1484"/>
    <x v="406"/>
    <n v="3"/>
    <n v="1862"/>
    <n v="1173"/>
    <n v="3519"/>
    <n v="5586"/>
    <n v="2067"/>
    <s v="Product 86"/>
    <x v="32"/>
    <s v="Jerry Perry"/>
    <x v="466"/>
    <n v="4"/>
    <x v="3"/>
    <x v="5"/>
    <x v="5"/>
    <x v="1"/>
    <x v="2"/>
  </r>
  <r>
    <s v="AX15325"/>
    <s v="ENX2027"/>
    <s v="A148"/>
    <s v="EMP1022"/>
    <s v="C1156"/>
    <x v="404"/>
    <n v="1"/>
    <n v="2497"/>
    <n v="1473"/>
    <n v="1473"/>
    <n v="2497"/>
    <n v="1024"/>
    <s v="Product 28"/>
    <x v="62"/>
    <s v="Walter Cook"/>
    <x v="740"/>
    <n v="4"/>
    <x v="3"/>
    <x v="5"/>
    <x v="5"/>
    <x v="1"/>
    <x v="2"/>
  </r>
  <r>
    <s v="AX15637"/>
    <s v="ENX2045"/>
    <s v="A148"/>
    <s v="EMP1028"/>
    <s v="C1088"/>
    <x v="405"/>
    <n v="2"/>
    <n v="556"/>
    <n v="395"/>
    <n v="790"/>
    <n v="1112"/>
    <n v="322"/>
    <s v="Product 46"/>
    <x v="62"/>
    <s v="Howard Sims"/>
    <x v="498"/>
    <n v="4"/>
    <x v="3"/>
    <x v="5"/>
    <x v="5"/>
    <x v="1"/>
    <x v="2"/>
  </r>
  <r>
    <s v="AX15784"/>
    <s v="ENX2055"/>
    <s v="A150"/>
    <s v="EMP1015"/>
    <s v="C1573"/>
    <x v="405"/>
    <n v="4"/>
    <n v="2495"/>
    <n v="1896"/>
    <n v="7584"/>
    <n v="9980"/>
    <n v="2396"/>
    <s v="Product 56"/>
    <x v="30"/>
    <s v="Justin Lynch"/>
    <x v="383"/>
    <n v="4"/>
    <x v="3"/>
    <x v="5"/>
    <x v="5"/>
    <x v="1"/>
    <x v="2"/>
  </r>
  <r>
    <s v="AX16042"/>
    <s v="ENX2059"/>
    <s v="A128"/>
    <s v="EMP1008"/>
    <s v="C1640"/>
    <x v="404"/>
    <n v="3"/>
    <n v="1494"/>
    <n v="971"/>
    <n v="2913"/>
    <n v="4482"/>
    <n v="1569"/>
    <s v="Product 60"/>
    <x v="12"/>
    <s v="Carl Elliott"/>
    <x v="59"/>
    <n v="4"/>
    <x v="3"/>
    <x v="5"/>
    <x v="5"/>
    <x v="1"/>
    <x v="2"/>
  </r>
  <r>
    <s v="AX17079"/>
    <s v="ENX2088"/>
    <s v="A132"/>
    <s v="EMP1019"/>
    <s v="C1096"/>
    <x v="405"/>
    <n v="1"/>
    <n v="603"/>
    <n v="416"/>
    <n v="416"/>
    <n v="603"/>
    <n v="187"/>
    <s v="Product 89"/>
    <x v="48"/>
    <s v="Roger Robertson"/>
    <x v="91"/>
    <n v="4"/>
    <x v="3"/>
    <x v="5"/>
    <x v="5"/>
    <x v="1"/>
    <x v="2"/>
  </r>
  <r>
    <s v="AX17288"/>
    <s v="ENX2072"/>
    <s v="A158"/>
    <s v="EMP1019"/>
    <s v="C1753"/>
    <x v="405"/>
    <n v="4"/>
    <n v="1887"/>
    <n v="1378"/>
    <n v="5512"/>
    <n v="7548"/>
    <n v="2036"/>
    <s v="Product 73"/>
    <x v="58"/>
    <s v="Roger Robertson"/>
    <x v="696"/>
    <n v="4"/>
    <x v="3"/>
    <x v="5"/>
    <x v="5"/>
    <x v="1"/>
    <x v="2"/>
  </r>
  <r>
    <s v="AX17847"/>
    <s v="ENX2069"/>
    <s v="A152"/>
    <s v="EMP1039"/>
    <s v="C1427"/>
    <x v="405"/>
    <n v="2"/>
    <n v="378"/>
    <n v="291"/>
    <n v="582"/>
    <n v="756"/>
    <n v="174"/>
    <s v="Product 70"/>
    <x v="26"/>
    <s v="Eugene Holmes"/>
    <x v="768"/>
    <n v="4"/>
    <x v="3"/>
    <x v="5"/>
    <x v="5"/>
    <x v="1"/>
    <x v="2"/>
  </r>
  <r>
    <s v="AX17923"/>
    <s v="ENX2057"/>
    <s v="A153"/>
    <s v="EMP1026"/>
    <s v="C1782"/>
    <x v="405"/>
    <n v="1"/>
    <n v="181"/>
    <n v="130"/>
    <n v="130"/>
    <n v="181"/>
    <n v="51"/>
    <s v="Product 58"/>
    <x v="8"/>
    <s v="Martin Perry"/>
    <x v="607"/>
    <n v="4"/>
    <x v="3"/>
    <x v="5"/>
    <x v="5"/>
    <x v="1"/>
    <x v="2"/>
  </r>
  <r>
    <s v="AX18028"/>
    <s v="ENX2023"/>
    <s v="A158"/>
    <s v="EMP1011"/>
    <s v="C1023"/>
    <x v="406"/>
    <n v="2"/>
    <n v="818"/>
    <n v="450"/>
    <n v="900"/>
    <n v="1636"/>
    <n v="736"/>
    <s v="Product 24"/>
    <x v="58"/>
    <s v="Larry Marshall"/>
    <x v="799"/>
    <n v="4"/>
    <x v="3"/>
    <x v="5"/>
    <x v="5"/>
    <x v="1"/>
    <x v="2"/>
  </r>
  <r>
    <s v="AX18259"/>
    <s v="ENX2038"/>
    <s v="A122"/>
    <s v="EMP1029"/>
    <s v="C1125"/>
    <x v="404"/>
    <n v="1"/>
    <n v="392"/>
    <n v="255"/>
    <n v="255"/>
    <n v="392"/>
    <n v="137"/>
    <s v="Product 39"/>
    <x v="71"/>
    <s v="Howard Gardner"/>
    <x v="539"/>
    <n v="4"/>
    <x v="3"/>
    <x v="5"/>
    <x v="5"/>
    <x v="1"/>
    <x v="2"/>
  </r>
  <r>
    <s v="AX18804"/>
    <s v="ENX2029"/>
    <s v="A103"/>
    <s v="EMP1003"/>
    <s v="C1729"/>
    <x v="405"/>
    <n v="1"/>
    <n v="1848"/>
    <n v="1294"/>
    <n v="1294"/>
    <n v="1848"/>
    <n v="554"/>
    <s v="Product 30"/>
    <x v="61"/>
    <s v="Christopher Tucker"/>
    <x v="268"/>
    <n v="4"/>
    <x v="3"/>
    <x v="5"/>
    <x v="5"/>
    <x v="1"/>
    <x v="2"/>
  </r>
  <r>
    <s v="AX18958"/>
    <s v="ENX2062"/>
    <s v="A138"/>
    <s v="EMP1026"/>
    <s v="C1212"/>
    <x v="403"/>
    <n v="3"/>
    <n v="2464"/>
    <n v="1774"/>
    <n v="5322"/>
    <n v="7392"/>
    <n v="2070"/>
    <s v="Product 63"/>
    <x v="37"/>
    <s v="Martin Perry"/>
    <x v="220"/>
    <n v="4"/>
    <x v="3"/>
    <x v="5"/>
    <x v="5"/>
    <x v="1"/>
    <x v="2"/>
  </r>
  <r>
    <s v="AX19063"/>
    <s v="ENX2061"/>
    <s v="A169"/>
    <s v="EMP1043"/>
    <s v="C1170"/>
    <x v="405"/>
    <n v="1"/>
    <n v="913"/>
    <n v="584"/>
    <n v="584"/>
    <n v="913"/>
    <n v="329"/>
    <s v="Product 62"/>
    <x v="17"/>
    <s v="Joshua Taylor"/>
    <x v="616"/>
    <n v="4"/>
    <x v="3"/>
    <x v="5"/>
    <x v="5"/>
    <x v="1"/>
    <x v="2"/>
  </r>
  <r>
    <s v="AX19307"/>
    <s v="ENX2046"/>
    <s v="A142"/>
    <s v="EMP1001"/>
    <s v="C1675"/>
    <x v="404"/>
    <n v="3"/>
    <n v="2410"/>
    <n v="1518"/>
    <n v="4554"/>
    <n v="7230"/>
    <n v="2676"/>
    <s v="Product 47"/>
    <x v="56"/>
    <s v="Kevin Butler"/>
    <x v="453"/>
    <n v="4"/>
    <x v="3"/>
    <x v="5"/>
    <x v="5"/>
    <x v="1"/>
    <x v="2"/>
  </r>
  <r>
    <s v="AX19558"/>
    <s v="ENX2069"/>
    <s v="A100"/>
    <s v="EMP1036"/>
    <s v="C1789"/>
    <x v="406"/>
    <n v="1"/>
    <n v="378"/>
    <n v="291"/>
    <n v="291"/>
    <n v="378"/>
    <n v="87"/>
    <s v="Product 70"/>
    <x v="52"/>
    <s v="Robert Reed"/>
    <x v="701"/>
    <n v="4"/>
    <x v="3"/>
    <x v="5"/>
    <x v="5"/>
    <x v="1"/>
    <x v="2"/>
  </r>
  <r>
    <s v="AX19776"/>
    <s v="ENX2063"/>
    <s v="A142"/>
    <s v="EMP1031"/>
    <s v="C1086"/>
    <x v="406"/>
    <n v="1"/>
    <n v="1708"/>
    <n v="871"/>
    <n v="871"/>
    <n v="1708"/>
    <n v="837"/>
    <s v="Product 64"/>
    <x v="56"/>
    <s v="Brian Thomas"/>
    <x v="769"/>
    <n v="4"/>
    <x v="3"/>
    <x v="5"/>
    <x v="5"/>
    <x v="1"/>
    <x v="2"/>
  </r>
  <r>
    <s v="AX19840"/>
    <s v="ENX2021"/>
    <s v="A140"/>
    <s v="EMP1039"/>
    <s v="C1173"/>
    <x v="405"/>
    <n v="3"/>
    <n v="217"/>
    <n v="171"/>
    <n v="513"/>
    <n v="651"/>
    <n v="138"/>
    <s v="Product 22"/>
    <x v="18"/>
    <s v="Eugene Holmes"/>
    <x v="167"/>
    <n v="4"/>
    <x v="3"/>
    <x v="5"/>
    <x v="5"/>
    <x v="1"/>
    <x v="2"/>
  </r>
  <r>
    <s v="AX20175"/>
    <s v="ENX2074"/>
    <s v="A147"/>
    <s v="EMP1036"/>
    <s v="C1595"/>
    <x v="406"/>
    <n v="1"/>
    <n v="504"/>
    <n v="408"/>
    <n v="408"/>
    <n v="504"/>
    <n v="96"/>
    <s v="Product 75"/>
    <x v="42"/>
    <s v="Robert Reed"/>
    <x v="372"/>
    <n v="4"/>
    <x v="3"/>
    <x v="5"/>
    <x v="5"/>
    <x v="1"/>
    <x v="2"/>
  </r>
  <r>
    <s v="AX20179"/>
    <s v="ENX2081"/>
    <s v="A156"/>
    <s v="EMP1000"/>
    <s v="C1460"/>
    <x v="404"/>
    <n v="1"/>
    <n v="1566"/>
    <n v="1190"/>
    <n v="1190"/>
    <n v="1566"/>
    <n v="376"/>
    <s v="Product 82"/>
    <x v="14"/>
    <s v="Fred Robertson"/>
    <x v="613"/>
    <n v="4"/>
    <x v="3"/>
    <x v="5"/>
    <x v="5"/>
    <x v="1"/>
    <x v="2"/>
  </r>
  <r>
    <s v="AX20963"/>
    <s v="ENX2074"/>
    <s v="A101"/>
    <s v="EMP1041"/>
    <s v="C1681"/>
    <x v="405"/>
    <n v="4"/>
    <n v="504"/>
    <n v="408"/>
    <n v="1632"/>
    <n v="2016"/>
    <n v="384"/>
    <s v="Product 75"/>
    <x v="60"/>
    <s v="Joe Sims"/>
    <x v="235"/>
    <n v="4"/>
    <x v="3"/>
    <x v="5"/>
    <x v="5"/>
    <x v="1"/>
    <x v="2"/>
  </r>
  <r>
    <s v="AX22105"/>
    <s v="ENX2066"/>
    <s v="A166"/>
    <s v="EMP1016"/>
    <s v="C1675"/>
    <x v="405"/>
    <n v="2"/>
    <n v="2091"/>
    <n v="1485"/>
    <n v="2970"/>
    <n v="4182"/>
    <n v="1212"/>
    <s v="Product 67"/>
    <x v="70"/>
    <s v="Henry Nelson"/>
    <x v="453"/>
    <n v="4"/>
    <x v="3"/>
    <x v="5"/>
    <x v="5"/>
    <x v="1"/>
    <x v="2"/>
  </r>
  <r>
    <s v="AX22109"/>
    <s v="ENX2007"/>
    <s v="A166"/>
    <s v="EMP1004"/>
    <s v="C1530"/>
    <x v="403"/>
    <n v="4"/>
    <n v="1405"/>
    <n v="1054"/>
    <n v="4216"/>
    <n v="5620"/>
    <n v="1404"/>
    <s v="Product 8"/>
    <x v="70"/>
    <s v="Kenneth Bradley"/>
    <x v="224"/>
    <n v="4"/>
    <x v="3"/>
    <x v="5"/>
    <x v="5"/>
    <x v="1"/>
    <x v="2"/>
  </r>
  <r>
    <s v="AX22337"/>
    <s v="ENX2069"/>
    <s v="A103"/>
    <s v="EMP1039"/>
    <s v="C1363"/>
    <x v="403"/>
    <n v="4"/>
    <n v="378"/>
    <n v="291"/>
    <n v="1164"/>
    <n v="1512"/>
    <n v="348"/>
    <s v="Product 70"/>
    <x v="61"/>
    <s v="Eugene Holmes"/>
    <x v="505"/>
    <n v="4"/>
    <x v="3"/>
    <x v="5"/>
    <x v="5"/>
    <x v="1"/>
    <x v="2"/>
  </r>
  <r>
    <s v="AX22421"/>
    <s v="ENX2026"/>
    <s v="A129"/>
    <s v="EMP1024"/>
    <s v="C1163"/>
    <x v="403"/>
    <n v="2"/>
    <n v="947"/>
    <n v="786"/>
    <n v="1572"/>
    <n v="1894"/>
    <n v="322"/>
    <s v="Product 27"/>
    <x v="22"/>
    <s v="Ernest Wheeler"/>
    <x v="23"/>
    <n v="4"/>
    <x v="3"/>
    <x v="5"/>
    <x v="5"/>
    <x v="1"/>
    <x v="2"/>
  </r>
  <r>
    <s v="AX22593"/>
    <s v="ENX2096"/>
    <s v="A125"/>
    <s v="EMP1033"/>
    <s v="C1686"/>
    <x v="405"/>
    <n v="3"/>
    <n v="1587"/>
    <n v="1301"/>
    <n v="3903"/>
    <n v="4761"/>
    <n v="858"/>
    <s v="Product 97"/>
    <x v="31"/>
    <s v="Jerry Perry"/>
    <x v="748"/>
    <n v="4"/>
    <x v="3"/>
    <x v="5"/>
    <x v="5"/>
    <x v="1"/>
    <x v="2"/>
  </r>
  <r>
    <s v="AX22666"/>
    <s v="ENX2049"/>
    <s v="A125"/>
    <s v="EMP1018"/>
    <s v="C1496"/>
    <x v="405"/>
    <n v="3"/>
    <n v="826"/>
    <n v="562"/>
    <n v="1686"/>
    <n v="2478"/>
    <n v="792"/>
    <s v="Product 50"/>
    <x v="31"/>
    <s v="Jimmy Young"/>
    <x v="54"/>
    <n v="4"/>
    <x v="3"/>
    <x v="5"/>
    <x v="5"/>
    <x v="1"/>
    <x v="2"/>
  </r>
  <r>
    <s v="AX22901"/>
    <s v="ENX2085"/>
    <s v="A111"/>
    <s v="EMP1027"/>
    <s v="C1115"/>
    <x v="404"/>
    <n v="1"/>
    <n v="1862"/>
    <n v="1173"/>
    <n v="1173"/>
    <n v="1862"/>
    <n v="689"/>
    <s v="Product 86"/>
    <x v="54"/>
    <s v="Gary Rodriguez"/>
    <x v="338"/>
    <n v="4"/>
    <x v="3"/>
    <x v="5"/>
    <x v="5"/>
    <x v="1"/>
    <x v="2"/>
  </r>
  <r>
    <s v="AX22946"/>
    <s v="ENX2046"/>
    <s v="A131"/>
    <s v="EMP1023"/>
    <s v="C1359"/>
    <x v="405"/>
    <n v="4"/>
    <n v="2410"/>
    <n v="1518"/>
    <n v="6072"/>
    <n v="9640"/>
    <n v="3568"/>
    <s v="Product 47"/>
    <x v="32"/>
    <s v="Brian Davis"/>
    <x v="652"/>
    <n v="4"/>
    <x v="3"/>
    <x v="5"/>
    <x v="5"/>
    <x v="1"/>
    <x v="2"/>
  </r>
  <r>
    <s v="AX22951"/>
    <s v="ENX2027"/>
    <s v="A160"/>
    <s v="EMP1026"/>
    <s v="C1376"/>
    <x v="404"/>
    <n v="4"/>
    <n v="2497"/>
    <n v="1473"/>
    <n v="5892"/>
    <n v="9988"/>
    <n v="4096"/>
    <s v="Product 28"/>
    <x v="9"/>
    <s v="Martin Perry"/>
    <x v="356"/>
    <n v="4"/>
    <x v="3"/>
    <x v="5"/>
    <x v="5"/>
    <x v="1"/>
    <x v="2"/>
  </r>
  <r>
    <s v="AX23220"/>
    <s v="ENX2038"/>
    <s v="A167"/>
    <s v="EMP1020"/>
    <s v="C1586"/>
    <x v="403"/>
    <n v="4"/>
    <n v="392"/>
    <n v="255"/>
    <n v="1020"/>
    <n v="1568"/>
    <n v="548"/>
    <s v="Product 39"/>
    <x v="64"/>
    <s v="Ryan Butler"/>
    <x v="585"/>
    <n v="4"/>
    <x v="3"/>
    <x v="5"/>
    <x v="5"/>
    <x v="1"/>
    <x v="2"/>
  </r>
  <r>
    <s v="AX23338"/>
    <s v="ENX2085"/>
    <s v="A113"/>
    <s v="EMP1041"/>
    <s v="C1343"/>
    <x v="405"/>
    <n v="4"/>
    <n v="1862"/>
    <n v="1173"/>
    <n v="4692"/>
    <n v="7448"/>
    <n v="2756"/>
    <s v="Product 86"/>
    <x v="73"/>
    <s v="Joe Sims"/>
    <x v="175"/>
    <n v="4"/>
    <x v="3"/>
    <x v="5"/>
    <x v="5"/>
    <x v="1"/>
    <x v="2"/>
  </r>
  <r>
    <s v="AX23439"/>
    <s v="ENX2062"/>
    <s v="A113"/>
    <s v="EMP1039"/>
    <s v="C1024"/>
    <x v="404"/>
    <n v="1"/>
    <n v="2464"/>
    <n v="1774"/>
    <n v="1774"/>
    <n v="2464"/>
    <n v="690"/>
    <s v="Product 63"/>
    <x v="73"/>
    <s v="Eugene Holmes"/>
    <x v="599"/>
    <n v="4"/>
    <x v="3"/>
    <x v="5"/>
    <x v="5"/>
    <x v="1"/>
    <x v="2"/>
  </r>
  <r>
    <s v="AX23542"/>
    <s v="ENX2069"/>
    <s v="A109"/>
    <s v="EMP1028"/>
    <s v="C1483"/>
    <x v="406"/>
    <n v="2"/>
    <n v="378"/>
    <n v="291"/>
    <n v="582"/>
    <n v="756"/>
    <n v="174"/>
    <s v="Product 70"/>
    <x v="57"/>
    <s v="Howard Sims"/>
    <x v="255"/>
    <n v="4"/>
    <x v="3"/>
    <x v="5"/>
    <x v="5"/>
    <x v="1"/>
    <x v="2"/>
  </r>
  <r>
    <s v="AX23672"/>
    <s v="ENX2075"/>
    <s v="A100"/>
    <s v="EMP1038"/>
    <s v="C1597"/>
    <x v="405"/>
    <n v="1"/>
    <n v="400"/>
    <n v="208"/>
    <n v="208"/>
    <n v="400"/>
    <n v="192"/>
    <s v="Product 76"/>
    <x v="52"/>
    <s v="Scott Mason"/>
    <x v="183"/>
    <n v="4"/>
    <x v="3"/>
    <x v="5"/>
    <x v="5"/>
    <x v="1"/>
    <x v="2"/>
  </r>
  <r>
    <s v="AX23853"/>
    <s v="ENX2056"/>
    <s v="A150"/>
    <s v="EMP1044"/>
    <s v="C1274"/>
    <x v="406"/>
    <n v="1"/>
    <n v="1635"/>
    <n v="1046"/>
    <n v="1046"/>
    <n v="1635"/>
    <n v="589"/>
    <s v="Product 57"/>
    <x v="30"/>
    <s v="Martin Carr"/>
    <x v="173"/>
    <n v="4"/>
    <x v="3"/>
    <x v="5"/>
    <x v="5"/>
    <x v="1"/>
    <x v="2"/>
  </r>
  <r>
    <s v="AX23965"/>
    <s v="ENX2063"/>
    <s v="A119"/>
    <s v="EMP1023"/>
    <s v="C1454"/>
    <x v="406"/>
    <n v="1"/>
    <n v="1708"/>
    <n v="871"/>
    <n v="871"/>
    <n v="1708"/>
    <n v="837"/>
    <s v="Product 64"/>
    <x v="16"/>
    <s v="Brian Davis"/>
    <x v="68"/>
    <n v="4"/>
    <x v="3"/>
    <x v="5"/>
    <x v="5"/>
    <x v="1"/>
    <x v="2"/>
  </r>
  <r>
    <s v="AX24130"/>
    <s v="ENX2006"/>
    <s v="A168"/>
    <s v="EMP1029"/>
    <s v="C1314"/>
    <x v="405"/>
    <n v="1"/>
    <n v="1826"/>
    <n v="1443"/>
    <n v="1443"/>
    <n v="1826"/>
    <n v="383"/>
    <s v="Product 7"/>
    <x v="40"/>
    <s v="Howard Gardner"/>
    <x v="421"/>
    <n v="4"/>
    <x v="3"/>
    <x v="5"/>
    <x v="5"/>
    <x v="1"/>
    <x v="2"/>
  </r>
  <r>
    <s v="AX24312"/>
    <s v="ENX2097"/>
    <s v="A149"/>
    <s v="EMP1034"/>
    <s v="C1461"/>
    <x v="406"/>
    <n v="3"/>
    <n v="1052"/>
    <n v="589"/>
    <n v="1767"/>
    <n v="3156"/>
    <n v="1389"/>
    <s v="Product 98"/>
    <x v="59"/>
    <s v="Arthur Mccoy"/>
    <x v="634"/>
    <n v="4"/>
    <x v="3"/>
    <x v="5"/>
    <x v="5"/>
    <x v="1"/>
    <x v="2"/>
  </r>
  <r>
    <s v="AX24353"/>
    <s v="ENX2099"/>
    <s v="A102"/>
    <s v="EMP1010"/>
    <s v="C1053"/>
    <x v="403"/>
    <n v="2"/>
    <n v="1367"/>
    <n v="984"/>
    <n v="1968"/>
    <n v="2734"/>
    <n v="766"/>
    <s v="Product 100"/>
    <x v="44"/>
    <s v="Joshua Cook"/>
    <x v="435"/>
    <n v="4"/>
    <x v="3"/>
    <x v="5"/>
    <x v="5"/>
    <x v="1"/>
    <x v="2"/>
  </r>
  <r>
    <s v="AX24485"/>
    <s v="ENX2076"/>
    <s v="A124"/>
    <s v="EMP1023"/>
    <s v="C1424"/>
    <x v="406"/>
    <n v="2"/>
    <n v="1522"/>
    <n v="791"/>
    <n v="1582"/>
    <n v="3044"/>
    <n v="1462"/>
    <s v="Product 77"/>
    <x v="67"/>
    <s v="Brian Davis"/>
    <x v="791"/>
    <n v="4"/>
    <x v="3"/>
    <x v="5"/>
    <x v="5"/>
    <x v="1"/>
    <x v="2"/>
  </r>
  <r>
    <s v="AX24700"/>
    <s v="ENX2046"/>
    <s v="A151"/>
    <s v="EMP1004"/>
    <s v="C1264"/>
    <x v="404"/>
    <n v="1"/>
    <n v="2410"/>
    <n v="1518"/>
    <n v="1518"/>
    <n v="2410"/>
    <n v="892"/>
    <s v="Product 47"/>
    <x v="1"/>
    <s v="Kenneth Bradley"/>
    <x v="206"/>
    <n v="4"/>
    <x v="3"/>
    <x v="5"/>
    <x v="5"/>
    <x v="1"/>
    <x v="2"/>
  </r>
  <r>
    <s v="AX24707"/>
    <s v="ENX2080"/>
    <s v="A123"/>
    <s v="EMP1016"/>
    <s v="C1647"/>
    <x v="405"/>
    <n v="2"/>
    <n v="2353"/>
    <n v="1788"/>
    <n v="3576"/>
    <n v="4706"/>
    <n v="1130"/>
    <s v="Product 81"/>
    <x v="34"/>
    <s v="Henry Nelson"/>
    <x v="318"/>
    <n v="4"/>
    <x v="3"/>
    <x v="5"/>
    <x v="5"/>
    <x v="1"/>
    <x v="2"/>
  </r>
  <r>
    <s v="AX24801"/>
    <s v="ENX2025"/>
    <s v="A150"/>
    <s v="EMP1005"/>
    <s v="C1336"/>
    <x v="406"/>
    <n v="2"/>
    <n v="667"/>
    <n v="387"/>
    <n v="774"/>
    <n v="1334"/>
    <n v="560"/>
    <s v="Product 26"/>
    <x v="30"/>
    <s v="Ryan Welch"/>
    <x v="721"/>
    <n v="4"/>
    <x v="3"/>
    <x v="5"/>
    <x v="5"/>
    <x v="1"/>
    <x v="2"/>
  </r>
  <r>
    <s v="AX24904"/>
    <s v="ENX2043"/>
    <s v="A111"/>
    <s v="EMP1034"/>
    <s v="C1451"/>
    <x v="405"/>
    <n v="4"/>
    <n v="545"/>
    <n v="425"/>
    <n v="1700"/>
    <n v="2180"/>
    <n v="480"/>
    <s v="Product 44"/>
    <x v="54"/>
    <s v="Arthur Mccoy"/>
    <x v="80"/>
    <n v="4"/>
    <x v="3"/>
    <x v="5"/>
    <x v="5"/>
    <x v="1"/>
    <x v="2"/>
  </r>
  <r>
    <s v="AX24945"/>
    <s v="ENX2034"/>
    <s v="A130"/>
    <s v="EMP1044"/>
    <s v="C1187"/>
    <x v="405"/>
    <n v="2"/>
    <n v="871"/>
    <n v="540"/>
    <n v="1080"/>
    <n v="1742"/>
    <n v="662"/>
    <s v="Product 35"/>
    <x v="4"/>
    <s v="Martin Carr"/>
    <x v="303"/>
    <n v="4"/>
    <x v="3"/>
    <x v="5"/>
    <x v="5"/>
    <x v="1"/>
    <x v="2"/>
  </r>
  <r>
    <s v="AX10540"/>
    <s v="ENX2024"/>
    <s v="A111"/>
    <s v="EMP1000"/>
    <s v="C1382"/>
    <x v="407"/>
    <n v="1"/>
    <n v="356"/>
    <n v="292"/>
    <n v="292"/>
    <n v="356"/>
    <n v="64"/>
    <s v="Product 25"/>
    <x v="54"/>
    <s v="Fred Robertson"/>
    <x v="334"/>
    <n v="4"/>
    <x v="3"/>
    <x v="6"/>
    <x v="6"/>
    <x v="2"/>
    <x v="0"/>
  </r>
  <r>
    <s v="AX10859"/>
    <s v="ENX2042"/>
    <s v="A112"/>
    <s v="EMP1042"/>
    <s v="C1435"/>
    <x v="407"/>
    <n v="1"/>
    <n v="203"/>
    <n v="154"/>
    <n v="154"/>
    <n v="203"/>
    <n v="49"/>
    <s v="Product 43"/>
    <x v="66"/>
    <s v="Scott Clark"/>
    <x v="476"/>
    <n v="4"/>
    <x v="3"/>
    <x v="6"/>
    <x v="6"/>
    <x v="2"/>
    <x v="0"/>
  </r>
  <r>
    <s v="AX11149"/>
    <s v="ENX2007"/>
    <s v="A165"/>
    <s v="EMP1028"/>
    <s v="C1015"/>
    <x v="408"/>
    <n v="1"/>
    <n v="1405"/>
    <n v="1054"/>
    <n v="1054"/>
    <n v="1405"/>
    <n v="351"/>
    <s v="Product 8"/>
    <x v="55"/>
    <s v="Howard Sims"/>
    <x v="583"/>
    <n v="4"/>
    <x v="3"/>
    <x v="6"/>
    <x v="6"/>
    <x v="2"/>
    <x v="0"/>
  </r>
  <r>
    <s v="AX11313"/>
    <s v="ENX2008"/>
    <s v="A166"/>
    <s v="EMP1007"/>
    <s v="C1085"/>
    <x v="408"/>
    <n v="1"/>
    <n v="315"/>
    <n v="208"/>
    <n v="208"/>
    <n v="315"/>
    <n v="107"/>
    <s v="Product 9"/>
    <x v="70"/>
    <s v="Jeremy Mendoza"/>
    <x v="412"/>
    <n v="4"/>
    <x v="3"/>
    <x v="6"/>
    <x v="6"/>
    <x v="2"/>
    <x v="0"/>
  </r>
  <r>
    <s v="AX11571"/>
    <s v="ENX2025"/>
    <s v="A163"/>
    <s v="EMP1013"/>
    <s v="C1286"/>
    <x v="409"/>
    <n v="1"/>
    <n v="667"/>
    <n v="387"/>
    <n v="387"/>
    <n v="667"/>
    <n v="280"/>
    <s v="Product 26"/>
    <x v="51"/>
    <s v="Charles Harper"/>
    <x v="308"/>
    <n v="4"/>
    <x v="3"/>
    <x v="6"/>
    <x v="6"/>
    <x v="2"/>
    <x v="0"/>
  </r>
  <r>
    <s v="AX11677"/>
    <s v="ENX2017"/>
    <s v="A144"/>
    <s v="EMP1030"/>
    <s v="C1323"/>
    <x v="409"/>
    <n v="1"/>
    <n v="35"/>
    <n v="22"/>
    <n v="22"/>
    <n v="35"/>
    <n v="13"/>
    <s v="Product 18"/>
    <x v="65"/>
    <s v="Bobby Russell"/>
    <x v="83"/>
    <n v="4"/>
    <x v="3"/>
    <x v="6"/>
    <x v="6"/>
    <x v="2"/>
    <x v="0"/>
  </r>
  <r>
    <s v="AX12254"/>
    <s v="ENX2060"/>
    <s v="A108"/>
    <s v="EMP1027"/>
    <s v="C1146"/>
    <x v="407"/>
    <n v="2"/>
    <n v="1467"/>
    <n v="807"/>
    <n v="1614"/>
    <n v="2934"/>
    <n v="1320"/>
    <s v="Product 61"/>
    <x v="49"/>
    <s v="Gary Rodriguez"/>
    <x v="274"/>
    <n v="4"/>
    <x v="3"/>
    <x v="6"/>
    <x v="6"/>
    <x v="2"/>
    <x v="0"/>
  </r>
  <r>
    <s v="AX12408"/>
    <s v="ENX2071"/>
    <s v="A160"/>
    <s v="EMP1016"/>
    <s v="C1595"/>
    <x v="410"/>
    <n v="1"/>
    <n v="136"/>
    <n v="72"/>
    <n v="72"/>
    <n v="136"/>
    <n v="64"/>
    <s v="Product 72"/>
    <x v="9"/>
    <s v="Henry Nelson"/>
    <x v="372"/>
    <n v="4"/>
    <x v="3"/>
    <x v="6"/>
    <x v="6"/>
    <x v="2"/>
    <x v="0"/>
  </r>
  <r>
    <s v="AX12487"/>
    <s v="ENX2036"/>
    <s v="A147"/>
    <s v="EMP1029"/>
    <s v="C1023"/>
    <x v="409"/>
    <n v="1"/>
    <n v="1582"/>
    <n v="1234"/>
    <n v="1234"/>
    <n v="1582"/>
    <n v="348"/>
    <s v="Product 37"/>
    <x v="42"/>
    <s v="Howard Gardner"/>
    <x v="799"/>
    <n v="4"/>
    <x v="3"/>
    <x v="6"/>
    <x v="6"/>
    <x v="2"/>
    <x v="0"/>
  </r>
  <r>
    <s v="AX12637"/>
    <s v="ENX2019"/>
    <s v="A134"/>
    <s v="EMP1008"/>
    <s v="C1522"/>
    <x v="407"/>
    <n v="2"/>
    <n v="800"/>
    <n v="536"/>
    <n v="1072"/>
    <n v="1600"/>
    <n v="528"/>
    <s v="Product 20"/>
    <x v="41"/>
    <s v="Carl Elliott"/>
    <x v="121"/>
    <n v="4"/>
    <x v="3"/>
    <x v="6"/>
    <x v="6"/>
    <x v="2"/>
    <x v="0"/>
  </r>
  <r>
    <s v="AX13063"/>
    <s v="ENX2009"/>
    <s v="A164"/>
    <s v="EMP1014"/>
    <s v="C1718"/>
    <x v="407"/>
    <n v="3"/>
    <n v="584"/>
    <n v="420"/>
    <n v="1260"/>
    <n v="1752"/>
    <n v="492"/>
    <s v="Product 10"/>
    <x v="3"/>
    <s v="Ronald Reed"/>
    <x v="14"/>
    <n v="4"/>
    <x v="3"/>
    <x v="6"/>
    <x v="6"/>
    <x v="2"/>
    <x v="0"/>
  </r>
  <r>
    <s v="AX13208"/>
    <s v="ENX2021"/>
    <s v="A106"/>
    <s v="EMP1007"/>
    <s v="C1077"/>
    <x v="407"/>
    <n v="3"/>
    <n v="217"/>
    <n v="171"/>
    <n v="513"/>
    <n v="651"/>
    <n v="138"/>
    <s v="Product 22"/>
    <x v="11"/>
    <s v="Jeremy Mendoza"/>
    <x v="315"/>
    <n v="4"/>
    <x v="3"/>
    <x v="6"/>
    <x v="6"/>
    <x v="2"/>
    <x v="0"/>
  </r>
  <r>
    <s v="AX13323"/>
    <s v="ENX2081"/>
    <s v="A104"/>
    <s v="EMP1033"/>
    <s v="C1764"/>
    <x v="407"/>
    <n v="1"/>
    <n v="1566"/>
    <n v="1190"/>
    <n v="1190"/>
    <n v="1566"/>
    <n v="376"/>
    <s v="Product 82"/>
    <x v="50"/>
    <s v="Jerry Perry"/>
    <x v="386"/>
    <n v="4"/>
    <x v="3"/>
    <x v="6"/>
    <x v="6"/>
    <x v="2"/>
    <x v="0"/>
  </r>
  <r>
    <s v="AX13363"/>
    <s v="ENX2008"/>
    <s v="A145"/>
    <s v="EMP1007"/>
    <s v="C1794"/>
    <x v="410"/>
    <n v="2"/>
    <n v="315"/>
    <n v="208"/>
    <n v="416"/>
    <n v="630"/>
    <n v="214"/>
    <s v="Product 9"/>
    <x v="35"/>
    <s v="Jeremy Mendoza"/>
    <x v="411"/>
    <n v="4"/>
    <x v="3"/>
    <x v="6"/>
    <x v="6"/>
    <x v="2"/>
    <x v="0"/>
  </r>
  <r>
    <s v="AX13788"/>
    <s v="ENX2025"/>
    <s v="A112"/>
    <s v="EMP1006"/>
    <s v="C1710"/>
    <x v="408"/>
    <n v="1"/>
    <n v="667"/>
    <n v="387"/>
    <n v="387"/>
    <n v="667"/>
    <n v="280"/>
    <s v="Product 26"/>
    <x v="66"/>
    <s v="Sean Miller"/>
    <x v="197"/>
    <n v="4"/>
    <x v="3"/>
    <x v="6"/>
    <x v="6"/>
    <x v="2"/>
    <x v="0"/>
  </r>
  <r>
    <s v="AX13856"/>
    <s v="ENX2045"/>
    <s v="A149"/>
    <s v="EMP1018"/>
    <s v="C1427"/>
    <x v="410"/>
    <n v="4"/>
    <n v="556"/>
    <n v="395"/>
    <n v="1580"/>
    <n v="2224"/>
    <n v="644"/>
    <s v="Product 46"/>
    <x v="59"/>
    <s v="Jimmy Young"/>
    <x v="768"/>
    <n v="4"/>
    <x v="3"/>
    <x v="6"/>
    <x v="6"/>
    <x v="2"/>
    <x v="0"/>
  </r>
  <r>
    <s v="AX13982"/>
    <s v="ENX2015"/>
    <s v="A139"/>
    <s v="EMP1028"/>
    <s v="C1514"/>
    <x v="407"/>
    <n v="1"/>
    <n v="637"/>
    <n v="389"/>
    <n v="389"/>
    <n v="637"/>
    <n v="248"/>
    <s v="Product 16"/>
    <x v="38"/>
    <s v="Howard Sims"/>
    <x v="307"/>
    <n v="4"/>
    <x v="3"/>
    <x v="6"/>
    <x v="6"/>
    <x v="2"/>
    <x v="0"/>
  </r>
  <r>
    <s v="AX14003"/>
    <s v="ENX2037"/>
    <s v="A123"/>
    <s v="EMP1007"/>
    <s v="C1035"/>
    <x v="407"/>
    <n v="2"/>
    <n v="880"/>
    <n v="634"/>
    <n v="1268"/>
    <n v="1760"/>
    <n v="492"/>
    <s v="Product 38"/>
    <x v="34"/>
    <s v="Jeremy Mendoza"/>
    <x v="95"/>
    <n v="4"/>
    <x v="3"/>
    <x v="6"/>
    <x v="6"/>
    <x v="2"/>
    <x v="0"/>
  </r>
  <r>
    <s v="AX14449"/>
    <s v="ENX2096"/>
    <s v="A116"/>
    <s v="EMP1014"/>
    <s v="C1009"/>
    <x v="411"/>
    <n v="2"/>
    <n v="1587"/>
    <n v="1301"/>
    <n v="2602"/>
    <n v="3174"/>
    <n v="572"/>
    <s v="Product 97"/>
    <x v="15"/>
    <s v="Ronald Reed"/>
    <x v="458"/>
    <n v="4"/>
    <x v="3"/>
    <x v="6"/>
    <x v="6"/>
    <x v="2"/>
    <x v="0"/>
  </r>
  <r>
    <s v="AX14472"/>
    <s v="ENX2043"/>
    <s v="A123"/>
    <s v="EMP1009"/>
    <s v="C1453"/>
    <x v="408"/>
    <n v="4"/>
    <n v="545"/>
    <n v="425"/>
    <n v="1700"/>
    <n v="2180"/>
    <n v="480"/>
    <s v="Product 44"/>
    <x v="34"/>
    <s v="Kenneth Fields"/>
    <x v="194"/>
    <n v="4"/>
    <x v="3"/>
    <x v="6"/>
    <x v="6"/>
    <x v="2"/>
    <x v="0"/>
  </r>
  <r>
    <s v="AX14490"/>
    <s v="ENX2029"/>
    <s v="A101"/>
    <s v="EMP1010"/>
    <s v="C1339"/>
    <x v="410"/>
    <n v="2"/>
    <n v="1848"/>
    <n v="1294"/>
    <n v="2588"/>
    <n v="3696"/>
    <n v="1108"/>
    <s v="Product 30"/>
    <x v="60"/>
    <s v="Joshua Cook"/>
    <x v="401"/>
    <n v="4"/>
    <x v="3"/>
    <x v="6"/>
    <x v="6"/>
    <x v="2"/>
    <x v="0"/>
  </r>
  <r>
    <s v="AX15312"/>
    <s v="ENX2031"/>
    <s v="A114"/>
    <s v="EMP1038"/>
    <s v="C1061"/>
    <x v="407"/>
    <n v="1"/>
    <n v="1638"/>
    <n v="1261"/>
    <n v="1261"/>
    <n v="1638"/>
    <n v="377"/>
    <s v="Product 32"/>
    <x v="28"/>
    <s v="Scott Mason"/>
    <x v="228"/>
    <n v="4"/>
    <x v="3"/>
    <x v="6"/>
    <x v="6"/>
    <x v="2"/>
    <x v="0"/>
  </r>
  <r>
    <s v="AX15597"/>
    <s v="ENX2003"/>
    <s v="A142"/>
    <s v="EMP1007"/>
    <s v="C1626"/>
    <x v="410"/>
    <n v="1"/>
    <n v="1783"/>
    <n v="1516"/>
    <n v="1516"/>
    <n v="1783"/>
    <n v="267"/>
    <s v="Product 4"/>
    <x v="56"/>
    <s v="Jeremy Mendoza"/>
    <x v="153"/>
    <n v="4"/>
    <x v="3"/>
    <x v="6"/>
    <x v="6"/>
    <x v="2"/>
    <x v="0"/>
  </r>
  <r>
    <s v="AX15958"/>
    <s v="ENX2009"/>
    <s v="A124"/>
    <s v="EMP1023"/>
    <s v="C1151"/>
    <x v="408"/>
    <n v="4"/>
    <n v="584"/>
    <n v="420"/>
    <n v="1680"/>
    <n v="2336"/>
    <n v="656"/>
    <s v="Product 10"/>
    <x v="67"/>
    <s v="Brian Davis"/>
    <x v="56"/>
    <n v="4"/>
    <x v="3"/>
    <x v="6"/>
    <x v="6"/>
    <x v="2"/>
    <x v="0"/>
  </r>
  <r>
    <s v="AX16404"/>
    <s v="ENX2037"/>
    <s v="A168"/>
    <s v="EMP1031"/>
    <s v="C1777"/>
    <x v="409"/>
    <n v="1"/>
    <n v="880"/>
    <n v="634"/>
    <n v="634"/>
    <n v="880"/>
    <n v="246"/>
    <s v="Product 38"/>
    <x v="40"/>
    <s v="Brian Thomas"/>
    <x v="682"/>
    <n v="4"/>
    <x v="3"/>
    <x v="6"/>
    <x v="6"/>
    <x v="2"/>
    <x v="0"/>
  </r>
  <r>
    <s v="AX16746"/>
    <s v="ENX2069"/>
    <s v="A125"/>
    <s v="EMP1016"/>
    <s v="C1076"/>
    <x v="408"/>
    <n v="1"/>
    <n v="378"/>
    <n v="291"/>
    <n v="291"/>
    <n v="378"/>
    <n v="87"/>
    <s v="Product 70"/>
    <x v="31"/>
    <s v="Henry Nelson"/>
    <x v="772"/>
    <n v="4"/>
    <x v="3"/>
    <x v="6"/>
    <x v="6"/>
    <x v="2"/>
    <x v="0"/>
  </r>
  <r>
    <s v="AX16760"/>
    <s v="ENX2020"/>
    <s v="A149"/>
    <s v="EMP1021"/>
    <s v="C1688"/>
    <x v="407"/>
    <n v="1"/>
    <n v="2005"/>
    <n v="1223"/>
    <n v="1223"/>
    <n v="2005"/>
    <n v="782"/>
    <s v="Product 21"/>
    <x v="59"/>
    <s v="Clarence Fox"/>
    <x v="213"/>
    <n v="4"/>
    <x v="3"/>
    <x v="6"/>
    <x v="6"/>
    <x v="2"/>
    <x v="0"/>
  </r>
  <r>
    <s v="AX17556"/>
    <s v="ENX2049"/>
    <s v="A146"/>
    <s v="EMP1041"/>
    <s v="C1449"/>
    <x v="408"/>
    <n v="3"/>
    <n v="826"/>
    <n v="562"/>
    <n v="1686"/>
    <n v="2478"/>
    <n v="792"/>
    <s v="Product 50"/>
    <x v="27"/>
    <s v="Joe Sims"/>
    <x v="230"/>
    <n v="4"/>
    <x v="3"/>
    <x v="6"/>
    <x v="6"/>
    <x v="2"/>
    <x v="0"/>
  </r>
  <r>
    <s v="AX17835"/>
    <s v="ENX2025"/>
    <s v="A156"/>
    <s v="EMP1019"/>
    <s v="C1769"/>
    <x v="409"/>
    <n v="1"/>
    <n v="667"/>
    <n v="387"/>
    <n v="387"/>
    <n v="667"/>
    <n v="280"/>
    <s v="Product 26"/>
    <x v="14"/>
    <s v="Roger Robertson"/>
    <x v="269"/>
    <n v="4"/>
    <x v="3"/>
    <x v="6"/>
    <x v="6"/>
    <x v="2"/>
    <x v="0"/>
  </r>
  <r>
    <s v="AX18089"/>
    <s v="ENX2048"/>
    <s v="A113"/>
    <s v="EMP1004"/>
    <s v="C1662"/>
    <x v="411"/>
    <n v="2"/>
    <n v="502"/>
    <n v="296"/>
    <n v="592"/>
    <n v="1004"/>
    <n v="412"/>
    <s v="Product 49"/>
    <x v="73"/>
    <s v="Kenneth Bradley"/>
    <x v="649"/>
    <n v="4"/>
    <x v="3"/>
    <x v="6"/>
    <x v="6"/>
    <x v="2"/>
    <x v="0"/>
  </r>
  <r>
    <s v="AX18178"/>
    <s v="ENX2001"/>
    <s v="A153"/>
    <s v="EMP1008"/>
    <s v="C1496"/>
    <x v="411"/>
    <n v="1"/>
    <n v="951"/>
    <n v="504"/>
    <n v="504"/>
    <n v="951"/>
    <n v="447"/>
    <s v="Product 2"/>
    <x v="8"/>
    <s v="Carl Elliott"/>
    <x v="54"/>
    <n v="4"/>
    <x v="3"/>
    <x v="6"/>
    <x v="6"/>
    <x v="2"/>
    <x v="0"/>
  </r>
  <r>
    <s v="AX18205"/>
    <s v="ENX2025"/>
    <s v="A134"/>
    <s v="EMP1019"/>
    <s v="C1082"/>
    <x v="408"/>
    <n v="3"/>
    <n v="667"/>
    <n v="387"/>
    <n v="1161"/>
    <n v="2001"/>
    <n v="840"/>
    <s v="Product 26"/>
    <x v="41"/>
    <s v="Roger Robertson"/>
    <x v="145"/>
    <n v="4"/>
    <x v="3"/>
    <x v="6"/>
    <x v="6"/>
    <x v="2"/>
    <x v="0"/>
  </r>
  <r>
    <s v="AX18278"/>
    <s v="ENX2072"/>
    <s v="A155"/>
    <s v="EMP1041"/>
    <s v="C1726"/>
    <x v="407"/>
    <n v="1"/>
    <n v="1887"/>
    <n v="1378"/>
    <n v="1378"/>
    <n v="1887"/>
    <n v="509"/>
    <s v="Product 73"/>
    <x v="53"/>
    <s v="Joe Sims"/>
    <x v="755"/>
    <n v="4"/>
    <x v="3"/>
    <x v="6"/>
    <x v="6"/>
    <x v="2"/>
    <x v="0"/>
  </r>
  <r>
    <s v="AX18850"/>
    <s v="ENX2090"/>
    <s v="A130"/>
    <s v="EMP1027"/>
    <s v="C1374"/>
    <x v="411"/>
    <n v="1"/>
    <n v="1338"/>
    <n v="682"/>
    <n v="682"/>
    <n v="1338"/>
    <n v="656"/>
    <s v="Product 91"/>
    <x v="4"/>
    <s v="Gary Rodriguez"/>
    <x v="189"/>
    <n v="4"/>
    <x v="3"/>
    <x v="6"/>
    <x v="6"/>
    <x v="2"/>
    <x v="0"/>
  </r>
  <r>
    <s v="AX18930"/>
    <s v="ENX2021"/>
    <s v="A109"/>
    <s v="EMP1033"/>
    <s v="C1428"/>
    <x v="410"/>
    <n v="1"/>
    <n v="217"/>
    <n v="171"/>
    <n v="171"/>
    <n v="217"/>
    <n v="46"/>
    <s v="Product 22"/>
    <x v="57"/>
    <s v="Jerry Perry"/>
    <x v="509"/>
    <n v="4"/>
    <x v="3"/>
    <x v="6"/>
    <x v="6"/>
    <x v="2"/>
    <x v="0"/>
  </r>
  <r>
    <s v="AX18943"/>
    <s v="ENX2005"/>
    <s v="A172"/>
    <s v="EMP1006"/>
    <s v="C1223"/>
    <x v="411"/>
    <n v="2"/>
    <n v="684"/>
    <n v="561"/>
    <n v="1122"/>
    <n v="1368"/>
    <n v="246"/>
    <s v="Product 6"/>
    <x v="36"/>
    <s v="Sean Miller"/>
    <x v="310"/>
    <n v="4"/>
    <x v="3"/>
    <x v="6"/>
    <x v="6"/>
    <x v="2"/>
    <x v="0"/>
  </r>
  <r>
    <s v="AX19181"/>
    <s v="ENX2006"/>
    <s v="A169"/>
    <s v="EMP1006"/>
    <s v="C1302"/>
    <x v="410"/>
    <n v="1"/>
    <n v="1826"/>
    <n v="1443"/>
    <n v="1443"/>
    <n v="1826"/>
    <n v="383"/>
    <s v="Product 7"/>
    <x v="17"/>
    <s v="Sean Miller"/>
    <x v="451"/>
    <n v="4"/>
    <x v="3"/>
    <x v="6"/>
    <x v="6"/>
    <x v="2"/>
    <x v="0"/>
  </r>
  <r>
    <s v="AX20213"/>
    <s v="ENX2095"/>
    <s v="A140"/>
    <s v="EMP1003"/>
    <s v="C1049"/>
    <x v="407"/>
    <n v="1"/>
    <n v="1743"/>
    <n v="872"/>
    <n v="872"/>
    <n v="1743"/>
    <n v="871"/>
    <s v="Product 96"/>
    <x v="18"/>
    <s v="Christopher Tucker"/>
    <x v="305"/>
    <n v="4"/>
    <x v="3"/>
    <x v="6"/>
    <x v="6"/>
    <x v="2"/>
    <x v="0"/>
  </r>
  <r>
    <s v="AX20372"/>
    <s v="ENX2061"/>
    <s v="A117"/>
    <s v="EMP1006"/>
    <s v="C1717"/>
    <x v="410"/>
    <n v="1"/>
    <n v="913"/>
    <n v="584"/>
    <n v="584"/>
    <n v="913"/>
    <n v="329"/>
    <s v="Product 62"/>
    <x v="29"/>
    <s v="Sean Miller"/>
    <x v="605"/>
    <n v="4"/>
    <x v="3"/>
    <x v="6"/>
    <x v="6"/>
    <x v="2"/>
    <x v="0"/>
  </r>
  <r>
    <s v="AX20586"/>
    <s v="ENX2008"/>
    <s v="A159"/>
    <s v="EMP1031"/>
    <s v="C1591"/>
    <x v="408"/>
    <n v="1"/>
    <n v="315"/>
    <n v="208"/>
    <n v="208"/>
    <n v="315"/>
    <n v="107"/>
    <s v="Product 9"/>
    <x v="13"/>
    <s v="Brian Thomas"/>
    <x v="289"/>
    <n v="4"/>
    <x v="3"/>
    <x v="6"/>
    <x v="6"/>
    <x v="2"/>
    <x v="0"/>
  </r>
  <r>
    <s v="AX20636"/>
    <s v="ENX2085"/>
    <s v="A102"/>
    <s v="EMP1028"/>
    <s v="C1292"/>
    <x v="410"/>
    <n v="3"/>
    <n v="1862"/>
    <n v="1173"/>
    <n v="3519"/>
    <n v="5586"/>
    <n v="2067"/>
    <s v="Product 86"/>
    <x v="44"/>
    <s v="Howard Sims"/>
    <x v="333"/>
    <n v="4"/>
    <x v="3"/>
    <x v="6"/>
    <x v="6"/>
    <x v="2"/>
    <x v="0"/>
  </r>
  <r>
    <s v="AX21128"/>
    <s v="ENX2025"/>
    <s v="A151"/>
    <s v="EMP1006"/>
    <s v="C1221"/>
    <x v="408"/>
    <n v="1"/>
    <n v="667"/>
    <n v="387"/>
    <n v="387"/>
    <n v="667"/>
    <n v="280"/>
    <s v="Product 26"/>
    <x v="1"/>
    <s v="Sean Miller"/>
    <x v="429"/>
    <n v="4"/>
    <x v="3"/>
    <x v="6"/>
    <x v="6"/>
    <x v="2"/>
    <x v="0"/>
  </r>
  <r>
    <s v="AX21137"/>
    <s v="ENX2074"/>
    <s v="A104"/>
    <s v="EMP1010"/>
    <s v="C1334"/>
    <x v="411"/>
    <n v="3"/>
    <n v="504"/>
    <n v="408"/>
    <n v="1224"/>
    <n v="1512"/>
    <n v="288"/>
    <s v="Product 75"/>
    <x v="50"/>
    <s v="Joshua Cook"/>
    <x v="53"/>
    <n v="4"/>
    <x v="3"/>
    <x v="6"/>
    <x v="6"/>
    <x v="2"/>
    <x v="0"/>
  </r>
  <r>
    <s v="AX21406"/>
    <s v="ENX2066"/>
    <s v="A173"/>
    <s v="EMP1022"/>
    <s v="C1583"/>
    <x v="407"/>
    <n v="1"/>
    <n v="2091"/>
    <n v="1485"/>
    <n v="1485"/>
    <n v="2091"/>
    <n v="606"/>
    <s v="Product 67"/>
    <x v="25"/>
    <s v="Walter Cook"/>
    <x v="798"/>
    <n v="4"/>
    <x v="3"/>
    <x v="6"/>
    <x v="6"/>
    <x v="2"/>
    <x v="0"/>
  </r>
  <r>
    <s v="AX22270"/>
    <s v="ENX2072"/>
    <s v="A138"/>
    <s v="EMP1038"/>
    <s v="C1528"/>
    <x v="410"/>
    <n v="2"/>
    <n v="1887"/>
    <n v="1378"/>
    <n v="2756"/>
    <n v="3774"/>
    <n v="1018"/>
    <s v="Product 73"/>
    <x v="37"/>
    <s v="Scott Mason"/>
    <x v="158"/>
    <n v="4"/>
    <x v="3"/>
    <x v="6"/>
    <x v="6"/>
    <x v="2"/>
    <x v="0"/>
  </r>
  <r>
    <s v="AX22432"/>
    <s v="ENX2073"/>
    <s v="A173"/>
    <s v="EMP1041"/>
    <s v="C1231"/>
    <x v="407"/>
    <n v="1"/>
    <n v="95"/>
    <n v="61"/>
    <n v="61"/>
    <n v="95"/>
    <n v="34"/>
    <s v="Product 74"/>
    <x v="25"/>
    <s v="Joe Sims"/>
    <x v="94"/>
    <n v="4"/>
    <x v="3"/>
    <x v="6"/>
    <x v="6"/>
    <x v="2"/>
    <x v="0"/>
  </r>
  <r>
    <s v="AX22507"/>
    <s v="ENX2095"/>
    <s v="A167"/>
    <s v="EMP1036"/>
    <s v="C1324"/>
    <x v="407"/>
    <n v="1"/>
    <n v="1743"/>
    <n v="872"/>
    <n v="872"/>
    <n v="1743"/>
    <n v="871"/>
    <s v="Product 96"/>
    <x v="64"/>
    <s v="Robert Reed"/>
    <x v="252"/>
    <n v="4"/>
    <x v="3"/>
    <x v="6"/>
    <x v="6"/>
    <x v="2"/>
    <x v="0"/>
  </r>
  <r>
    <s v="AX22639"/>
    <s v="ENX2081"/>
    <s v="A109"/>
    <s v="EMP1010"/>
    <s v="C1184"/>
    <x v="408"/>
    <n v="1"/>
    <n v="1566"/>
    <n v="1190"/>
    <n v="1190"/>
    <n v="1566"/>
    <n v="376"/>
    <s v="Product 82"/>
    <x v="57"/>
    <s v="Joshua Cook"/>
    <x v="707"/>
    <n v="4"/>
    <x v="3"/>
    <x v="6"/>
    <x v="6"/>
    <x v="2"/>
    <x v="0"/>
  </r>
  <r>
    <s v="AX22825"/>
    <s v="ENX2082"/>
    <s v="A126"/>
    <s v="EMP1032"/>
    <s v="C1743"/>
    <x v="411"/>
    <n v="3"/>
    <n v="1103"/>
    <n v="838"/>
    <n v="2514"/>
    <n v="3309"/>
    <n v="795"/>
    <s v="Product 83"/>
    <x v="5"/>
    <s v="Larry Castillo"/>
    <x v="276"/>
    <n v="4"/>
    <x v="3"/>
    <x v="6"/>
    <x v="6"/>
    <x v="2"/>
    <x v="0"/>
  </r>
  <r>
    <s v="AX23195"/>
    <s v="ENX2022"/>
    <s v="A134"/>
    <s v="EMP1003"/>
    <s v="C1671"/>
    <x v="410"/>
    <n v="2"/>
    <n v="561"/>
    <n v="421"/>
    <n v="842"/>
    <n v="1122"/>
    <n v="280"/>
    <s v="Product 23"/>
    <x v="41"/>
    <s v="Christopher Tucker"/>
    <x v="248"/>
    <n v="4"/>
    <x v="3"/>
    <x v="6"/>
    <x v="6"/>
    <x v="2"/>
    <x v="0"/>
  </r>
  <r>
    <s v="AX23458"/>
    <s v="ENX2044"/>
    <s v="A162"/>
    <s v="EMP1008"/>
    <s v="C1382"/>
    <x v="409"/>
    <n v="3"/>
    <n v="886"/>
    <n v="478"/>
    <n v="1434"/>
    <n v="2658"/>
    <n v="1224"/>
    <s v="Product 45"/>
    <x v="2"/>
    <s v="Carl Elliott"/>
    <x v="334"/>
    <n v="4"/>
    <x v="3"/>
    <x v="6"/>
    <x v="6"/>
    <x v="2"/>
    <x v="0"/>
  </r>
  <r>
    <s v="AX23589"/>
    <s v="ENX2008"/>
    <s v="A136"/>
    <s v="EMP1028"/>
    <s v="C1691"/>
    <x v="408"/>
    <n v="2"/>
    <n v="315"/>
    <n v="208"/>
    <n v="416"/>
    <n v="630"/>
    <n v="214"/>
    <s v="Product 9"/>
    <x v="43"/>
    <s v="Howard Sims"/>
    <x v="157"/>
    <n v="4"/>
    <x v="3"/>
    <x v="6"/>
    <x v="6"/>
    <x v="2"/>
    <x v="0"/>
  </r>
  <r>
    <s v="AX24622"/>
    <s v="ENX2045"/>
    <s v="A159"/>
    <s v="EMP1030"/>
    <s v="C1131"/>
    <x v="409"/>
    <n v="1"/>
    <n v="556"/>
    <n v="395"/>
    <n v="395"/>
    <n v="556"/>
    <n v="161"/>
    <s v="Product 46"/>
    <x v="13"/>
    <s v="Bobby Russell"/>
    <x v="76"/>
    <n v="4"/>
    <x v="3"/>
    <x v="6"/>
    <x v="6"/>
    <x v="2"/>
    <x v="0"/>
  </r>
  <r>
    <s v="AX24624"/>
    <s v="ENX2054"/>
    <s v="A117"/>
    <s v="EMP1011"/>
    <s v="C1400"/>
    <x v="407"/>
    <n v="3"/>
    <n v="127"/>
    <n v="79"/>
    <n v="237"/>
    <n v="381"/>
    <n v="144"/>
    <s v="Product 55"/>
    <x v="29"/>
    <s v="Larry Marshall"/>
    <x v="437"/>
    <n v="4"/>
    <x v="3"/>
    <x v="6"/>
    <x v="6"/>
    <x v="2"/>
    <x v="0"/>
  </r>
  <r>
    <s v="AX24709"/>
    <s v="ENX2069"/>
    <s v="A114"/>
    <s v="EMP1018"/>
    <s v="C1600"/>
    <x v="411"/>
    <n v="1"/>
    <n v="378"/>
    <n v="291"/>
    <n v="291"/>
    <n v="378"/>
    <n v="87"/>
    <s v="Product 70"/>
    <x v="28"/>
    <s v="Jimmy Young"/>
    <x v="266"/>
    <n v="4"/>
    <x v="3"/>
    <x v="6"/>
    <x v="6"/>
    <x v="2"/>
    <x v="0"/>
  </r>
  <r>
    <s v="AX24768"/>
    <s v="ENX2036"/>
    <s v="A105"/>
    <s v="EMP1007"/>
    <s v="C1706"/>
    <x v="409"/>
    <n v="3"/>
    <n v="1582"/>
    <n v="1234"/>
    <n v="3702"/>
    <n v="4746"/>
    <n v="1044"/>
    <s v="Product 37"/>
    <x v="45"/>
    <s v="Jeremy Mendoza"/>
    <x v="171"/>
    <n v="4"/>
    <x v="3"/>
    <x v="6"/>
    <x v="6"/>
    <x v="2"/>
    <x v="0"/>
  </r>
  <r>
    <s v="AX11512"/>
    <s v="ENX2097"/>
    <s v="A103"/>
    <s v="EMP1025"/>
    <s v="C1786"/>
    <x v="412"/>
    <n v="1"/>
    <n v="1052"/>
    <n v="589"/>
    <n v="589"/>
    <n v="1052"/>
    <n v="463"/>
    <s v="Product 98"/>
    <x v="61"/>
    <s v="Ernest Wagner"/>
    <x v="406"/>
    <n v="4"/>
    <x v="3"/>
    <x v="6"/>
    <x v="6"/>
    <x v="2"/>
    <x v="2"/>
  </r>
  <r>
    <s v="AX11835"/>
    <s v="ENX2021"/>
    <s v="A164"/>
    <s v="EMP1040"/>
    <s v="C1047"/>
    <x v="412"/>
    <n v="2"/>
    <n v="217"/>
    <n v="171"/>
    <n v="342"/>
    <n v="434"/>
    <n v="92"/>
    <s v="Product 22"/>
    <x v="3"/>
    <s v="Patrick Ruiz"/>
    <x v="486"/>
    <n v="4"/>
    <x v="3"/>
    <x v="6"/>
    <x v="6"/>
    <x v="2"/>
    <x v="2"/>
  </r>
  <r>
    <s v="AX12032"/>
    <s v="ENX2075"/>
    <s v="A162"/>
    <s v="EMP1039"/>
    <s v="C1086"/>
    <x v="413"/>
    <n v="1"/>
    <n v="400"/>
    <n v="208"/>
    <n v="208"/>
    <n v="400"/>
    <n v="192"/>
    <s v="Product 76"/>
    <x v="2"/>
    <s v="Eugene Holmes"/>
    <x v="769"/>
    <n v="4"/>
    <x v="3"/>
    <x v="6"/>
    <x v="6"/>
    <x v="2"/>
    <x v="2"/>
  </r>
  <r>
    <s v="AX12033"/>
    <s v="ENX2096"/>
    <s v="A124"/>
    <s v="EMP1010"/>
    <s v="C1469"/>
    <x v="413"/>
    <n v="1"/>
    <n v="1587"/>
    <n v="1301"/>
    <n v="1301"/>
    <n v="1587"/>
    <n v="286"/>
    <s v="Product 97"/>
    <x v="67"/>
    <s v="Joshua Cook"/>
    <x v="300"/>
    <n v="4"/>
    <x v="3"/>
    <x v="6"/>
    <x v="6"/>
    <x v="2"/>
    <x v="2"/>
  </r>
  <r>
    <s v="AX12170"/>
    <s v="ENX2055"/>
    <s v="A164"/>
    <s v="EMP1001"/>
    <s v="C1436"/>
    <x v="413"/>
    <n v="2"/>
    <n v="2495"/>
    <n v="1896"/>
    <n v="3792"/>
    <n v="4990"/>
    <n v="1198"/>
    <s v="Product 56"/>
    <x v="3"/>
    <s v="Kevin Butler"/>
    <x v="283"/>
    <n v="4"/>
    <x v="3"/>
    <x v="6"/>
    <x v="6"/>
    <x v="2"/>
    <x v="2"/>
  </r>
  <r>
    <s v="AX12879"/>
    <s v="ENX2045"/>
    <s v="A124"/>
    <s v="EMP1005"/>
    <s v="C1539"/>
    <x v="414"/>
    <n v="1"/>
    <n v="556"/>
    <n v="395"/>
    <n v="395"/>
    <n v="556"/>
    <n v="161"/>
    <s v="Product 46"/>
    <x v="67"/>
    <s v="Ryan Welch"/>
    <x v="280"/>
    <n v="4"/>
    <x v="3"/>
    <x v="6"/>
    <x v="6"/>
    <x v="2"/>
    <x v="2"/>
  </r>
  <r>
    <s v="AX13494"/>
    <s v="ENX2023"/>
    <s v="A123"/>
    <s v="EMP1002"/>
    <s v="C1198"/>
    <x v="414"/>
    <n v="1"/>
    <n v="818"/>
    <n v="450"/>
    <n v="450"/>
    <n v="818"/>
    <n v="368"/>
    <s v="Product 24"/>
    <x v="34"/>
    <s v="Andrew Bowman"/>
    <x v="42"/>
    <n v="4"/>
    <x v="3"/>
    <x v="6"/>
    <x v="6"/>
    <x v="2"/>
    <x v="2"/>
  </r>
  <r>
    <s v="AX13653"/>
    <s v="ENX2088"/>
    <s v="A169"/>
    <s v="EMP1022"/>
    <s v="C1045"/>
    <x v="412"/>
    <n v="2"/>
    <n v="603"/>
    <n v="416"/>
    <n v="832"/>
    <n v="1206"/>
    <n v="374"/>
    <s v="Product 89"/>
    <x v="17"/>
    <s v="Walter Cook"/>
    <x v="444"/>
    <n v="4"/>
    <x v="3"/>
    <x v="6"/>
    <x v="6"/>
    <x v="2"/>
    <x v="2"/>
  </r>
  <r>
    <s v="AX13903"/>
    <s v="ENX2030"/>
    <s v="A155"/>
    <s v="EMP1034"/>
    <s v="C1346"/>
    <x v="412"/>
    <n v="1"/>
    <n v="1899"/>
    <n v="1044"/>
    <n v="1044"/>
    <n v="1899"/>
    <n v="855"/>
    <s v="Product 31"/>
    <x v="53"/>
    <s v="Arthur Mccoy"/>
    <x v="340"/>
    <n v="4"/>
    <x v="3"/>
    <x v="6"/>
    <x v="6"/>
    <x v="2"/>
    <x v="2"/>
  </r>
  <r>
    <s v="AX13910"/>
    <s v="ENX2091"/>
    <s v="A172"/>
    <s v="EMP1034"/>
    <s v="C1382"/>
    <x v="412"/>
    <n v="1"/>
    <n v="368"/>
    <n v="294"/>
    <n v="294"/>
    <n v="368"/>
    <n v="74"/>
    <s v="Product 92"/>
    <x v="36"/>
    <s v="Arthur Mccoy"/>
    <x v="334"/>
    <n v="4"/>
    <x v="3"/>
    <x v="6"/>
    <x v="6"/>
    <x v="2"/>
    <x v="2"/>
  </r>
  <r>
    <s v="AX14466"/>
    <s v="ENX2002"/>
    <s v="A131"/>
    <s v="EMP1029"/>
    <s v="C1679"/>
    <x v="412"/>
    <n v="1"/>
    <n v="847"/>
    <n v="534"/>
    <n v="534"/>
    <n v="847"/>
    <n v="313"/>
    <s v="Product 3"/>
    <x v="32"/>
    <s v="Howard Gardner"/>
    <x v="664"/>
    <n v="4"/>
    <x v="3"/>
    <x v="6"/>
    <x v="6"/>
    <x v="2"/>
    <x v="2"/>
  </r>
  <r>
    <s v="AX14499"/>
    <s v="ENX2072"/>
    <s v="A159"/>
    <s v="EMP1007"/>
    <s v="C1764"/>
    <x v="412"/>
    <n v="3"/>
    <n v="1887"/>
    <n v="1378"/>
    <n v="4134"/>
    <n v="5661"/>
    <n v="1527"/>
    <s v="Product 73"/>
    <x v="13"/>
    <s v="Jeremy Mendoza"/>
    <x v="386"/>
    <n v="4"/>
    <x v="3"/>
    <x v="6"/>
    <x v="6"/>
    <x v="2"/>
    <x v="2"/>
  </r>
  <r>
    <s v="AX15122"/>
    <s v="ENX2008"/>
    <s v="A171"/>
    <s v="EMP1029"/>
    <s v="C1712"/>
    <x v="415"/>
    <n v="3"/>
    <n v="315"/>
    <n v="208"/>
    <n v="624"/>
    <n v="945"/>
    <n v="321"/>
    <s v="Product 9"/>
    <x v="0"/>
    <s v="Howard Gardner"/>
    <x v="21"/>
    <n v="4"/>
    <x v="3"/>
    <x v="6"/>
    <x v="6"/>
    <x v="2"/>
    <x v="2"/>
  </r>
  <r>
    <s v="AX15169"/>
    <s v="ENX2007"/>
    <s v="A128"/>
    <s v="EMP1025"/>
    <s v="C1001"/>
    <x v="415"/>
    <n v="1"/>
    <n v="1405"/>
    <n v="1054"/>
    <n v="1054"/>
    <n v="1405"/>
    <n v="351"/>
    <s v="Product 8"/>
    <x v="12"/>
    <s v="Ernest Wagner"/>
    <x v="725"/>
    <n v="4"/>
    <x v="3"/>
    <x v="6"/>
    <x v="6"/>
    <x v="2"/>
    <x v="2"/>
  </r>
  <r>
    <s v="AX15485"/>
    <s v="ENX2070"/>
    <s v="A141"/>
    <s v="EMP1004"/>
    <s v="C1486"/>
    <x v="413"/>
    <n v="2"/>
    <n v="1671"/>
    <n v="1220"/>
    <n v="2440"/>
    <n v="3342"/>
    <n v="902"/>
    <s v="Product 71"/>
    <x v="23"/>
    <s v="Kenneth Bradley"/>
    <x v="357"/>
    <n v="4"/>
    <x v="3"/>
    <x v="6"/>
    <x v="6"/>
    <x v="2"/>
    <x v="2"/>
  </r>
  <r>
    <s v="AX15710"/>
    <s v="ENX2083"/>
    <s v="A127"/>
    <s v="EMP1043"/>
    <s v="C1398"/>
    <x v="415"/>
    <n v="1"/>
    <n v="2141"/>
    <n v="1777"/>
    <n v="1777"/>
    <n v="2141"/>
    <n v="364"/>
    <s v="Product 84"/>
    <x v="69"/>
    <s v="Joshua Taylor"/>
    <x v="680"/>
    <n v="4"/>
    <x v="3"/>
    <x v="6"/>
    <x v="6"/>
    <x v="2"/>
    <x v="2"/>
  </r>
  <r>
    <s v="AX15767"/>
    <s v="ENX2018"/>
    <s v="A133"/>
    <s v="EMP1028"/>
    <s v="C1750"/>
    <x v="413"/>
    <n v="3"/>
    <n v="1972"/>
    <n v="1321"/>
    <n v="3963"/>
    <n v="5916"/>
    <n v="1953"/>
    <s v="Product 19"/>
    <x v="46"/>
    <s v="Howard Sims"/>
    <x v="591"/>
    <n v="4"/>
    <x v="3"/>
    <x v="6"/>
    <x v="6"/>
    <x v="2"/>
    <x v="2"/>
  </r>
  <r>
    <s v="AX15788"/>
    <s v="ENX2002"/>
    <s v="A110"/>
    <s v="EMP1039"/>
    <s v="C1581"/>
    <x v="412"/>
    <n v="1"/>
    <n v="847"/>
    <n v="534"/>
    <n v="534"/>
    <n v="847"/>
    <n v="313"/>
    <s v="Product 3"/>
    <x v="63"/>
    <s v="Eugene Holmes"/>
    <x v="510"/>
    <n v="4"/>
    <x v="3"/>
    <x v="6"/>
    <x v="6"/>
    <x v="2"/>
    <x v="2"/>
  </r>
  <r>
    <s v="AX15836"/>
    <s v="ENX2032"/>
    <s v="A110"/>
    <s v="EMP1025"/>
    <s v="C1550"/>
    <x v="414"/>
    <n v="2"/>
    <n v="1967"/>
    <n v="1397"/>
    <n v="2794"/>
    <n v="3934"/>
    <n v="1140"/>
    <s v="Product 33"/>
    <x v="63"/>
    <s v="Ernest Wagner"/>
    <x v="689"/>
    <n v="4"/>
    <x v="3"/>
    <x v="6"/>
    <x v="6"/>
    <x v="2"/>
    <x v="2"/>
  </r>
  <r>
    <s v="AX15882"/>
    <s v="ENX2023"/>
    <s v="A141"/>
    <s v="EMP1011"/>
    <s v="C1293"/>
    <x v="412"/>
    <n v="2"/>
    <n v="818"/>
    <n v="450"/>
    <n v="900"/>
    <n v="1636"/>
    <n v="736"/>
    <s v="Product 24"/>
    <x v="23"/>
    <s v="Larry Marshall"/>
    <x v="512"/>
    <n v="4"/>
    <x v="3"/>
    <x v="6"/>
    <x v="6"/>
    <x v="2"/>
    <x v="2"/>
  </r>
  <r>
    <s v="AX16491"/>
    <s v="ENX2034"/>
    <s v="A153"/>
    <s v="EMP1025"/>
    <s v="C1383"/>
    <x v="412"/>
    <n v="4"/>
    <n v="871"/>
    <n v="540"/>
    <n v="2160"/>
    <n v="3484"/>
    <n v="1324"/>
    <s v="Product 35"/>
    <x v="8"/>
    <s v="Ernest Wagner"/>
    <x v="508"/>
    <n v="4"/>
    <x v="3"/>
    <x v="6"/>
    <x v="6"/>
    <x v="2"/>
    <x v="2"/>
  </r>
  <r>
    <s v="AX16507"/>
    <s v="ENX2099"/>
    <s v="A164"/>
    <s v="EMP1015"/>
    <s v="C1742"/>
    <x v="415"/>
    <n v="3"/>
    <n v="1367"/>
    <n v="984"/>
    <n v="2952"/>
    <n v="4101"/>
    <n v="1149"/>
    <s v="Product 100"/>
    <x v="3"/>
    <s v="Justin Lynch"/>
    <x v="434"/>
    <n v="4"/>
    <x v="3"/>
    <x v="6"/>
    <x v="6"/>
    <x v="2"/>
    <x v="2"/>
  </r>
  <r>
    <s v="AX16548"/>
    <s v="ENX2017"/>
    <s v="A105"/>
    <s v="EMP1015"/>
    <s v="C1507"/>
    <x v="414"/>
    <n v="1"/>
    <n v="35"/>
    <n v="22"/>
    <n v="22"/>
    <n v="35"/>
    <n v="13"/>
    <s v="Product 18"/>
    <x v="45"/>
    <s v="Justin Lynch"/>
    <x v="227"/>
    <n v="4"/>
    <x v="3"/>
    <x v="6"/>
    <x v="6"/>
    <x v="2"/>
    <x v="2"/>
  </r>
  <r>
    <s v="AX16657"/>
    <s v="ENX2009"/>
    <s v="A116"/>
    <s v="EMP1044"/>
    <s v="C1717"/>
    <x v="413"/>
    <n v="2"/>
    <n v="584"/>
    <n v="420"/>
    <n v="840"/>
    <n v="1168"/>
    <n v="328"/>
    <s v="Product 10"/>
    <x v="15"/>
    <s v="Martin Carr"/>
    <x v="605"/>
    <n v="4"/>
    <x v="3"/>
    <x v="6"/>
    <x v="6"/>
    <x v="2"/>
    <x v="2"/>
  </r>
  <r>
    <s v="AX16800"/>
    <s v="ENX2065"/>
    <s v="A133"/>
    <s v="EMP1036"/>
    <s v="C1203"/>
    <x v="413"/>
    <n v="1"/>
    <n v="2396"/>
    <n v="1965"/>
    <n v="1965"/>
    <n v="2396"/>
    <n v="431"/>
    <s v="Product 66"/>
    <x v="46"/>
    <s v="Robert Reed"/>
    <x v="792"/>
    <n v="4"/>
    <x v="3"/>
    <x v="6"/>
    <x v="6"/>
    <x v="2"/>
    <x v="2"/>
  </r>
  <r>
    <s v="AX16913"/>
    <s v="ENX2031"/>
    <s v="A170"/>
    <s v="EMP1022"/>
    <s v="C1224"/>
    <x v="415"/>
    <n v="3"/>
    <n v="1638"/>
    <n v="1261"/>
    <n v="3783"/>
    <n v="4914"/>
    <n v="1131"/>
    <s v="Product 32"/>
    <x v="47"/>
    <s v="Walter Cook"/>
    <x v="492"/>
    <n v="4"/>
    <x v="3"/>
    <x v="6"/>
    <x v="6"/>
    <x v="2"/>
    <x v="2"/>
  </r>
  <r>
    <s v="AX17159"/>
    <s v="ENX2074"/>
    <s v="A128"/>
    <s v="EMP1028"/>
    <s v="C1742"/>
    <x v="412"/>
    <n v="1"/>
    <n v="504"/>
    <n v="408"/>
    <n v="408"/>
    <n v="504"/>
    <n v="96"/>
    <s v="Product 75"/>
    <x v="12"/>
    <s v="Howard Sims"/>
    <x v="434"/>
    <n v="4"/>
    <x v="3"/>
    <x v="6"/>
    <x v="6"/>
    <x v="2"/>
    <x v="2"/>
  </r>
  <r>
    <s v="AX17163"/>
    <s v="ENX2042"/>
    <s v="A148"/>
    <s v="EMP1008"/>
    <s v="C1211"/>
    <x v="415"/>
    <n v="3"/>
    <n v="203"/>
    <n v="154"/>
    <n v="462"/>
    <n v="609"/>
    <n v="147"/>
    <s v="Product 43"/>
    <x v="62"/>
    <s v="Carl Elliott"/>
    <x v="137"/>
    <n v="4"/>
    <x v="3"/>
    <x v="6"/>
    <x v="6"/>
    <x v="2"/>
    <x v="2"/>
  </r>
  <r>
    <s v="AX17382"/>
    <s v="ENX2017"/>
    <s v="A124"/>
    <s v="EMP1007"/>
    <s v="C1024"/>
    <x v="413"/>
    <n v="1"/>
    <n v="35"/>
    <n v="22"/>
    <n v="22"/>
    <n v="35"/>
    <n v="13"/>
    <s v="Product 18"/>
    <x v="67"/>
    <s v="Jeremy Mendoza"/>
    <x v="599"/>
    <n v="4"/>
    <x v="3"/>
    <x v="6"/>
    <x v="6"/>
    <x v="2"/>
    <x v="2"/>
  </r>
  <r>
    <s v="AX18095"/>
    <s v="ENX2041"/>
    <s v="A145"/>
    <s v="EMP1020"/>
    <s v="C1673"/>
    <x v="414"/>
    <n v="1"/>
    <n v="1380"/>
    <n v="1090"/>
    <n v="1090"/>
    <n v="1380"/>
    <n v="290"/>
    <s v="Product 42"/>
    <x v="35"/>
    <s v="Ryan Butler"/>
    <x v="87"/>
    <n v="4"/>
    <x v="3"/>
    <x v="6"/>
    <x v="6"/>
    <x v="2"/>
    <x v="2"/>
  </r>
  <r>
    <s v="AX18499"/>
    <s v="ENX2089"/>
    <s v="A126"/>
    <s v="EMP1039"/>
    <s v="C1546"/>
    <x v="413"/>
    <n v="3"/>
    <n v="2294"/>
    <n v="1399"/>
    <n v="4197"/>
    <n v="6882"/>
    <n v="2685"/>
    <s v="Product 90"/>
    <x v="5"/>
    <s v="Eugene Holmes"/>
    <x v="119"/>
    <n v="4"/>
    <x v="3"/>
    <x v="6"/>
    <x v="6"/>
    <x v="2"/>
    <x v="2"/>
  </r>
  <r>
    <s v="AX18510"/>
    <s v="ENX2058"/>
    <s v="A129"/>
    <s v="EMP1027"/>
    <s v="C1576"/>
    <x v="413"/>
    <n v="2"/>
    <n v="2257"/>
    <n v="1535"/>
    <n v="3070"/>
    <n v="4514"/>
    <n v="1444"/>
    <s v="Product 59"/>
    <x v="22"/>
    <s v="Gary Rodriguez"/>
    <x v="398"/>
    <n v="4"/>
    <x v="3"/>
    <x v="6"/>
    <x v="6"/>
    <x v="2"/>
    <x v="2"/>
  </r>
  <r>
    <s v="AX18860"/>
    <s v="ENX2088"/>
    <s v="A106"/>
    <s v="EMP1001"/>
    <s v="C1049"/>
    <x v="413"/>
    <n v="1"/>
    <n v="603"/>
    <n v="416"/>
    <n v="416"/>
    <n v="603"/>
    <n v="187"/>
    <s v="Product 89"/>
    <x v="11"/>
    <s v="Kevin Butler"/>
    <x v="305"/>
    <n v="4"/>
    <x v="3"/>
    <x v="6"/>
    <x v="6"/>
    <x v="2"/>
    <x v="2"/>
  </r>
  <r>
    <s v="AX19140"/>
    <s v="ENX2062"/>
    <s v="A165"/>
    <s v="EMP1012"/>
    <s v="C1026"/>
    <x v="412"/>
    <n v="1"/>
    <n v="2464"/>
    <n v="1774"/>
    <n v="1774"/>
    <n v="2464"/>
    <n v="690"/>
    <s v="Product 63"/>
    <x v="55"/>
    <s v="John Reyes"/>
    <x v="410"/>
    <n v="4"/>
    <x v="3"/>
    <x v="6"/>
    <x v="6"/>
    <x v="2"/>
    <x v="2"/>
  </r>
  <r>
    <s v="AX19380"/>
    <s v="ENX2082"/>
    <s v="A163"/>
    <s v="EMP1038"/>
    <s v="C1163"/>
    <x v="414"/>
    <n v="2"/>
    <n v="1103"/>
    <n v="838"/>
    <n v="1676"/>
    <n v="2206"/>
    <n v="530"/>
    <s v="Product 83"/>
    <x v="51"/>
    <s v="Scott Mason"/>
    <x v="23"/>
    <n v="4"/>
    <x v="3"/>
    <x v="6"/>
    <x v="6"/>
    <x v="2"/>
    <x v="2"/>
  </r>
  <r>
    <s v="AX19442"/>
    <s v="ENX2088"/>
    <s v="A142"/>
    <s v="EMP1043"/>
    <s v="C1453"/>
    <x v="413"/>
    <n v="3"/>
    <n v="603"/>
    <n v="416"/>
    <n v="1248"/>
    <n v="1809"/>
    <n v="561"/>
    <s v="Product 89"/>
    <x v="56"/>
    <s v="Joshua Taylor"/>
    <x v="194"/>
    <n v="4"/>
    <x v="3"/>
    <x v="6"/>
    <x v="6"/>
    <x v="2"/>
    <x v="2"/>
  </r>
  <r>
    <s v="AX19484"/>
    <s v="ENX2067"/>
    <s v="A171"/>
    <s v="EMP1042"/>
    <s v="C1567"/>
    <x v="412"/>
    <n v="1"/>
    <n v="1119"/>
    <n v="683"/>
    <n v="683"/>
    <n v="1119"/>
    <n v="436"/>
    <s v="Product 68"/>
    <x v="0"/>
    <s v="Scott Clark"/>
    <x v="251"/>
    <n v="4"/>
    <x v="3"/>
    <x v="6"/>
    <x v="6"/>
    <x v="2"/>
    <x v="2"/>
  </r>
  <r>
    <s v="AX19499"/>
    <s v="ENX2038"/>
    <s v="A105"/>
    <s v="EMP1043"/>
    <s v="C1581"/>
    <x v="412"/>
    <n v="1"/>
    <n v="392"/>
    <n v="255"/>
    <n v="255"/>
    <n v="392"/>
    <n v="137"/>
    <s v="Product 39"/>
    <x v="45"/>
    <s v="Joshua Taylor"/>
    <x v="510"/>
    <n v="4"/>
    <x v="3"/>
    <x v="6"/>
    <x v="6"/>
    <x v="2"/>
    <x v="2"/>
  </r>
  <r>
    <s v="AX19951"/>
    <s v="ENX2086"/>
    <s v="A154"/>
    <s v="EMP1001"/>
    <s v="C1543"/>
    <x v="413"/>
    <n v="3"/>
    <n v="123"/>
    <n v="84"/>
    <n v="252"/>
    <n v="369"/>
    <n v="117"/>
    <s v="Product 87"/>
    <x v="24"/>
    <s v="Kevin Butler"/>
    <x v="337"/>
    <n v="4"/>
    <x v="3"/>
    <x v="6"/>
    <x v="6"/>
    <x v="2"/>
    <x v="2"/>
  </r>
  <r>
    <s v="AX19961"/>
    <s v="ENX2010"/>
    <s v="A162"/>
    <s v="EMP1033"/>
    <s v="C1304"/>
    <x v="415"/>
    <n v="4"/>
    <n v="1812"/>
    <n v="1305"/>
    <n v="5220"/>
    <n v="7248"/>
    <n v="2028"/>
    <s v="Product 11"/>
    <x v="2"/>
    <s v="Jerry Perry"/>
    <x v="298"/>
    <n v="4"/>
    <x v="3"/>
    <x v="6"/>
    <x v="6"/>
    <x v="2"/>
    <x v="2"/>
  </r>
  <r>
    <s v="AX20173"/>
    <s v="ENX2008"/>
    <s v="A169"/>
    <s v="EMP1008"/>
    <s v="C1219"/>
    <x v="414"/>
    <n v="2"/>
    <n v="315"/>
    <n v="208"/>
    <n v="416"/>
    <n v="630"/>
    <n v="214"/>
    <s v="Product 9"/>
    <x v="17"/>
    <s v="Carl Elliott"/>
    <x v="301"/>
    <n v="4"/>
    <x v="3"/>
    <x v="6"/>
    <x v="6"/>
    <x v="2"/>
    <x v="2"/>
  </r>
  <r>
    <s v="AX20336"/>
    <s v="ENX2040"/>
    <s v="A154"/>
    <s v="EMP1017"/>
    <s v="C1473"/>
    <x v="415"/>
    <n v="1"/>
    <n v="1889"/>
    <n v="945"/>
    <n v="945"/>
    <n v="1889"/>
    <n v="944"/>
    <s v="Product 41"/>
    <x v="24"/>
    <s v="Brian Hansen"/>
    <x v="100"/>
    <n v="4"/>
    <x v="3"/>
    <x v="6"/>
    <x v="6"/>
    <x v="2"/>
    <x v="2"/>
  </r>
  <r>
    <s v="AX20528"/>
    <s v="ENX2066"/>
    <s v="A151"/>
    <s v="EMP1039"/>
    <s v="C1417"/>
    <x v="413"/>
    <n v="3"/>
    <n v="2091"/>
    <n v="1485"/>
    <n v="4455"/>
    <n v="6273"/>
    <n v="1818"/>
    <s v="Product 67"/>
    <x v="1"/>
    <s v="Eugene Holmes"/>
    <x v="147"/>
    <n v="4"/>
    <x v="3"/>
    <x v="6"/>
    <x v="6"/>
    <x v="2"/>
    <x v="2"/>
  </r>
  <r>
    <s v="AX21439"/>
    <s v="ENX2093"/>
    <s v="A172"/>
    <s v="EMP1023"/>
    <s v="C1014"/>
    <x v="414"/>
    <n v="1"/>
    <n v="112"/>
    <n v="90"/>
    <n v="90"/>
    <n v="112"/>
    <n v="22"/>
    <s v="Product 94"/>
    <x v="36"/>
    <s v="Brian Davis"/>
    <x v="26"/>
    <n v="4"/>
    <x v="3"/>
    <x v="6"/>
    <x v="6"/>
    <x v="2"/>
    <x v="2"/>
  </r>
  <r>
    <s v="AX21638"/>
    <s v="ENX2057"/>
    <s v="A156"/>
    <s v="EMP1042"/>
    <s v="C1209"/>
    <x v="413"/>
    <n v="1"/>
    <n v="181"/>
    <n v="130"/>
    <n v="130"/>
    <n v="181"/>
    <n v="51"/>
    <s v="Product 58"/>
    <x v="14"/>
    <s v="Scott Clark"/>
    <x v="225"/>
    <n v="4"/>
    <x v="3"/>
    <x v="6"/>
    <x v="6"/>
    <x v="2"/>
    <x v="2"/>
  </r>
  <r>
    <s v="AX21733"/>
    <s v="ENX2091"/>
    <s v="A128"/>
    <s v="EMP1022"/>
    <s v="C1219"/>
    <x v="412"/>
    <n v="1"/>
    <n v="368"/>
    <n v="294"/>
    <n v="294"/>
    <n v="368"/>
    <n v="74"/>
    <s v="Product 92"/>
    <x v="12"/>
    <s v="Walter Cook"/>
    <x v="301"/>
    <n v="4"/>
    <x v="3"/>
    <x v="6"/>
    <x v="6"/>
    <x v="2"/>
    <x v="2"/>
  </r>
  <r>
    <s v="AX21992"/>
    <s v="ENX2043"/>
    <s v="A130"/>
    <s v="EMP1031"/>
    <s v="C1583"/>
    <x v="415"/>
    <n v="1"/>
    <n v="545"/>
    <n v="425"/>
    <n v="425"/>
    <n v="545"/>
    <n v="120"/>
    <s v="Product 44"/>
    <x v="4"/>
    <s v="Brian Thomas"/>
    <x v="798"/>
    <n v="4"/>
    <x v="3"/>
    <x v="6"/>
    <x v="6"/>
    <x v="2"/>
    <x v="2"/>
  </r>
  <r>
    <s v="AX22391"/>
    <s v="ENX2005"/>
    <s v="A113"/>
    <s v="EMP1031"/>
    <s v="C1249"/>
    <x v="413"/>
    <n v="1"/>
    <n v="684"/>
    <n v="561"/>
    <n v="561"/>
    <n v="684"/>
    <n v="123"/>
    <s v="Product 6"/>
    <x v="73"/>
    <s v="Brian Thomas"/>
    <x v="709"/>
    <n v="4"/>
    <x v="3"/>
    <x v="6"/>
    <x v="6"/>
    <x v="2"/>
    <x v="2"/>
  </r>
  <r>
    <s v="AX22564"/>
    <s v="ENX2061"/>
    <s v="A166"/>
    <s v="EMP1033"/>
    <s v="C1680"/>
    <x v="415"/>
    <n v="1"/>
    <n v="913"/>
    <n v="584"/>
    <n v="584"/>
    <n v="913"/>
    <n v="329"/>
    <s v="Product 62"/>
    <x v="70"/>
    <s v="Jerry Perry"/>
    <x v="797"/>
    <n v="4"/>
    <x v="3"/>
    <x v="6"/>
    <x v="6"/>
    <x v="2"/>
    <x v="2"/>
  </r>
  <r>
    <s v="AX22967"/>
    <s v="ENX2043"/>
    <s v="A147"/>
    <s v="EMP1020"/>
    <s v="C1505"/>
    <x v="412"/>
    <n v="1"/>
    <n v="545"/>
    <n v="425"/>
    <n v="425"/>
    <n v="545"/>
    <n v="120"/>
    <s v="Product 44"/>
    <x v="42"/>
    <s v="Ryan Butler"/>
    <x v="632"/>
    <n v="4"/>
    <x v="3"/>
    <x v="6"/>
    <x v="6"/>
    <x v="2"/>
    <x v="2"/>
  </r>
  <r>
    <s v="AX23089"/>
    <s v="ENX2065"/>
    <s v="A108"/>
    <s v="EMP1002"/>
    <s v="C1232"/>
    <x v="413"/>
    <n v="1"/>
    <n v="2396"/>
    <n v="1965"/>
    <n v="1965"/>
    <n v="2396"/>
    <n v="431"/>
    <s v="Product 66"/>
    <x v="49"/>
    <s v="Andrew Bowman"/>
    <x v="584"/>
    <n v="4"/>
    <x v="3"/>
    <x v="6"/>
    <x v="6"/>
    <x v="2"/>
    <x v="2"/>
  </r>
  <r>
    <s v="AX23185"/>
    <s v="ENX2009"/>
    <s v="A114"/>
    <s v="EMP1038"/>
    <s v="C1096"/>
    <x v="414"/>
    <n v="1"/>
    <n v="584"/>
    <n v="420"/>
    <n v="420"/>
    <n v="584"/>
    <n v="164"/>
    <s v="Product 10"/>
    <x v="28"/>
    <s v="Scott Mason"/>
    <x v="91"/>
    <n v="4"/>
    <x v="3"/>
    <x v="6"/>
    <x v="6"/>
    <x v="2"/>
    <x v="2"/>
  </r>
  <r>
    <s v="AX23630"/>
    <s v="ENX2081"/>
    <s v="A162"/>
    <s v="EMP1037"/>
    <s v="C1346"/>
    <x v="414"/>
    <n v="1"/>
    <n v="1566"/>
    <n v="1190"/>
    <n v="1190"/>
    <n v="1566"/>
    <n v="376"/>
    <s v="Product 82"/>
    <x v="2"/>
    <s v="Carl Hall"/>
    <x v="340"/>
    <n v="4"/>
    <x v="3"/>
    <x v="6"/>
    <x v="6"/>
    <x v="2"/>
    <x v="2"/>
  </r>
  <r>
    <s v="AX23934"/>
    <s v="ENX2025"/>
    <s v="A161"/>
    <s v="EMP1009"/>
    <s v="C1003"/>
    <x v="414"/>
    <n v="2"/>
    <n v="667"/>
    <n v="387"/>
    <n v="774"/>
    <n v="1334"/>
    <n v="560"/>
    <s v="Product 26"/>
    <x v="6"/>
    <s v="Kenneth Fields"/>
    <x v="494"/>
    <n v="4"/>
    <x v="3"/>
    <x v="6"/>
    <x v="6"/>
    <x v="2"/>
    <x v="2"/>
  </r>
  <r>
    <s v="AX24498"/>
    <s v="ENX2049"/>
    <s v="A169"/>
    <s v="EMP1036"/>
    <s v="C1436"/>
    <x v="412"/>
    <n v="1"/>
    <n v="826"/>
    <n v="562"/>
    <n v="562"/>
    <n v="826"/>
    <n v="264"/>
    <s v="Product 50"/>
    <x v="17"/>
    <s v="Robert Reed"/>
    <x v="283"/>
    <n v="4"/>
    <x v="3"/>
    <x v="6"/>
    <x v="6"/>
    <x v="2"/>
    <x v="2"/>
  </r>
  <r>
    <s v="AX24711"/>
    <s v="ENX2015"/>
    <s v="A114"/>
    <s v="EMP1042"/>
    <s v="C1438"/>
    <x v="413"/>
    <n v="4"/>
    <n v="637"/>
    <n v="389"/>
    <n v="1556"/>
    <n v="2548"/>
    <n v="992"/>
    <s v="Product 16"/>
    <x v="28"/>
    <s v="Scott Clark"/>
    <x v="670"/>
    <n v="4"/>
    <x v="3"/>
    <x v="6"/>
    <x v="6"/>
    <x v="2"/>
    <x v="2"/>
  </r>
  <r>
    <s v="AX24735"/>
    <s v="ENX2046"/>
    <s v="A108"/>
    <s v="EMP1022"/>
    <s v="C1615"/>
    <x v="414"/>
    <n v="1"/>
    <n v="2410"/>
    <n v="1518"/>
    <n v="1518"/>
    <n v="2410"/>
    <n v="892"/>
    <s v="Product 47"/>
    <x v="49"/>
    <s v="Walter Cook"/>
    <x v="457"/>
    <n v="4"/>
    <x v="3"/>
    <x v="6"/>
    <x v="6"/>
    <x v="2"/>
    <x v="2"/>
  </r>
  <r>
    <s v="AX10059"/>
    <s v="ENX2016"/>
    <s v="A173"/>
    <s v="EMP1019"/>
    <s v="C1767"/>
    <x v="416"/>
    <n v="1"/>
    <n v="1351"/>
    <n v="1108"/>
    <n v="1108"/>
    <n v="1351"/>
    <n v="243"/>
    <s v="Product 17"/>
    <x v="25"/>
    <s v="Roger Robertson"/>
    <x v="4"/>
    <n v="4"/>
    <x v="3"/>
    <x v="7"/>
    <x v="7"/>
    <x v="2"/>
    <x v="0"/>
  </r>
  <r>
    <s v="AX10560"/>
    <s v="ENX2029"/>
    <s v="A127"/>
    <s v="EMP1023"/>
    <s v="C1334"/>
    <x v="416"/>
    <n v="3"/>
    <n v="1848"/>
    <n v="1294"/>
    <n v="3882"/>
    <n v="5544"/>
    <n v="1662"/>
    <s v="Product 30"/>
    <x v="69"/>
    <s v="Brian Davis"/>
    <x v="53"/>
    <n v="4"/>
    <x v="3"/>
    <x v="7"/>
    <x v="7"/>
    <x v="2"/>
    <x v="0"/>
  </r>
  <r>
    <s v="AX10844"/>
    <s v="ENX2046"/>
    <s v="A112"/>
    <s v="EMP1033"/>
    <s v="C1422"/>
    <x v="417"/>
    <n v="1"/>
    <n v="2410"/>
    <n v="1518"/>
    <n v="1518"/>
    <n v="2410"/>
    <n v="892"/>
    <s v="Product 47"/>
    <x v="66"/>
    <s v="Jerry Perry"/>
    <x v="176"/>
    <n v="4"/>
    <x v="3"/>
    <x v="7"/>
    <x v="7"/>
    <x v="2"/>
    <x v="0"/>
  </r>
  <r>
    <s v="AX10867"/>
    <s v="ENX2026"/>
    <s v="A110"/>
    <s v="EMP1020"/>
    <s v="C1189"/>
    <x v="418"/>
    <n v="1"/>
    <n v="947"/>
    <n v="786"/>
    <n v="786"/>
    <n v="947"/>
    <n v="161"/>
    <s v="Product 27"/>
    <x v="63"/>
    <s v="Ryan Butler"/>
    <x v="752"/>
    <n v="4"/>
    <x v="3"/>
    <x v="7"/>
    <x v="7"/>
    <x v="2"/>
    <x v="0"/>
  </r>
  <r>
    <s v="AX10869"/>
    <s v="ENX2004"/>
    <s v="A156"/>
    <s v="EMP1025"/>
    <s v="C1771"/>
    <x v="418"/>
    <n v="4"/>
    <n v="1278"/>
    <n v="665"/>
    <n v="2660"/>
    <n v="5112"/>
    <n v="2452"/>
    <s v="Product 5"/>
    <x v="14"/>
    <s v="Ernest Wagner"/>
    <x v="34"/>
    <n v="4"/>
    <x v="3"/>
    <x v="7"/>
    <x v="7"/>
    <x v="2"/>
    <x v="0"/>
  </r>
  <r>
    <s v="AX11787"/>
    <s v="ENX2007"/>
    <s v="A159"/>
    <s v="EMP1021"/>
    <s v="C1673"/>
    <x v="418"/>
    <n v="1"/>
    <n v="1405"/>
    <n v="1054"/>
    <n v="1054"/>
    <n v="1405"/>
    <n v="351"/>
    <s v="Product 8"/>
    <x v="13"/>
    <s v="Clarence Fox"/>
    <x v="87"/>
    <n v="4"/>
    <x v="3"/>
    <x v="7"/>
    <x v="7"/>
    <x v="2"/>
    <x v="0"/>
  </r>
  <r>
    <s v="AX11927"/>
    <s v="ENX2012"/>
    <s v="A134"/>
    <s v="EMP1025"/>
    <s v="C1033"/>
    <x v="419"/>
    <n v="1"/>
    <n v="1353"/>
    <n v="947"/>
    <n v="947"/>
    <n v="1353"/>
    <n v="406"/>
    <s v="Product 13"/>
    <x v="41"/>
    <s v="Ernest Wagner"/>
    <x v="515"/>
    <n v="4"/>
    <x v="3"/>
    <x v="7"/>
    <x v="7"/>
    <x v="2"/>
    <x v="0"/>
  </r>
  <r>
    <s v="AX11973"/>
    <s v="ENX2017"/>
    <s v="A133"/>
    <s v="EMP1020"/>
    <s v="C1094"/>
    <x v="416"/>
    <n v="2"/>
    <n v="35"/>
    <n v="22"/>
    <n v="44"/>
    <n v="70"/>
    <n v="26"/>
    <s v="Product 18"/>
    <x v="46"/>
    <s v="Ryan Butler"/>
    <x v="261"/>
    <n v="4"/>
    <x v="3"/>
    <x v="7"/>
    <x v="7"/>
    <x v="2"/>
    <x v="0"/>
  </r>
  <r>
    <s v="AX12180"/>
    <s v="ENX2006"/>
    <s v="A169"/>
    <s v="EMP1005"/>
    <s v="C1720"/>
    <x v="417"/>
    <n v="1"/>
    <n v="1826"/>
    <n v="1443"/>
    <n v="1443"/>
    <n v="1826"/>
    <n v="383"/>
    <s v="Product 7"/>
    <x v="17"/>
    <s v="Ryan Welch"/>
    <x v="152"/>
    <n v="4"/>
    <x v="3"/>
    <x v="7"/>
    <x v="7"/>
    <x v="2"/>
    <x v="0"/>
  </r>
  <r>
    <s v="AX12273"/>
    <s v="ENX2025"/>
    <s v="A148"/>
    <s v="EMP1001"/>
    <s v="C1476"/>
    <x v="419"/>
    <n v="3"/>
    <n v="667"/>
    <n v="387"/>
    <n v="1161"/>
    <n v="2001"/>
    <n v="840"/>
    <s v="Product 26"/>
    <x v="62"/>
    <s v="Kevin Butler"/>
    <x v="207"/>
    <n v="4"/>
    <x v="3"/>
    <x v="7"/>
    <x v="7"/>
    <x v="2"/>
    <x v="0"/>
  </r>
  <r>
    <s v="AX12301"/>
    <s v="ENX2021"/>
    <s v="A136"/>
    <s v="EMP1044"/>
    <s v="C1513"/>
    <x v="417"/>
    <n v="2"/>
    <n v="217"/>
    <n v="171"/>
    <n v="342"/>
    <n v="434"/>
    <n v="92"/>
    <s v="Product 22"/>
    <x v="43"/>
    <s v="Martin Carr"/>
    <x v="414"/>
    <n v="4"/>
    <x v="3"/>
    <x v="7"/>
    <x v="7"/>
    <x v="2"/>
    <x v="0"/>
  </r>
  <r>
    <s v="AX12454"/>
    <s v="ENX2042"/>
    <s v="A117"/>
    <s v="EMP1040"/>
    <s v="C1129"/>
    <x v="418"/>
    <n v="1"/>
    <n v="203"/>
    <n v="154"/>
    <n v="154"/>
    <n v="203"/>
    <n v="49"/>
    <s v="Product 43"/>
    <x v="29"/>
    <s v="Patrick Ruiz"/>
    <x v="281"/>
    <n v="4"/>
    <x v="3"/>
    <x v="7"/>
    <x v="7"/>
    <x v="2"/>
    <x v="0"/>
  </r>
  <r>
    <s v="AX12782"/>
    <s v="ENX2021"/>
    <s v="A136"/>
    <s v="EMP1007"/>
    <s v="C1169"/>
    <x v="419"/>
    <n v="1"/>
    <n v="217"/>
    <n v="171"/>
    <n v="171"/>
    <n v="217"/>
    <n v="46"/>
    <s v="Product 22"/>
    <x v="43"/>
    <s v="Jeremy Mendoza"/>
    <x v="293"/>
    <n v="4"/>
    <x v="3"/>
    <x v="7"/>
    <x v="7"/>
    <x v="2"/>
    <x v="0"/>
  </r>
  <r>
    <s v="AX13551"/>
    <s v="ENX2089"/>
    <s v="A154"/>
    <s v="EMP1021"/>
    <s v="C1181"/>
    <x v="419"/>
    <n v="4"/>
    <n v="2294"/>
    <n v="1399"/>
    <n v="5596"/>
    <n v="9176"/>
    <n v="3580"/>
    <s v="Product 90"/>
    <x v="24"/>
    <s v="Clarence Fox"/>
    <x v="449"/>
    <n v="4"/>
    <x v="3"/>
    <x v="7"/>
    <x v="7"/>
    <x v="2"/>
    <x v="0"/>
  </r>
  <r>
    <s v="AX14053"/>
    <s v="ENX2095"/>
    <s v="A126"/>
    <s v="EMP1015"/>
    <s v="C1419"/>
    <x v="416"/>
    <n v="3"/>
    <n v="1743"/>
    <n v="872"/>
    <n v="2616"/>
    <n v="5229"/>
    <n v="2613"/>
    <s v="Product 96"/>
    <x v="5"/>
    <s v="Justin Lynch"/>
    <x v="163"/>
    <n v="4"/>
    <x v="3"/>
    <x v="7"/>
    <x v="7"/>
    <x v="2"/>
    <x v="0"/>
  </r>
  <r>
    <s v="AX14684"/>
    <s v="ENX2045"/>
    <s v="A129"/>
    <s v="EMP1013"/>
    <s v="C1022"/>
    <x v="418"/>
    <n v="1"/>
    <n v="556"/>
    <n v="395"/>
    <n v="395"/>
    <n v="556"/>
    <n v="161"/>
    <s v="Product 46"/>
    <x v="22"/>
    <s v="Charles Harper"/>
    <x v="249"/>
    <n v="4"/>
    <x v="3"/>
    <x v="7"/>
    <x v="7"/>
    <x v="2"/>
    <x v="0"/>
  </r>
  <r>
    <s v="AX14749"/>
    <s v="ENX2041"/>
    <s v="A162"/>
    <s v="EMP1034"/>
    <s v="C1256"/>
    <x v="417"/>
    <n v="1"/>
    <n v="1380"/>
    <n v="1090"/>
    <n v="1090"/>
    <n v="1380"/>
    <n v="290"/>
    <s v="Product 42"/>
    <x v="2"/>
    <s v="Arthur Mccoy"/>
    <x v="524"/>
    <n v="4"/>
    <x v="3"/>
    <x v="7"/>
    <x v="7"/>
    <x v="2"/>
    <x v="0"/>
  </r>
  <r>
    <s v="AX15093"/>
    <s v="ENX2034"/>
    <s v="A166"/>
    <s v="EMP1027"/>
    <s v="C1650"/>
    <x v="418"/>
    <n v="1"/>
    <n v="871"/>
    <n v="540"/>
    <n v="540"/>
    <n v="871"/>
    <n v="331"/>
    <s v="Product 35"/>
    <x v="70"/>
    <s v="Gary Rodriguez"/>
    <x v="645"/>
    <n v="4"/>
    <x v="3"/>
    <x v="7"/>
    <x v="7"/>
    <x v="2"/>
    <x v="0"/>
  </r>
  <r>
    <s v="AX15252"/>
    <s v="ENX2001"/>
    <s v="A114"/>
    <s v="EMP1000"/>
    <s v="C1219"/>
    <x v="419"/>
    <n v="1"/>
    <n v="951"/>
    <n v="504"/>
    <n v="504"/>
    <n v="951"/>
    <n v="447"/>
    <s v="Product 2"/>
    <x v="28"/>
    <s v="Fred Robertson"/>
    <x v="301"/>
    <n v="4"/>
    <x v="3"/>
    <x v="7"/>
    <x v="7"/>
    <x v="2"/>
    <x v="0"/>
  </r>
  <r>
    <s v="AX15265"/>
    <s v="ENX2011"/>
    <s v="A141"/>
    <s v="EMP1017"/>
    <s v="C1088"/>
    <x v="419"/>
    <n v="3"/>
    <n v="530"/>
    <n v="435"/>
    <n v="1305"/>
    <n v="1590"/>
    <n v="285"/>
    <s v="Product 12"/>
    <x v="23"/>
    <s v="Brian Hansen"/>
    <x v="498"/>
    <n v="4"/>
    <x v="3"/>
    <x v="7"/>
    <x v="7"/>
    <x v="2"/>
    <x v="0"/>
  </r>
  <r>
    <s v="AX15402"/>
    <s v="ENX2065"/>
    <s v="A109"/>
    <s v="EMP1008"/>
    <s v="C1559"/>
    <x v="419"/>
    <n v="1"/>
    <n v="2396"/>
    <n v="1965"/>
    <n v="1965"/>
    <n v="2396"/>
    <n v="431"/>
    <s v="Product 66"/>
    <x v="57"/>
    <s v="Carl Elliott"/>
    <x v="43"/>
    <n v="4"/>
    <x v="3"/>
    <x v="7"/>
    <x v="7"/>
    <x v="2"/>
    <x v="0"/>
  </r>
  <r>
    <s v="AX15762"/>
    <s v="ENX2099"/>
    <s v="A167"/>
    <s v="EMP1025"/>
    <s v="C1176"/>
    <x v="416"/>
    <n v="1"/>
    <n v="1367"/>
    <n v="984"/>
    <n v="984"/>
    <n v="1367"/>
    <n v="383"/>
    <s v="Product 100"/>
    <x v="64"/>
    <s v="Ernest Wagner"/>
    <x v="117"/>
    <n v="4"/>
    <x v="3"/>
    <x v="7"/>
    <x v="7"/>
    <x v="2"/>
    <x v="0"/>
  </r>
  <r>
    <s v="AX16951"/>
    <s v="ENX2094"/>
    <s v="A131"/>
    <s v="EMP1015"/>
    <s v="C1340"/>
    <x v="417"/>
    <n v="1"/>
    <n v="771"/>
    <n v="648"/>
    <n v="648"/>
    <n v="771"/>
    <n v="123"/>
    <s v="Product 95"/>
    <x v="32"/>
    <s v="Justin Lynch"/>
    <x v="433"/>
    <n v="4"/>
    <x v="3"/>
    <x v="7"/>
    <x v="7"/>
    <x v="2"/>
    <x v="0"/>
  </r>
  <r>
    <s v="AX17175"/>
    <s v="ENX2027"/>
    <s v="A106"/>
    <s v="EMP1000"/>
    <s v="C1207"/>
    <x v="418"/>
    <n v="1"/>
    <n v="2497"/>
    <n v="1473"/>
    <n v="1473"/>
    <n v="2497"/>
    <n v="1024"/>
    <s v="Product 28"/>
    <x v="11"/>
    <s v="Fred Robertson"/>
    <x v="694"/>
    <n v="4"/>
    <x v="3"/>
    <x v="7"/>
    <x v="7"/>
    <x v="2"/>
    <x v="0"/>
  </r>
  <r>
    <s v="AX17563"/>
    <s v="ENX2062"/>
    <s v="A138"/>
    <s v="EMP1040"/>
    <s v="C1335"/>
    <x v="416"/>
    <n v="1"/>
    <n v="2464"/>
    <n v="1774"/>
    <n v="1774"/>
    <n v="2464"/>
    <n v="690"/>
    <s v="Product 63"/>
    <x v="37"/>
    <s v="Patrick Ruiz"/>
    <x v="2"/>
    <n v="4"/>
    <x v="3"/>
    <x v="7"/>
    <x v="7"/>
    <x v="2"/>
    <x v="0"/>
  </r>
  <r>
    <s v="AX17724"/>
    <s v="ENX2006"/>
    <s v="A163"/>
    <s v="EMP1035"/>
    <s v="C1356"/>
    <x v="418"/>
    <n v="1"/>
    <n v="1826"/>
    <n v="1443"/>
    <n v="1443"/>
    <n v="1826"/>
    <n v="383"/>
    <s v="Product 7"/>
    <x v="51"/>
    <s v="Roger Ramos"/>
    <x v="238"/>
    <n v="4"/>
    <x v="3"/>
    <x v="7"/>
    <x v="7"/>
    <x v="2"/>
    <x v="0"/>
  </r>
  <r>
    <s v="AX18071"/>
    <s v="ENX2062"/>
    <s v="A116"/>
    <s v="EMP1003"/>
    <s v="C1689"/>
    <x v="417"/>
    <n v="1"/>
    <n v="2464"/>
    <n v="1774"/>
    <n v="1774"/>
    <n v="2464"/>
    <n v="690"/>
    <s v="Product 63"/>
    <x v="15"/>
    <s v="Christopher Tucker"/>
    <x v="181"/>
    <n v="4"/>
    <x v="3"/>
    <x v="7"/>
    <x v="7"/>
    <x v="2"/>
    <x v="0"/>
  </r>
  <r>
    <s v="AX18131"/>
    <s v="ENX2006"/>
    <s v="A122"/>
    <s v="EMP1036"/>
    <s v="C1568"/>
    <x v="419"/>
    <n v="2"/>
    <n v="1826"/>
    <n v="1443"/>
    <n v="2886"/>
    <n v="3652"/>
    <n v="766"/>
    <s v="Product 7"/>
    <x v="71"/>
    <s v="Robert Reed"/>
    <x v="551"/>
    <n v="4"/>
    <x v="3"/>
    <x v="7"/>
    <x v="7"/>
    <x v="2"/>
    <x v="0"/>
  </r>
  <r>
    <s v="AX18294"/>
    <s v="ENX2057"/>
    <s v="A113"/>
    <s v="EMP1021"/>
    <s v="C1495"/>
    <x v="416"/>
    <n v="4"/>
    <n v="181"/>
    <n v="130"/>
    <n v="520"/>
    <n v="724"/>
    <n v="204"/>
    <s v="Product 58"/>
    <x v="73"/>
    <s v="Clarence Fox"/>
    <x v="780"/>
    <n v="4"/>
    <x v="3"/>
    <x v="7"/>
    <x v="7"/>
    <x v="2"/>
    <x v="0"/>
  </r>
  <r>
    <s v="AX18383"/>
    <s v="ENX2010"/>
    <s v="A123"/>
    <s v="EMP1024"/>
    <s v="C1018"/>
    <x v="416"/>
    <n v="1"/>
    <n v="1812"/>
    <n v="1305"/>
    <n v="1305"/>
    <n v="1812"/>
    <n v="507"/>
    <s v="Product 11"/>
    <x v="34"/>
    <s v="Ernest Wheeler"/>
    <x v="138"/>
    <n v="4"/>
    <x v="3"/>
    <x v="7"/>
    <x v="7"/>
    <x v="2"/>
    <x v="0"/>
  </r>
  <r>
    <s v="AX19470"/>
    <s v="ENX2001"/>
    <s v="A169"/>
    <s v="EMP1008"/>
    <s v="C1213"/>
    <x v="418"/>
    <n v="3"/>
    <n v="951"/>
    <n v="504"/>
    <n v="1512"/>
    <n v="2853"/>
    <n v="1341"/>
    <s v="Product 2"/>
    <x v="17"/>
    <s v="Carl Elliott"/>
    <x v="487"/>
    <n v="4"/>
    <x v="3"/>
    <x v="7"/>
    <x v="7"/>
    <x v="2"/>
    <x v="0"/>
  </r>
  <r>
    <s v="AX19578"/>
    <s v="ENX2094"/>
    <s v="A166"/>
    <s v="EMP1038"/>
    <s v="C1598"/>
    <x v="418"/>
    <n v="4"/>
    <n v="771"/>
    <n v="648"/>
    <n v="2592"/>
    <n v="3084"/>
    <n v="492"/>
    <s v="Product 95"/>
    <x v="70"/>
    <s v="Scott Mason"/>
    <x v="125"/>
    <n v="4"/>
    <x v="3"/>
    <x v="7"/>
    <x v="7"/>
    <x v="2"/>
    <x v="0"/>
  </r>
  <r>
    <s v="AX20562"/>
    <s v="ENX2091"/>
    <s v="A124"/>
    <s v="EMP1015"/>
    <s v="C1345"/>
    <x v="417"/>
    <n v="1"/>
    <n v="368"/>
    <n v="294"/>
    <n v="294"/>
    <n v="368"/>
    <n v="74"/>
    <s v="Product 92"/>
    <x v="67"/>
    <s v="Justin Lynch"/>
    <x v="567"/>
    <n v="4"/>
    <x v="3"/>
    <x v="7"/>
    <x v="7"/>
    <x v="2"/>
    <x v="0"/>
  </r>
  <r>
    <s v="AX21002"/>
    <s v="ENX2063"/>
    <s v="A130"/>
    <s v="EMP1032"/>
    <s v="C1269"/>
    <x v="419"/>
    <n v="2"/>
    <n v="1708"/>
    <n v="871"/>
    <n v="1742"/>
    <n v="3416"/>
    <n v="1674"/>
    <s v="Product 64"/>
    <x v="4"/>
    <s v="Larry Castillo"/>
    <x v="661"/>
    <n v="4"/>
    <x v="3"/>
    <x v="7"/>
    <x v="7"/>
    <x v="2"/>
    <x v="0"/>
  </r>
  <r>
    <s v="AX21293"/>
    <s v="ENX2059"/>
    <s v="A123"/>
    <s v="EMP1012"/>
    <s v="C1460"/>
    <x v="417"/>
    <n v="2"/>
    <n v="1494"/>
    <n v="971"/>
    <n v="1942"/>
    <n v="2988"/>
    <n v="1046"/>
    <s v="Product 60"/>
    <x v="34"/>
    <s v="John Reyes"/>
    <x v="613"/>
    <n v="4"/>
    <x v="3"/>
    <x v="7"/>
    <x v="7"/>
    <x v="2"/>
    <x v="0"/>
  </r>
  <r>
    <s v="AX21468"/>
    <s v="ENX2027"/>
    <s v="A161"/>
    <s v="EMP1012"/>
    <s v="C1735"/>
    <x v="418"/>
    <n v="3"/>
    <n v="2497"/>
    <n v="1473"/>
    <n v="4419"/>
    <n v="7491"/>
    <n v="3072"/>
    <s v="Product 28"/>
    <x v="6"/>
    <s v="John Reyes"/>
    <x v="8"/>
    <n v="4"/>
    <x v="3"/>
    <x v="7"/>
    <x v="7"/>
    <x v="2"/>
    <x v="0"/>
  </r>
  <r>
    <s v="AX22142"/>
    <s v="ENX2009"/>
    <s v="A152"/>
    <s v="EMP1029"/>
    <s v="C1371"/>
    <x v="416"/>
    <n v="2"/>
    <n v="584"/>
    <n v="420"/>
    <n v="840"/>
    <n v="1168"/>
    <n v="328"/>
    <s v="Product 10"/>
    <x v="26"/>
    <s v="Howard Gardner"/>
    <x v="180"/>
    <n v="4"/>
    <x v="3"/>
    <x v="7"/>
    <x v="7"/>
    <x v="2"/>
    <x v="0"/>
  </r>
  <r>
    <s v="AX22260"/>
    <s v="ENX2021"/>
    <s v="A111"/>
    <s v="EMP1010"/>
    <s v="C1117"/>
    <x v="418"/>
    <n v="2"/>
    <n v="217"/>
    <n v="171"/>
    <n v="342"/>
    <n v="434"/>
    <n v="92"/>
    <s v="Product 22"/>
    <x v="54"/>
    <s v="Joshua Cook"/>
    <x v="519"/>
    <n v="4"/>
    <x v="3"/>
    <x v="7"/>
    <x v="7"/>
    <x v="2"/>
    <x v="0"/>
  </r>
  <r>
    <s v="AX22358"/>
    <s v="ENX2036"/>
    <s v="A134"/>
    <s v="EMP1006"/>
    <s v="C1160"/>
    <x v="417"/>
    <n v="3"/>
    <n v="1582"/>
    <n v="1234"/>
    <n v="3702"/>
    <n v="4746"/>
    <n v="1044"/>
    <s v="Product 37"/>
    <x v="41"/>
    <s v="Sean Miller"/>
    <x v="566"/>
    <n v="4"/>
    <x v="3"/>
    <x v="7"/>
    <x v="7"/>
    <x v="2"/>
    <x v="0"/>
  </r>
  <r>
    <s v="AX22893"/>
    <s v="ENX2017"/>
    <s v="A100"/>
    <s v="EMP1001"/>
    <s v="C1786"/>
    <x v="417"/>
    <n v="4"/>
    <n v="35"/>
    <n v="22"/>
    <n v="88"/>
    <n v="140"/>
    <n v="52"/>
    <s v="Product 18"/>
    <x v="52"/>
    <s v="Kevin Butler"/>
    <x v="406"/>
    <n v="4"/>
    <x v="3"/>
    <x v="7"/>
    <x v="7"/>
    <x v="2"/>
    <x v="0"/>
  </r>
  <r>
    <s v="AX23901"/>
    <s v="ENX2065"/>
    <s v="A111"/>
    <s v="EMP1003"/>
    <s v="C1337"/>
    <x v="419"/>
    <n v="1"/>
    <n v="2396"/>
    <n v="1965"/>
    <n v="1965"/>
    <n v="2396"/>
    <n v="431"/>
    <s v="Product 66"/>
    <x v="54"/>
    <s v="Christopher Tucker"/>
    <x v="417"/>
    <n v="4"/>
    <x v="3"/>
    <x v="7"/>
    <x v="7"/>
    <x v="2"/>
    <x v="0"/>
  </r>
  <r>
    <s v="AX24385"/>
    <s v="ENX2025"/>
    <s v="A158"/>
    <s v="EMP1010"/>
    <s v="C1094"/>
    <x v="417"/>
    <n v="1"/>
    <n v="667"/>
    <n v="387"/>
    <n v="387"/>
    <n v="667"/>
    <n v="280"/>
    <s v="Product 26"/>
    <x v="58"/>
    <s v="Joshua Cook"/>
    <x v="261"/>
    <n v="4"/>
    <x v="3"/>
    <x v="7"/>
    <x v="7"/>
    <x v="2"/>
    <x v="0"/>
  </r>
  <r>
    <s v="AX24406"/>
    <s v="ENX2017"/>
    <s v="A165"/>
    <s v="EMP1022"/>
    <s v="C1429"/>
    <x v="419"/>
    <n v="1"/>
    <n v="35"/>
    <n v="22"/>
    <n v="22"/>
    <n v="35"/>
    <n v="13"/>
    <s v="Product 18"/>
    <x v="55"/>
    <s v="Walter Cook"/>
    <x v="651"/>
    <n v="4"/>
    <x v="3"/>
    <x v="7"/>
    <x v="7"/>
    <x v="2"/>
    <x v="0"/>
  </r>
  <r>
    <s v="AX10055"/>
    <s v="ENX2098"/>
    <s v="A172"/>
    <s v="EMP1015"/>
    <s v="C1791"/>
    <x v="420"/>
    <n v="3"/>
    <n v="1178"/>
    <n v="683"/>
    <n v="2049"/>
    <n v="3534"/>
    <n v="1485"/>
    <s v="Product 99"/>
    <x v="36"/>
    <s v="Justin Lynch"/>
    <x v="193"/>
    <n v="4"/>
    <x v="3"/>
    <x v="7"/>
    <x v="7"/>
    <x v="2"/>
    <x v="2"/>
  </r>
  <r>
    <s v="AX10264"/>
    <s v="ENX2042"/>
    <s v="A161"/>
    <s v="EMP1022"/>
    <s v="C1715"/>
    <x v="421"/>
    <n v="2"/>
    <n v="203"/>
    <n v="154"/>
    <n v="308"/>
    <n v="406"/>
    <n v="98"/>
    <s v="Product 43"/>
    <x v="6"/>
    <s v="Walter Cook"/>
    <x v="342"/>
    <n v="4"/>
    <x v="3"/>
    <x v="7"/>
    <x v="7"/>
    <x v="2"/>
    <x v="2"/>
  </r>
  <r>
    <s v="AX10639"/>
    <s v="ENX2028"/>
    <s v="A138"/>
    <s v="EMP1028"/>
    <s v="C1072"/>
    <x v="422"/>
    <n v="1"/>
    <n v="2283"/>
    <n v="1484"/>
    <n v="1484"/>
    <n v="2283"/>
    <n v="799"/>
    <s v="Product 29"/>
    <x v="37"/>
    <s v="Howard Sims"/>
    <x v="529"/>
    <n v="4"/>
    <x v="3"/>
    <x v="7"/>
    <x v="7"/>
    <x v="2"/>
    <x v="2"/>
  </r>
  <r>
    <s v="AX10709"/>
    <s v="ENX2083"/>
    <s v="A144"/>
    <s v="EMP1033"/>
    <s v="C1473"/>
    <x v="422"/>
    <n v="3"/>
    <n v="2141"/>
    <n v="1777"/>
    <n v="5331"/>
    <n v="6423"/>
    <n v="1092"/>
    <s v="Product 84"/>
    <x v="65"/>
    <s v="Jerry Perry"/>
    <x v="100"/>
    <n v="4"/>
    <x v="3"/>
    <x v="7"/>
    <x v="7"/>
    <x v="2"/>
    <x v="2"/>
  </r>
  <r>
    <s v="AX10964"/>
    <s v="ENX2063"/>
    <s v="A127"/>
    <s v="EMP1032"/>
    <s v="C1369"/>
    <x v="423"/>
    <n v="4"/>
    <n v="1708"/>
    <n v="871"/>
    <n v="3484"/>
    <n v="6832"/>
    <n v="3348"/>
    <s v="Product 64"/>
    <x v="69"/>
    <s v="Larry Castillo"/>
    <x v="126"/>
    <n v="4"/>
    <x v="3"/>
    <x v="7"/>
    <x v="7"/>
    <x v="2"/>
    <x v="2"/>
  </r>
  <r>
    <s v="AX10975"/>
    <s v="ENX2087"/>
    <s v="A150"/>
    <s v="EMP1043"/>
    <s v="C1394"/>
    <x v="423"/>
    <n v="1"/>
    <n v="1022"/>
    <n v="818"/>
    <n v="818"/>
    <n v="1022"/>
    <n v="204"/>
    <s v="Product 88"/>
    <x v="30"/>
    <s v="Joshua Taylor"/>
    <x v="116"/>
    <n v="4"/>
    <x v="3"/>
    <x v="7"/>
    <x v="7"/>
    <x v="2"/>
    <x v="2"/>
  </r>
  <r>
    <s v="AX11280"/>
    <s v="ENX2027"/>
    <s v="A132"/>
    <s v="EMP1037"/>
    <s v="C1575"/>
    <x v="424"/>
    <n v="1"/>
    <n v="2497"/>
    <n v="1473"/>
    <n v="1473"/>
    <n v="2497"/>
    <n v="1024"/>
    <s v="Product 28"/>
    <x v="48"/>
    <s v="Carl Hall"/>
    <x v="99"/>
    <n v="4"/>
    <x v="3"/>
    <x v="7"/>
    <x v="7"/>
    <x v="2"/>
    <x v="2"/>
  </r>
  <r>
    <s v="AX11320"/>
    <s v="ENX2014"/>
    <s v="A157"/>
    <s v="EMP1039"/>
    <s v="C1181"/>
    <x v="421"/>
    <n v="3"/>
    <n v="1809"/>
    <n v="1067"/>
    <n v="3201"/>
    <n v="5427"/>
    <n v="2226"/>
    <s v="Product 15"/>
    <x v="7"/>
    <s v="Eugene Holmes"/>
    <x v="449"/>
    <n v="4"/>
    <x v="3"/>
    <x v="7"/>
    <x v="7"/>
    <x v="2"/>
    <x v="2"/>
  </r>
  <r>
    <s v="AX11536"/>
    <s v="ENX2086"/>
    <s v="A161"/>
    <s v="EMP1014"/>
    <s v="C1197"/>
    <x v="420"/>
    <n v="2"/>
    <n v="123"/>
    <n v="84"/>
    <n v="168"/>
    <n v="246"/>
    <n v="78"/>
    <s v="Product 87"/>
    <x v="6"/>
    <s v="Ronald Reed"/>
    <x v="718"/>
    <n v="4"/>
    <x v="3"/>
    <x v="7"/>
    <x v="7"/>
    <x v="2"/>
    <x v="2"/>
  </r>
  <r>
    <s v="AX11572"/>
    <s v="ENX2094"/>
    <s v="A130"/>
    <s v="EMP1019"/>
    <s v="C1561"/>
    <x v="421"/>
    <n v="3"/>
    <n v="771"/>
    <n v="648"/>
    <n v="1944"/>
    <n v="2313"/>
    <n v="369"/>
    <s v="Product 95"/>
    <x v="4"/>
    <s v="Roger Robertson"/>
    <x v="114"/>
    <n v="4"/>
    <x v="3"/>
    <x v="7"/>
    <x v="7"/>
    <x v="2"/>
    <x v="2"/>
  </r>
  <r>
    <s v="AX11683"/>
    <s v="ENX2039"/>
    <s v="A123"/>
    <s v="EMP1040"/>
    <s v="C1588"/>
    <x v="420"/>
    <n v="4"/>
    <n v="817"/>
    <n v="409"/>
    <n v="1636"/>
    <n v="3268"/>
    <n v="1632"/>
    <s v="Product 40"/>
    <x v="34"/>
    <s v="Patrick Ruiz"/>
    <x v="653"/>
    <n v="4"/>
    <x v="3"/>
    <x v="7"/>
    <x v="7"/>
    <x v="2"/>
    <x v="2"/>
  </r>
  <r>
    <s v="AX11825"/>
    <s v="ENX2095"/>
    <s v="A103"/>
    <s v="EMP1015"/>
    <s v="C1342"/>
    <x v="421"/>
    <n v="1"/>
    <n v="1743"/>
    <n v="872"/>
    <n v="872"/>
    <n v="1743"/>
    <n v="871"/>
    <s v="Product 96"/>
    <x v="61"/>
    <s v="Justin Lynch"/>
    <x v="62"/>
    <n v="4"/>
    <x v="3"/>
    <x v="7"/>
    <x v="7"/>
    <x v="2"/>
    <x v="2"/>
  </r>
  <r>
    <s v="AX12189"/>
    <s v="ENX2056"/>
    <s v="A133"/>
    <s v="EMP1024"/>
    <s v="C1587"/>
    <x v="422"/>
    <n v="1"/>
    <n v="1635"/>
    <n v="1046"/>
    <n v="1046"/>
    <n v="1635"/>
    <n v="589"/>
    <s v="Product 57"/>
    <x v="46"/>
    <s v="Ernest Wheeler"/>
    <x v="403"/>
    <n v="4"/>
    <x v="3"/>
    <x v="7"/>
    <x v="7"/>
    <x v="2"/>
    <x v="2"/>
  </r>
  <r>
    <s v="AX12204"/>
    <s v="ENX2024"/>
    <s v="A100"/>
    <s v="EMP1026"/>
    <s v="C1174"/>
    <x v="421"/>
    <n v="1"/>
    <n v="356"/>
    <n v="292"/>
    <n v="292"/>
    <n v="356"/>
    <n v="64"/>
    <s v="Product 25"/>
    <x v="52"/>
    <s v="Martin Perry"/>
    <x v="715"/>
    <n v="4"/>
    <x v="3"/>
    <x v="7"/>
    <x v="7"/>
    <x v="2"/>
    <x v="2"/>
  </r>
  <r>
    <s v="AX12232"/>
    <s v="ENX2077"/>
    <s v="A143"/>
    <s v="EMP1030"/>
    <s v="C1518"/>
    <x v="424"/>
    <n v="1"/>
    <n v="530"/>
    <n v="424"/>
    <n v="424"/>
    <n v="530"/>
    <n v="106"/>
    <s v="Product 78"/>
    <x v="39"/>
    <s v="Bobby Russell"/>
    <x v="703"/>
    <n v="4"/>
    <x v="3"/>
    <x v="7"/>
    <x v="7"/>
    <x v="2"/>
    <x v="2"/>
  </r>
  <r>
    <s v="AX12256"/>
    <s v="ENX2028"/>
    <s v="A109"/>
    <s v="EMP1006"/>
    <s v="C1629"/>
    <x v="422"/>
    <n v="1"/>
    <n v="2283"/>
    <n v="1484"/>
    <n v="1484"/>
    <n v="2283"/>
    <n v="799"/>
    <s v="Product 29"/>
    <x v="57"/>
    <s v="Sean Miller"/>
    <x v="734"/>
    <n v="4"/>
    <x v="3"/>
    <x v="7"/>
    <x v="7"/>
    <x v="2"/>
    <x v="2"/>
  </r>
  <r>
    <s v="AX12498"/>
    <s v="ENX2092"/>
    <s v="A119"/>
    <s v="EMP1009"/>
    <s v="C1289"/>
    <x v="423"/>
    <n v="1"/>
    <n v="1639"/>
    <n v="1295"/>
    <n v="1295"/>
    <n v="1639"/>
    <n v="344"/>
    <s v="Product 93"/>
    <x v="16"/>
    <s v="Kenneth Fields"/>
    <x v="328"/>
    <n v="4"/>
    <x v="3"/>
    <x v="7"/>
    <x v="7"/>
    <x v="2"/>
    <x v="2"/>
  </r>
  <r>
    <s v="AX12710"/>
    <s v="ENX2050"/>
    <s v="A143"/>
    <s v="EMP1005"/>
    <s v="C1069"/>
    <x v="424"/>
    <n v="1"/>
    <n v="2391"/>
    <n v="1291"/>
    <n v="1291"/>
    <n v="2391"/>
    <n v="1100"/>
    <s v="Product 51"/>
    <x v="39"/>
    <s v="Ryan Welch"/>
    <x v="284"/>
    <n v="4"/>
    <x v="3"/>
    <x v="7"/>
    <x v="7"/>
    <x v="2"/>
    <x v="2"/>
  </r>
  <r>
    <s v="AX12859"/>
    <s v="ENX2069"/>
    <s v="A120"/>
    <s v="EMP1043"/>
    <s v="C1526"/>
    <x v="424"/>
    <n v="1"/>
    <n v="378"/>
    <n v="291"/>
    <n v="291"/>
    <n v="378"/>
    <n v="87"/>
    <s v="Product 70"/>
    <x v="20"/>
    <s v="Joshua Taylor"/>
    <x v="6"/>
    <n v="4"/>
    <x v="3"/>
    <x v="7"/>
    <x v="7"/>
    <x v="2"/>
    <x v="2"/>
  </r>
  <r>
    <s v="AX12987"/>
    <s v="ENX2049"/>
    <s v="A123"/>
    <s v="EMP1027"/>
    <s v="C1738"/>
    <x v="421"/>
    <n v="1"/>
    <n v="826"/>
    <n v="562"/>
    <n v="562"/>
    <n v="826"/>
    <n v="264"/>
    <s v="Product 50"/>
    <x v="34"/>
    <s v="Gary Rodriguez"/>
    <x v="35"/>
    <n v="4"/>
    <x v="3"/>
    <x v="7"/>
    <x v="7"/>
    <x v="2"/>
    <x v="2"/>
  </r>
  <r>
    <s v="AX13416"/>
    <s v="ENX2022"/>
    <s v="A146"/>
    <s v="EMP1011"/>
    <s v="C1318"/>
    <x v="422"/>
    <n v="2"/>
    <n v="561"/>
    <n v="421"/>
    <n v="842"/>
    <n v="1122"/>
    <n v="280"/>
    <s v="Product 23"/>
    <x v="27"/>
    <s v="Larry Marshall"/>
    <x v="730"/>
    <n v="4"/>
    <x v="3"/>
    <x v="7"/>
    <x v="7"/>
    <x v="2"/>
    <x v="2"/>
  </r>
  <r>
    <s v="AX13635"/>
    <s v="ENX2032"/>
    <s v="A130"/>
    <s v="EMP1013"/>
    <s v="C1123"/>
    <x v="422"/>
    <n v="1"/>
    <n v="1967"/>
    <n v="1397"/>
    <n v="1397"/>
    <n v="1967"/>
    <n v="570"/>
    <s v="Product 33"/>
    <x v="4"/>
    <s v="Charles Harper"/>
    <x v="222"/>
    <n v="4"/>
    <x v="3"/>
    <x v="7"/>
    <x v="7"/>
    <x v="2"/>
    <x v="2"/>
  </r>
  <r>
    <s v="AX13720"/>
    <s v="ENX2056"/>
    <s v="A132"/>
    <s v="EMP1022"/>
    <s v="C1488"/>
    <x v="423"/>
    <n v="3"/>
    <n v="1635"/>
    <n v="1046"/>
    <n v="3138"/>
    <n v="4905"/>
    <n v="1767"/>
    <s v="Product 57"/>
    <x v="48"/>
    <s v="Walter Cook"/>
    <x v="763"/>
    <n v="4"/>
    <x v="3"/>
    <x v="7"/>
    <x v="7"/>
    <x v="2"/>
    <x v="2"/>
  </r>
  <r>
    <s v="AX13767"/>
    <s v="ENX2067"/>
    <s v="A166"/>
    <s v="EMP1016"/>
    <s v="C1172"/>
    <x v="421"/>
    <n v="1"/>
    <n v="1119"/>
    <n v="683"/>
    <n v="683"/>
    <n v="1119"/>
    <n v="436"/>
    <s v="Product 68"/>
    <x v="70"/>
    <s v="Henry Nelson"/>
    <x v="63"/>
    <n v="4"/>
    <x v="3"/>
    <x v="7"/>
    <x v="7"/>
    <x v="2"/>
    <x v="2"/>
  </r>
  <r>
    <s v="AX13871"/>
    <s v="ENX2091"/>
    <s v="A128"/>
    <s v="EMP1039"/>
    <s v="C1547"/>
    <x v="421"/>
    <n v="4"/>
    <n v="368"/>
    <n v="294"/>
    <n v="1176"/>
    <n v="1472"/>
    <n v="296"/>
    <s v="Product 92"/>
    <x v="12"/>
    <s v="Eugene Holmes"/>
    <x v="800"/>
    <n v="4"/>
    <x v="3"/>
    <x v="7"/>
    <x v="7"/>
    <x v="2"/>
    <x v="2"/>
  </r>
  <r>
    <s v="AX14024"/>
    <s v="ENX2016"/>
    <s v="A124"/>
    <s v="EMP1000"/>
    <s v="C1233"/>
    <x v="424"/>
    <n v="2"/>
    <n v="1351"/>
    <n v="1108"/>
    <n v="2216"/>
    <n v="2702"/>
    <n v="486"/>
    <s v="Product 17"/>
    <x v="67"/>
    <s v="Fred Robertson"/>
    <x v="396"/>
    <n v="4"/>
    <x v="3"/>
    <x v="7"/>
    <x v="7"/>
    <x v="2"/>
    <x v="2"/>
  </r>
  <r>
    <s v="AX14612"/>
    <s v="ENX2074"/>
    <s v="A141"/>
    <s v="EMP1034"/>
    <s v="C1139"/>
    <x v="422"/>
    <n v="1"/>
    <n v="504"/>
    <n v="408"/>
    <n v="408"/>
    <n v="504"/>
    <n v="96"/>
    <s v="Product 75"/>
    <x v="23"/>
    <s v="Arthur Mccoy"/>
    <x v="561"/>
    <n v="4"/>
    <x v="3"/>
    <x v="7"/>
    <x v="7"/>
    <x v="2"/>
    <x v="2"/>
  </r>
  <r>
    <s v="AX15240"/>
    <s v="ENX2075"/>
    <s v="A118"/>
    <s v="EMP1043"/>
    <s v="C1439"/>
    <x v="421"/>
    <n v="2"/>
    <n v="400"/>
    <n v="208"/>
    <n v="416"/>
    <n v="800"/>
    <n v="384"/>
    <s v="Product 76"/>
    <x v="19"/>
    <s v="Joshua Taylor"/>
    <x v="172"/>
    <n v="4"/>
    <x v="3"/>
    <x v="7"/>
    <x v="7"/>
    <x v="2"/>
    <x v="2"/>
  </r>
  <r>
    <s v="AX15668"/>
    <s v="ENX2023"/>
    <s v="A109"/>
    <s v="EMP1043"/>
    <s v="C1184"/>
    <x v="423"/>
    <n v="3"/>
    <n v="818"/>
    <n v="450"/>
    <n v="1350"/>
    <n v="2454"/>
    <n v="1104"/>
    <s v="Product 24"/>
    <x v="57"/>
    <s v="Joshua Taylor"/>
    <x v="707"/>
    <n v="4"/>
    <x v="3"/>
    <x v="7"/>
    <x v="7"/>
    <x v="2"/>
    <x v="2"/>
  </r>
  <r>
    <s v="AX15768"/>
    <s v="ENX2006"/>
    <s v="A126"/>
    <s v="EMP1044"/>
    <s v="C1633"/>
    <x v="422"/>
    <n v="4"/>
    <n v="1826"/>
    <n v="1443"/>
    <n v="5772"/>
    <n v="7304"/>
    <n v="1532"/>
    <s v="Product 7"/>
    <x v="5"/>
    <s v="Martin Carr"/>
    <x v="558"/>
    <n v="4"/>
    <x v="3"/>
    <x v="7"/>
    <x v="7"/>
    <x v="2"/>
    <x v="2"/>
  </r>
  <r>
    <s v="AX15770"/>
    <s v="ENX2018"/>
    <s v="A125"/>
    <s v="EMP1003"/>
    <s v="C1697"/>
    <x v="422"/>
    <n v="1"/>
    <n v="1972"/>
    <n v="1321"/>
    <n v="1321"/>
    <n v="1972"/>
    <n v="651"/>
    <s v="Product 19"/>
    <x v="31"/>
    <s v="Christopher Tucker"/>
    <x v="589"/>
    <n v="4"/>
    <x v="3"/>
    <x v="7"/>
    <x v="7"/>
    <x v="2"/>
    <x v="2"/>
  </r>
  <r>
    <s v="AX16220"/>
    <s v="ENX2092"/>
    <s v="A163"/>
    <s v="EMP1035"/>
    <s v="C1640"/>
    <x v="421"/>
    <n v="3"/>
    <n v="1639"/>
    <n v="1295"/>
    <n v="3885"/>
    <n v="4917"/>
    <n v="1032"/>
    <s v="Product 93"/>
    <x v="51"/>
    <s v="Roger Ramos"/>
    <x v="59"/>
    <n v="4"/>
    <x v="3"/>
    <x v="7"/>
    <x v="7"/>
    <x v="2"/>
    <x v="2"/>
  </r>
  <r>
    <s v="AX16685"/>
    <s v="ENX2057"/>
    <s v="A134"/>
    <s v="EMP1004"/>
    <s v="C1585"/>
    <x v="423"/>
    <n v="4"/>
    <n v="181"/>
    <n v="130"/>
    <n v="520"/>
    <n v="724"/>
    <n v="204"/>
    <s v="Product 58"/>
    <x v="41"/>
    <s v="Kenneth Bradley"/>
    <x v="400"/>
    <n v="4"/>
    <x v="3"/>
    <x v="7"/>
    <x v="7"/>
    <x v="2"/>
    <x v="2"/>
  </r>
  <r>
    <s v="AX16801"/>
    <s v="ENX2017"/>
    <s v="A172"/>
    <s v="EMP1034"/>
    <s v="C1090"/>
    <x v="422"/>
    <n v="4"/>
    <n v="35"/>
    <n v="22"/>
    <n v="88"/>
    <n v="140"/>
    <n v="52"/>
    <s v="Product 18"/>
    <x v="36"/>
    <s v="Arthur Mccoy"/>
    <x v="0"/>
    <n v="4"/>
    <x v="3"/>
    <x v="7"/>
    <x v="7"/>
    <x v="2"/>
    <x v="2"/>
  </r>
  <r>
    <s v="AX17984"/>
    <s v="ENX2033"/>
    <s v="A145"/>
    <s v="EMP1005"/>
    <s v="C1235"/>
    <x v="424"/>
    <n v="1"/>
    <n v="2182"/>
    <n v="1200"/>
    <n v="1200"/>
    <n v="2182"/>
    <n v="982"/>
    <s v="Product 34"/>
    <x v="35"/>
    <s v="Ryan Welch"/>
    <x v="353"/>
    <n v="4"/>
    <x v="3"/>
    <x v="7"/>
    <x v="7"/>
    <x v="2"/>
    <x v="2"/>
  </r>
  <r>
    <s v="AX18478"/>
    <s v="ENX2089"/>
    <s v="A170"/>
    <s v="EMP1031"/>
    <s v="C1735"/>
    <x v="421"/>
    <n v="1"/>
    <n v="2294"/>
    <n v="1399"/>
    <n v="1399"/>
    <n v="2294"/>
    <n v="895"/>
    <s v="Product 90"/>
    <x v="47"/>
    <s v="Brian Thomas"/>
    <x v="8"/>
    <n v="4"/>
    <x v="3"/>
    <x v="7"/>
    <x v="7"/>
    <x v="2"/>
    <x v="2"/>
  </r>
  <r>
    <s v="AX18512"/>
    <s v="ENX2023"/>
    <s v="A138"/>
    <s v="EMP1037"/>
    <s v="C1138"/>
    <x v="423"/>
    <n v="3"/>
    <n v="818"/>
    <n v="450"/>
    <n v="1350"/>
    <n v="2454"/>
    <n v="1104"/>
    <s v="Product 24"/>
    <x v="37"/>
    <s v="Carl Hall"/>
    <x v="325"/>
    <n v="4"/>
    <x v="3"/>
    <x v="7"/>
    <x v="7"/>
    <x v="2"/>
    <x v="2"/>
  </r>
  <r>
    <s v="AX18747"/>
    <s v="ENX2094"/>
    <s v="A159"/>
    <s v="EMP1020"/>
    <s v="C1510"/>
    <x v="421"/>
    <n v="2"/>
    <n v="771"/>
    <n v="648"/>
    <n v="1296"/>
    <n v="1542"/>
    <n v="246"/>
    <s v="Product 95"/>
    <x v="13"/>
    <s v="Ryan Butler"/>
    <x v="113"/>
    <n v="4"/>
    <x v="3"/>
    <x v="7"/>
    <x v="7"/>
    <x v="2"/>
    <x v="2"/>
  </r>
  <r>
    <s v="AX19080"/>
    <s v="ENX2092"/>
    <s v="A112"/>
    <s v="EMP1014"/>
    <s v="C1408"/>
    <x v="424"/>
    <n v="2"/>
    <n v="1639"/>
    <n v="1295"/>
    <n v="2590"/>
    <n v="3278"/>
    <n v="688"/>
    <s v="Product 93"/>
    <x v="66"/>
    <s v="Ronald Reed"/>
    <x v="647"/>
    <n v="4"/>
    <x v="3"/>
    <x v="7"/>
    <x v="7"/>
    <x v="2"/>
    <x v="2"/>
  </r>
  <r>
    <s v="AX19189"/>
    <s v="ENX2012"/>
    <s v="A153"/>
    <s v="EMP1030"/>
    <s v="C1730"/>
    <x v="421"/>
    <n v="1"/>
    <n v="1353"/>
    <n v="947"/>
    <n v="947"/>
    <n v="1353"/>
    <n v="406"/>
    <s v="Product 13"/>
    <x v="8"/>
    <s v="Bobby Russell"/>
    <x v="777"/>
    <n v="4"/>
    <x v="3"/>
    <x v="7"/>
    <x v="7"/>
    <x v="2"/>
    <x v="2"/>
  </r>
  <r>
    <s v="AX19389"/>
    <s v="ENX2059"/>
    <s v="A168"/>
    <s v="EMP1027"/>
    <s v="C1520"/>
    <x v="423"/>
    <n v="3"/>
    <n v="1494"/>
    <n v="971"/>
    <n v="2913"/>
    <n v="4482"/>
    <n v="1569"/>
    <s v="Product 60"/>
    <x v="40"/>
    <s v="Gary Rodriguez"/>
    <x v="576"/>
    <n v="4"/>
    <x v="3"/>
    <x v="7"/>
    <x v="7"/>
    <x v="2"/>
    <x v="2"/>
  </r>
  <r>
    <s v="AX19424"/>
    <s v="ENX2026"/>
    <s v="A125"/>
    <s v="EMP1031"/>
    <s v="C1453"/>
    <x v="423"/>
    <n v="1"/>
    <n v="947"/>
    <n v="786"/>
    <n v="786"/>
    <n v="947"/>
    <n v="161"/>
    <s v="Product 27"/>
    <x v="31"/>
    <s v="Brian Thomas"/>
    <x v="194"/>
    <n v="4"/>
    <x v="3"/>
    <x v="7"/>
    <x v="7"/>
    <x v="2"/>
    <x v="2"/>
  </r>
  <r>
    <s v="AX19876"/>
    <s v="ENX2069"/>
    <s v="A143"/>
    <s v="EMP1002"/>
    <s v="C1738"/>
    <x v="424"/>
    <n v="1"/>
    <n v="378"/>
    <n v="291"/>
    <n v="291"/>
    <n v="378"/>
    <n v="87"/>
    <s v="Product 70"/>
    <x v="39"/>
    <s v="Andrew Bowman"/>
    <x v="35"/>
    <n v="4"/>
    <x v="3"/>
    <x v="7"/>
    <x v="7"/>
    <x v="2"/>
    <x v="2"/>
  </r>
  <r>
    <s v="AX20091"/>
    <s v="ENX2053"/>
    <s v="A105"/>
    <s v="EMP1000"/>
    <s v="C1135"/>
    <x v="421"/>
    <n v="3"/>
    <n v="596"/>
    <n v="358"/>
    <n v="1074"/>
    <n v="1788"/>
    <n v="714"/>
    <s v="Product 54"/>
    <x v="45"/>
    <s v="Fred Robertson"/>
    <x v="669"/>
    <n v="4"/>
    <x v="3"/>
    <x v="7"/>
    <x v="7"/>
    <x v="2"/>
    <x v="2"/>
  </r>
  <r>
    <s v="AX20210"/>
    <s v="ENX2040"/>
    <s v="A134"/>
    <s v="EMP1036"/>
    <s v="C1709"/>
    <x v="421"/>
    <n v="2"/>
    <n v="1889"/>
    <n v="945"/>
    <n v="1890"/>
    <n v="3778"/>
    <n v="1888"/>
    <s v="Product 41"/>
    <x v="41"/>
    <s v="Robert Reed"/>
    <x v="203"/>
    <n v="4"/>
    <x v="3"/>
    <x v="7"/>
    <x v="7"/>
    <x v="2"/>
    <x v="2"/>
  </r>
  <r>
    <s v="AX20460"/>
    <s v="ENX2066"/>
    <s v="A131"/>
    <s v="EMP1009"/>
    <s v="C1206"/>
    <x v="420"/>
    <n v="3"/>
    <n v="2091"/>
    <n v="1485"/>
    <n v="4455"/>
    <n v="6273"/>
    <n v="1818"/>
    <s v="Product 67"/>
    <x v="32"/>
    <s v="Kenneth Fields"/>
    <x v="518"/>
    <n v="4"/>
    <x v="3"/>
    <x v="7"/>
    <x v="7"/>
    <x v="2"/>
    <x v="2"/>
  </r>
  <r>
    <s v="AX20845"/>
    <s v="ENX2053"/>
    <s v="A147"/>
    <s v="EMP1000"/>
    <s v="C1249"/>
    <x v="423"/>
    <n v="1"/>
    <n v="596"/>
    <n v="358"/>
    <n v="358"/>
    <n v="596"/>
    <n v="238"/>
    <s v="Product 54"/>
    <x v="42"/>
    <s v="Fred Robertson"/>
    <x v="709"/>
    <n v="4"/>
    <x v="3"/>
    <x v="7"/>
    <x v="7"/>
    <x v="2"/>
    <x v="2"/>
  </r>
  <r>
    <s v="AX20874"/>
    <s v="ENX2021"/>
    <s v="A157"/>
    <s v="EMP1001"/>
    <s v="C1798"/>
    <x v="420"/>
    <n v="1"/>
    <n v="217"/>
    <n v="171"/>
    <n v="171"/>
    <n v="217"/>
    <n v="46"/>
    <s v="Product 22"/>
    <x v="7"/>
    <s v="Kevin Butler"/>
    <x v="608"/>
    <n v="4"/>
    <x v="3"/>
    <x v="7"/>
    <x v="7"/>
    <x v="2"/>
    <x v="2"/>
  </r>
  <r>
    <s v="AX20975"/>
    <s v="ENX2024"/>
    <s v="A158"/>
    <s v="EMP1031"/>
    <s v="C1182"/>
    <x v="420"/>
    <n v="4"/>
    <n v="356"/>
    <n v="292"/>
    <n v="1168"/>
    <n v="1424"/>
    <n v="256"/>
    <s v="Product 25"/>
    <x v="58"/>
    <s v="Brian Thomas"/>
    <x v="759"/>
    <n v="4"/>
    <x v="3"/>
    <x v="7"/>
    <x v="7"/>
    <x v="2"/>
    <x v="2"/>
  </r>
  <r>
    <s v="AX21075"/>
    <s v="ENX2049"/>
    <s v="A111"/>
    <s v="EMP1006"/>
    <s v="C1252"/>
    <x v="423"/>
    <n v="3"/>
    <n v="826"/>
    <n v="562"/>
    <n v="1686"/>
    <n v="2478"/>
    <n v="792"/>
    <s v="Product 50"/>
    <x v="54"/>
    <s v="Sean Miller"/>
    <x v="358"/>
    <n v="4"/>
    <x v="3"/>
    <x v="7"/>
    <x v="7"/>
    <x v="2"/>
    <x v="2"/>
  </r>
  <r>
    <s v="AX21604"/>
    <s v="ENX2084"/>
    <s v="A152"/>
    <s v="EMP1001"/>
    <s v="C1328"/>
    <x v="422"/>
    <n v="4"/>
    <n v="1783"/>
    <n v="1230"/>
    <n v="4920"/>
    <n v="7132"/>
    <n v="2212"/>
    <s v="Product 85"/>
    <x v="26"/>
    <s v="Kevin Butler"/>
    <x v="488"/>
    <n v="4"/>
    <x v="3"/>
    <x v="7"/>
    <x v="7"/>
    <x v="2"/>
    <x v="2"/>
  </r>
  <r>
    <s v="AX21747"/>
    <s v="ENX2067"/>
    <s v="A103"/>
    <s v="EMP1011"/>
    <s v="C1086"/>
    <x v="422"/>
    <n v="1"/>
    <n v="1119"/>
    <n v="683"/>
    <n v="683"/>
    <n v="1119"/>
    <n v="436"/>
    <s v="Product 68"/>
    <x v="61"/>
    <s v="Larry Marshall"/>
    <x v="769"/>
    <n v="4"/>
    <x v="3"/>
    <x v="7"/>
    <x v="7"/>
    <x v="2"/>
    <x v="2"/>
  </r>
  <r>
    <s v="AX21984"/>
    <s v="ENX2009"/>
    <s v="A145"/>
    <s v="EMP1043"/>
    <s v="C1722"/>
    <x v="421"/>
    <n v="3"/>
    <n v="584"/>
    <n v="420"/>
    <n v="1260"/>
    <n v="1752"/>
    <n v="492"/>
    <s v="Product 10"/>
    <x v="35"/>
    <s v="Joshua Taylor"/>
    <x v="257"/>
    <n v="4"/>
    <x v="3"/>
    <x v="7"/>
    <x v="7"/>
    <x v="2"/>
    <x v="2"/>
  </r>
  <r>
    <s v="AX21997"/>
    <s v="ENX2045"/>
    <s v="A141"/>
    <s v="EMP1009"/>
    <s v="C1652"/>
    <x v="423"/>
    <n v="3"/>
    <n v="556"/>
    <n v="395"/>
    <n v="1185"/>
    <n v="1668"/>
    <n v="483"/>
    <s v="Product 46"/>
    <x v="23"/>
    <s v="Kenneth Fields"/>
    <x v="737"/>
    <n v="4"/>
    <x v="3"/>
    <x v="7"/>
    <x v="7"/>
    <x v="2"/>
    <x v="2"/>
  </r>
  <r>
    <s v="AX22016"/>
    <s v="ENX2100"/>
    <s v="A131"/>
    <s v="EMP1005"/>
    <s v="C1557"/>
    <x v="421"/>
    <n v="3"/>
    <n v="799"/>
    <n v="455"/>
    <n v="1365"/>
    <n v="2397"/>
    <n v="1032"/>
    <s v="Product 101"/>
    <x v="32"/>
    <s v="Ryan Welch"/>
    <x v="729"/>
    <n v="4"/>
    <x v="3"/>
    <x v="7"/>
    <x v="7"/>
    <x v="2"/>
    <x v="2"/>
  </r>
  <r>
    <s v="AX22101"/>
    <s v="ENX2090"/>
    <s v="A106"/>
    <s v="EMP1040"/>
    <s v="C1795"/>
    <x v="423"/>
    <n v="1"/>
    <n v="1338"/>
    <n v="682"/>
    <n v="682"/>
    <n v="1338"/>
    <n v="656"/>
    <s v="Product 91"/>
    <x v="11"/>
    <s v="Patrick Ruiz"/>
    <x v="592"/>
    <n v="4"/>
    <x v="3"/>
    <x v="7"/>
    <x v="7"/>
    <x v="2"/>
    <x v="2"/>
  </r>
  <r>
    <s v="AX22114"/>
    <s v="ENX2023"/>
    <s v="A127"/>
    <s v="EMP1041"/>
    <s v="C1621"/>
    <x v="424"/>
    <n v="4"/>
    <n v="818"/>
    <n v="450"/>
    <n v="1800"/>
    <n v="3272"/>
    <n v="1472"/>
    <s v="Product 24"/>
    <x v="69"/>
    <s v="Joe Sims"/>
    <x v="159"/>
    <n v="4"/>
    <x v="3"/>
    <x v="7"/>
    <x v="7"/>
    <x v="2"/>
    <x v="2"/>
  </r>
  <r>
    <s v="AX22472"/>
    <s v="ENX2089"/>
    <s v="A145"/>
    <s v="EMP1011"/>
    <s v="C1710"/>
    <x v="422"/>
    <n v="1"/>
    <n v="2294"/>
    <n v="1399"/>
    <n v="1399"/>
    <n v="2294"/>
    <n v="895"/>
    <s v="Product 90"/>
    <x v="35"/>
    <s v="Larry Marshall"/>
    <x v="197"/>
    <n v="4"/>
    <x v="3"/>
    <x v="7"/>
    <x v="7"/>
    <x v="2"/>
    <x v="2"/>
  </r>
  <r>
    <s v="AX22481"/>
    <s v="ENX2061"/>
    <s v="A136"/>
    <s v="EMP1036"/>
    <s v="C1006"/>
    <x v="420"/>
    <n v="1"/>
    <n v="913"/>
    <n v="584"/>
    <n v="584"/>
    <n v="913"/>
    <n v="329"/>
    <s v="Product 62"/>
    <x v="43"/>
    <s v="Robert Reed"/>
    <x v="687"/>
    <n v="4"/>
    <x v="3"/>
    <x v="7"/>
    <x v="7"/>
    <x v="2"/>
    <x v="2"/>
  </r>
  <r>
    <s v="AX23000"/>
    <s v="ENX2031"/>
    <s v="A158"/>
    <s v="EMP1031"/>
    <s v="C1458"/>
    <x v="422"/>
    <n v="4"/>
    <n v="1638"/>
    <n v="1261"/>
    <n v="5044"/>
    <n v="6552"/>
    <n v="1508"/>
    <s v="Product 32"/>
    <x v="58"/>
    <s v="Brian Thomas"/>
    <x v="291"/>
    <n v="4"/>
    <x v="3"/>
    <x v="7"/>
    <x v="7"/>
    <x v="2"/>
    <x v="2"/>
  </r>
  <r>
    <s v="AX23451"/>
    <s v="ENX2040"/>
    <s v="A146"/>
    <s v="EMP1013"/>
    <s v="C1790"/>
    <x v="420"/>
    <n v="4"/>
    <n v="1889"/>
    <n v="945"/>
    <n v="3780"/>
    <n v="7556"/>
    <n v="3776"/>
    <s v="Product 41"/>
    <x v="27"/>
    <s v="Charles Harper"/>
    <x v="428"/>
    <n v="4"/>
    <x v="3"/>
    <x v="7"/>
    <x v="7"/>
    <x v="2"/>
    <x v="2"/>
  </r>
  <r>
    <s v="AX23821"/>
    <s v="ENX2020"/>
    <s v="A106"/>
    <s v="EMP1021"/>
    <s v="C1714"/>
    <x v="422"/>
    <n v="1"/>
    <n v="2005"/>
    <n v="1223"/>
    <n v="1223"/>
    <n v="2005"/>
    <n v="782"/>
    <s v="Product 21"/>
    <x v="11"/>
    <s v="Clarence Fox"/>
    <x v="317"/>
    <n v="4"/>
    <x v="3"/>
    <x v="7"/>
    <x v="7"/>
    <x v="2"/>
    <x v="2"/>
  </r>
  <r>
    <s v="AX23945"/>
    <s v="ENX2014"/>
    <s v="A146"/>
    <s v="EMP1037"/>
    <s v="C1378"/>
    <x v="420"/>
    <n v="1"/>
    <n v="1809"/>
    <n v="1067"/>
    <n v="1067"/>
    <n v="1809"/>
    <n v="742"/>
    <s v="Product 15"/>
    <x v="27"/>
    <s v="Carl Hall"/>
    <x v="787"/>
    <n v="4"/>
    <x v="3"/>
    <x v="7"/>
    <x v="7"/>
    <x v="2"/>
    <x v="2"/>
  </r>
  <r>
    <s v="AX24454"/>
    <s v="ENX2056"/>
    <s v="A168"/>
    <s v="EMP1011"/>
    <s v="C1295"/>
    <x v="422"/>
    <n v="4"/>
    <n v="1635"/>
    <n v="1046"/>
    <n v="4184"/>
    <n v="6540"/>
    <n v="2356"/>
    <s v="Product 57"/>
    <x v="40"/>
    <s v="Larry Marshall"/>
    <x v="373"/>
    <n v="4"/>
    <x v="3"/>
    <x v="7"/>
    <x v="7"/>
    <x v="2"/>
    <x v="2"/>
  </r>
  <r>
    <s v="AX10368"/>
    <s v="ENX2024"/>
    <s v="A105"/>
    <s v="EMP1037"/>
    <s v="C1784"/>
    <x v="425"/>
    <n v="1"/>
    <n v="356"/>
    <n v="292"/>
    <n v="292"/>
    <n v="356"/>
    <n v="64"/>
    <s v="Product 25"/>
    <x v="45"/>
    <s v="Carl Hall"/>
    <x v="397"/>
    <n v="4"/>
    <x v="3"/>
    <x v="8"/>
    <x v="8"/>
    <x v="2"/>
    <x v="0"/>
  </r>
  <r>
    <s v="AX10620"/>
    <s v="ENX2077"/>
    <s v="A129"/>
    <s v="EMP1016"/>
    <s v="C1798"/>
    <x v="426"/>
    <n v="1"/>
    <n v="530"/>
    <n v="424"/>
    <n v="424"/>
    <n v="530"/>
    <n v="106"/>
    <s v="Product 78"/>
    <x v="22"/>
    <s v="Henry Nelson"/>
    <x v="608"/>
    <n v="4"/>
    <x v="3"/>
    <x v="8"/>
    <x v="8"/>
    <x v="2"/>
    <x v="0"/>
  </r>
  <r>
    <s v="AX10705"/>
    <s v="ENX2083"/>
    <s v="A144"/>
    <s v="EMP1020"/>
    <s v="C1576"/>
    <x v="427"/>
    <n v="1"/>
    <n v="2141"/>
    <n v="1777"/>
    <n v="1777"/>
    <n v="2141"/>
    <n v="364"/>
    <s v="Product 84"/>
    <x v="65"/>
    <s v="Ryan Butler"/>
    <x v="398"/>
    <n v="4"/>
    <x v="3"/>
    <x v="8"/>
    <x v="8"/>
    <x v="2"/>
    <x v="0"/>
  </r>
  <r>
    <s v="AX11534"/>
    <s v="ENX2021"/>
    <s v="A117"/>
    <s v="EMP1012"/>
    <s v="C1344"/>
    <x v="426"/>
    <n v="4"/>
    <n v="217"/>
    <n v="171"/>
    <n v="684"/>
    <n v="868"/>
    <n v="184"/>
    <s v="Product 22"/>
    <x v="29"/>
    <s v="John Reyes"/>
    <x v="22"/>
    <n v="4"/>
    <x v="3"/>
    <x v="8"/>
    <x v="8"/>
    <x v="2"/>
    <x v="0"/>
  </r>
  <r>
    <s v="AX11714"/>
    <s v="ENX2075"/>
    <s v="A163"/>
    <s v="EMP1012"/>
    <s v="C1581"/>
    <x v="426"/>
    <n v="1"/>
    <n v="400"/>
    <n v="208"/>
    <n v="208"/>
    <n v="400"/>
    <n v="192"/>
    <s v="Product 76"/>
    <x v="51"/>
    <s v="John Reyes"/>
    <x v="510"/>
    <n v="4"/>
    <x v="3"/>
    <x v="8"/>
    <x v="8"/>
    <x v="2"/>
    <x v="0"/>
  </r>
  <r>
    <s v="AX12507"/>
    <s v="ENX2007"/>
    <s v="A162"/>
    <s v="EMP1030"/>
    <s v="C1291"/>
    <x v="427"/>
    <n v="2"/>
    <n v="1405"/>
    <n v="1054"/>
    <n v="2108"/>
    <n v="2810"/>
    <n v="702"/>
    <s v="Product 8"/>
    <x v="2"/>
    <s v="Bobby Russell"/>
    <x v="16"/>
    <n v="4"/>
    <x v="3"/>
    <x v="8"/>
    <x v="8"/>
    <x v="2"/>
    <x v="0"/>
  </r>
  <r>
    <s v="AX12548"/>
    <s v="ENX2067"/>
    <s v="A147"/>
    <s v="EMP1011"/>
    <s v="C1291"/>
    <x v="426"/>
    <n v="2"/>
    <n v="1119"/>
    <n v="683"/>
    <n v="1366"/>
    <n v="2238"/>
    <n v="872"/>
    <s v="Product 68"/>
    <x v="42"/>
    <s v="Larry Marshall"/>
    <x v="16"/>
    <n v="4"/>
    <x v="3"/>
    <x v="8"/>
    <x v="8"/>
    <x v="2"/>
    <x v="0"/>
  </r>
  <r>
    <s v="AX12934"/>
    <s v="ENX2052"/>
    <s v="A159"/>
    <s v="EMP1006"/>
    <s v="C1056"/>
    <x v="428"/>
    <n v="1"/>
    <n v="1526"/>
    <n v="1251"/>
    <n v="1251"/>
    <n v="1526"/>
    <n v="275"/>
    <s v="Product 53"/>
    <x v="13"/>
    <s v="Sean Miller"/>
    <x v="260"/>
    <n v="4"/>
    <x v="3"/>
    <x v="8"/>
    <x v="8"/>
    <x v="2"/>
    <x v="0"/>
  </r>
  <r>
    <s v="AX13241"/>
    <s v="ENX2001"/>
    <s v="A170"/>
    <s v="EMP1034"/>
    <s v="C1634"/>
    <x v="426"/>
    <n v="1"/>
    <n v="951"/>
    <n v="504"/>
    <n v="504"/>
    <n v="951"/>
    <n v="447"/>
    <s v="Product 2"/>
    <x v="47"/>
    <s v="Arthur Mccoy"/>
    <x v="71"/>
    <n v="4"/>
    <x v="3"/>
    <x v="8"/>
    <x v="8"/>
    <x v="2"/>
    <x v="0"/>
  </r>
  <r>
    <s v="AX13264"/>
    <s v="ENX2061"/>
    <s v="A141"/>
    <s v="EMP1040"/>
    <s v="C1658"/>
    <x v="425"/>
    <n v="1"/>
    <n v="913"/>
    <n v="584"/>
    <n v="584"/>
    <n v="913"/>
    <n v="329"/>
    <s v="Product 62"/>
    <x v="23"/>
    <s v="Patrick Ruiz"/>
    <x v="612"/>
    <n v="4"/>
    <x v="3"/>
    <x v="8"/>
    <x v="8"/>
    <x v="2"/>
    <x v="0"/>
  </r>
  <r>
    <s v="AX13580"/>
    <s v="ENX2085"/>
    <s v="A152"/>
    <s v="EMP1030"/>
    <s v="C1388"/>
    <x v="425"/>
    <n v="1"/>
    <n v="1862"/>
    <n v="1173"/>
    <n v="1173"/>
    <n v="1862"/>
    <n v="689"/>
    <s v="Product 86"/>
    <x v="26"/>
    <s v="Bobby Russell"/>
    <x v="120"/>
    <n v="4"/>
    <x v="3"/>
    <x v="8"/>
    <x v="8"/>
    <x v="2"/>
    <x v="0"/>
  </r>
  <r>
    <s v="AX13589"/>
    <s v="ENX2079"/>
    <s v="A118"/>
    <s v="EMP1037"/>
    <s v="C1237"/>
    <x v="428"/>
    <n v="2"/>
    <n v="1725"/>
    <n v="1363"/>
    <n v="2726"/>
    <n v="3450"/>
    <n v="724"/>
    <s v="Product 80"/>
    <x v="19"/>
    <s v="Carl Hall"/>
    <x v="484"/>
    <n v="4"/>
    <x v="3"/>
    <x v="8"/>
    <x v="8"/>
    <x v="2"/>
    <x v="0"/>
  </r>
  <r>
    <s v="AX13721"/>
    <s v="ENX2084"/>
    <s v="A162"/>
    <s v="EMP1004"/>
    <s v="C1194"/>
    <x v="427"/>
    <n v="4"/>
    <n v="1783"/>
    <n v="1230"/>
    <n v="4920"/>
    <n v="7132"/>
    <n v="2212"/>
    <s v="Product 85"/>
    <x v="2"/>
    <s v="Kenneth Bradley"/>
    <x v="323"/>
    <n v="4"/>
    <x v="3"/>
    <x v="8"/>
    <x v="8"/>
    <x v="2"/>
    <x v="0"/>
  </r>
  <r>
    <s v="AX13831"/>
    <s v="ENX2079"/>
    <s v="A155"/>
    <s v="EMP1031"/>
    <s v="C1228"/>
    <x v="425"/>
    <n v="1"/>
    <n v="1725"/>
    <n v="1363"/>
    <n v="1363"/>
    <n v="1725"/>
    <n v="362"/>
    <s v="Product 80"/>
    <x v="53"/>
    <s v="Brian Thomas"/>
    <x v="530"/>
    <n v="4"/>
    <x v="3"/>
    <x v="8"/>
    <x v="8"/>
    <x v="2"/>
    <x v="0"/>
  </r>
  <r>
    <s v="AX14142"/>
    <s v="ENX2068"/>
    <s v="A156"/>
    <s v="EMP1019"/>
    <s v="C1101"/>
    <x v="426"/>
    <n v="1"/>
    <n v="1500"/>
    <n v="900"/>
    <n v="900"/>
    <n v="1500"/>
    <n v="600"/>
    <s v="Product 69"/>
    <x v="14"/>
    <s v="Roger Robertson"/>
    <x v="347"/>
    <n v="4"/>
    <x v="3"/>
    <x v="8"/>
    <x v="8"/>
    <x v="2"/>
    <x v="0"/>
  </r>
  <r>
    <s v="AX14193"/>
    <s v="ENX2068"/>
    <s v="A167"/>
    <s v="EMP1006"/>
    <s v="C1497"/>
    <x v="427"/>
    <n v="1"/>
    <n v="1500"/>
    <n v="900"/>
    <n v="900"/>
    <n v="1500"/>
    <n v="600"/>
    <s v="Product 69"/>
    <x v="64"/>
    <s v="Sean Miller"/>
    <x v="794"/>
    <n v="4"/>
    <x v="3"/>
    <x v="8"/>
    <x v="8"/>
    <x v="2"/>
    <x v="0"/>
  </r>
  <r>
    <s v="AX14438"/>
    <s v="ENX2077"/>
    <s v="A100"/>
    <s v="EMP1011"/>
    <s v="C1513"/>
    <x v="427"/>
    <n v="2"/>
    <n v="530"/>
    <n v="424"/>
    <n v="848"/>
    <n v="1060"/>
    <n v="212"/>
    <s v="Product 78"/>
    <x v="52"/>
    <s v="Larry Marshall"/>
    <x v="414"/>
    <n v="4"/>
    <x v="3"/>
    <x v="8"/>
    <x v="8"/>
    <x v="2"/>
    <x v="0"/>
  </r>
  <r>
    <s v="AX14762"/>
    <s v="ENX2011"/>
    <s v="A135"/>
    <s v="EMP1014"/>
    <s v="C1093"/>
    <x v="428"/>
    <n v="4"/>
    <n v="530"/>
    <n v="435"/>
    <n v="1740"/>
    <n v="2120"/>
    <n v="380"/>
    <s v="Product 12"/>
    <x v="10"/>
    <s v="Ronald Reed"/>
    <x v="290"/>
    <n v="4"/>
    <x v="3"/>
    <x v="8"/>
    <x v="8"/>
    <x v="2"/>
    <x v="0"/>
  </r>
  <r>
    <s v="AX15053"/>
    <s v="ENX2019"/>
    <s v="A149"/>
    <s v="EMP1013"/>
    <s v="C1434"/>
    <x v="428"/>
    <n v="3"/>
    <n v="800"/>
    <n v="536"/>
    <n v="1608"/>
    <n v="2400"/>
    <n v="792"/>
    <s v="Product 20"/>
    <x v="59"/>
    <s v="Charles Harper"/>
    <x v="722"/>
    <n v="4"/>
    <x v="3"/>
    <x v="8"/>
    <x v="8"/>
    <x v="2"/>
    <x v="0"/>
  </r>
  <r>
    <s v="AX15182"/>
    <s v="ENX2058"/>
    <s v="A107"/>
    <s v="EMP1024"/>
    <s v="C1361"/>
    <x v="427"/>
    <n v="1"/>
    <n v="2257"/>
    <n v="1535"/>
    <n v="1535"/>
    <n v="2257"/>
    <n v="722"/>
    <s v="Product 59"/>
    <x v="21"/>
    <s v="Ernest Wheeler"/>
    <x v="706"/>
    <n v="4"/>
    <x v="3"/>
    <x v="8"/>
    <x v="8"/>
    <x v="2"/>
    <x v="0"/>
  </r>
  <r>
    <s v="AX15527"/>
    <s v="ENX2096"/>
    <s v="A133"/>
    <s v="EMP1034"/>
    <s v="C1224"/>
    <x v="427"/>
    <n v="1"/>
    <n v="1587"/>
    <n v="1301"/>
    <n v="1301"/>
    <n v="1587"/>
    <n v="286"/>
    <s v="Product 97"/>
    <x v="46"/>
    <s v="Arthur Mccoy"/>
    <x v="492"/>
    <n v="4"/>
    <x v="3"/>
    <x v="8"/>
    <x v="8"/>
    <x v="2"/>
    <x v="0"/>
  </r>
  <r>
    <s v="AX15806"/>
    <s v="ENX2090"/>
    <s v="A134"/>
    <s v="EMP1014"/>
    <s v="C1767"/>
    <x v="428"/>
    <n v="1"/>
    <n v="1338"/>
    <n v="682"/>
    <n v="682"/>
    <n v="1338"/>
    <n v="656"/>
    <s v="Product 91"/>
    <x v="41"/>
    <s v="Ronald Reed"/>
    <x v="4"/>
    <n v="4"/>
    <x v="3"/>
    <x v="8"/>
    <x v="8"/>
    <x v="2"/>
    <x v="0"/>
  </r>
  <r>
    <s v="AX15965"/>
    <s v="ENX2006"/>
    <s v="A108"/>
    <s v="EMP1017"/>
    <s v="C1239"/>
    <x v="426"/>
    <n v="1"/>
    <n v="1826"/>
    <n v="1443"/>
    <n v="1443"/>
    <n v="1826"/>
    <n v="383"/>
    <s v="Product 7"/>
    <x v="49"/>
    <s v="Brian Hansen"/>
    <x v="479"/>
    <n v="4"/>
    <x v="3"/>
    <x v="8"/>
    <x v="8"/>
    <x v="2"/>
    <x v="0"/>
  </r>
  <r>
    <s v="AX16396"/>
    <s v="ENX2057"/>
    <s v="A164"/>
    <s v="EMP1043"/>
    <s v="C1704"/>
    <x v="427"/>
    <n v="1"/>
    <n v="181"/>
    <n v="130"/>
    <n v="130"/>
    <n v="181"/>
    <n v="51"/>
    <s v="Product 58"/>
    <x v="3"/>
    <s v="Joshua Taylor"/>
    <x v="28"/>
    <n v="4"/>
    <x v="3"/>
    <x v="8"/>
    <x v="8"/>
    <x v="2"/>
    <x v="0"/>
  </r>
  <r>
    <s v="AX16610"/>
    <s v="ENX2099"/>
    <s v="A116"/>
    <s v="EMP1010"/>
    <s v="C1379"/>
    <x v="425"/>
    <n v="4"/>
    <n v="1367"/>
    <n v="984"/>
    <n v="3936"/>
    <n v="5468"/>
    <n v="1532"/>
    <s v="Product 100"/>
    <x v="15"/>
    <s v="Joshua Cook"/>
    <x v="549"/>
    <n v="4"/>
    <x v="3"/>
    <x v="8"/>
    <x v="8"/>
    <x v="2"/>
    <x v="0"/>
  </r>
  <r>
    <s v="AX17057"/>
    <s v="ENX2095"/>
    <s v="A140"/>
    <s v="EMP1034"/>
    <s v="C1768"/>
    <x v="425"/>
    <n v="1"/>
    <n v="1743"/>
    <n v="872"/>
    <n v="872"/>
    <n v="1743"/>
    <n v="871"/>
    <s v="Product 96"/>
    <x v="18"/>
    <s v="Arthur Mccoy"/>
    <x v="496"/>
    <n v="4"/>
    <x v="3"/>
    <x v="8"/>
    <x v="8"/>
    <x v="2"/>
    <x v="0"/>
  </r>
  <r>
    <s v="AX17067"/>
    <s v="ENX2028"/>
    <s v="A119"/>
    <s v="EMP1025"/>
    <s v="C1694"/>
    <x v="427"/>
    <n v="2"/>
    <n v="2283"/>
    <n v="1484"/>
    <n v="2968"/>
    <n v="4566"/>
    <n v="1598"/>
    <s v="Product 29"/>
    <x v="16"/>
    <s v="Ernest Wagner"/>
    <x v="506"/>
    <n v="4"/>
    <x v="3"/>
    <x v="8"/>
    <x v="8"/>
    <x v="2"/>
    <x v="0"/>
  </r>
  <r>
    <s v="AX17445"/>
    <s v="ENX2047"/>
    <s v="A100"/>
    <s v="EMP1003"/>
    <s v="C1015"/>
    <x v="425"/>
    <n v="4"/>
    <n v="290"/>
    <n v="200"/>
    <n v="800"/>
    <n v="1160"/>
    <n v="360"/>
    <s v="Product 48"/>
    <x v="52"/>
    <s v="Christopher Tucker"/>
    <x v="583"/>
    <n v="4"/>
    <x v="3"/>
    <x v="8"/>
    <x v="8"/>
    <x v="2"/>
    <x v="0"/>
  </r>
  <r>
    <s v="AX17696"/>
    <s v="ENX2002"/>
    <s v="A136"/>
    <s v="EMP1016"/>
    <s v="C1384"/>
    <x v="428"/>
    <n v="1"/>
    <n v="847"/>
    <n v="534"/>
    <n v="534"/>
    <n v="847"/>
    <n v="313"/>
    <s v="Product 3"/>
    <x v="43"/>
    <s v="Henry Nelson"/>
    <x v="690"/>
    <n v="4"/>
    <x v="3"/>
    <x v="8"/>
    <x v="8"/>
    <x v="2"/>
    <x v="0"/>
  </r>
  <r>
    <s v="AX17703"/>
    <s v="ENX2096"/>
    <s v="A127"/>
    <s v="EMP1023"/>
    <s v="C1505"/>
    <x v="427"/>
    <n v="1"/>
    <n v="1587"/>
    <n v="1301"/>
    <n v="1301"/>
    <n v="1587"/>
    <n v="286"/>
    <s v="Product 97"/>
    <x v="69"/>
    <s v="Brian Davis"/>
    <x v="632"/>
    <n v="4"/>
    <x v="3"/>
    <x v="8"/>
    <x v="8"/>
    <x v="2"/>
    <x v="0"/>
  </r>
  <r>
    <s v="AX17759"/>
    <s v="ENX2083"/>
    <s v="A149"/>
    <s v="EMP1023"/>
    <s v="C1536"/>
    <x v="427"/>
    <n v="1"/>
    <n v="2141"/>
    <n v="1777"/>
    <n v="1777"/>
    <n v="2141"/>
    <n v="364"/>
    <s v="Product 84"/>
    <x v="59"/>
    <s v="Brian Davis"/>
    <x v="74"/>
    <n v="4"/>
    <x v="3"/>
    <x v="8"/>
    <x v="8"/>
    <x v="2"/>
    <x v="0"/>
  </r>
  <r>
    <s v="AX18197"/>
    <s v="ENX2093"/>
    <s v="A162"/>
    <s v="EMP1012"/>
    <s v="C1429"/>
    <x v="427"/>
    <n v="4"/>
    <n v="112"/>
    <n v="90"/>
    <n v="360"/>
    <n v="448"/>
    <n v="88"/>
    <s v="Product 94"/>
    <x v="2"/>
    <s v="John Reyes"/>
    <x v="651"/>
    <n v="4"/>
    <x v="3"/>
    <x v="8"/>
    <x v="8"/>
    <x v="2"/>
    <x v="0"/>
  </r>
  <r>
    <s v="AX18573"/>
    <s v="ENX2035"/>
    <s v="A122"/>
    <s v="EMP1004"/>
    <s v="C1186"/>
    <x v="426"/>
    <n v="1"/>
    <n v="458"/>
    <n v="376"/>
    <n v="376"/>
    <n v="458"/>
    <n v="82"/>
    <s v="Product 36"/>
    <x v="71"/>
    <s v="Kenneth Bradley"/>
    <x v="467"/>
    <n v="4"/>
    <x v="3"/>
    <x v="8"/>
    <x v="8"/>
    <x v="2"/>
    <x v="0"/>
  </r>
  <r>
    <s v="AX19969"/>
    <s v="ENX2054"/>
    <s v="A143"/>
    <s v="EMP1002"/>
    <s v="C1439"/>
    <x v="427"/>
    <n v="1"/>
    <n v="127"/>
    <n v="79"/>
    <n v="79"/>
    <n v="127"/>
    <n v="48"/>
    <s v="Product 55"/>
    <x v="39"/>
    <s v="Andrew Bowman"/>
    <x v="172"/>
    <n v="4"/>
    <x v="3"/>
    <x v="8"/>
    <x v="8"/>
    <x v="2"/>
    <x v="0"/>
  </r>
  <r>
    <s v="AX20144"/>
    <s v="ENX2048"/>
    <s v="A149"/>
    <s v="EMP1040"/>
    <s v="C1013"/>
    <x v="425"/>
    <n v="3"/>
    <n v="502"/>
    <n v="296"/>
    <n v="888"/>
    <n v="1506"/>
    <n v="618"/>
    <s v="Product 49"/>
    <x v="59"/>
    <s v="Patrick Ruiz"/>
    <x v="431"/>
    <n v="4"/>
    <x v="3"/>
    <x v="8"/>
    <x v="8"/>
    <x v="2"/>
    <x v="0"/>
  </r>
  <r>
    <s v="AX20667"/>
    <s v="ENX2061"/>
    <s v="A125"/>
    <s v="EMP1034"/>
    <s v="C1791"/>
    <x v="425"/>
    <n v="1"/>
    <n v="913"/>
    <n v="584"/>
    <n v="584"/>
    <n v="913"/>
    <n v="329"/>
    <s v="Product 62"/>
    <x v="31"/>
    <s v="Arthur Mccoy"/>
    <x v="193"/>
    <n v="4"/>
    <x v="3"/>
    <x v="8"/>
    <x v="8"/>
    <x v="2"/>
    <x v="0"/>
  </r>
  <r>
    <s v="AX20952"/>
    <s v="ENX2015"/>
    <s v="A153"/>
    <s v="EMP1024"/>
    <s v="C1589"/>
    <x v="427"/>
    <n v="1"/>
    <n v="637"/>
    <n v="389"/>
    <n v="389"/>
    <n v="637"/>
    <n v="248"/>
    <s v="Product 16"/>
    <x v="8"/>
    <s v="Ernest Wheeler"/>
    <x v="39"/>
    <n v="4"/>
    <x v="3"/>
    <x v="8"/>
    <x v="8"/>
    <x v="2"/>
    <x v="0"/>
  </r>
  <r>
    <s v="AX21189"/>
    <s v="ENX2070"/>
    <s v="A107"/>
    <s v="EMP1040"/>
    <s v="C1589"/>
    <x v="427"/>
    <n v="4"/>
    <n v="1671"/>
    <n v="1220"/>
    <n v="4880"/>
    <n v="6684"/>
    <n v="1804"/>
    <s v="Product 71"/>
    <x v="21"/>
    <s v="Patrick Ruiz"/>
    <x v="39"/>
    <n v="4"/>
    <x v="3"/>
    <x v="8"/>
    <x v="8"/>
    <x v="2"/>
    <x v="0"/>
  </r>
  <r>
    <s v="AX21204"/>
    <s v="ENX2021"/>
    <s v="A152"/>
    <s v="EMP1018"/>
    <s v="C1090"/>
    <x v="427"/>
    <n v="3"/>
    <n v="217"/>
    <n v="171"/>
    <n v="513"/>
    <n v="651"/>
    <n v="138"/>
    <s v="Product 22"/>
    <x v="26"/>
    <s v="Jimmy Young"/>
    <x v="0"/>
    <n v="4"/>
    <x v="3"/>
    <x v="8"/>
    <x v="8"/>
    <x v="2"/>
    <x v="0"/>
  </r>
  <r>
    <s v="AX21221"/>
    <s v="ENX2041"/>
    <s v="A103"/>
    <s v="EMP1026"/>
    <s v="C1736"/>
    <x v="428"/>
    <n v="2"/>
    <n v="1380"/>
    <n v="1090"/>
    <n v="2180"/>
    <n v="2760"/>
    <n v="580"/>
    <s v="Product 42"/>
    <x v="61"/>
    <s v="Martin Perry"/>
    <x v="472"/>
    <n v="4"/>
    <x v="3"/>
    <x v="8"/>
    <x v="8"/>
    <x v="2"/>
    <x v="0"/>
  </r>
  <r>
    <s v="AX21361"/>
    <s v="ENX2005"/>
    <s v="A153"/>
    <s v="EMP1043"/>
    <s v="C1774"/>
    <x v="427"/>
    <n v="1"/>
    <n v="684"/>
    <n v="561"/>
    <n v="561"/>
    <n v="684"/>
    <n v="123"/>
    <s v="Product 6"/>
    <x v="8"/>
    <s v="Joshua Taylor"/>
    <x v="232"/>
    <n v="4"/>
    <x v="3"/>
    <x v="8"/>
    <x v="8"/>
    <x v="2"/>
    <x v="0"/>
  </r>
  <r>
    <s v="AX21366"/>
    <s v="ENX2085"/>
    <s v="A107"/>
    <s v="EMP1026"/>
    <s v="C1743"/>
    <x v="427"/>
    <n v="4"/>
    <n v="1862"/>
    <n v="1173"/>
    <n v="4692"/>
    <n v="7448"/>
    <n v="2756"/>
    <s v="Product 86"/>
    <x v="21"/>
    <s v="Martin Perry"/>
    <x v="276"/>
    <n v="4"/>
    <x v="3"/>
    <x v="8"/>
    <x v="8"/>
    <x v="2"/>
    <x v="0"/>
  </r>
  <r>
    <s v="AX21444"/>
    <s v="ENX2032"/>
    <s v="A128"/>
    <s v="EMP1021"/>
    <s v="C1512"/>
    <x v="425"/>
    <n v="1"/>
    <n v="1967"/>
    <n v="1397"/>
    <n v="1397"/>
    <n v="1967"/>
    <n v="570"/>
    <s v="Product 33"/>
    <x v="12"/>
    <s v="Clarence Fox"/>
    <x v="671"/>
    <n v="4"/>
    <x v="3"/>
    <x v="8"/>
    <x v="8"/>
    <x v="2"/>
    <x v="0"/>
  </r>
  <r>
    <s v="AX22765"/>
    <s v="ENX2016"/>
    <s v="A145"/>
    <s v="EMP1008"/>
    <s v="C1028"/>
    <x v="427"/>
    <n v="1"/>
    <n v="1351"/>
    <n v="1108"/>
    <n v="1108"/>
    <n v="1351"/>
    <n v="243"/>
    <s v="Product 17"/>
    <x v="35"/>
    <s v="Carl Elliott"/>
    <x v="135"/>
    <n v="4"/>
    <x v="3"/>
    <x v="8"/>
    <x v="8"/>
    <x v="2"/>
    <x v="0"/>
  </r>
  <r>
    <s v="AX22785"/>
    <s v="ENX2029"/>
    <s v="A121"/>
    <s v="EMP1005"/>
    <s v="C1755"/>
    <x v="425"/>
    <n v="1"/>
    <n v="1848"/>
    <n v="1294"/>
    <n v="1294"/>
    <n v="1848"/>
    <n v="554"/>
    <s v="Product 30"/>
    <x v="72"/>
    <s v="Ryan Welch"/>
    <x v="178"/>
    <n v="4"/>
    <x v="3"/>
    <x v="8"/>
    <x v="8"/>
    <x v="2"/>
    <x v="0"/>
  </r>
  <r>
    <s v="AX22855"/>
    <s v="ENX2054"/>
    <s v="A113"/>
    <s v="EMP1039"/>
    <s v="C1198"/>
    <x v="428"/>
    <n v="1"/>
    <n v="127"/>
    <n v="79"/>
    <n v="79"/>
    <n v="127"/>
    <n v="48"/>
    <s v="Product 55"/>
    <x v="73"/>
    <s v="Eugene Holmes"/>
    <x v="42"/>
    <n v="4"/>
    <x v="3"/>
    <x v="8"/>
    <x v="8"/>
    <x v="2"/>
    <x v="0"/>
  </r>
  <r>
    <s v="AX23381"/>
    <s v="ENX2004"/>
    <s v="A116"/>
    <s v="EMP1039"/>
    <s v="C1787"/>
    <x v="425"/>
    <n v="1"/>
    <n v="1278"/>
    <n v="665"/>
    <n v="665"/>
    <n v="1278"/>
    <n v="613"/>
    <s v="Product 5"/>
    <x v="15"/>
    <s v="Eugene Holmes"/>
    <x v="439"/>
    <n v="4"/>
    <x v="3"/>
    <x v="8"/>
    <x v="8"/>
    <x v="2"/>
    <x v="0"/>
  </r>
  <r>
    <s v="AX23449"/>
    <s v="ENX2090"/>
    <s v="A118"/>
    <s v="EMP1011"/>
    <s v="C1533"/>
    <x v="425"/>
    <n v="1"/>
    <n v="1338"/>
    <n v="682"/>
    <n v="682"/>
    <n v="1338"/>
    <n v="656"/>
    <s v="Product 91"/>
    <x v="19"/>
    <s v="Larry Marshall"/>
    <x v="179"/>
    <n v="4"/>
    <x v="3"/>
    <x v="8"/>
    <x v="8"/>
    <x v="2"/>
    <x v="0"/>
  </r>
  <r>
    <s v="AX23494"/>
    <s v="ENX2099"/>
    <s v="A124"/>
    <s v="EMP1013"/>
    <s v="C1351"/>
    <x v="426"/>
    <n v="1"/>
    <n v="1367"/>
    <n v="984"/>
    <n v="984"/>
    <n v="1367"/>
    <n v="383"/>
    <s v="Product 100"/>
    <x v="67"/>
    <s v="Charles Harper"/>
    <x v="122"/>
    <n v="4"/>
    <x v="3"/>
    <x v="8"/>
    <x v="8"/>
    <x v="2"/>
    <x v="0"/>
  </r>
  <r>
    <s v="AX23525"/>
    <s v="ENX2091"/>
    <s v="A103"/>
    <s v="EMP1019"/>
    <s v="C1004"/>
    <x v="428"/>
    <n v="2"/>
    <n v="368"/>
    <n v="294"/>
    <n v="588"/>
    <n v="736"/>
    <n v="148"/>
    <s v="Product 92"/>
    <x v="61"/>
    <s v="Roger Robertson"/>
    <x v="708"/>
    <n v="4"/>
    <x v="3"/>
    <x v="8"/>
    <x v="8"/>
    <x v="2"/>
    <x v="0"/>
  </r>
  <r>
    <s v="AX23709"/>
    <s v="ENX2071"/>
    <s v="A113"/>
    <s v="EMP1016"/>
    <s v="C1742"/>
    <x v="425"/>
    <n v="1"/>
    <n v="136"/>
    <n v="72"/>
    <n v="72"/>
    <n v="136"/>
    <n v="64"/>
    <s v="Product 72"/>
    <x v="73"/>
    <s v="Henry Nelson"/>
    <x v="434"/>
    <n v="4"/>
    <x v="3"/>
    <x v="8"/>
    <x v="8"/>
    <x v="2"/>
    <x v="0"/>
  </r>
  <r>
    <s v="AX23895"/>
    <s v="ENX2062"/>
    <s v="A168"/>
    <s v="EMP1026"/>
    <s v="C1311"/>
    <x v="427"/>
    <n v="3"/>
    <n v="2464"/>
    <n v="1774"/>
    <n v="5322"/>
    <n v="7392"/>
    <n v="2070"/>
    <s v="Product 63"/>
    <x v="40"/>
    <s v="Martin Perry"/>
    <x v="309"/>
    <n v="4"/>
    <x v="3"/>
    <x v="8"/>
    <x v="8"/>
    <x v="2"/>
    <x v="0"/>
  </r>
  <r>
    <s v="AX24059"/>
    <s v="ENX2019"/>
    <s v="A127"/>
    <s v="EMP1006"/>
    <s v="C1553"/>
    <x v="427"/>
    <n v="1"/>
    <n v="800"/>
    <n v="536"/>
    <n v="536"/>
    <n v="800"/>
    <n v="264"/>
    <s v="Product 20"/>
    <x v="69"/>
    <s v="Sean Miller"/>
    <x v="726"/>
    <n v="4"/>
    <x v="3"/>
    <x v="8"/>
    <x v="8"/>
    <x v="2"/>
    <x v="0"/>
  </r>
  <r>
    <s v="AX24826"/>
    <s v="ENX2034"/>
    <s v="A166"/>
    <s v="EMP1023"/>
    <s v="C1218"/>
    <x v="426"/>
    <n v="2"/>
    <n v="871"/>
    <n v="540"/>
    <n v="1080"/>
    <n v="1742"/>
    <n v="662"/>
    <s v="Product 35"/>
    <x v="70"/>
    <s v="Brian Davis"/>
    <x v="786"/>
    <n v="4"/>
    <x v="3"/>
    <x v="8"/>
    <x v="8"/>
    <x v="2"/>
    <x v="0"/>
  </r>
  <r>
    <s v="AX24852"/>
    <s v="ENX2035"/>
    <s v="A171"/>
    <s v="EMP1021"/>
    <s v="C1686"/>
    <x v="425"/>
    <n v="1"/>
    <n v="458"/>
    <n v="376"/>
    <n v="376"/>
    <n v="458"/>
    <n v="82"/>
    <s v="Product 36"/>
    <x v="0"/>
    <s v="Clarence Fox"/>
    <x v="748"/>
    <n v="4"/>
    <x v="3"/>
    <x v="8"/>
    <x v="8"/>
    <x v="2"/>
    <x v="0"/>
  </r>
  <r>
    <s v="AX24942"/>
    <s v="ENX2059"/>
    <s v="A110"/>
    <s v="EMP1028"/>
    <s v="C1313"/>
    <x v="425"/>
    <n v="1"/>
    <n v="1494"/>
    <n v="971"/>
    <n v="971"/>
    <n v="1494"/>
    <n v="523"/>
    <s v="Product 60"/>
    <x v="63"/>
    <s v="Howard Sims"/>
    <x v="728"/>
    <n v="4"/>
    <x v="3"/>
    <x v="8"/>
    <x v="8"/>
    <x v="2"/>
    <x v="0"/>
  </r>
  <r>
    <s v="AX10025"/>
    <s v="ENX2047"/>
    <s v="A170"/>
    <s v="EMP1015"/>
    <s v="C1753"/>
    <x v="429"/>
    <n v="1"/>
    <n v="290"/>
    <n v="200"/>
    <n v="200"/>
    <n v="290"/>
    <n v="90"/>
    <s v="Product 48"/>
    <x v="47"/>
    <s v="Justin Lynch"/>
    <x v="696"/>
    <n v="4"/>
    <x v="3"/>
    <x v="8"/>
    <x v="8"/>
    <x v="2"/>
    <x v="2"/>
  </r>
  <r>
    <s v="AX10120"/>
    <s v="ENX2021"/>
    <s v="A131"/>
    <s v="EMP1009"/>
    <s v="C1756"/>
    <x v="430"/>
    <n v="1"/>
    <n v="217"/>
    <n v="171"/>
    <n v="171"/>
    <n v="217"/>
    <n v="46"/>
    <s v="Product 22"/>
    <x v="32"/>
    <s v="Kenneth Fields"/>
    <x v="371"/>
    <n v="4"/>
    <x v="3"/>
    <x v="8"/>
    <x v="8"/>
    <x v="2"/>
    <x v="2"/>
  </r>
  <r>
    <s v="AX10213"/>
    <s v="ENX2049"/>
    <s v="A120"/>
    <s v="EMP1013"/>
    <s v="C1338"/>
    <x v="431"/>
    <n v="2"/>
    <n v="826"/>
    <n v="562"/>
    <n v="1124"/>
    <n v="1652"/>
    <n v="528"/>
    <s v="Product 50"/>
    <x v="20"/>
    <s v="Charles Harper"/>
    <x v="542"/>
    <n v="4"/>
    <x v="3"/>
    <x v="8"/>
    <x v="8"/>
    <x v="2"/>
    <x v="2"/>
  </r>
  <r>
    <s v="AX10247"/>
    <s v="ENX2021"/>
    <s v="A111"/>
    <s v="EMP1041"/>
    <s v="C1507"/>
    <x v="431"/>
    <n v="3"/>
    <n v="217"/>
    <n v="171"/>
    <n v="513"/>
    <n v="651"/>
    <n v="138"/>
    <s v="Product 22"/>
    <x v="54"/>
    <s v="Joe Sims"/>
    <x v="227"/>
    <n v="4"/>
    <x v="3"/>
    <x v="8"/>
    <x v="8"/>
    <x v="2"/>
    <x v="2"/>
  </r>
  <r>
    <s v="AX10425"/>
    <s v="ENX2098"/>
    <s v="A120"/>
    <s v="EMP1002"/>
    <s v="C1682"/>
    <x v="431"/>
    <n v="1"/>
    <n v="1178"/>
    <n v="683"/>
    <n v="683"/>
    <n v="1178"/>
    <n v="495"/>
    <s v="Product 99"/>
    <x v="20"/>
    <s v="Andrew Bowman"/>
    <x v="313"/>
    <n v="4"/>
    <x v="3"/>
    <x v="8"/>
    <x v="8"/>
    <x v="2"/>
    <x v="2"/>
  </r>
  <r>
    <s v="AX10467"/>
    <s v="ENX2040"/>
    <s v="A162"/>
    <s v="EMP1001"/>
    <s v="C1653"/>
    <x v="429"/>
    <n v="2"/>
    <n v="1889"/>
    <n v="945"/>
    <n v="1890"/>
    <n v="3778"/>
    <n v="1888"/>
    <s v="Product 41"/>
    <x v="2"/>
    <s v="Kevin Butler"/>
    <x v="187"/>
    <n v="4"/>
    <x v="3"/>
    <x v="8"/>
    <x v="8"/>
    <x v="2"/>
    <x v="2"/>
  </r>
  <r>
    <s v="AX10511"/>
    <s v="ENX2095"/>
    <s v="A128"/>
    <s v="EMP1036"/>
    <s v="C1315"/>
    <x v="429"/>
    <n v="1"/>
    <n v="1743"/>
    <n v="872"/>
    <n v="872"/>
    <n v="1743"/>
    <n v="871"/>
    <s v="Product 96"/>
    <x v="12"/>
    <s v="Robert Reed"/>
    <x v="388"/>
    <n v="4"/>
    <x v="3"/>
    <x v="8"/>
    <x v="8"/>
    <x v="2"/>
    <x v="2"/>
  </r>
  <r>
    <s v="AX10622"/>
    <s v="ENX2048"/>
    <s v="A123"/>
    <s v="EMP1043"/>
    <s v="C1235"/>
    <x v="429"/>
    <n v="4"/>
    <n v="502"/>
    <n v="296"/>
    <n v="1184"/>
    <n v="2008"/>
    <n v="824"/>
    <s v="Product 49"/>
    <x v="34"/>
    <s v="Joshua Taylor"/>
    <x v="353"/>
    <n v="4"/>
    <x v="3"/>
    <x v="8"/>
    <x v="8"/>
    <x v="2"/>
    <x v="2"/>
  </r>
  <r>
    <s v="AX11218"/>
    <s v="ENX2083"/>
    <s v="A169"/>
    <s v="EMP1005"/>
    <s v="C1335"/>
    <x v="429"/>
    <n v="1"/>
    <n v="2141"/>
    <n v="1777"/>
    <n v="1777"/>
    <n v="2141"/>
    <n v="364"/>
    <s v="Product 84"/>
    <x v="17"/>
    <s v="Ryan Welch"/>
    <x v="2"/>
    <n v="4"/>
    <x v="3"/>
    <x v="8"/>
    <x v="8"/>
    <x v="2"/>
    <x v="2"/>
  </r>
  <r>
    <s v="AX11268"/>
    <s v="ENX2086"/>
    <s v="A139"/>
    <s v="EMP1034"/>
    <s v="C1561"/>
    <x v="429"/>
    <n v="1"/>
    <n v="123"/>
    <n v="84"/>
    <n v="84"/>
    <n v="123"/>
    <n v="39"/>
    <s v="Product 87"/>
    <x v="38"/>
    <s v="Arthur Mccoy"/>
    <x v="114"/>
    <n v="4"/>
    <x v="3"/>
    <x v="8"/>
    <x v="8"/>
    <x v="2"/>
    <x v="2"/>
  </r>
  <r>
    <s v="AX11310"/>
    <s v="ENX2010"/>
    <s v="A160"/>
    <s v="EMP1027"/>
    <s v="C1004"/>
    <x v="430"/>
    <n v="1"/>
    <n v="1812"/>
    <n v="1305"/>
    <n v="1305"/>
    <n v="1812"/>
    <n v="507"/>
    <s v="Product 11"/>
    <x v="9"/>
    <s v="Gary Rodriguez"/>
    <x v="708"/>
    <n v="4"/>
    <x v="3"/>
    <x v="8"/>
    <x v="8"/>
    <x v="2"/>
    <x v="2"/>
  </r>
  <r>
    <s v="AX11830"/>
    <s v="ENX2008"/>
    <s v="A128"/>
    <s v="EMP1009"/>
    <s v="C1673"/>
    <x v="429"/>
    <n v="2"/>
    <n v="315"/>
    <n v="208"/>
    <n v="416"/>
    <n v="630"/>
    <n v="214"/>
    <s v="Product 9"/>
    <x v="12"/>
    <s v="Kenneth Fields"/>
    <x v="87"/>
    <n v="4"/>
    <x v="3"/>
    <x v="8"/>
    <x v="8"/>
    <x v="2"/>
    <x v="2"/>
  </r>
  <r>
    <s v="AX11915"/>
    <s v="ENX2079"/>
    <s v="A156"/>
    <s v="EMP1027"/>
    <s v="C1517"/>
    <x v="430"/>
    <n v="1"/>
    <n v="1725"/>
    <n v="1363"/>
    <n v="1363"/>
    <n v="1725"/>
    <n v="362"/>
    <s v="Product 80"/>
    <x v="14"/>
    <s v="Gary Rodriguez"/>
    <x v="359"/>
    <n v="4"/>
    <x v="3"/>
    <x v="8"/>
    <x v="8"/>
    <x v="2"/>
    <x v="2"/>
  </r>
  <r>
    <s v="AX12067"/>
    <s v="ENX2092"/>
    <s v="A173"/>
    <s v="EMP1024"/>
    <s v="C1162"/>
    <x v="429"/>
    <n v="1"/>
    <n v="1639"/>
    <n v="1295"/>
    <n v="1295"/>
    <n v="1639"/>
    <n v="344"/>
    <s v="Product 93"/>
    <x v="25"/>
    <s v="Ernest Wheeler"/>
    <x v="177"/>
    <n v="4"/>
    <x v="3"/>
    <x v="8"/>
    <x v="8"/>
    <x v="2"/>
    <x v="2"/>
  </r>
  <r>
    <s v="AX12097"/>
    <s v="ENX2086"/>
    <s v="A143"/>
    <s v="EMP1008"/>
    <s v="C1104"/>
    <x v="429"/>
    <n v="3"/>
    <n v="123"/>
    <n v="84"/>
    <n v="252"/>
    <n v="369"/>
    <n v="117"/>
    <s v="Product 87"/>
    <x v="39"/>
    <s v="Carl Elliott"/>
    <x v="367"/>
    <n v="4"/>
    <x v="3"/>
    <x v="8"/>
    <x v="8"/>
    <x v="2"/>
    <x v="2"/>
  </r>
  <r>
    <s v="AX12194"/>
    <s v="ENX2063"/>
    <s v="A146"/>
    <s v="EMP1028"/>
    <s v="C1425"/>
    <x v="431"/>
    <n v="1"/>
    <n v="1708"/>
    <n v="871"/>
    <n v="871"/>
    <n v="1708"/>
    <n v="837"/>
    <s v="Product 64"/>
    <x v="27"/>
    <s v="Howard Sims"/>
    <x v="474"/>
    <n v="4"/>
    <x v="3"/>
    <x v="8"/>
    <x v="8"/>
    <x v="2"/>
    <x v="2"/>
  </r>
  <r>
    <s v="AX12490"/>
    <s v="ENX2084"/>
    <s v="A117"/>
    <s v="EMP1030"/>
    <s v="C1510"/>
    <x v="431"/>
    <n v="1"/>
    <n v="1783"/>
    <n v="1230"/>
    <n v="1230"/>
    <n v="1783"/>
    <n v="553"/>
    <s v="Product 85"/>
    <x v="29"/>
    <s v="Bobby Russell"/>
    <x v="113"/>
    <n v="4"/>
    <x v="3"/>
    <x v="8"/>
    <x v="8"/>
    <x v="2"/>
    <x v="2"/>
  </r>
  <r>
    <s v="AX12599"/>
    <s v="ENX2019"/>
    <s v="A162"/>
    <s v="EMP1039"/>
    <s v="C1149"/>
    <x v="430"/>
    <n v="1"/>
    <n v="800"/>
    <n v="536"/>
    <n v="536"/>
    <n v="800"/>
    <n v="264"/>
    <s v="Product 20"/>
    <x v="2"/>
    <s v="Eugene Holmes"/>
    <x v="514"/>
    <n v="4"/>
    <x v="3"/>
    <x v="8"/>
    <x v="8"/>
    <x v="2"/>
    <x v="2"/>
  </r>
  <r>
    <s v="AX12713"/>
    <s v="ENX2065"/>
    <s v="A151"/>
    <s v="EMP1001"/>
    <s v="C1628"/>
    <x v="431"/>
    <n v="3"/>
    <n v="2396"/>
    <n v="1965"/>
    <n v="5895"/>
    <n v="7188"/>
    <n v="1293"/>
    <s v="Product 66"/>
    <x v="1"/>
    <s v="Kevin Butler"/>
    <x v="161"/>
    <n v="4"/>
    <x v="3"/>
    <x v="8"/>
    <x v="8"/>
    <x v="2"/>
    <x v="2"/>
  </r>
  <r>
    <s v="AX13058"/>
    <s v="ENX2009"/>
    <s v="A155"/>
    <s v="EMP1003"/>
    <s v="C1347"/>
    <x v="431"/>
    <n v="3"/>
    <n v="584"/>
    <n v="420"/>
    <n v="1260"/>
    <n v="1752"/>
    <n v="492"/>
    <s v="Product 10"/>
    <x v="53"/>
    <s v="Christopher Tucker"/>
    <x v="686"/>
    <n v="4"/>
    <x v="3"/>
    <x v="8"/>
    <x v="8"/>
    <x v="2"/>
    <x v="2"/>
  </r>
  <r>
    <s v="AX13076"/>
    <s v="ENX2078"/>
    <s v="A163"/>
    <s v="EMP1038"/>
    <s v="C1002"/>
    <x v="429"/>
    <n v="3"/>
    <n v="1798"/>
    <n v="971"/>
    <n v="2913"/>
    <n v="5394"/>
    <n v="2481"/>
    <s v="Product 79"/>
    <x v="51"/>
    <s v="Scott Mason"/>
    <x v="49"/>
    <n v="4"/>
    <x v="3"/>
    <x v="8"/>
    <x v="8"/>
    <x v="2"/>
    <x v="2"/>
  </r>
  <r>
    <s v="AX13173"/>
    <s v="ENX2092"/>
    <s v="A113"/>
    <s v="EMP1010"/>
    <s v="C1465"/>
    <x v="430"/>
    <n v="1"/>
    <n v="1639"/>
    <n v="1295"/>
    <n v="1295"/>
    <n v="1639"/>
    <n v="344"/>
    <s v="Product 93"/>
    <x v="73"/>
    <s v="Joshua Cook"/>
    <x v="88"/>
    <n v="4"/>
    <x v="3"/>
    <x v="8"/>
    <x v="8"/>
    <x v="2"/>
    <x v="2"/>
  </r>
  <r>
    <s v="AX13512"/>
    <s v="ENX2095"/>
    <s v="A116"/>
    <s v="EMP1029"/>
    <s v="C1173"/>
    <x v="431"/>
    <n v="3"/>
    <n v="1743"/>
    <n v="872"/>
    <n v="2616"/>
    <n v="5229"/>
    <n v="2613"/>
    <s v="Product 96"/>
    <x v="15"/>
    <s v="Howard Gardner"/>
    <x v="167"/>
    <n v="4"/>
    <x v="3"/>
    <x v="8"/>
    <x v="8"/>
    <x v="2"/>
    <x v="2"/>
  </r>
  <r>
    <s v="AX13588"/>
    <s v="ENX2045"/>
    <s v="A146"/>
    <s v="EMP1008"/>
    <s v="C1064"/>
    <x v="432"/>
    <n v="2"/>
    <n v="556"/>
    <n v="395"/>
    <n v="790"/>
    <n v="1112"/>
    <n v="322"/>
    <s v="Product 46"/>
    <x v="27"/>
    <s v="Carl Elliott"/>
    <x v="597"/>
    <n v="4"/>
    <x v="3"/>
    <x v="8"/>
    <x v="8"/>
    <x v="2"/>
    <x v="2"/>
  </r>
  <r>
    <s v="AX13801"/>
    <s v="ENX2000"/>
    <s v="A140"/>
    <s v="EMP1038"/>
    <s v="C1244"/>
    <x v="430"/>
    <n v="1"/>
    <n v="2241"/>
    <n v="1367"/>
    <n v="1367"/>
    <n v="2241"/>
    <n v="874"/>
    <s v="Product 1"/>
    <x v="18"/>
    <s v="Scott Mason"/>
    <x v="381"/>
    <n v="4"/>
    <x v="3"/>
    <x v="8"/>
    <x v="8"/>
    <x v="2"/>
    <x v="2"/>
  </r>
  <r>
    <s v="AX14675"/>
    <s v="ENX2051"/>
    <s v="A130"/>
    <s v="EMP1021"/>
    <s v="C1653"/>
    <x v="432"/>
    <n v="3"/>
    <n v="1077"/>
    <n v="732"/>
    <n v="2196"/>
    <n v="3231"/>
    <n v="1035"/>
    <s v="Product 52"/>
    <x v="4"/>
    <s v="Clarence Fox"/>
    <x v="187"/>
    <n v="4"/>
    <x v="3"/>
    <x v="8"/>
    <x v="8"/>
    <x v="2"/>
    <x v="2"/>
  </r>
  <r>
    <s v="AX15729"/>
    <s v="ENX2037"/>
    <s v="A153"/>
    <s v="EMP1012"/>
    <s v="C1360"/>
    <x v="431"/>
    <n v="1"/>
    <n v="880"/>
    <n v="634"/>
    <n v="634"/>
    <n v="880"/>
    <n v="246"/>
    <s v="Product 38"/>
    <x v="8"/>
    <s v="John Reyes"/>
    <x v="573"/>
    <n v="4"/>
    <x v="3"/>
    <x v="8"/>
    <x v="8"/>
    <x v="2"/>
    <x v="2"/>
  </r>
  <r>
    <s v="AX15863"/>
    <s v="ENX2048"/>
    <s v="A156"/>
    <s v="EMP1002"/>
    <s v="C1194"/>
    <x v="432"/>
    <n v="3"/>
    <n v="502"/>
    <n v="296"/>
    <n v="888"/>
    <n v="1506"/>
    <n v="618"/>
    <s v="Product 49"/>
    <x v="14"/>
    <s v="Andrew Bowman"/>
    <x v="323"/>
    <n v="4"/>
    <x v="3"/>
    <x v="8"/>
    <x v="8"/>
    <x v="2"/>
    <x v="2"/>
  </r>
  <r>
    <s v="AX16157"/>
    <s v="ENX2015"/>
    <s v="A172"/>
    <s v="EMP1019"/>
    <s v="C1177"/>
    <x v="430"/>
    <n v="1"/>
    <n v="637"/>
    <n v="389"/>
    <n v="389"/>
    <n v="637"/>
    <n v="248"/>
    <s v="Product 16"/>
    <x v="36"/>
    <s v="Roger Robertson"/>
    <x v="365"/>
    <n v="4"/>
    <x v="3"/>
    <x v="8"/>
    <x v="8"/>
    <x v="2"/>
    <x v="2"/>
  </r>
  <r>
    <s v="AX16320"/>
    <s v="ENX2058"/>
    <s v="A106"/>
    <s v="EMP1020"/>
    <s v="C1688"/>
    <x v="432"/>
    <n v="2"/>
    <n v="2257"/>
    <n v="1535"/>
    <n v="3070"/>
    <n v="4514"/>
    <n v="1444"/>
    <s v="Product 59"/>
    <x v="11"/>
    <s v="Ryan Butler"/>
    <x v="213"/>
    <n v="4"/>
    <x v="3"/>
    <x v="8"/>
    <x v="8"/>
    <x v="2"/>
    <x v="2"/>
  </r>
  <r>
    <s v="AX16691"/>
    <s v="ENX2027"/>
    <s v="A152"/>
    <s v="EMP1043"/>
    <s v="C1760"/>
    <x v="431"/>
    <n v="1"/>
    <n v="2497"/>
    <n v="1473"/>
    <n v="1473"/>
    <n v="2497"/>
    <n v="1024"/>
    <s v="Product 28"/>
    <x v="26"/>
    <s v="Joshua Taylor"/>
    <x v="502"/>
    <n v="4"/>
    <x v="3"/>
    <x v="8"/>
    <x v="8"/>
    <x v="2"/>
    <x v="2"/>
  </r>
  <r>
    <s v="AX17025"/>
    <s v="ENX2083"/>
    <s v="A105"/>
    <s v="EMP1010"/>
    <s v="C1306"/>
    <x v="430"/>
    <n v="1"/>
    <n v="2141"/>
    <n v="1777"/>
    <n v="1777"/>
    <n v="2141"/>
    <n v="364"/>
    <s v="Product 84"/>
    <x v="45"/>
    <s v="Joshua Cook"/>
    <x v="692"/>
    <n v="4"/>
    <x v="3"/>
    <x v="8"/>
    <x v="8"/>
    <x v="2"/>
    <x v="2"/>
  </r>
  <r>
    <s v="AX17689"/>
    <s v="ENX2046"/>
    <s v="A173"/>
    <s v="EMP1017"/>
    <s v="C1399"/>
    <x v="429"/>
    <n v="1"/>
    <n v="2410"/>
    <n v="1518"/>
    <n v="1518"/>
    <n v="2410"/>
    <n v="892"/>
    <s v="Product 47"/>
    <x v="25"/>
    <s v="Brian Hansen"/>
    <x v="776"/>
    <n v="4"/>
    <x v="3"/>
    <x v="8"/>
    <x v="8"/>
    <x v="2"/>
    <x v="2"/>
  </r>
  <r>
    <s v="AX17785"/>
    <s v="ENX2077"/>
    <s v="A100"/>
    <s v="EMP1030"/>
    <s v="C1233"/>
    <x v="432"/>
    <n v="1"/>
    <n v="530"/>
    <n v="424"/>
    <n v="424"/>
    <n v="530"/>
    <n v="106"/>
    <s v="Product 78"/>
    <x v="52"/>
    <s v="Bobby Russell"/>
    <x v="396"/>
    <n v="4"/>
    <x v="3"/>
    <x v="8"/>
    <x v="8"/>
    <x v="2"/>
    <x v="2"/>
  </r>
  <r>
    <s v="AX18035"/>
    <s v="ENX2036"/>
    <s v="A134"/>
    <s v="EMP1030"/>
    <s v="C1029"/>
    <x v="430"/>
    <n v="1"/>
    <n v="1582"/>
    <n v="1234"/>
    <n v="1234"/>
    <n v="1582"/>
    <n v="348"/>
    <s v="Product 37"/>
    <x v="41"/>
    <s v="Bobby Russell"/>
    <x v="601"/>
    <n v="4"/>
    <x v="3"/>
    <x v="8"/>
    <x v="8"/>
    <x v="2"/>
    <x v="2"/>
  </r>
  <r>
    <s v="AX18348"/>
    <s v="ENX2096"/>
    <s v="A143"/>
    <s v="EMP1040"/>
    <s v="C1714"/>
    <x v="429"/>
    <n v="4"/>
    <n v="1587"/>
    <n v="1301"/>
    <n v="5204"/>
    <n v="6348"/>
    <n v="1144"/>
    <s v="Product 97"/>
    <x v="39"/>
    <s v="Patrick Ruiz"/>
    <x v="317"/>
    <n v="4"/>
    <x v="3"/>
    <x v="8"/>
    <x v="8"/>
    <x v="2"/>
    <x v="2"/>
  </r>
  <r>
    <s v="AX18369"/>
    <s v="ENX2015"/>
    <s v="A132"/>
    <s v="EMP1010"/>
    <s v="C1785"/>
    <x v="429"/>
    <n v="1"/>
    <n v="637"/>
    <n v="389"/>
    <n v="389"/>
    <n v="637"/>
    <n v="248"/>
    <s v="Product 16"/>
    <x v="48"/>
    <s v="Joshua Cook"/>
    <x v="107"/>
    <n v="4"/>
    <x v="3"/>
    <x v="8"/>
    <x v="8"/>
    <x v="2"/>
    <x v="2"/>
  </r>
  <r>
    <s v="AX18655"/>
    <s v="ENX2003"/>
    <s v="A114"/>
    <s v="EMP1031"/>
    <s v="C1125"/>
    <x v="429"/>
    <n v="2"/>
    <n v="1783"/>
    <n v="1516"/>
    <n v="3032"/>
    <n v="3566"/>
    <n v="534"/>
    <s v="Product 4"/>
    <x v="28"/>
    <s v="Brian Thomas"/>
    <x v="539"/>
    <n v="4"/>
    <x v="3"/>
    <x v="8"/>
    <x v="8"/>
    <x v="2"/>
    <x v="2"/>
  </r>
  <r>
    <s v="AX18780"/>
    <s v="ENX2095"/>
    <s v="A110"/>
    <s v="EMP1024"/>
    <s v="C1002"/>
    <x v="431"/>
    <n v="4"/>
    <n v="1743"/>
    <n v="872"/>
    <n v="3488"/>
    <n v="6972"/>
    <n v="3484"/>
    <s v="Product 96"/>
    <x v="63"/>
    <s v="Ernest Wheeler"/>
    <x v="49"/>
    <n v="4"/>
    <x v="3"/>
    <x v="8"/>
    <x v="8"/>
    <x v="2"/>
    <x v="2"/>
  </r>
  <r>
    <s v="AX18881"/>
    <s v="ENX2072"/>
    <s v="A112"/>
    <s v="EMP1044"/>
    <s v="C1655"/>
    <x v="431"/>
    <n v="1"/>
    <n v="1887"/>
    <n v="1378"/>
    <n v="1378"/>
    <n v="1887"/>
    <n v="509"/>
    <s v="Product 73"/>
    <x v="66"/>
    <s v="Martin Carr"/>
    <x v="73"/>
    <n v="4"/>
    <x v="3"/>
    <x v="8"/>
    <x v="8"/>
    <x v="2"/>
    <x v="2"/>
  </r>
  <r>
    <s v="AX18934"/>
    <s v="ENX2092"/>
    <s v="A162"/>
    <s v="EMP1027"/>
    <s v="C1225"/>
    <x v="431"/>
    <n v="1"/>
    <n v="1639"/>
    <n v="1295"/>
    <n v="1295"/>
    <n v="1639"/>
    <n v="344"/>
    <s v="Product 93"/>
    <x v="2"/>
    <s v="Gary Rodriguez"/>
    <x v="588"/>
    <n v="4"/>
    <x v="3"/>
    <x v="8"/>
    <x v="8"/>
    <x v="2"/>
    <x v="2"/>
  </r>
  <r>
    <s v="AX19203"/>
    <s v="ENX2016"/>
    <s v="A113"/>
    <s v="EMP1012"/>
    <s v="C1100"/>
    <x v="431"/>
    <n v="2"/>
    <n v="1351"/>
    <n v="1108"/>
    <n v="2216"/>
    <n v="2702"/>
    <n v="486"/>
    <s v="Product 17"/>
    <x v="73"/>
    <s v="John Reyes"/>
    <x v="110"/>
    <n v="4"/>
    <x v="3"/>
    <x v="8"/>
    <x v="8"/>
    <x v="2"/>
    <x v="2"/>
  </r>
  <r>
    <s v="AX19524"/>
    <s v="ENX2054"/>
    <s v="A117"/>
    <s v="EMP1018"/>
    <s v="C1364"/>
    <x v="431"/>
    <n v="1"/>
    <n v="127"/>
    <n v="79"/>
    <n v="79"/>
    <n v="127"/>
    <n v="48"/>
    <s v="Product 55"/>
    <x v="29"/>
    <s v="Jimmy Young"/>
    <x v="477"/>
    <n v="4"/>
    <x v="3"/>
    <x v="8"/>
    <x v="8"/>
    <x v="2"/>
    <x v="2"/>
  </r>
  <r>
    <s v="AX19540"/>
    <s v="ENX2075"/>
    <s v="A102"/>
    <s v="EMP1013"/>
    <s v="C1767"/>
    <x v="431"/>
    <n v="1"/>
    <n v="400"/>
    <n v="208"/>
    <n v="208"/>
    <n v="400"/>
    <n v="192"/>
    <s v="Product 76"/>
    <x v="44"/>
    <s v="Charles Harper"/>
    <x v="4"/>
    <n v="4"/>
    <x v="3"/>
    <x v="8"/>
    <x v="8"/>
    <x v="2"/>
    <x v="2"/>
  </r>
  <r>
    <s v="AX20171"/>
    <s v="ENX2056"/>
    <s v="A112"/>
    <s v="EMP1015"/>
    <s v="C1273"/>
    <x v="431"/>
    <n v="1"/>
    <n v="1635"/>
    <n v="1046"/>
    <n v="1046"/>
    <n v="1635"/>
    <n v="589"/>
    <s v="Product 57"/>
    <x v="66"/>
    <s v="Justin Lynch"/>
    <x v="469"/>
    <n v="4"/>
    <x v="3"/>
    <x v="8"/>
    <x v="8"/>
    <x v="2"/>
    <x v="2"/>
  </r>
  <r>
    <s v="AX20185"/>
    <s v="ENX2009"/>
    <s v="A114"/>
    <s v="EMP1023"/>
    <s v="C1143"/>
    <x v="431"/>
    <n v="2"/>
    <n v="584"/>
    <n v="420"/>
    <n v="840"/>
    <n v="1168"/>
    <n v="328"/>
    <s v="Product 10"/>
    <x v="28"/>
    <s v="Brian Davis"/>
    <x v="557"/>
    <n v="4"/>
    <x v="3"/>
    <x v="8"/>
    <x v="8"/>
    <x v="2"/>
    <x v="2"/>
  </r>
  <r>
    <s v="AX20445"/>
    <s v="ENX2037"/>
    <s v="A117"/>
    <s v="EMP1015"/>
    <s v="C1207"/>
    <x v="432"/>
    <n v="3"/>
    <n v="880"/>
    <n v="634"/>
    <n v="1902"/>
    <n v="2640"/>
    <n v="738"/>
    <s v="Product 38"/>
    <x v="29"/>
    <s v="Justin Lynch"/>
    <x v="694"/>
    <n v="4"/>
    <x v="3"/>
    <x v="8"/>
    <x v="8"/>
    <x v="2"/>
    <x v="2"/>
  </r>
  <r>
    <s v="AX20462"/>
    <s v="ENX2100"/>
    <s v="A166"/>
    <s v="EMP1031"/>
    <s v="C1072"/>
    <x v="430"/>
    <n v="1"/>
    <n v="799"/>
    <n v="455"/>
    <n v="455"/>
    <n v="799"/>
    <n v="344"/>
    <s v="Product 101"/>
    <x v="70"/>
    <s v="Brian Thomas"/>
    <x v="529"/>
    <n v="4"/>
    <x v="3"/>
    <x v="8"/>
    <x v="8"/>
    <x v="2"/>
    <x v="2"/>
  </r>
  <r>
    <s v="AX20725"/>
    <s v="ENX2095"/>
    <s v="A108"/>
    <s v="EMP1016"/>
    <s v="C1184"/>
    <x v="431"/>
    <n v="2"/>
    <n v="1743"/>
    <n v="872"/>
    <n v="1744"/>
    <n v="3486"/>
    <n v="1742"/>
    <s v="Product 96"/>
    <x v="49"/>
    <s v="Henry Nelson"/>
    <x v="707"/>
    <n v="4"/>
    <x v="3"/>
    <x v="8"/>
    <x v="8"/>
    <x v="2"/>
    <x v="2"/>
  </r>
  <r>
    <s v="AX20923"/>
    <s v="ENX2011"/>
    <s v="A103"/>
    <s v="EMP1008"/>
    <s v="C1222"/>
    <x v="429"/>
    <n v="1"/>
    <n v="530"/>
    <n v="435"/>
    <n v="435"/>
    <n v="530"/>
    <n v="95"/>
    <s v="Product 12"/>
    <x v="61"/>
    <s v="Carl Elliott"/>
    <x v="691"/>
    <n v="4"/>
    <x v="3"/>
    <x v="8"/>
    <x v="8"/>
    <x v="2"/>
    <x v="2"/>
  </r>
  <r>
    <s v="AX21484"/>
    <s v="ENX2065"/>
    <s v="A146"/>
    <s v="EMP1028"/>
    <s v="C1192"/>
    <x v="430"/>
    <n v="3"/>
    <n v="2396"/>
    <n v="1965"/>
    <n v="5895"/>
    <n v="7188"/>
    <n v="1293"/>
    <s v="Product 66"/>
    <x v="27"/>
    <s v="Howard Sims"/>
    <x v="746"/>
    <n v="4"/>
    <x v="3"/>
    <x v="8"/>
    <x v="8"/>
    <x v="2"/>
    <x v="2"/>
  </r>
  <r>
    <s v="AX21501"/>
    <s v="ENX2030"/>
    <s v="A121"/>
    <s v="EMP1037"/>
    <s v="C1237"/>
    <x v="429"/>
    <n v="2"/>
    <n v="1899"/>
    <n v="1044"/>
    <n v="2088"/>
    <n v="3798"/>
    <n v="1710"/>
    <s v="Product 31"/>
    <x v="72"/>
    <s v="Carl Hall"/>
    <x v="484"/>
    <n v="4"/>
    <x v="3"/>
    <x v="8"/>
    <x v="8"/>
    <x v="2"/>
    <x v="2"/>
  </r>
  <r>
    <s v="AX21832"/>
    <s v="ENX2097"/>
    <s v="A117"/>
    <s v="EMP1024"/>
    <s v="C1769"/>
    <x v="429"/>
    <n v="3"/>
    <n v="1052"/>
    <n v="589"/>
    <n v="1767"/>
    <n v="3156"/>
    <n v="1389"/>
    <s v="Product 98"/>
    <x v="29"/>
    <s v="Ernest Wheeler"/>
    <x v="269"/>
    <n v="4"/>
    <x v="3"/>
    <x v="8"/>
    <x v="8"/>
    <x v="2"/>
    <x v="2"/>
  </r>
  <r>
    <s v="AX21985"/>
    <s v="ENX2073"/>
    <s v="A135"/>
    <s v="EMP1041"/>
    <s v="C1563"/>
    <x v="431"/>
    <n v="3"/>
    <n v="95"/>
    <n v="61"/>
    <n v="183"/>
    <n v="285"/>
    <n v="102"/>
    <s v="Product 74"/>
    <x v="10"/>
    <s v="Joe Sims"/>
    <x v="130"/>
    <n v="4"/>
    <x v="3"/>
    <x v="8"/>
    <x v="8"/>
    <x v="2"/>
    <x v="2"/>
  </r>
  <r>
    <s v="AX22111"/>
    <s v="ENX2040"/>
    <s v="A109"/>
    <s v="EMP1028"/>
    <s v="C1607"/>
    <x v="431"/>
    <n v="3"/>
    <n v="1889"/>
    <n v="945"/>
    <n v="2835"/>
    <n v="5667"/>
    <n v="2832"/>
    <s v="Product 41"/>
    <x v="57"/>
    <s v="Howard Sims"/>
    <x v="211"/>
    <n v="4"/>
    <x v="3"/>
    <x v="8"/>
    <x v="8"/>
    <x v="2"/>
    <x v="2"/>
  </r>
  <r>
    <s v="AX22582"/>
    <s v="ENX2100"/>
    <s v="A126"/>
    <s v="EMP1023"/>
    <s v="C1482"/>
    <x v="431"/>
    <n v="2"/>
    <n v="799"/>
    <n v="455"/>
    <n v="910"/>
    <n v="1598"/>
    <n v="688"/>
    <s v="Product 101"/>
    <x v="5"/>
    <s v="Brian Davis"/>
    <x v="155"/>
    <n v="4"/>
    <x v="3"/>
    <x v="8"/>
    <x v="8"/>
    <x v="2"/>
    <x v="2"/>
  </r>
  <r>
    <s v="AX23322"/>
    <s v="ENX2060"/>
    <s v="A110"/>
    <s v="EMP1038"/>
    <s v="C1217"/>
    <x v="432"/>
    <n v="1"/>
    <n v="1467"/>
    <n v="807"/>
    <n v="807"/>
    <n v="1467"/>
    <n v="660"/>
    <s v="Product 61"/>
    <x v="63"/>
    <s v="Scott Mason"/>
    <x v="619"/>
    <n v="4"/>
    <x v="3"/>
    <x v="8"/>
    <x v="8"/>
    <x v="2"/>
    <x v="2"/>
  </r>
  <r>
    <s v="AX23489"/>
    <s v="ENX2060"/>
    <s v="A172"/>
    <s v="EMP1027"/>
    <s v="C1138"/>
    <x v="429"/>
    <n v="1"/>
    <n v="1467"/>
    <n v="807"/>
    <n v="807"/>
    <n v="1467"/>
    <n v="660"/>
    <s v="Product 61"/>
    <x v="36"/>
    <s v="Gary Rodriguez"/>
    <x v="325"/>
    <n v="4"/>
    <x v="3"/>
    <x v="8"/>
    <x v="8"/>
    <x v="2"/>
    <x v="2"/>
  </r>
  <r>
    <s v="AX23837"/>
    <s v="ENX2067"/>
    <s v="A153"/>
    <s v="EMP1003"/>
    <s v="C1346"/>
    <x v="430"/>
    <n v="1"/>
    <n v="1119"/>
    <n v="683"/>
    <n v="683"/>
    <n v="1119"/>
    <n v="436"/>
    <s v="Product 68"/>
    <x v="8"/>
    <s v="Christopher Tucker"/>
    <x v="340"/>
    <n v="4"/>
    <x v="3"/>
    <x v="8"/>
    <x v="8"/>
    <x v="2"/>
    <x v="2"/>
  </r>
  <r>
    <s v="AX23976"/>
    <s v="ENX2073"/>
    <s v="A164"/>
    <s v="EMP1021"/>
    <s v="C1476"/>
    <x v="432"/>
    <n v="3"/>
    <n v="95"/>
    <n v="61"/>
    <n v="183"/>
    <n v="285"/>
    <n v="102"/>
    <s v="Product 74"/>
    <x v="3"/>
    <s v="Clarence Fox"/>
    <x v="207"/>
    <n v="4"/>
    <x v="3"/>
    <x v="8"/>
    <x v="8"/>
    <x v="2"/>
    <x v="2"/>
  </r>
  <r>
    <s v="AX24030"/>
    <s v="ENX2044"/>
    <s v="A165"/>
    <s v="EMP1009"/>
    <s v="C1388"/>
    <x v="430"/>
    <n v="4"/>
    <n v="886"/>
    <n v="478"/>
    <n v="1912"/>
    <n v="3544"/>
    <n v="1632"/>
    <s v="Product 45"/>
    <x v="55"/>
    <s v="Kenneth Fields"/>
    <x v="120"/>
    <n v="4"/>
    <x v="3"/>
    <x v="8"/>
    <x v="8"/>
    <x v="2"/>
    <x v="2"/>
  </r>
  <r>
    <s v="AX24141"/>
    <s v="ENX2014"/>
    <s v="A108"/>
    <s v="EMP1017"/>
    <s v="C1601"/>
    <x v="429"/>
    <n v="1"/>
    <n v="1809"/>
    <n v="1067"/>
    <n v="1067"/>
    <n v="1809"/>
    <n v="742"/>
    <s v="Product 15"/>
    <x v="49"/>
    <s v="Brian Hansen"/>
    <x v="324"/>
    <n v="4"/>
    <x v="3"/>
    <x v="8"/>
    <x v="8"/>
    <x v="2"/>
    <x v="2"/>
  </r>
  <r>
    <s v="AX24216"/>
    <s v="ENX2050"/>
    <s v="A137"/>
    <s v="EMP1018"/>
    <s v="C1211"/>
    <x v="429"/>
    <n v="2"/>
    <n v="2391"/>
    <n v="1291"/>
    <n v="2582"/>
    <n v="4782"/>
    <n v="2200"/>
    <s v="Product 51"/>
    <x v="68"/>
    <s v="Jimmy Young"/>
    <x v="137"/>
    <n v="4"/>
    <x v="3"/>
    <x v="8"/>
    <x v="8"/>
    <x v="2"/>
    <x v="2"/>
  </r>
  <r>
    <s v="AX24720"/>
    <s v="ENX2023"/>
    <s v="A145"/>
    <s v="EMP1020"/>
    <s v="C1542"/>
    <x v="429"/>
    <n v="4"/>
    <n v="818"/>
    <n v="450"/>
    <n v="1800"/>
    <n v="3272"/>
    <n v="1472"/>
    <s v="Product 24"/>
    <x v="35"/>
    <s v="Ryan Butler"/>
    <x v="712"/>
    <n v="4"/>
    <x v="3"/>
    <x v="8"/>
    <x v="8"/>
    <x v="2"/>
    <x v="2"/>
  </r>
  <r>
    <s v="AX24960"/>
    <s v="ENX2049"/>
    <s v="A153"/>
    <s v="EMP1022"/>
    <s v="C1593"/>
    <x v="431"/>
    <n v="4"/>
    <n v="826"/>
    <n v="562"/>
    <n v="2248"/>
    <n v="3304"/>
    <n v="1056"/>
    <s v="Product 50"/>
    <x v="8"/>
    <s v="Walter Cook"/>
    <x v="25"/>
    <n v="4"/>
    <x v="3"/>
    <x v="8"/>
    <x v="8"/>
    <x v="2"/>
    <x v="2"/>
  </r>
  <r>
    <s v="AX10543"/>
    <s v="ENX2034"/>
    <s v="A115"/>
    <s v="EMP1038"/>
    <s v="C1786"/>
    <x v="433"/>
    <n v="1"/>
    <n v="871"/>
    <n v="540"/>
    <n v="540"/>
    <n v="871"/>
    <n v="331"/>
    <s v="Product 35"/>
    <x v="33"/>
    <s v="Scott Mason"/>
    <x v="406"/>
    <n v="4"/>
    <x v="3"/>
    <x v="9"/>
    <x v="9"/>
    <x v="3"/>
    <x v="0"/>
  </r>
  <r>
    <s v="AX11684"/>
    <s v="ENX2049"/>
    <s v="A144"/>
    <s v="EMP1017"/>
    <s v="C1216"/>
    <x v="434"/>
    <n v="3"/>
    <n v="826"/>
    <n v="562"/>
    <n v="1686"/>
    <n v="2478"/>
    <n v="792"/>
    <s v="Product 50"/>
    <x v="65"/>
    <s v="Brian Hansen"/>
    <x v="580"/>
    <n v="4"/>
    <x v="3"/>
    <x v="9"/>
    <x v="9"/>
    <x v="3"/>
    <x v="0"/>
  </r>
  <r>
    <s v="AX11858"/>
    <s v="ENX2087"/>
    <s v="A168"/>
    <s v="EMP1034"/>
    <s v="C1654"/>
    <x v="435"/>
    <n v="4"/>
    <n v="1022"/>
    <n v="818"/>
    <n v="3272"/>
    <n v="4088"/>
    <n v="816"/>
    <s v="Product 88"/>
    <x v="40"/>
    <s v="Arthur Mccoy"/>
    <x v="351"/>
    <n v="4"/>
    <x v="3"/>
    <x v="9"/>
    <x v="9"/>
    <x v="3"/>
    <x v="0"/>
  </r>
  <r>
    <s v="AX12071"/>
    <s v="ENX2052"/>
    <s v="A145"/>
    <s v="EMP1035"/>
    <s v="C1037"/>
    <x v="433"/>
    <n v="3"/>
    <n v="1526"/>
    <n v="1251"/>
    <n v="3753"/>
    <n v="4578"/>
    <n v="825"/>
    <s v="Product 53"/>
    <x v="35"/>
    <s v="Roger Ramos"/>
    <x v="779"/>
    <n v="4"/>
    <x v="3"/>
    <x v="9"/>
    <x v="9"/>
    <x v="3"/>
    <x v="0"/>
  </r>
  <r>
    <s v="AX12226"/>
    <s v="ENX2014"/>
    <s v="A119"/>
    <s v="EMP1004"/>
    <s v="C1244"/>
    <x v="433"/>
    <n v="4"/>
    <n v="1809"/>
    <n v="1067"/>
    <n v="4268"/>
    <n v="7236"/>
    <n v="2968"/>
    <s v="Product 15"/>
    <x v="16"/>
    <s v="Kenneth Bradley"/>
    <x v="381"/>
    <n v="4"/>
    <x v="3"/>
    <x v="9"/>
    <x v="9"/>
    <x v="3"/>
    <x v="0"/>
  </r>
  <r>
    <s v="AX12353"/>
    <s v="ENX2049"/>
    <s v="A102"/>
    <s v="EMP1018"/>
    <s v="C1727"/>
    <x v="436"/>
    <n v="1"/>
    <n v="826"/>
    <n v="562"/>
    <n v="562"/>
    <n v="826"/>
    <n v="264"/>
    <s v="Product 50"/>
    <x v="44"/>
    <s v="Jimmy Young"/>
    <x v="581"/>
    <n v="4"/>
    <x v="3"/>
    <x v="9"/>
    <x v="9"/>
    <x v="3"/>
    <x v="0"/>
  </r>
  <r>
    <s v="AX12857"/>
    <s v="ENX2051"/>
    <s v="A123"/>
    <s v="EMP1002"/>
    <s v="C1608"/>
    <x v="437"/>
    <n v="1"/>
    <n v="1077"/>
    <n v="732"/>
    <n v="732"/>
    <n v="1077"/>
    <n v="345"/>
    <s v="Product 52"/>
    <x v="34"/>
    <s v="Andrew Bowman"/>
    <x v="463"/>
    <n v="4"/>
    <x v="3"/>
    <x v="9"/>
    <x v="9"/>
    <x v="3"/>
    <x v="0"/>
  </r>
  <r>
    <s v="AX12872"/>
    <s v="ENX2087"/>
    <s v="A129"/>
    <s v="EMP1013"/>
    <s v="C1701"/>
    <x v="433"/>
    <n v="3"/>
    <n v="1022"/>
    <n v="818"/>
    <n v="2454"/>
    <n v="3066"/>
    <n v="612"/>
    <s v="Product 88"/>
    <x v="22"/>
    <s v="Charles Harper"/>
    <x v="736"/>
    <n v="4"/>
    <x v="3"/>
    <x v="9"/>
    <x v="9"/>
    <x v="3"/>
    <x v="0"/>
  </r>
  <r>
    <s v="AX13525"/>
    <s v="ENX2005"/>
    <s v="A114"/>
    <s v="EMP1041"/>
    <s v="C1029"/>
    <x v="434"/>
    <n v="3"/>
    <n v="684"/>
    <n v="561"/>
    <n v="1683"/>
    <n v="2052"/>
    <n v="369"/>
    <s v="Product 6"/>
    <x v="28"/>
    <s v="Joe Sims"/>
    <x v="601"/>
    <n v="4"/>
    <x v="3"/>
    <x v="9"/>
    <x v="9"/>
    <x v="3"/>
    <x v="0"/>
  </r>
  <r>
    <s v="AX14262"/>
    <s v="ENX2069"/>
    <s v="A159"/>
    <s v="EMP1043"/>
    <s v="C1276"/>
    <x v="435"/>
    <n v="1"/>
    <n v="378"/>
    <n v="291"/>
    <n v="291"/>
    <n v="378"/>
    <n v="87"/>
    <s v="Product 70"/>
    <x v="13"/>
    <s v="Joshua Taylor"/>
    <x v="773"/>
    <n v="4"/>
    <x v="3"/>
    <x v="9"/>
    <x v="9"/>
    <x v="3"/>
    <x v="0"/>
  </r>
  <r>
    <s v="AX14427"/>
    <s v="ENX2100"/>
    <s v="A116"/>
    <s v="EMP1002"/>
    <s v="C1142"/>
    <x v="433"/>
    <n v="1"/>
    <n v="799"/>
    <n v="455"/>
    <n v="455"/>
    <n v="799"/>
    <n v="344"/>
    <s v="Product 101"/>
    <x v="15"/>
    <s v="Andrew Bowman"/>
    <x v="731"/>
    <n v="4"/>
    <x v="3"/>
    <x v="9"/>
    <x v="9"/>
    <x v="3"/>
    <x v="0"/>
  </r>
  <r>
    <s v="AX15214"/>
    <s v="ENX2045"/>
    <s v="A161"/>
    <s v="EMP1041"/>
    <s v="C1607"/>
    <x v="434"/>
    <n v="3"/>
    <n v="556"/>
    <n v="395"/>
    <n v="1185"/>
    <n v="1668"/>
    <n v="483"/>
    <s v="Product 46"/>
    <x v="6"/>
    <s v="Joe Sims"/>
    <x v="211"/>
    <n v="4"/>
    <x v="3"/>
    <x v="9"/>
    <x v="9"/>
    <x v="3"/>
    <x v="0"/>
  </r>
  <r>
    <s v="AX15261"/>
    <s v="ENX2017"/>
    <s v="A131"/>
    <s v="EMP1000"/>
    <s v="C1019"/>
    <x v="433"/>
    <n v="1"/>
    <n v="35"/>
    <n v="22"/>
    <n v="22"/>
    <n v="35"/>
    <n v="13"/>
    <s v="Product 18"/>
    <x v="32"/>
    <s v="Fred Robertson"/>
    <x v="503"/>
    <n v="4"/>
    <x v="3"/>
    <x v="9"/>
    <x v="9"/>
    <x v="3"/>
    <x v="0"/>
  </r>
  <r>
    <s v="AX16256"/>
    <s v="ENX2042"/>
    <s v="A144"/>
    <s v="EMP1000"/>
    <s v="C1115"/>
    <x v="435"/>
    <n v="1"/>
    <n v="203"/>
    <n v="154"/>
    <n v="154"/>
    <n v="203"/>
    <n v="49"/>
    <s v="Product 43"/>
    <x v="65"/>
    <s v="Fred Robertson"/>
    <x v="338"/>
    <n v="4"/>
    <x v="3"/>
    <x v="9"/>
    <x v="9"/>
    <x v="3"/>
    <x v="0"/>
  </r>
  <r>
    <s v="AX16616"/>
    <s v="ENX2028"/>
    <s v="A107"/>
    <s v="EMP1040"/>
    <s v="C1024"/>
    <x v="434"/>
    <n v="4"/>
    <n v="2283"/>
    <n v="1484"/>
    <n v="5936"/>
    <n v="9132"/>
    <n v="3196"/>
    <s v="Product 29"/>
    <x v="21"/>
    <s v="Patrick Ruiz"/>
    <x v="599"/>
    <n v="4"/>
    <x v="3"/>
    <x v="9"/>
    <x v="9"/>
    <x v="3"/>
    <x v="0"/>
  </r>
  <r>
    <s v="AX16728"/>
    <s v="ENX2074"/>
    <s v="A100"/>
    <s v="EMP1017"/>
    <s v="C1340"/>
    <x v="434"/>
    <n v="3"/>
    <n v="504"/>
    <n v="408"/>
    <n v="1224"/>
    <n v="1512"/>
    <n v="288"/>
    <s v="Product 75"/>
    <x v="52"/>
    <s v="Brian Hansen"/>
    <x v="433"/>
    <n v="4"/>
    <x v="3"/>
    <x v="9"/>
    <x v="9"/>
    <x v="3"/>
    <x v="0"/>
  </r>
  <r>
    <s v="AX17152"/>
    <s v="ENX2037"/>
    <s v="A171"/>
    <s v="EMP1038"/>
    <s v="C1782"/>
    <x v="433"/>
    <n v="1"/>
    <n v="880"/>
    <n v="634"/>
    <n v="634"/>
    <n v="880"/>
    <n v="246"/>
    <s v="Product 38"/>
    <x v="0"/>
    <s v="Scott Mason"/>
    <x v="607"/>
    <n v="4"/>
    <x v="3"/>
    <x v="9"/>
    <x v="9"/>
    <x v="3"/>
    <x v="0"/>
  </r>
  <r>
    <s v="AX17661"/>
    <s v="ENX2055"/>
    <s v="A138"/>
    <s v="EMP1006"/>
    <s v="C1107"/>
    <x v="433"/>
    <n v="3"/>
    <n v="2495"/>
    <n v="1896"/>
    <n v="5688"/>
    <n v="7485"/>
    <n v="1797"/>
    <s v="Product 56"/>
    <x v="37"/>
    <s v="Sean Miller"/>
    <x v="278"/>
    <n v="4"/>
    <x v="3"/>
    <x v="9"/>
    <x v="9"/>
    <x v="3"/>
    <x v="0"/>
  </r>
  <r>
    <s v="AX17684"/>
    <s v="ENX2009"/>
    <s v="A147"/>
    <s v="EMP1002"/>
    <s v="C1764"/>
    <x v="435"/>
    <n v="4"/>
    <n v="584"/>
    <n v="420"/>
    <n v="1680"/>
    <n v="2336"/>
    <n v="656"/>
    <s v="Product 10"/>
    <x v="42"/>
    <s v="Andrew Bowman"/>
    <x v="386"/>
    <n v="4"/>
    <x v="3"/>
    <x v="9"/>
    <x v="9"/>
    <x v="3"/>
    <x v="0"/>
  </r>
  <r>
    <s v="AX17758"/>
    <s v="ENX2082"/>
    <s v="A136"/>
    <s v="EMP1012"/>
    <s v="C1107"/>
    <x v="435"/>
    <n v="1"/>
    <n v="1103"/>
    <n v="838"/>
    <n v="838"/>
    <n v="1103"/>
    <n v="265"/>
    <s v="Product 83"/>
    <x v="43"/>
    <s v="John Reyes"/>
    <x v="278"/>
    <n v="4"/>
    <x v="3"/>
    <x v="9"/>
    <x v="9"/>
    <x v="3"/>
    <x v="0"/>
  </r>
  <r>
    <s v="AX18446"/>
    <s v="ENX2002"/>
    <s v="A157"/>
    <s v="EMP1036"/>
    <s v="C1061"/>
    <x v="436"/>
    <n v="3"/>
    <n v="847"/>
    <n v="534"/>
    <n v="1602"/>
    <n v="2541"/>
    <n v="939"/>
    <s v="Product 3"/>
    <x v="7"/>
    <s v="Robert Reed"/>
    <x v="228"/>
    <n v="4"/>
    <x v="3"/>
    <x v="9"/>
    <x v="9"/>
    <x v="3"/>
    <x v="0"/>
  </r>
  <r>
    <s v="AX19095"/>
    <s v="ENX2091"/>
    <s v="A171"/>
    <s v="EMP1001"/>
    <s v="C1298"/>
    <x v="436"/>
    <n v="3"/>
    <n v="368"/>
    <n v="294"/>
    <n v="882"/>
    <n v="1104"/>
    <n v="222"/>
    <s v="Product 92"/>
    <x v="0"/>
    <s v="Kevin Butler"/>
    <x v="623"/>
    <n v="4"/>
    <x v="3"/>
    <x v="9"/>
    <x v="9"/>
    <x v="3"/>
    <x v="0"/>
  </r>
  <r>
    <s v="AX19434"/>
    <s v="ENX2015"/>
    <s v="A130"/>
    <s v="EMP1032"/>
    <s v="C1498"/>
    <x v="435"/>
    <n v="2"/>
    <n v="637"/>
    <n v="389"/>
    <n v="778"/>
    <n v="1274"/>
    <n v="496"/>
    <s v="Product 16"/>
    <x v="4"/>
    <s v="Larry Castillo"/>
    <x v="10"/>
    <n v="4"/>
    <x v="3"/>
    <x v="9"/>
    <x v="9"/>
    <x v="3"/>
    <x v="0"/>
  </r>
  <r>
    <s v="AX19952"/>
    <s v="ENX2012"/>
    <s v="A122"/>
    <s v="EMP1031"/>
    <s v="C1039"/>
    <x v="433"/>
    <n v="1"/>
    <n v="1353"/>
    <n v="947"/>
    <n v="947"/>
    <n v="1353"/>
    <n v="406"/>
    <s v="Product 13"/>
    <x v="71"/>
    <s v="Brian Thomas"/>
    <x v="574"/>
    <n v="4"/>
    <x v="3"/>
    <x v="9"/>
    <x v="9"/>
    <x v="3"/>
    <x v="0"/>
  </r>
  <r>
    <s v="AX20250"/>
    <s v="ENX2088"/>
    <s v="A141"/>
    <s v="EMP1010"/>
    <s v="C1339"/>
    <x v="437"/>
    <n v="2"/>
    <n v="603"/>
    <n v="416"/>
    <n v="832"/>
    <n v="1206"/>
    <n v="374"/>
    <s v="Product 89"/>
    <x v="23"/>
    <s v="Joshua Cook"/>
    <x v="401"/>
    <n v="4"/>
    <x v="3"/>
    <x v="9"/>
    <x v="9"/>
    <x v="3"/>
    <x v="0"/>
  </r>
  <r>
    <s v="AX20259"/>
    <s v="ENX2076"/>
    <s v="A116"/>
    <s v="EMP1010"/>
    <s v="C1455"/>
    <x v="433"/>
    <n v="1"/>
    <n v="1522"/>
    <n v="791"/>
    <n v="791"/>
    <n v="1522"/>
    <n v="731"/>
    <s v="Product 77"/>
    <x v="15"/>
    <s v="Joshua Cook"/>
    <x v="47"/>
    <n v="4"/>
    <x v="3"/>
    <x v="9"/>
    <x v="9"/>
    <x v="3"/>
    <x v="0"/>
  </r>
  <r>
    <s v="AX20484"/>
    <s v="ENX2039"/>
    <s v="A122"/>
    <s v="EMP1014"/>
    <s v="C1292"/>
    <x v="435"/>
    <n v="4"/>
    <n v="817"/>
    <n v="409"/>
    <n v="1636"/>
    <n v="3268"/>
    <n v="1632"/>
    <s v="Product 40"/>
    <x v="71"/>
    <s v="Ronald Reed"/>
    <x v="333"/>
    <n v="4"/>
    <x v="3"/>
    <x v="9"/>
    <x v="9"/>
    <x v="3"/>
    <x v="0"/>
  </r>
  <r>
    <s v="AX20491"/>
    <s v="ENX2018"/>
    <s v="A149"/>
    <s v="EMP1027"/>
    <s v="C1074"/>
    <x v="436"/>
    <n v="1"/>
    <n v="1972"/>
    <n v="1321"/>
    <n v="1321"/>
    <n v="1972"/>
    <n v="651"/>
    <s v="Product 19"/>
    <x v="59"/>
    <s v="Gary Rodriguez"/>
    <x v="96"/>
    <n v="4"/>
    <x v="3"/>
    <x v="9"/>
    <x v="9"/>
    <x v="3"/>
    <x v="0"/>
  </r>
  <r>
    <s v="AX21432"/>
    <s v="ENX2044"/>
    <s v="A159"/>
    <s v="EMP1036"/>
    <s v="C1008"/>
    <x v="433"/>
    <n v="1"/>
    <n v="886"/>
    <n v="478"/>
    <n v="478"/>
    <n v="886"/>
    <n v="408"/>
    <s v="Product 45"/>
    <x v="13"/>
    <s v="Robert Reed"/>
    <x v="796"/>
    <n v="4"/>
    <x v="3"/>
    <x v="9"/>
    <x v="9"/>
    <x v="3"/>
    <x v="0"/>
  </r>
  <r>
    <s v="AX21657"/>
    <s v="ENX2052"/>
    <s v="A154"/>
    <s v="EMP1039"/>
    <s v="C1657"/>
    <x v="437"/>
    <n v="2"/>
    <n v="1526"/>
    <n v="1251"/>
    <n v="2502"/>
    <n v="3052"/>
    <n v="550"/>
    <s v="Product 53"/>
    <x v="24"/>
    <s v="Eugene Holmes"/>
    <x v="361"/>
    <n v="4"/>
    <x v="3"/>
    <x v="9"/>
    <x v="9"/>
    <x v="3"/>
    <x v="0"/>
  </r>
  <r>
    <s v="AX21820"/>
    <s v="ENX2091"/>
    <s v="A101"/>
    <s v="EMP1016"/>
    <s v="C1611"/>
    <x v="435"/>
    <n v="1"/>
    <n v="368"/>
    <n v="294"/>
    <n v="294"/>
    <n v="368"/>
    <n v="74"/>
    <s v="Product 92"/>
    <x v="60"/>
    <s v="Henry Nelson"/>
    <x v="306"/>
    <n v="4"/>
    <x v="3"/>
    <x v="9"/>
    <x v="9"/>
    <x v="3"/>
    <x v="0"/>
  </r>
  <r>
    <s v="AX22267"/>
    <s v="ENX2097"/>
    <s v="A123"/>
    <s v="EMP1015"/>
    <s v="C1093"/>
    <x v="436"/>
    <n v="3"/>
    <n v="1052"/>
    <n v="589"/>
    <n v="1767"/>
    <n v="3156"/>
    <n v="1389"/>
    <s v="Product 98"/>
    <x v="34"/>
    <s v="Justin Lynch"/>
    <x v="290"/>
    <n v="4"/>
    <x v="3"/>
    <x v="9"/>
    <x v="9"/>
    <x v="3"/>
    <x v="0"/>
  </r>
  <r>
    <s v="AX22414"/>
    <s v="ENX2006"/>
    <s v="A141"/>
    <s v="EMP1001"/>
    <s v="C1256"/>
    <x v="436"/>
    <n v="3"/>
    <n v="1826"/>
    <n v="1443"/>
    <n v="4329"/>
    <n v="5478"/>
    <n v="1149"/>
    <s v="Product 7"/>
    <x v="23"/>
    <s v="Kevin Butler"/>
    <x v="524"/>
    <n v="4"/>
    <x v="3"/>
    <x v="9"/>
    <x v="9"/>
    <x v="3"/>
    <x v="0"/>
  </r>
  <r>
    <s v="AX22434"/>
    <s v="ENX2029"/>
    <s v="A134"/>
    <s v="EMP1031"/>
    <s v="C1186"/>
    <x v="433"/>
    <n v="4"/>
    <n v="1848"/>
    <n v="1294"/>
    <n v="5176"/>
    <n v="7392"/>
    <n v="2216"/>
    <s v="Product 30"/>
    <x v="41"/>
    <s v="Brian Thomas"/>
    <x v="467"/>
    <n v="4"/>
    <x v="3"/>
    <x v="9"/>
    <x v="9"/>
    <x v="3"/>
    <x v="0"/>
  </r>
  <r>
    <s v="AX22597"/>
    <s v="ENX2100"/>
    <s v="A126"/>
    <s v="EMP1017"/>
    <s v="C1579"/>
    <x v="433"/>
    <n v="3"/>
    <n v="799"/>
    <n v="455"/>
    <n v="1365"/>
    <n v="2397"/>
    <n v="1032"/>
    <s v="Product 101"/>
    <x v="5"/>
    <s v="Brian Hansen"/>
    <x v="422"/>
    <n v="4"/>
    <x v="3"/>
    <x v="9"/>
    <x v="9"/>
    <x v="3"/>
    <x v="0"/>
  </r>
  <r>
    <s v="AX23085"/>
    <s v="ENX2040"/>
    <s v="A102"/>
    <s v="EMP1013"/>
    <s v="C1639"/>
    <x v="434"/>
    <n v="1"/>
    <n v="1889"/>
    <n v="945"/>
    <n v="945"/>
    <n v="1889"/>
    <n v="944"/>
    <s v="Product 41"/>
    <x v="44"/>
    <s v="Charles Harper"/>
    <x v="30"/>
    <n v="4"/>
    <x v="3"/>
    <x v="9"/>
    <x v="9"/>
    <x v="3"/>
    <x v="0"/>
  </r>
  <r>
    <s v="AX23369"/>
    <s v="ENX2043"/>
    <s v="A130"/>
    <s v="EMP1042"/>
    <s v="C1208"/>
    <x v="435"/>
    <n v="4"/>
    <n v="545"/>
    <n v="425"/>
    <n v="1700"/>
    <n v="2180"/>
    <n v="480"/>
    <s v="Product 44"/>
    <x v="4"/>
    <s v="Scott Clark"/>
    <x v="582"/>
    <n v="4"/>
    <x v="3"/>
    <x v="9"/>
    <x v="9"/>
    <x v="3"/>
    <x v="0"/>
  </r>
  <r>
    <s v="AX23408"/>
    <s v="ENX2048"/>
    <s v="A110"/>
    <s v="EMP1037"/>
    <s v="C1197"/>
    <x v="434"/>
    <n v="3"/>
    <n v="502"/>
    <n v="296"/>
    <n v="888"/>
    <n v="1506"/>
    <n v="618"/>
    <s v="Product 49"/>
    <x v="63"/>
    <s v="Carl Hall"/>
    <x v="718"/>
    <n v="4"/>
    <x v="3"/>
    <x v="9"/>
    <x v="9"/>
    <x v="3"/>
    <x v="0"/>
  </r>
  <r>
    <s v="AX23474"/>
    <s v="ENX2093"/>
    <s v="A140"/>
    <s v="EMP1006"/>
    <s v="C1599"/>
    <x v="437"/>
    <n v="2"/>
    <n v="112"/>
    <n v="90"/>
    <n v="180"/>
    <n v="224"/>
    <n v="44"/>
    <s v="Product 94"/>
    <x v="18"/>
    <s v="Sean Miller"/>
    <x v="556"/>
    <n v="4"/>
    <x v="3"/>
    <x v="9"/>
    <x v="9"/>
    <x v="3"/>
    <x v="0"/>
  </r>
  <r>
    <s v="AX23643"/>
    <s v="ENX2037"/>
    <s v="A102"/>
    <s v="EMP1016"/>
    <s v="C1758"/>
    <x v="437"/>
    <n v="3"/>
    <n v="880"/>
    <n v="634"/>
    <n v="1902"/>
    <n v="2640"/>
    <n v="738"/>
    <s v="Product 38"/>
    <x v="44"/>
    <s v="Henry Nelson"/>
    <x v="329"/>
    <n v="4"/>
    <x v="3"/>
    <x v="9"/>
    <x v="9"/>
    <x v="3"/>
    <x v="0"/>
  </r>
  <r>
    <s v="AX23832"/>
    <s v="ENX2002"/>
    <s v="A105"/>
    <s v="EMP1025"/>
    <s v="C1385"/>
    <x v="433"/>
    <n v="1"/>
    <n v="847"/>
    <n v="534"/>
    <n v="534"/>
    <n v="847"/>
    <n v="313"/>
    <s v="Product 3"/>
    <x v="45"/>
    <s v="Ernest Wagner"/>
    <x v="523"/>
    <n v="4"/>
    <x v="3"/>
    <x v="9"/>
    <x v="9"/>
    <x v="3"/>
    <x v="0"/>
  </r>
  <r>
    <s v="AX24447"/>
    <s v="ENX2027"/>
    <s v="A125"/>
    <s v="EMP1037"/>
    <s v="C1022"/>
    <x v="435"/>
    <n v="2"/>
    <n v="2497"/>
    <n v="1473"/>
    <n v="2946"/>
    <n v="4994"/>
    <n v="2048"/>
    <s v="Product 28"/>
    <x v="31"/>
    <s v="Carl Hall"/>
    <x v="249"/>
    <n v="4"/>
    <x v="3"/>
    <x v="9"/>
    <x v="9"/>
    <x v="3"/>
    <x v="0"/>
  </r>
  <r>
    <s v="AX24776"/>
    <s v="ENX2094"/>
    <s v="A108"/>
    <s v="EMP1016"/>
    <s v="C1034"/>
    <x v="434"/>
    <n v="4"/>
    <n v="771"/>
    <n v="648"/>
    <n v="2592"/>
    <n v="3084"/>
    <n v="492"/>
    <s v="Product 95"/>
    <x v="49"/>
    <s v="Henry Nelson"/>
    <x v="704"/>
    <n v="4"/>
    <x v="3"/>
    <x v="9"/>
    <x v="9"/>
    <x v="3"/>
    <x v="0"/>
  </r>
  <r>
    <s v="AX24964"/>
    <s v="ENX2064"/>
    <s v="A152"/>
    <s v="EMP1028"/>
    <s v="C1233"/>
    <x v="437"/>
    <n v="3"/>
    <n v="1414"/>
    <n v="962"/>
    <n v="2886"/>
    <n v="4242"/>
    <n v="1356"/>
    <s v="Product 65"/>
    <x v="26"/>
    <s v="Howard Sims"/>
    <x v="396"/>
    <n v="4"/>
    <x v="3"/>
    <x v="9"/>
    <x v="9"/>
    <x v="3"/>
    <x v="0"/>
  </r>
  <r>
    <s v="AX10185"/>
    <s v="ENX2048"/>
    <s v="A150"/>
    <s v="EMP1005"/>
    <s v="C1329"/>
    <x v="438"/>
    <n v="2"/>
    <n v="502"/>
    <n v="296"/>
    <n v="592"/>
    <n v="1004"/>
    <n v="412"/>
    <s v="Product 49"/>
    <x v="30"/>
    <s v="Ryan Welch"/>
    <x v="244"/>
    <n v="4"/>
    <x v="3"/>
    <x v="9"/>
    <x v="9"/>
    <x v="3"/>
    <x v="2"/>
  </r>
  <r>
    <s v="AX10466"/>
    <s v="ENX2029"/>
    <s v="A154"/>
    <s v="EMP1022"/>
    <s v="C1126"/>
    <x v="439"/>
    <n v="2"/>
    <n v="1848"/>
    <n v="1294"/>
    <n v="2588"/>
    <n v="3696"/>
    <n v="1108"/>
    <s v="Product 30"/>
    <x v="24"/>
    <s v="Walter Cook"/>
    <x v="374"/>
    <n v="4"/>
    <x v="3"/>
    <x v="9"/>
    <x v="9"/>
    <x v="3"/>
    <x v="2"/>
  </r>
  <r>
    <s v="AX10735"/>
    <s v="ENX2059"/>
    <s v="A148"/>
    <s v="EMP1005"/>
    <s v="C1793"/>
    <x v="438"/>
    <n v="3"/>
    <n v="1494"/>
    <n v="971"/>
    <n v="2913"/>
    <n v="4482"/>
    <n v="1569"/>
    <s v="Product 60"/>
    <x v="62"/>
    <s v="Ryan Welch"/>
    <x v="677"/>
    <n v="4"/>
    <x v="3"/>
    <x v="9"/>
    <x v="9"/>
    <x v="3"/>
    <x v="2"/>
  </r>
  <r>
    <s v="AX10804"/>
    <s v="ENX2035"/>
    <s v="A146"/>
    <s v="EMP1033"/>
    <s v="C1462"/>
    <x v="438"/>
    <n v="3"/>
    <n v="458"/>
    <n v="376"/>
    <n v="1128"/>
    <n v="1374"/>
    <n v="246"/>
    <s v="Product 36"/>
    <x v="27"/>
    <s v="Jerry Perry"/>
    <x v="418"/>
    <n v="4"/>
    <x v="3"/>
    <x v="9"/>
    <x v="9"/>
    <x v="3"/>
    <x v="2"/>
  </r>
  <r>
    <s v="AX10898"/>
    <s v="ENX2019"/>
    <s v="A130"/>
    <s v="EMP1020"/>
    <s v="C1619"/>
    <x v="440"/>
    <n v="1"/>
    <n v="800"/>
    <n v="536"/>
    <n v="536"/>
    <n v="800"/>
    <n v="264"/>
    <s v="Product 20"/>
    <x v="4"/>
    <s v="Ryan Butler"/>
    <x v="77"/>
    <n v="4"/>
    <x v="3"/>
    <x v="9"/>
    <x v="9"/>
    <x v="3"/>
    <x v="2"/>
  </r>
  <r>
    <s v="AX10942"/>
    <s v="ENX2098"/>
    <s v="A134"/>
    <s v="EMP1036"/>
    <s v="C1054"/>
    <x v="441"/>
    <n v="2"/>
    <n v="1178"/>
    <n v="683"/>
    <n v="1366"/>
    <n v="2356"/>
    <n v="990"/>
    <s v="Product 99"/>
    <x v="41"/>
    <s v="Robert Reed"/>
    <x v="58"/>
    <n v="4"/>
    <x v="3"/>
    <x v="9"/>
    <x v="9"/>
    <x v="3"/>
    <x v="2"/>
  </r>
  <r>
    <s v="AX10972"/>
    <s v="ENX2071"/>
    <s v="A145"/>
    <s v="EMP1009"/>
    <s v="C1761"/>
    <x v="441"/>
    <n v="2"/>
    <n v="136"/>
    <n v="72"/>
    <n v="144"/>
    <n v="272"/>
    <n v="128"/>
    <s v="Product 72"/>
    <x v="35"/>
    <s v="Kenneth Fields"/>
    <x v="618"/>
    <n v="4"/>
    <x v="3"/>
    <x v="9"/>
    <x v="9"/>
    <x v="3"/>
    <x v="2"/>
  </r>
  <r>
    <s v="AX10983"/>
    <s v="ENX2057"/>
    <s v="A143"/>
    <s v="EMP1021"/>
    <s v="C1374"/>
    <x v="438"/>
    <n v="4"/>
    <n v="181"/>
    <n v="130"/>
    <n v="520"/>
    <n v="724"/>
    <n v="204"/>
    <s v="Product 58"/>
    <x v="39"/>
    <s v="Clarence Fox"/>
    <x v="189"/>
    <n v="4"/>
    <x v="3"/>
    <x v="9"/>
    <x v="9"/>
    <x v="3"/>
    <x v="2"/>
  </r>
  <r>
    <s v="AX11212"/>
    <s v="ENX2096"/>
    <s v="A166"/>
    <s v="EMP1015"/>
    <s v="C1589"/>
    <x v="442"/>
    <n v="3"/>
    <n v="1587"/>
    <n v="1301"/>
    <n v="3903"/>
    <n v="4761"/>
    <n v="858"/>
    <s v="Product 97"/>
    <x v="70"/>
    <s v="Justin Lynch"/>
    <x v="39"/>
    <n v="4"/>
    <x v="3"/>
    <x v="9"/>
    <x v="9"/>
    <x v="3"/>
    <x v="2"/>
  </r>
  <r>
    <s v="AX11480"/>
    <s v="ENX2045"/>
    <s v="A121"/>
    <s v="EMP1005"/>
    <s v="C1423"/>
    <x v="441"/>
    <n v="1"/>
    <n v="556"/>
    <n v="395"/>
    <n v="395"/>
    <n v="556"/>
    <n v="161"/>
    <s v="Product 46"/>
    <x v="72"/>
    <s v="Ryan Welch"/>
    <x v="182"/>
    <n v="4"/>
    <x v="3"/>
    <x v="9"/>
    <x v="9"/>
    <x v="3"/>
    <x v="2"/>
  </r>
  <r>
    <s v="AX11574"/>
    <s v="ENX2028"/>
    <s v="A127"/>
    <s v="EMP1003"/>
    <s v="C1328"/>
    <x v="441"/>
    <n v="1"/>
    <n v="2283"/>
    <n v="1484"/>
    <n v="1484"/>
    <n v="2283"/>
    <n v="799"/>
    <s v="Product 29"/>
    <x v="69"/>
    <s v="Christopher Tucker"/>
    <x v="488"/>
    <n v="4"/>
    <x v="3"/>
    <x v="9"/>
    <x v="9"/>
    <x v="3"/>
    <x v="2"/>
  </r>
  <r>
    <s v="AX11596"/>
    <s v="ENX2087"/>
    <s v="A137"/>
    <s v="EMP1004"/>
    <s v="C1592"/>
    <x v="438"/>
    <n v="1"/>
    <n v="1022"/>
    <n v="818"/>
    <n v="818"/>
    <n v="1022"/>
    <n v="204"/>
    <s v="Product 88"/>
    <x v="68"/>
    <s v="Kenneth Bradley"/>
    <x v="499"/>
    <n v="4"/>
    <x v="3"/>
    <x v="9"/>
    <x v="9"/>
    <x v="3"/>
    <x v="2"/>
  </r>
  <r>
    <s v="AX11960"/>
    <s v="ENX2006"/>
    <s v="A118"/>
    <s v="EMP1027"/>
    <s v="C1757"/>
    <x v="441"/>
    <n v="1"/>
    <n v="1826"/>
    <n v="1443"/>
    <n v="1443"/>
    <n v="1826"/>
    <n v="383"/>
    <s v="Product 7"/>
    <x v="19"/>
    <s v="Gary Rodriguez"/>
    <x v="376"/>
    <n v="4"/>
    <x v="3"/>
    <x v="9"/>
    <x v="9"/>
    <x v="3"/>
    <x v="2"/>
  </r>
  <r>
    <s v="AX12179"/>
    <s v="ENX2027"/>
    <s v="A173"/>
    <s v="EMP1037"/>
    <s v="C1070"/>
    <x v="439"/>
    <n v="1"/>
    <n v="2497"/>
    <n v="1473"/>
    <n v="1473"/>
    <n v="2497"/>
    <n v="1024"/>
    <s v="Product 28"/>
    <x v="25"/>
    <s v="Carl Hall"/>
    <x v="48"/>
    <n v="4"/>
    <x v="3"/>
    <x v="9"/>
    <x v="9"/>
    <x v="3"/>
    <x v="2"/>
  </r>
  <r>
    <s v="AX12326"/>
    <s v="ENX2005"/>
    <s v="A138"/>
    <s v="EMP1004"/>
    <s v="C1044"/>
    <x v="442"/>
    <n v="1"/>
    <n v="684"/>
    <n v="561"/>
    <n v="561"/>
    <n v="684"/>
    <n v="123"/>
    <s v="Product 6"/>
    <x v="37"/>
    <s v="Kenneth Bradley"/>
    <x v="331"/>
    <n v="4"/>
    <x v="3"/>
    <x v="9"/>
    <x v="9"/>
    <x v="3"/>
    <x v="2"/>
  </r>
  <r>
    <s v="AX12488"/>
    <s v="ENX2045"/>
    <s v="A135"/>
    <s v="EMP1041"/>
    <s v="C1003"/>
    <x v="442"/>
    <n v="1"/>
    <n v="556"/>
    <n v="395"/>
    <n v="395"/>
    <n v="556"/>
    <n v="161"/>
    <s v="Product 46"/>
    <x v="10"/>
    <s v="Joe Sims"/>
    <x v="494"/>
    <n v="4"/>
    <x v="3"/>
    <x v="9"/>
    <x v="9"/>
    <x v="3"/>
    <x v="2"/>
  </r>
  <r>
    <s v="AX12682"/>
    <s v="ENX2044"/>
    <s v="A163"/>
    <s v="EMP1023"/>
    <s v="C1716"/>
    <x v="439"/>
    <n v="2"/>
    <n v="886"/>
    <n v="478"/>
    <n v="956"/>
    <n v="1772"/>
    <n v="816"/>
    <s v="Product 45"/>
    <x v="51"/>
    <s v="Brian Davis"/>
    <x v="24"/>
    <n v="4"/>
    <x v="3"/>
    <x v="9"/>
    <x v="9"/>
    <x v="3"/>
    <x v="2"/>
  </r>
  <r>
    <s v="AX13277"/>
    <s v="ENX2058"/>
    <s v="A118"/>
    <s v="EMP1041"/>
    <s v="C1576"/>
    <x v="439"/>
    <n v="4"/>
    <n v="2257"/>
    <n v="1535"/>
    <n v="6140"/>
    <n v="9028"/>
    <n v="2888"/>
    <s v="Product 59"/>
    <x v="19"/>
    <s v="Joe Sims"/>
    <x v="398"/>
    <n v="4"/>
    <x v="3"/>
    <x v="9"/>
    <x v="9"/>
    <x v="3"/>
    <x v="2"/>
  </r>
  <r>
    <s v="AX13409"/>
    <s v="ENX2093"/>
    <s v="A163"/>
    <s v="EMP1030"/>
    <s v="C1113"/>
    <x v="438"/>
    <n v="4"/>
    <n v="112"/>
    <n v="90"/>
    <n v="360"/>
    <n v="448"/>
    <n v="88"/>
    <s v="Product 94"/>
    <x v="51"/>
    <s v="Bobby Russell"/>
    <x v="101"/>
    <n v="4"/>
    <x v="3"/>
    <x v="9"/>
    <x v="9"/>
    <x v="3"/>
    <x v="2"/>
  </r>
  <r>
    <s v="AX14233"/>
    <s v="ENX2065"/>
    <s v="A141"/>
    <s v="EMP1040"/>
    <s v="C1436"/>
    <x v="439"/>
    <n v="3"/>
    <n v="2396"/>
    <n v="1965"/>
    <n v="5895"/>
    <n v="7188"/>
    <n v="1293"/>
    <s v="Product 66"/>
    <x v="23"/>
    <s v="Patrick Ruiz"/>
    <x v="283"/>
    <n v="4"/>
    <x v="3"/>
    <x v="9"/>
    <x v="9"/>
    <x v="3"/>
    <x v="2"/>
  </r>
  <r>
    <s v="AX14240"/>
    <s v="ENX2038"/>
    <s v="A150"/>
    <s v="EMP1027"/>
    <s v="C1591"/>
    <x v="438"/>
    <n v="2"/>
    <n v="392"/>
    <n v="255"/>
    <n v="510"/>
    <n v="784"/>
    <n v="274"/>
    <s v="Product 39"/>
    <x v="30"/>
    <s v="Gary Rodriguez"/>
    <x v="289"/>
    <n v="4"/>
    <x v="3"/>
    <x v="9"/>
    <x v="9"/>
    <x v="3"/>
    <x v="2"/>
  </r>
  <r>
    <s v="AX14810"/>
    <s v="ENX2021"/>
    <s v="A166"/>
    <s v="EMP1038"/>
    <s v="C1448"/>
    <x v="441"/>
    <n v="1"/>
    <n v="217"/>
    <n v="171"/>
    <n v="171"/>
    <n v="217"/>
    <n v="46"/>
    <s v="Product 22"/>
    <x v="70"/>
    <s v="Scott Mason"/>
    <x v="716"/>
    <n v="4"/>
    <x v="3"/>
    <x v="9"/>
    <x v="9"/>
    <x v="3"/>
    <x v="2"/>
  </r>
  <r>
    <s v="AX15002"/>
    <s v="ENX2074"/>
    <s v="A169"/>
    <s v="EMP1029"/>
    <s v="C1315"/>
    <x v="440"/>
    <n v="1"/>
    <n v="504"/>
    <n v="408"/>
    <n v="408"/>
    <n v="504"/>
    <n v="96"/>
    <s v="Product 75"/>
    <x v="17"/>
    <s v="Howard Gardner"/>
    <x v="388"/>
    <n v="4"/>
    <x v="3"/>
    <x v="9"/>
    <x v="9"/>
    <x v="3"/>
    <x v="2"/>
  </r>
  <r>
    <s v="AX15353"/>
    <s v="ENX2097"/>
    <s v="A165"/>
    <s v="EMP1013"/>
    <s v="C1746"/>
    <x v="439"/>
    <n v="1"/>
    <n v="1052"/>
    <n v="589"/>
    <n v="589"/>
    <n v="1052"/>
    <n v="463"/>
    <s v="Product 98"/>
    <x v="55"/>
    <s v="Charles Harper"/>
    <x v="693"/>
    <n v="4"/>
    <x v="3"/>
    <x v="9"/>
    <x v="9"/>
    <x v="3"/>
    <x v="2"/>
  </r>
  <r>
    <s v="AX15749"/>
    <s v="ENX2077"/>
    <s v="A163"/>
    <s v="EMP1029"/>
    <s v="C1374"/>
    <x v="439"/>
    <n v="3"/>
    <n v="530"/>
    <n v="424"/>
    <n v="1272"/>
    <n v="1590"/>
    <n v="318"/>
    <s v="Product 78"/>
    <x v="51"/>
    <s v="Howard Gardner"/>
    <x v="189"/>
    <n v="4"/>
    <x v="3"/>
    <x v="9"/>
    <x v="9"/>
    <x v="3"/>
    <x v="2"/>
  </r>
  <r>
    <s v="AX16217"/>
    <s v="ENX2077"/>
    <s v="A137"/>
    <s v="EMP1029"/>
    <s v="C1325"/>
    <x v="438"/>
    <n v="3"/>
    <n v="530"/>
    <n v="424"/>
    <n v="1272"/>
    <n v="1590"/>
    <n v="318"/>
    <s v="Product 78"/>
    <x v="68"/>
    <s v="Howard Gardner"/>
    <x v="67"/>
    <n v="4"/>
    <x v="3"/>
    <x v="9"/>
    <x v="9"/>
    <x v="3"/>
    <x v="2"/>
  </r>
  <r>
    <s v="AX16641"/>
    <s v="ENX2044"/>
    <s v="A130"/>
    <s v="EMP1042"/>
    <s v="C1635"/>
    <x v="442"/>
    <n v="1"/>
    <n v="886"/>
    <n v="478"/>
    <n v="478"/>
    <n v="886"/>
    <n v="408"/>
    <s v="Product 45"/>
    <x v="4"/>
    <s v="Scott Clark"/>
    <x v="31"/>
    <n v="4"/>
    <x v="3"/>
    <x v="9"/>
    <x v="9"/>
    <x v="3"/>
    <x v="2"/>
  </r>
  <r>
    <s v="AX16870"/>
    <s v="ENX2093"/>
    <s v="A128"/>
    <s v="EMP1007"/>
    <s v="C1274"/>
    <x v="439"/>
    <n v="3"/>
    <n v="112"/>
    <n v="90"/>
    <n v="270"/>
    <n v="336"/>
    <n v="66"/>
    <s v="Product 94"/>
    <x v="12"/>
    <s v="Jeremy Mendoza"/>
    <x v="173"/>
    <n v="4"/>
    <x v="3"/>
    <x v="9"/>
    <x v="9"/>
    <x v="3"/>
    <x v="2"/>
  </r>
  <r>
    <s v="AX17215"/>
    <s v="ENX2088"/>
    <s v="A171"/>
    <s v="EMP1041"/>
    <s v="C1692"/>
    <x v="439"/>
    <n v="4"/>
    <n v="603"/>
    <n v="416"/>
    <n v="1664"/>
    <n v="2412"/>
    <n v="748"/>
    <s v="Product 89"/>
    <x v="0"/>
    <s v="Joe Sims"/>
    <x v="555"/>
    <n v="4"/>
    <x v="3"/>
    <x v="9"/>
    <x v="9"/>
    <x v="3"/>
    <x v="2"/>
  </r>
  <r>
    <s v="AX17857"/>
    <s v="ENX2065"/>
    <s v="A104"/>
    <s v="EMP1023"/>
    <s v="C1164"/>
    <x v="440"/>
    <n v="2"/>
    <n v="2396"/>
    <n v="1965"/>
    <n v="3930"/>
    <n v="4792"/>
    <n v="862"/>
    <s v="Product 66"/>
    <x v="50"/>
    <s v="Brian Davis"/>
    <x v="149"/>
    <n v="4"/>
    <x v="3"/>
    <x v="9"/>
    <x v="9"/>
    <x v="3"/>
    <x v="2"/>
  </r>
  <r>
    <s v="AX17952"/>
    <s v="ENX2075"/>
    <s v="A146"/>
    <s v="EMP1008"/>
    <s v="C1348"/>
    <x v="438"/>
    <n v="3"/>
    <n v="400"/>
    <n v="208"/>
    <n v="624"/>
    <n v="1200"/>
    <n v="576"/>
    <s v="Product 76"/>
    <x v="27"/>
    <s v="Carl Elliott"/>
    <x v="236"/>
    <n v="4"/>
    <x v="3"/>
    <x v="9"/>
    <x v="9"/>
    <x v="3"/>
    <x v="2"/>
  </r>
  <r>
    <s v="AX18301"/>
    <s v="ENX2051"/>
    <s v="A119"/>
    <s v="EMP1040"/>
    <s v="C1350"/>
    <x v="442"/>
    <n v="1"/>
    <n v="1077"/>
    <n v="732"/>
    <n v="732"/>
    <n v="1077"/>
    <n v="345"/>
    <s v="Product 52"/>
    <x v="16"/>
    <s v="Patrick Ruiz"/>
    <x v="625"/>
    <n v="4"/>
    <x v="3"/>
    <x v="9"/>
    <x v="9"/>
    <x v="3"/>
    <x v="2"/>
  </r>
  <r>
    <s v="AX18818"/>
    <s v="ENX2097"/>
    <s v="A110"/>
    <s v="EMP1041"/>
    <s v="C1736"/>
    <x v="442"/>
    <n v="1"/>
    <n v="1052"/>
    <n v="589"/>
    <n v="589"/>
    <n v="1052"/>
    <n v="463"/>
    <s v="Product 98"/>
    <x v="63"/>
    <s v="Joe Sims"/>
    <x v="472"/>
    <n v="4"/>
    <x v="3"/>
    <x v="9"/>
    <x v="9"/>
    <x v="3"/>
    <x v="2"/>
  </r>
  <r>
    <s v="AX18906"/>
    <s v="ENX2061"/>
    <s v="A167"/>
    <s v="EMP1005"/>
    <s v="C1101"/>
    <x v="442"/>
    <n v="1"/>
    <n v="913"/>
    <n v="584"/>
    <n v="584"/>
    <n v="913"/>
    <n v="329"/>
    <s v="Product 62"/>
    <x v="64"/>
    <s v="Ryan Welch"/>
    <x v="347"/>
    <n v="4"/>
    <x v="3"/>
    <x v="9"/>
    <x v="9"/>
    <x v="3"/>
    <x v="2"/>
  </r>
  <r>
    <s v="AX18997"/>
    <s v="ENX2042"/>
    <s v="A126"/>
    <s v="EMP1043"/>
    <s v="C1079"/>
    <x v="439"/>
    <n v="1"/>
    <n v="203"/>
    <n v="154"/>
    <n v="154"/>
    <n v="203"/>
    <n v="49"/>
    <s v="Product 43"/>
    <x v="5"/>
    <s v="Joshua Taylor"/>
    <x v="370"/>
    <n v="4"/>
    <x v="3"/>
    <x v="9"/>
    <x v="9"/>
    <x v="3"/>
    <x v="2"/>
  </r>
  <r>
    <s v="AX19141"/>
    <s v="ENX2083"/>
    <s v="A167"/>
    <s v="EMP1017"/>
    <s v="C1768"/>
    <x v="438"/>
    <n v="4"/>
    <n v="2141"/>
    <n v="1777"/>
    <n v="7108"/>
    <n v="8564"/>
    <n v="1456"/>
    <s v="Product 84"/>
    <x v="64"/>
    <s v="Brian Hansen"/>
    <x v="496"/>
    <n v="4"/>
    <x v="3"/>
    <x v="9"/>
    <x v="9"/>
    <x v="3"/>
    <x v="2"/>
  </r>
  <r>
    <s v="AX19301"/>
    <s v="ENX2014"/>
    <s v="A167"/>
    <s v="EMP1029"/>
    <s v="C1419"/>
    <x v="438"/>
    <n v="1"/>
    <n v="1809"/>
    <n v="1067"/>
    <n v="1067"/>
    <n v="1809"/>
    <n v="742"/>
    <s v="Product 15"/>
    <x v="64"/>
    <s v="Howard Gardner"/>
    <x v="163"/>
    <n v="4"/>
    <x v="3"/>
    <x v="9"/>
    <x v="9"/>
    <x v="3"/>
    <x v="2"/>
  </r>
  <r>
    <s v="AX19501"/>
    <s v="ENX2053"/>
    <s v="A166"/>
    <s v="EMP1044"/>
    <s v="C1494"/>
    <x v="439"/>
    <n v="1"/>
    <n v="596"/>
    <n v="358"/>
    <n v="358"/>
    <n v="596"/>
    <n v="238"/>
    <s v="Product 54"/>
    <x v="70"/>
    <s v="Martin Carr"/>
    <x v="698"/>
    <n v="4"/>
    <x v="3"/>
    <x v="9"/>
    <x v="9"/>
    <x v="3"/>
    <x v="2"/>
  </r>
  <r>
    <s v="AX19898"/>
    <s v="ENX2045"/>
    <s v="A154"/>
    <s v="EMP1038"/>
    <s v="C1719"/>
    <x v="442"/>
    <n v="1"/>
    <n v="556"/>
    <n v="395"/>
    <n v="395"/>
    <n v="556"/>
    <n v="161"/>
    <s v="Product 46"/>
    <x v="24"/>
    <s v="Scott Mason"/>
    <x v="666"/>
    <n v="4"/>
    <x v="3"/>
    <x v="9"/>
    <x v="9"/>
    <x v="3"/>
    <x v="2"/>
  </r>
  <r>
    <s v="AX20118"/>
    <s v="ENX2055"/>
    <s v="A100"/>
    <s v="EMP1021"/>
    <s v="C1343"/>
    <x v="441"/>
    <n v="4"/>
    <n v="2495"/>
    <n v="1896"/>
    <n v="7584"/>
    <n v="9980"/>
    <n v="2396"/>
    <s v="Product 56"/>
    <x v="52"/>
    <s v="Clarence Fox"/>
    <x v="175"/>
    <n v="4"/>
    <x v="3"/>
    <x v="9"/>
    <x v="9"/>
    <x v="3"/>
    <x v="2"/>
  </r>
  <r>
    <s v="AX20154"/>
    <s v="ENX2017"/>
    <s v="A111"/>
    <s v="EMP1042"/>
    <s v="C1558"/>
    <x v="440"/>
    <n v="4"/>
    <n v="35"/>
    <n v="22"/>
    <n v="88"/>
    <n v="140"/>
    <n v="52"/>
    <s v="Product 18"/>
    <x v="54"/>
    <s v="Scott Clark"/>
    <x v="170"/>
    <n v="4"/>
    <x v="3"/>
    <x v="9"/>
    <x v="9"/>
    <x v="3"/>
    <x v="2"/>
  </r>
  <r>
    <s v="AX20710"/>
    <s v="ENX2045"/>
    <s v="A136"/>
    <s v="EMP1040"/>
    <s v="C1343"/>
    <x v="441"/>
    <n v="1"/>
    <n v="556"/>
    <n v="395"/>
    <n v="395"/>
    <n v="556"/>
    <n v="161"/>
    <s v="Product 46"/>
    <x v="43"/>
    <s v="Patrick Ruiz"/>
    <x v="175"/>
    <n v="4"/>
    <x v="3"/>
    <x v="9"/>
    <x v="9"/>
    <x v="3"/>
    <x v="2"/>
  </r>
  <r>
    <s v="AX20824"/>
    <s v="ENX2044"/>
    <s v="A159"/>
    <s v="EMP1003"/>
    <s v="C1379"/>
    <x v="438"/>
    <n v="3"/>
    <n v="886"/>
    <n v="478"/>
    <n v="1434"/>
    <n v="2658"/>
    <n v="1224"/>
    <s v="Product 45"/>
    <x v="13"/>
    <s v="Christopher Tucker"/>
    <x v="549"/>
    <n v="4"/>
    <x v="3"/>
    <x v="9"/>
    <x v="9"/>
    <x v="3"/>
    <x v="2"/>
  </r>
  <r>
    <s v="AX21064"/>
    <s v="ENX2061"/>
    <s v="A160"/>
    <s v="EMP1000"/>
    <s v="C1254"/>
    <x v="438"/>
    <n v="1"/>
    <n v="913"/>
    <n v="584"/>
    <n v="584"/>
    <n v="913"/>
    <n v="329"/>
    <s v="Product 62"/>
    <x v="9"/>
    <s v="Fred Robertson"/>
    <x v="104"/>
    <n v="4"/>
    <x v="3"/>
    <x v="9"/>
    <x v="9"/>
    <x v="3"/>
    <x v="2"/>
  </r>
  <r>
    <s v="AX21559"/>
    <s v="ENX2051"/>
    <s v="A152"/>
    <s v="EMP1030"/>
    <s v="C1497"/>
    <x v="440"/>
    <n v="1"/>
    <n v="1077"/>
    <n v="732"/>
    <n v="732"/>
    <n v="1077"/>
    <n v="345"/>
    <s v="Product 52"/>
    <x v="26"/>
    <s v="Bobby Russell"/>
    <x v="794"/>
    <n v="4"/>
    <x v="3"/>
    <x v="9"/>
    <x v="9"/>
    <x v="3"/>
    <x v="2"/>
  </r>
  <r>
    <s v="AX21648"/>
    <s v="ENX2010"/>
    <s v="A101"/>
    <s v="EMP1020"/>
    <s v="C1173"/>
    <x v="438"/>
    <n v="3"/>
    <n v="1812"/>
    <n v="1305"/>
    <n v="3915"/>
    <n v="5436"/>
    <n v="1521"/>
    <s v="Product 11"/>
    <x v="60"/>
    <s v="Ryan Butler"/>
    <x v="167"/>
    <n v="4"/>
    <x v="3"/>
    <x v="9"/>
    <x v="9"/>
    <x v="3"/>
    <x v="2"/>
  </r>
  <r>
    <s v="AX21715"/>
    <s v="ENX2076"/>
    <s v="A132"/>
    <s v="EMP1036"/>
    <s v="C1304"/>
    <x v="440"/>
    <n v="1"/>
    <n v="1522"/>
    <n v="791"/>
    <n v="791"/>
    <n v="1522"/>
    <n v="731"/>
    <s v="Product 77"/>
    <x v="48"/>
    <s v="Robert Reed"/>
    <x v="298"/>
    <n v="4"/>
    <x v="3"/>
    <x v="9"/>
    <x v="9"/>
    <x v="3"/>
    <x v="2"/>
  </r>
  <r>
    <s v="AX21876"/>
    <s v="ENX2088"/>
    <s v="A132"/>
    <s v="EMP1004"/>
    <s v="C1134"/>
    <x v="440"/>
    <n v="1"/>
    <n v="603"/>
    <n v="416"/>
    <n v="416"/>
    <n v="603"/>
    <n v="187"/>
    <s v="Product 89"/>
    <x v="48"/>
    <s v="Kenneth Bradley"/>
    <x v="495"/>
    <n v="4"/>
    <x v="3"/>
    <x v="9"/>
    <x v="9"/>
    <x v="3"/>
    <x v="2"/>
  </r>
  <r>
    <s v="AX22182"/>
    <s v="ENX2100"/>
    <s v="A125"/>
    <s v="EMP1022"/>
    <s v="C1311"/>
    <x v="440"/>
    <n v="3"/>
    <n v="799"/>
    <n v="455"/>
    <n v="1365"/>
    <n v="2397"/>
    <n v="1032"/>
    <s v="Product 101"/>
    <x v="31"/>
    <s v="Walter Cook"/>
    <x v="309"/>
    <n v="4"/>
    <x v="3"/>
    <x v="9"/>
    <x v="9"/>
    <x v="3"/>
    <x v="2"/>
  </r>
  <r>
    <s v="AX22360"/>
    <s v="ENX2086"/>
    <s v="A141"/>
    <s v="EMP1044"/>
    <s v="C1519"/>
    <x v="441"/>
    <n v="1"/>
    <n v="123"/>
    <n v="84"/>
    <n v="84"/>
    <n v="123"/>
    <n v="39"/>
    <s v="Product 87"/>
    <x v="23"/>
    <s v="Martin Carr"/>
    <x v="426"/>
    <n v="4"/>
    <x v="3"/>
    <x v="9"/>
    <x v="9"/>
    <x v="3"/>
    <x v="2"/>
  </r>
  <r>
    <s v="AX22831"/>
    <s v="ENX2047"/>
    <s v="A122"/>
    <s v="EMP1022"/>
    <s v="C1002"/>
    <x v="441"/>
    <n v="1"/>
    <n v="290"/>
    <n v="200"/>
    <n v="200"/>
    <n v="290"/>
    <n v="90"/>
    <s v="Product 48"/>
    <x v="71"/>
    <s v="Walter Cook"/>
    <x v="49"/>
    <n v="4"/>
    <x v="3"/>
    <x v="9"/>
    <x v="9"/>
    <x v="3"/>
    <x v="2"/>
  </r>
  <r>
    <s v="AX23226"/>
    <s v="ENX2074"/>
    <s v="A169"/>
    <s v="EMP1040"/>
    <s v="C1104"/>
    <x v="439"/>
    <n v="1"/>
    <n v="504"/>
    <n v="408"/>
    <n v="408"/>
    <n v="504"/>
    <n v="96"/>
    <s v="Product 75"/>
    <x v="17"/>
    <s v="Patrick Ruiz"/>
    <x v="367"/>
    <n v="4"/>
    <x v="3"/>
    <x v="9"/>
    <x v="9"/>
    <x v="3"/>
    <x v="2"/>
  </r>
  <r>
    <s v="AX23407"/>
    <s v="ENX2031"/>
    <s v="A131"/>
    <s v="EMP1032"/>
    <s v="C1088"/>
    <x v="442"/>
    <n v="1"/>
    <n v="1638"/>
    <n v="1261"/>
    <n v="1261"/>
    <n v="1638"/>
    <n v="377"/>
    <s v="Product 32"/>
    <x v="32"/>
    <s v="Larry Castillo"/>
    <x v="498"/>
    <n v="4"/>
    <x v="3"/>
    <x v="9"/>
    <x v="9"/>
    <x v="3"/>
    <x v="2"/>
  </r>
  <r>
    <s v="AX24042"/>
    <s v="ENX2030"/>
    <s v="A162"/>
    <s v="EMP1026"/>
    <s v="C1215"/>
    <x v="439"/>
    <n v="1"/>
    <n v="1899"/>
    <n v="1044"/>
    <n v="1044"/>
    <n v="1899"/>
    <n v="855"/>
    <s v="Product 31"/>
    <x v="2"/>
    <s v="Martin Perry"/>
    <x v="650"/>
    <n v="4"/>
    <x v="3"/>
    <x v="9"/>
    <x v="9"/>
    <x v="3"/>
    <x v="2"/>
  </r>
  <r>
    <s v="AX24120"/>
    <s v="ENX2072"/>
    <s v="A129"/>
    <s v="EMP1006"/>
    <s v="C1513"/>
    <x v="442"/>
    <n v="1"/>
    <n v="1887"/>
    <n v="1378"/>
    <n v="1378"/>
    <n v="1887"/>
    <n v="509"/>
    <s v="Product 73"/>
    <x v="22"/>
    <s v="Sean Miller"/>
    <x v="414"/>
    <n v="4"/>
    <x v="3"/>
    <x v="9"/>
    <x v="9"/>
    <x v="3"/>
    <x v="2"/>
  </r>
  <r>
    <s v="AX24296"/>
    <s v="ENX2003"/>
    <s v="A124"/>
    <s v="EMP1033"/>
    <s v="C1402"/>
    <x v="439"/>
    <n v="1"/>
    <n v="1783"/>
    <n v="1516"/>
    <n v="1516"/>
    <n v="1783"/>
    <n v="267"/>
    <s v="Product 4"/>
    <x v="67"/>
    <s v="Jerry Perry"/>
    <x v="79"/>
    <n v="4"/>
    <x v="3"/>
    <x v="9"/>
    <x v="9"/>
    <x v="3"/>
    <x v="2"/>
  </r>
  <r>
    <s v="AX24315"/>
    <s v="ENX2050"/>
    <s v="A102"/>
    <s v="EMP1004"/>
    <s v="C1726"/>
    <x v="439"/>
    <n v="4"/>
    <n v="2391"/>
    <n v="1291"/>
    <n v="5164"/>
    <n v="9564"/>
    <n v="4400"/>
    <s v="Product 51"/>
    <x v="44"/>
    <s v="Kenneth Bradley"/>
    <x v="755"/>
    <n v="4"/>
    <x v="3"/>
    <x v="9"/>
    <x v="9"/>
    <x v="3"/>
    <x v="2"/>
  </r>
  <r>
    <s v="AX24390"/>
    <s v="ENX2033"/>
    <s v="A107"/>
    <s v="EMP1002"/>
    <s v="C1319"/>
    <x v="439"/>
    <n v="1"/>
    <n v="2182"/>
    <n v="1200"/>
    <n v="1200"/>
    <n v="2182"/>
    <n v="982"/>
    <s v="Product 34"/>
    <x v="21"/>
    <s v="Andrew Bowman"/>
    <x v="464"/>
    <n v="4"/>
    <x v="3"/>
    <x v="9"/>
    <x v="9"/>
    <x v="3"/>
    <x v="2"/>
  </r>
  <r>
    <s v="AX10062"/>
    <s v="ENX2041"/>
    <s v="A142"/>
    <s v="EMP1016"/>
    <s v="C1641"/>
    <x v="443"/>
    <n v="1"/>
    <n v="1380"/>
    <n v="1090"/>
    <n v="1090"/>
    <n v="1380"/>
    <n v="290"/>
    <s v="Product 42"/>
    <x v="56"/>
    <s v="Henry Nelson"/>
    <x v="761"/>
    <n v="4"/>
    <x v="3"/>
    <x v="10"/>
    <x v="10"/>
    <x v="3"/>
    <x v="0"/>
  </r>
  <r>
    <s v="AX10234"/>
    <s v="ENX2096"/>
    <s v="A168"/>
    <s v="EMP1022"/>
    <s v="C1490"/>
    <x v="444"/>
    <n v="1"/>
    <n v="1587"/>
    <n v="1301"/>
    <n v="1301"/>
    <n v="1587"/>
    <n v="286"/>
    <s v="Product 97"/>
    <x v="40"/>
    <s v="Walter Cook"/>
    <x v="61"/>
    <n v="4"/>
    <x v="3"/>
    <x v="10"/>
    <x v="10"/>
    <x v="3"/>
    <x v="0"/>
  </r>
  <r>
    <s v="AX10263"/>
    <s v="ENX2070"/>
    <s v="A162"/>
    <s v="EMP1042"/>
    <s v="C1758"/>
    <x v="445"/>
    <n v="1"/>
    <n v="1671"/>
    <n v="1220"/>
    <n v="1220"/>
    <n v="1671"/>
    <n v="451"/>
    <s v="Product 71"/>
    <x v="2"/>
    <s v="Scott Clark"/>
    <x v="329"/>
    <n v="4"/>
    <x v="3"/>
    <x v="10"/>
    <x v="10"/>
    <x v="3"/>
    <x v="0"/>
  </r>
  <r>
    <s v="AX10315"/>
    <s v="ENX2080"/>
    <s v="A104"/>
    <s v="EMP1018"/>
    <s v="C1425"/>
    <x v="446"/>
    <n v="2"/>
    <n v="2353"/>
    <n v="1788"/>
    <n v="3576"/>
    <n v="4706"/>
    <n v="1130"/>
    <s v="Product 81"/>
    <x v="50"/>
    <s v="Jimmy Young"/>
    <x v="474"/>
    <n v="4"/>
    <x v="3"/>
    <x v="10"/>
    <x v="10"/>
    <x v="3"/>
    <x v="0"/>
  </r>
  <r>
    <s v="AX10330"/>
    <s v="ENX2037"/>
    <s v="A139"/>
    <s v="EMP1008"/>
    <s v="C1635"/>
    <x v="444"/>
    <n v="3"/>
    <n v="880"/>
    <n v="634"/>
    <n v="1902"/>
    <n v="2640"/>
    <n v="738"/>
    <s v="Product 38"/>
    <x v="38"/>
    <s v="Carl Elliott"/>
    <x v="31"/>
    <n v="4"/>
    <x v="3"/>
    <x v="10"/>
    <x v="10"/>
    <x v="3"/>
    <x v="0"/>
  </r>
  <r>
    <s v="AX10791"/>
    <s v="ENX2030"/>
    <s v="A122"/>
    <s v="EMP1001"/>
    <s v="C1215"/>
    <x v="445"/>
    <n v="3"/>
    <n v="1899"/>
    <n v="1044"/>
    <n v="3132"/>
    <n v="5697"/>
    <n v="2565"/>
    <s v="Product 31"/>
    <x v="71"/>
    <s v="Kevin Butler"/>
    <x v="650"/>
    <n v="4"/>
    <x v="3"/>
    <x v="10"/>
    <x v="10"/>
    <x v="3"/>
    <x v="0"/>
  </r>
  <r>
    <s v="AX10798"/>
    <s v="ENX2072"/>
    <s v="A126"/>
    <s v="EMP1011"/>
    <s v="C1713"/>
    <x v="443"/>
    <n v="4"/>
    <n v="1887"/>
    <n v="1378"/>
    <n v="5512"/>
    <n v="7548"/>
    <n v="2036"/>
    <s v="Product 73"/>
    <x v="5"/>
    <s v="Larry Marshall"/>
    <x v="753"/>
    <n v="4"/>
    <x v="3"/>
    <x v="10"/>
    <x v="10"/>
    <x v="3"/>
    <x v="0"/>
  </r>
  <r>
    <s v="AX11301"/>
    <s v="ENX2086"/>
    <s v="A120"/>
    <s v="EMP1023"/>
    <s v="C1140"/>
    <x v="446"/>
    <n v="1"/>
    <n v="123"/>
    <n v="84"/>
    <n v="84"/>
    <n v="123"/>
    <n v="39"/>
    <s v="Product 87"/>
    <x v="20"/>
    <s v="Brian Davis"/>
    <x v="40"/>
    <n v="4"/>
    <x v="3"/>
    <x v="10"/>
    <x v="10"/>
    <x v="3"/>
    <x v="0"/>
  </r>
  <r>
    <s v="AX11958"/>
    <s v="ENX2053"/>
    <s v="A153"/>
    <s v="EMP1019"/>
    <s v="C1632"/>
    <x v="444"/>
    <n v="3"/>
    <n v="596"/>
    <n v="358"/>
    <n v="1074"/>
    <n v="1788"/>
    <n v="714"/>
    <s v="Product 54"/>
    <x v="8"/>
    <s v="Roger Robertson"/>
    <x v="311"/>
    <n v="4"/>
    <x v="3"/>
    <x v="10"/>
    <x v="10"/>
    <x v="3"/>
    <x v="0"/>
  </r>
  <r>
    <s v="AX12205"/>
    <s v="ENX2067"/>
    <s v="A122"/>
    <s v="EMP1034"/>
    <s v="C1605"/>
    <x v="443"/>
    <n v="3"/>
    <n v="1119"/>
    <n v="683"/>
    <n v="2049"/>
    <n v="3357"/>
    <n v="1308"/>
    <s v="Product 68"/>
    <x v="71"/>
    <s v="Arthur Mccoy"/>
    <x v="676"/>
    <n v="4"/>
    <x v="3"/>
    <x v="10"/>
    <x v="10"/>
    <x v="3"/>
    <x v="0"/>
  </r>
  <r>
    <s v="AX12357"/>
    <s v="ENX2023"/>
    <s v="A145"/>
    <s v="EMP1017"/>
    <s v="C1325"/>
    <x v="443"/>
    <n v="4"/>
    <n v="818"/>
    <n v="450"/>
    <n v="1800"/>
    <n v="3272"/>
    <n v="1472"/>
    <s v="Product 24"/>
    <x v="35"/>
    <s v="Brian Hansen"/>
    <x v="67"/>
    <n v="4"/>
    <x v="3"/>
    <x v="10"/>
    <x v="10"/>
    <x v="3"/>
    <x v="0"/>
  </r>
  <r>
    <s v="AX12662"/>
    <s v="ENX2036"/>
    <s v="A125"/>
    <s v="EMP1033"/>
    <s v="C1284"/>
    <x v="446"/>
    <n v="1"/>
    <n v="1582"/>
    <n v="1234"/>
    <n v="1234"/>
    <n v="1582"/>
    <n v="348"/>
    <s v="Product 37"/>
    <x v="31"/>
    <s v="Jerry Perry"/>
    <x v="713"/>
    <n v="4"/>
    <x v="3"/>
    <x v="10"/>
    <x v="10"/>
    <x v="3"/>
    <x v="0"/>
  </r>
  <r>
    <s v="AX13028"/>
    <s v="ENX2050"/>
    <s v="A163"/>
    <s v="EMP1020"/>
    <s v="C1219"/>
    <x v="443"/>
    <n v="1"/>
    <n v="2391"/>
    <n v="1291"/>
    <n v="1291"/>
    <n v="2391"/>
    <n v="1100"/>
    <s v="Product 51"/>
    <x v="51"/>
    <s v="Ryan Butler"/>
    <x v="301"/>
    <n v="4"/>
    <x v="3"/>
    <x v="10"/>
    <x v="10"/>
    <x v="3"/>
    <x v="0"/>
  </r>
  <r>
    <s v="AX13042"/>
    <s v="ENX2095"/>
    <s v="A139"/>
    <s v="EMP1032"/>
    <s v="C1263"/>
    <x v="444"/>
    <n v="3"/>
    <n v="1743"/>
    <n v="872"/>
    <n v="2616"/>
    <n v="5229"/>
    <n v="2613"/>
    <s v="Product 96"/>
    <x v="38"/>
    <s v="Larry Castillo"/>
    <x v="368"/>
    <n v="4"/>
    <x v="3"/>
    <x v="10"/>
    <x v="10"/>
    <x v="3"/>
    <x v="0"/>
  </r>
  <r>
    <s v="AX13684"/>
    <s v="ENX2065"/>
    <s v="A147"/>
    <s v="EMP1018"/>
    <s v="C1387"/>
    <x v="445"/>
    <n v="1"/>
    <n v="2396"/>
    <n v="1965"/>
    <n v="1965"/>
    <n v="2396"/>
    <n v="431"/>
    <s v="Product 66"/>
    <x v="42"/>
    <s v="Jimmy Young"/>
    <x v="346"/>
    <n v="4"/>
    <x v="3"/>
    <x v="10"/>
    <x v="10"/>
    <x v="3"/>
    <x v="0"/>
  </r>
  <r>
    <s v="AX13822"/>
    <s v="ENX2093"/>
    <s v="A105"/>
    <s v="EMP1019"/>
    <s v="C1218"/>
    <x v="446"/>
    <n v="2"/>
    <n v="112"/>
    <n v="90"/>
    <n v="180"/>
    <n v="224"/>
    <n v="44"/>
    <s v="Product 94"/>
    <x v="45"/>
    <s v="Roger Robertson"/>
    <x v="786"/>
    <n v="4"/>
    <x v="3"/>
    <x v="10"/>
    <x v="10"/>
    <x v="3"/>
    <x v="0"/>
  </r>
  <r>
    <s v="AX14145"/>
    <s v="ENX2042"/>
    <s v="A142"/>
    <s v="EMP1023"/>
    <s v="C1636"/>
    <x v="443"/>
    <n v="1"/>
    <n v="203"/>
    <n v="154"/>
    <n v="154"/>
    <n v="203"/>
    <n v="49"/>
    <s v="Product 43"/>
    <x v="56"/>
    <s v="Brian Davis"/>
    <x v="668"/>
    <n v="4"/>
    <x v="3"/>
    <x v="10"/>
    <x v="10"/>
    <x v="3"/>
    <x v="0"/>
  </r>
  <r>
    <s v="AX14177"/>
    <s v="ENX2022"/>
    <s v="A155"/>
    <s v="EMP1017"/>
    <s v="C1637"/>
    <x v="443"/>
    <n v="1"/>
    <n v="561"/>
    <n v="421"/>
    <n v="421"/>
    <n v="561"/>
    <n v="140"/>
    <s v="Product 23"/>
    <x v="53"/>
    <s v="Brian Hansen"/>
    <x v="326"/>
    <n v="4"/>
    <x v="3"/>
    <x v="10"/>
    <x v="10"/>
    <x v="3"/>
    <x v="0"/>
  </r>
  <r>
    <s v="AX14875"/>
    <s v="ENX2025"/>
    <s v="A130"/>
    <s v="EMP1017"/>
    <s v="C1249"/>
    <x v="444"/>
    <n v="1"/>
    <n v="667"/>
    <n v="387"/>
    <n v="387"/>
    <n v="667"/>
    <n v="280"/>
    <s v="Product 26"/>
    <x v="4"/>
    <s v="Brian Hansen"/>
    <x v="709"/>
    <n v="4"/>
    <x v="3"/>
    <x v="10"/>
    <x v="10"/>
    <x v="3"/>
    <x v="0"/>
  </r>
  <r>
    <s v="AX15095"/>
    <s v="ENX2082"/>
    <s v="A117"/>
    <s v="EMP1023"/>
    <s v="C1079"/>
    <x v="445"/>
    <n v="1"/>
    <n v="1103"/>
    <n v="838"/>
    <n v="838"/>
    <n v="1103"/>
    <n v="265"/>
    <s v="Product 83"/>
    <x v="29"/>
    <s v="Brian Davis"/>
    <x v="370"/>
    <n v="4"/>
    <x v="3"/>
    <x v="10"/>
    <x v="10"/>
    <x v="3"/>
    <x v="0"/>
  </r>
  <r>
    <s v="AX15272"/>
    <s v="ENX2051"/>
    <s v="A150"/>
    <s v="EMP1041"/>
    <s v="C1754"/>
    <x v="444"/>
    <n v="4"/>
    <n v="1077"/>
    <n v="732"/>
    <n v="2928"/>
    <n v="4308"/>
    <n v="1380"/>
    <s v="Product 52"/>
    <x v="30"/>
    <s v="Joe Sims"/>
    <x v="742"/>
    <n v="4"/>
    <x v="3"/>
    <x v="10"/>
    <x v="10"/>
    <x v="3"/>
    <x v="0"/>
  </r>
  <r>
    <s v="AX15598"/>
    <s v="ENX2030"/>
    <s v="A117"/>
    <s v="EMP1010"/>
    <s v="C1119"/>
    <x v="444"/>
    <n v="4"/>
    <n v="1899"/>
    <n v="1044"/>
    <n v="4176"/>
    <n v="7596"/>
    <n v="3420"/>
    <s v="Product 31"/>
    <x v="29"/>
    <s v="Joshua Cook"/>
    <x v="614"/>
    <n v="4"/>
    <x v="3"/>
    <x v="10"/>
    <x v="10"/>
    <x v="3"/>
    <x v="0"/>
  </r>
  <r>
    <s v="AX15911"/>
    <s v="ENX2027"/>
    <s v="A102"/>
    <s v="EMP1004"/>
    <s v="C1377"/>
    <x v="446"/>
    <n v="1"/>
    <n v="2497"/>
    <n v="1473"/>
    <n v="1473"/>
    <n v="2497"/>
    <n v="1024"/>
    <s v="Product 28"/>
    <x v="44"/>
    <s v="Kenneth Bradley"/>
    <x v="214"/>
    <n v="4"/>
    <x v="3"/>
    <x v="10"/>
    <x v="10"/>
    <x v="3"/>
    <x v="0"/>
  </r>
  <r>
    <s v="AX15963"/>
    <s v="ENX2040"/>
    <s v="A120"/>
    <s v="EMP1005"/>
    <s v="C1120"/>
    <x v="443"/>
    <n v="4"/>
    <n v="1889"/>
    <n v="945"/>
    <n v="3780"/>
    <n v="7556"/>
    <n v="3776"/>
    <s v="Product 41"/>
    <x v="20"/>
    <s v="Ryan Welch"/>
    <x v="685"/>
    <n v="4"/>
    <x v="3"/>
    <x v="10"/>
    <x v="10"/>
    <x v="3"/>
    <x v="0"/>
  </r>
  <r>
    <s v="AX16027"/>
    <s v="ENX2082"/>
    <s v="A166"/>
    <s v="EMP1042"/>
    <s v="C1238"/>
    <x v="445"/>
    <n v="2"/>
    <n v="1103"/>
    <n v="838"/>
    <n v="1676"/>
    <n v="2206"/>
    <n v="530"/>
    <s v="Product 83"/>
    <x v="70"/>
    <s v="Scott Clark"/>
    <x v="627"/>
    <n v="4"/>
    <x v="3"/>
    <x v="10"/>
    <x v="10"/>
    <x v="3"/>
    <x v="0"/>
  </r>
  <r>
    <s v="AX16574"/>
    <s v="ENX2044"/>
    <s v="A112"/>
    <s v="EMP1038"/>
    <s v="C1547"/>
    <x v="445"/>
    <n v="3"/>
    <n v="886"/>
    <n v="478"/>
    <n v="1434"/>
    <n v="2658"/>
    <n v="1224"/>
    <s v="Product 45"/>
    <x v="66"/>
    <s v="Scott Mason"/>
    <x v="800"/>
    <n v="4"/>
    <x v="3"/>
    <x v="10"/>
    <x v="10"/>
    <x v="3"/>
    <x v="0"/>
  </r>
  <r>
    <s v="AX16767"/>
    <s v="ENX2092"/>
    <s v="A149"/>
    <s v="EMP1029"/>
    <s v="C1232"/>
    <x v="445"/>
    <n v="3"/>
    <n v="1639"/>
    <n v="1295"/>
    <n v="3885"/>
    <n v="4917"/>
    <n v="1032"/>
    <s v="Product 93"/>
    <x v="59"/>
    <s v="Howard Gardner"/>
    <x v="584"/>
    <n v="4"/>
    <x v="3"/>
    <x v="10"/>
    <x v="10"/>
    <x v="3"/>
    <x v="0"/>
  </r>
  <r>
    <s v="AX16919"/>
    <s v="ENX2029"/>
    <s v="A129"/>
    <s v="EMP1039"/>
    <s v="C1781"/>
    <x v="446"/>
    <n v="1"/>
    <n v="1848"/>
    <n v="1294"/>
    <n v="1294"/>
    <n v="1848"/>
    <n v="554"/>
    <s v="Product 30"/>
    <x v="22"/>
    <s v="Eugene Holmes"/>
    <x v="606"/>
    <n v="4"/>
    <x v="3"/>
    <x v="10"/>
    <x v="10"/>
    <x v="3"/>
    <x v="0"/>
  </r>
  <r>
    <s v="AX17098"/>
    <s v="ENX2094"/>
    <s v="A125"/>
    <s v="EMP1033"/>
    <s v="C1086"/>
    <x v="444"/>
    <n v="1"/>
    <n v="771"/>
    <n v="648"/>
    <n v="648"/>
    <n v="771"/>
    <n v="123"/>
    <s v="Product 95"/>
    <x v="31"/>
    <s v="Jerry Perry"/>
    <x v="769"/>
    <n v="4"/>
    <x v="3"/>
    <x v="10"/>
    <x v="10"/>
    <x v="3"/>
    <x v="0"/>
  </r>
  <r>
    <s v="AX17287"/>
    <s v="ENX2075"/>
    <s v="A134"/>
    <s v="EMP1017"/>
    <s v="C1256"/>
    <x v="443"/>
    <n v="1"/>
    <n v="400"/>
    <n v="208"/>
    <n v="208"/>
    <n v="400"/>
    <n v="192"/>
    <s v="Product 76"/>
    <x v="41"/>
    <s v="Brian Hansen"/>
    <x v="524"/>
    <n v="4"/>
    <x v="3"/>
    <x v="10"/>
    <x v="10"/>
    <x v="3"/>
    <x v="0"/>
  </r>
  <r>
    <s v="AX17350"/>
    <s v="ENX2002"/>
    <s v="A167"/>
    <s v="EMP1008"/>
    <s v="C1538"/>
    <x v="444"/>
    <n v="1"/>
    <n v="847"/>
    <n v="534"/>
    <n v="534"/>
    <n v="847"/>
    <n v="313"/>
    <s v="Product 3"/>
    <x v="64"/>
    <s v="Carl Elliott"/>
    <x v="384"/>
    <n v="4"/>
    <x v="3"/>
    <x v="10"/>
    <x v="10"/>
    <x v="3"/>
    <x v="0"/>
  </r>
  <r>
    <s v="AX17363"/>
    <s v="ENX2074"/>
    <s v="A124"/>
    <s v="EMP1002"/>
    <s v="C1565"/>
    <x v="444"/>
    <n v="4"/>
    <n v="504"/>
    <n v="408"/>
    <n v="1632"/>
    <n v="2016"/>
    <n v="384"/>
    <s v="Product 75"/>
    <x v="67"/>
    <s v="Andrew Bowman"/>
    <x v="577"/>
    <n v="4"/>
    <x v="3"/>
    <x v="10"/>
    <x v="10"/>
    <x v="3"/>
    <x v="0"/>
  </r>
  <r>
    <s v="AX17518"/>
    <s v="ENX2071"/>
    <s v="A168"/>
    <s v="EMP1009"/>
    <s v="C1115"/>
    <x v="445"/>
    <n v="1"/>
    <n v="136"/>
    <n v="72"/>
    <n v="72"/>
    <n v="136"/>
    <n v="64"/>
    <s v="Product 72"/>
    <x v="40"/>
    <s v="Kenneth Fields"/>
    <x v="338"/>
    <n v="4"/>
    <x v="3"/>
    <x v="10"/>
    <x v="10"/>
    <x v="3"/>
    <x v="0"/>
  </r>
  <r>
    <s v="AX17529"/>
    <s v="ENX2048"/>
    <s v="A102"/>
    <s v="EMP1012"/>
    <s v="C1257"/>
    <x v="445"/>
    <n v="3"/>
    <n v="502"/>
    <n v="296"/>
    <n v="888"/>
    <n v="1506"/>
    <n v="618"/>
    <s v="Product 49"/>
    <x v="44"/>
    <s v="John Reyes"/>
    <x v="287"/>
    <n v="4"/>
    <x v="3"/>
    <x v="10"/>
    <x v="10"/>
    <x v="3"/>
    <x v="0"/>
  </r>
  <r>
    <s v="AX17640"/>
    <s v="ENX2032"/>
    <s v="A149"/>
    <s v="EMP1030"/>
    <s v="C1024"/>
    <x v="446"/>
    <n v="1"/>
    <n v="1967"/>
    <n v="1397"/>
    <n v="1397"/>
    <n v="1967"/>
    <n v="570"/>
    <s v="Product 33"/>
    <x v="59"/>
    <s v="Bobby Russell"/>
    <x v="599"/>
    <n v="4"/>
    <x v="3"/>
    <x v="10"/>
    <x v="10"/>
    <x v="3"/>
    <x v="0"/>
  </r>
  <r>
    <s v="AX18199"/>
    <s v="ENX2059"/>
    <s v="A143"/>
    <s v="EMP1000"/>
    <s v="C1642"/>
    <x v="444"/>
    <n v="4"/>
    <n v="1494"/>
    <n v="971"/>
    <n v="3884"/>
    <n v="5976"/>
    <n v="2092"/>
    <s v="Product 60"/>
    <x v="39"/>
    <s v="Fred Robertson"/>
    <x v="97"/>
    <n v="4"/>
    <x v="3"/>
    <x v="10"/>
    <x v="10"/>
    <x v="3"/>
    <x v="0"/>
  </r>
  <r>
    <s v="AX18390"/>
    <s v="ENX2024"/>
    <s v="A141"/>
    <s v="EMP1039"/>
    <s v="C1259"/>
    <x v="443"/>
    <n v="1"/>
    <n v="356"/>
    <n v="292"/>
    <n v="292"/>
    <n v="356"/>
    <n v="64"/>
    <s v="Product 25"/>
    <x v="23"/>
    <s v="Eugene Holmes"/>
    <x v="475"/>
    <n v="4"/>
    <x v="3"/>
    <x v="10"/>
    <x v="10"/>
    <x v="3"/>
    <x v="0"/>
  </r>
  <r>
    <s v="AX18498"/>
    <s v="ENX2052"/>
    <s v="A160"/>
    <s v="EMP1021"/>
    <s v="C1326"/>
    <x v="445"/>
    <n v="3"/>
    <n v="1526"/>
    <n v="1251"/>
    <n v="3753"/>
    <n v="4578"/>
    <n v="825"/>
    <s v="Product 53"/>
    <x v="9"/>
    <s v="Clarence Fox"/>
    <x v="98"/>
    <n v="4"/>
    <x v="3"/>
    <x v="10"/>
    <x v="10"/>
    <x v="3"/>
    <x v="0"/>
  </r>
  <r>
    <s v="AX18626"/>
    <s v="ENX2023"/>
    <s v="A104"/>
    <s v="EMP1041"/>
    <s v="C1685"/>
    <x v="445"/>
    <n v="1"/>
    <n v="818"/>
    <n v="450"/>
    <n v="450"/>
    <n v="818"/>
    <n v="368"/>
    <s v="Product 24"/>
    <x v="50"/>
    <s v="Joe Sims"/>
    <x v="90"/>
    <n v="4"/>
    <x v="3"/>
    <x v="10"/>
    <x v="10"/>
    <x v="3"/>
    <x v="0"/>
  </r>
  <r>
    <s v="AX18745"/>
    <s v="ENX2091"/>
    <s v="A111"/>
    <s v="EMP1006"/>
    <s v="C1008"/>
    <x v="443"/>
    <n v="2"/>
    <n v="368"/>
    <n v="294"/>
    <n v="588"/>
    <n v="736"/>
    <n v="148"/>
    <s v="Product 92"/>
    <x v="54"/>
    <s v="Sean Miller"/>
    <x v="796"/>
    <n v="4"/>
    <x v="3"/>
    <x v="10"/>
    <x v="10"/>
    <x v="3"/>
    <x v="0"/>
  </r>
  <r>
    <s v="AX20105"/>
    <s v="ENX2006"/>
    <s v="A141"/>
    <s v="EMP1012"/>
    <s v="C1634"/>
    <x v="443"/>
    <n v="3"/>
    <n v="1826"/>
    <n v="1443"/>
    <n v="4329"/>
    <n v="5478"/>
    <n v="1149"/>
    <s v="Product 7"/>
    <x v="23"/>
    <s v="John Reyes"/>
    <x v="71"/>
    <n v="4"/>
    <x v="3"/>
    <x v="10"/>
    <x v="10"/>
    <x v="3"/>
    <x v="0"/>
  </r>
  <r>
    <s v="AX20600"/>
    <s v="ENX2092"/>
    <s v="A148"/>
    <s v="EMP1024"/>
    <s v="C1523"/>
    <x v="443"/>
    <n v="1"/>
    <n v="1639"/>
    <n v="1295"/>
    <n v="1295"/>
    <n v="1639"/>
    <n v="344"/>
    <s v="Product 93"/>
    <x v="62"/>
    <s v="Ernest Wheeler"/>
    <x v="543"/>
    <n v="4"/>
    <x v="3"/>
    <x v="10"/>
    <x v="10"/>
    <x v="3"/>
    <x v="0"/>
  </r>
  <r>
    <s v="AX20688"/>
    <s v="ENX2019"/>
    <s v="A145"/>
    <s v="EMP1044"/>
    <s v="C1128"/>
    <x v="443"/>
    <n v="3"/>
    <n v="800"/>
    <n v="536"/>
    <n v="1608"/>
    <n v="2400"/>
    <n v="792"/>
    <s v="Product 20"/>
    <x v="35"/>
    <s v="Martin Carr"/>
    <x v="553"/>
    <n v="4"/>
    <x v="3"/>
    <x v="10"/>
    <x v="10"/>
    <x v="3"/>
    <x v="0"/>
  </r>
  <r>
    <s v="AX20727"/>
    <s v="ENX2093"/>
    <s v="A172"/>
    <s v="EMP1001"/>
    <s v="C1433"/>
    <x v="445"/>
    <n v="3"/>
    <n v="112"/>
    <n v="90"/>
    <n v="270"/>
    <n v="336"/>
    <n v="66"/>
    <s v="Product 94"/>
    <x v="36"/>
    <s v="Kevin Butler"/>
    <x v="525"/>
    <n v="4"/>
    <x v="3"/>
    <x v="10"/>
    <x v="10"/>
    <x v="3"/>
    <x v="0"/>
  </r>
  <r>
    <s v="AX21394"/>
    <s v="ENX2020"/>
    <s v="A110"/>
    <s v="EMP1000"/>
    <s v="C1256"/>
    <x v="443"/>
    <n v="1"/>
    <n v="2005"/>
    <n v="1223"/>
    <n v="1223"/>
    <n v="2005"/>
    <n v="782"/>
    <s v="Product 21"/>
    <x v="63"/>
    <s v="Fred Robertson"/>
    <x v="524"/>
    <n v="4"/>
    <x v="3"/>
    <x v="10"/>
    <x v="10"/>
    <x v="3"/>
    <x v="0"/>
  </r>
  <r>
    <s v="AX21582"/>
    <s v="ENX2016"/>
    <s v="A166"/>
    <s v="EMP1017"/>
    <s v="C1318"/>
    <x v="445"/>
    <n v="3"/>
    <n v="1351"/>
    <n v="1108"/>
    <n v="3324"/>
    <n v="4053"/>
    <n v="729"/>
    <s v="Product 17"/>
    <x v="70"/>
    <s v="Brian Hansen"/>
    <x v="730"/>
    <n v="4"/>
    <x v="3"/>
    <x v="10"/>
    <x v="10"/>
    <x v="3"/>
    <x v="0"/>
  </r>
  <r>
    <s v="AX21618"/>
    <s v="ENX2065"/>
    <s v="A131"/>
    <s v="EMP1019"/>
    <s v="C1359"/>
    <x v="443"/>
    <n v="3"/>
    <n v="2396"/>
    <n v="1965"/>
    <n v="5895"/>
    <n v="7188"/>
    <n v="1293"/>
    <s v="Product 66"/>
    <x v="32"/>
    <s v="Roger Robertson"/>
    <x v="652"/>
    <n v="4"/>
    <x v="3"/>
    <x v="10"/>
    <x v="10"/>
    <x v="3"/>
    <x v="0"/>
  </r>
  <r>
    <s v="AX21842"/>
    <s v="ENX2057"/>
    <s v="A163"/>
    <s v="EMP1021"/>
    <s v="C1154"/>
    <x v="443"/>
    <n v="1"/>
    <n v="181"/>
    <n v="130"/>
    <n v="130"/>
    <n v="181"/>
    <n v="51"/>
    <s v="Product 58"/>
    <x v="51"/>
    <s v="Clarence Fox"/>
    <x v="243"/>
    <n v="4"/>
    <x v="3"/>
    <x v="10"/>
    <x v="10"/>
    <x v="3"/>
    <x v="0"/>
  </r>
  <r>
    <s v="AX21951"/>
    <s v="ENX2041"/>
    <s v="A153"/>
    <s v="EMP1001"/>
    <s v="C1517"/>
    <x v="443"/>
    <n v="1"/>
    <n v="1380"/>
    <n v="1090"/>
    <n v="1090"/>
    <n v="1380"/>
    <n v="290"/>
    <s v="Product 42"/>
    <x v="8"/>
    <s v="Kevin Butler"/>
    <x v="359"/>
    <n v="4"/>
    <x v="3"/>
    <x v="10"/>
    <x v="10"/>
    <x v="3"/>
    <x v="0"/>
  </r>
  <r>
    <s v="AX22160"/>
    <s v="ENX2068"/>
    <s v="A117"/>
    <s v="EMP1037"/>
    <s v="C1543"/>
    <x v="445"/>
    <n v="1"/>
    <n v="1500"/>
    <n v="900"/>
    <n v="900"/>
    <n v="1500"/>
    <n v="600"/>
    <s v="Product 69"/>
    <x v="29"/>
    <s v="Carl Hall"/>
    <x v="337"/>
    <n v="4"/>
    <x v="3"/>
    <x v="10"/>
    <x v="10"/>
    <x v="3"/>
    <x v="0"/>
  </r>
  <r>
    <s v="AX22168"/>
    <s v="ENX2037"/>
    <s v="A166"/>
    <s v="EMP1012"/>
    <s v="C1366"/>
    <x v="444"/>
    <n v="3"/>
    <n v="880"/>
    <n v="634"/>
    <n v="1902"/>
    <n v="2640"/>
    <n v="738"/>
    <s v="Product 38"/>
    <x v="70"/>
    <s v="John Reyes"/>
    <x v="205"/>
    <n v="4"/>
    <x v="3"/>
    <x v="10"/>
    <x v="10"/>
    <x v="3"/>
    <x v="0"/>
  </r>
  <r>
    <s v="AX22701"/>
    <s v="ENX2025"/>
    <s v="A113"/>
    <s v="EMP1001"/>
    <s v="C1714"/>
    <x v="445"/>
    <n v="1"/>
    <n v="667"/>
    <n v="387"/>
    <n v="387"/>
    <n v="667"/>
    <n v="280"/>
    <s v="Product 26"/>
    <x v="73"/>
    <s v="Kevin Butler"/>
    <x v="317"/>
    <n v="4"/>
    <x v="3"/>
    <x v="10"/>
    <x v="10"/>
    <x v="3"/>
    <x v="0"/>
  </r>
  <r>
    <s v="AX22805"/>
    <s v="ENX2011"/>
    <s v="A152"/>
    <s v="EMP1036"/>
    <s v="C1671"/>
    <x v="445"/>
    <n v="1"/>
    <n v="530"/>
    <n v="435"/>
    <n v="435"/>
    <n v="530"/>
    <n v="95"/>
    <s v="Product 12"/>
    <x v="26"/>
    <s v="Robert Reed"/>
    <x v="248"/>
    <n v="4"/>
    <x v="3"/>
    <x v="10"/>
    <x v="10"/>
    <x v="3"/>
    <x v="0"/>
  </r>
  <r>
    <s v="AX22856"/>
    <s v="ENX2087"/>
    <s v="A172"/>
    <s v="EMP1031"/>
    <s v="C1462"/>
    <x v="444"/>
    <n v="4"/>
    <n v="1022"/>
    <n v="818"/>
    <n v="3272"/>
    <n v="4088"/>
    <n v="816"/>
    <s v="Product 88"/>
    <x v="36"/>
    <s v="Brian Thomas"/>
    <x v="418"/>
    <n v="4"/>
    <x v="3"/>
    <x v="10"/>
    <x v="10"/>
    <x v="3"/>
    <x v="0"/>
  </r>
  <r>
    <s v="AX22891"/>
    <s v="ENX2082"/>
    <s v="A117"/>
    <s v="EMP1017"/>
    <s v="C1171"/>
    <x v="444"/>
    <n v="2"/>
    <n v="1103"/>
    <n v="838"/>
    <n v="1676"/>
    <n v="2206"/>
    <n v="530"/>
    <s v="Product 83"/>
    <x v="29"/>
    <s v="Brian Hansen"/>
    <x v="150"/>
    <n v="4"/>
    <x v="3"/>
    <x v="10"/>
    <x v="10"/>
    <x v="3"/>
    <x v="0"/>
  </r>
  <r>
    <s v="AX22934"/>
    <s v="ENX2015"/>
    <s v="A162"/>
    <s v="EMP1043"/>
    <s v="C1003"/>
    <x v="443"/>
    <n v="1"/>
    <n v="637"/>
    <n v="389"/>
    <n v="389"/>
    <n v="637"/>
    <n v="248"/>
    <s v="Product 16"/>
    <x v="2"/>
    <s v="Joshua Taylor"/>
    <x v="494"/>
    <n v="4"/>
    <x v="3"/>
    <x v="10"/>
    <x v="10"/>
    <x v="3"/>
    <x v="0"/>
  </r>
  <r>
    <s v="AX23353"/>
    <s v="ENX2064"/>
    <s v="A127"/>
    <s v="EMP1030"/>
    <s v="C1248"/>
    <x v="445"/>
    <n v="1"/>
    <n v="1414"/>
    <n v="962"/>
    <n v="962"/>
    <n v="1414"/>
    <n v="452"/>
    <s v="Product 65"/>
    <x v="69"/>
    <s v="Bobby Russell"/>
    <x v="354"/>
    <n v="4"/>
    <x v="3"/>
    <x v="10"/>
    <x v="10"/>
    <x v="3"/>
    <x v="0"/>
  </r>
  <r>
    <s v="AX23597"/>
    <s v="ENX2049"/>
    <s v="A108"/>
    <s v="EMP1033"/>
    <s v="C1517"/>
    <x v="443"/>
    <n v="1"/>
    <n v="826"/>
    <n v="562"/>
    <n v="562"/>
    <n v="826"/>
    <n v="264"/>
    <s v="Product 50"/>
    <x v="49"/>
    <s v="Jerry Perry"/>
    <x v="359"/>
    <n v="4"/>
    <x v="3"/>
    <x v="10"/>
    <x v="10"/>
    <x v="3"/>
    <x v="0"/>
  </r>
  <r>
    <s v="AX23725"/>
    <s v="ENX2040"/>
    <s v="A118"/>
    <s v="EMP1039"/>
    <s v="C1444"/>
    <x v="446"/>
    <n v="2"/>
    <n v="1889"/>
    <n v="945"/>
    <n v="1890"/>
    <n v="3778"/>
    <n v="1888"/>
    <s v="Product 41"/>
    <x v="19"/>
    <s v="Eugene Holmes"/>
    <x v="454"/>
    <n v="4"/>
    <x v="3"/>
    <x v="10"/>
    <x v="10"/>
    <x v="3"/>
    <x v="0"/>
  </r>
  <r>
    <s v="AX23774"/>
    <s v="ENX2013"/>
    <s v="A137"/>
    <s v="EMP1038"/>
    <s v="C1575"/>
    <x v="444"/>
    <n v="3"/>
    <n v="368"/>
    <n v="269"/>
    <n v="807"/>
    <n v="1104"/>
    <n v="297"/>
    <s v="Product 14"/>
    <x v="68"/>
    <s v="Scott Mason"/>
    <x v="99"/>
    <n v="4"/>
    <x v="3"/>
    <x v="10"/>
    <x v="10"/>
    <x v="3"/>
    <x v="0"/>
  </r>
  <r>
    <s v="AX23877"/>
    <s v="ENX2035"/>
    <s v="A126"/>
    <s v="EMP1018"/>
    <s v="C1117"/>
    <x v="443"/>
    <n v="3"/>
    <n v="458"/>
    <n v="376"/>
    <n v="1128"/>
    <n v="1374"/>
    <n v="246"/>
    <s v="Product 36"/>
    <x v="5"/>
    <s v="Jimmy Young"/>
    <x v="519"/>
    <n v="4"/>
    <x v="3"/>
    <x v="10"/>
    <x v="10"/>
    <x v="3"/>
    <x v="0"/>
  </r>
  <r>
    <s v="AX23998"/>
    <s v="ENX2030"/>
    <s v="A105"/>
    <s v="EMP1042"/>
    <s v="C1755"/>
    <x v="444"/>
    <n v="3"/>
    <n v="1899"/>
    <n v="1044"/>
    <n v="3132"/>
    <n v="5697"/>
    <n v="2565"/>
    <s v="Product 31"/>
    <x v="45"/>
    <s v="Scott Clark"/>
    <x v="178"/>
    <n v="4"/>
    <x v="3"/>
    <x v="10"/>
    <x v="10"/>
    <x v="3"/>
    <x v="0"/>
  </r>
  <r>
    <s v="AX24122"/>
    <s v="ENX2072"/>
    <s v="A137"/>
    <s v="EMP1035"/>
    <s v="C1646"/>
    <x v="446"/>
    <n v="4"/>
    <n v="1887"/>
    <n v="1378"/>
    <n v="5512"/>
    <n v="7548"/>
    <n v="2036"/>
    <s v="Product 73"/>
    <x v="68"/>
    <s v="Roger Ramos"/>
    <x v="789"/>
    <n v="4"/>
    <x v="3"/>
    <x v="10"/>
    <x v="10"/>
    <x v="3"/>
    <x v="0"/>
  </r>
  <r>
    <s v="AX24687"/>
    <s v="ENX2065"/>
    <s v="A145"/>
    <s v="EMP1030"/>
    <s v="C1312"/>
    <x v="446"/>
    <n v="3"/>
    <n v="2396"/>
    <n v="1965"/>
    <n v="5895"/>
    <n v="7188"/>
    <n v="1293"/>
    <s v="Product 66"/>
    <x v="35"/>
    <s v="Bobby Russell"/>
    <x v="609"/>
    <n v="4"/>
    <x v="3"/>
    <x v="10"/>
    <x v="10"/>
    <x v="3"/>
    <x v="0"/>
  </r>
  <r>
    <s v="AX10131"/>
    <s v="ENX2019"/>
    <s v="A119"/>
    <s v="EMP1013"/>
    <s v="C1704"/>
    <x v="447"/>
    <n v="1"/>
    <n v="800"/>
    <n v="536"/>
    <n v="536"/>
    <n v="800"/>
    <n v="264"/>
    <s v="Product 20"/>
    <x v="16"/>
    <s v="Charles Harper"/>
    <x v="28"/>
    <n v="4"/>
    <x v="3"/>
    <x v="10"/>
    <x v="10"/>
    <x v="3"/>
    <x v="2"/>
  </r>
  <r>
    <s v="AX10714"/>
    <s v="ENX2081"/>
    <s v="A131"/>
    <s v="EMP1026"/>
    <s v="C1795"/>
    <x v="448"/>
    <n v="4"/>
    <n v="1566"/>
    <n v="1190"/>
    <n v="4760"/>
    <n v="6264"/>
    <n v="1504"/>
    <s v="Product 82"/>
    <x v="32"/>
    <s v="Martin Perry"/>
    <x v="592"/>
    <n v="4"/>
    <x v="3"/>
    <x v="10"/>
    <x v="10"/>
    <x v="3"/>
    <x v="2"/>
  </r>
  <r>
    <s v="AX10861"/>
    <s v="ENX2038"/>
    <s v="A105"/>
    <s v="EMP1035"/>
    <s v="C1590"/>
    <x v="447"/>
    <n v="1"/>
    <n v="392"/>
    <n v="255"/>
    <n v="255"/>
    <n v="392"/>
    <n v="137"/>
    <s v="Product 39"/>
    <x v="45"/>
    <s v="Roger Ramos"/>
    <x v="735"/>
    <n v="4"/>
    <x v="3"/>
    <x v="10"/>
    <x v="10"/>
    <x v="3"/>
    <x v="2"/>
  </r>
  <r>
    <s v="AX10959"/>
    <s v="ENX2004"/>
    <s v="A171"/>
    <s v="EMP1044"/>
    <s v="C1701"/>
    <x v="449"/>
    <n v="4"/>
    <n v="1278"/>
    <n v="665"/>
    <n v="2660"/>
    <n v="5112"/>
    <n v="2452"/>
    <s v="Product 5"/>
    <x v="0"/>
    <s v="Martin Carr"/>
    <x v="736"/>
    <n v="4"/>
    <x v="3"/>
    <x v="10"/>
    <x v="10"/>
    <x v="3"/>
    <x v="2"/>
  </r>
  <r>
    <s v="AX10965"/>
    <s v="ENX2018"/>
    <s v="A124"/>
    <s v="EMP1016"/>
    <s v="C1370"/>
    <x v="448"/>
    <n v="1"/>
    <n v="1972"/>
    <n v="1321"/>
    <n v="1321"/>
    <n v="1972"/>
    <n v="651"/>
    <s v="Product 19"/>
    <x v="67"/>
    <s v="Henry Nelson"/>
    <x v="341"/>
    <n v="4"/>
    <x v="3"/>
    <x v="10"/>
    <x v="10"/>
    <x v="3"/>
    <x v="2"/>
  </r>
  <r>
    <s v="AX11014"/>
    <s v="ENX2081"/>
    <s v="A160"/>
    <s v="EMP1040"/>
    <s v="C1734"/>
    <x v="450"/>
    <n v="2"/>
    <n v="1566"/>
    <n v="1190"/>
    <n v="2380"/>
    <n v="3132"/>
    <n v="752"/>
    <s v="Product 82"/>
    <x v="9"/>
    <s v="Patrick Ruiz"/>
    <x v="658"/>
    <n v="4"/>
    <x v="3"/>
    <x v="10"/>
    <x v="10"/>
    <x v="3"/>
    <x v="2"/>
  </r>
  <r>
    <s v="AX11771"/>
    <s v="ENX2072"/>
    <s v="A129"/>
    <s v="EMP1017"/>
    <s v="C1558"/>
    <x v="448"/>
    <n v="2"/>
    <n v="1887"/>
    <n v="1378"/>
    <n v="2756"/>
    <n v="3774"/>
    <n v="1018"/>
    <s v="Product 73"/>
    <x v="22"/>
    <s v="Brian Hansen"/>
    <x v="170"/>
    <n v="4"/>
    <x v="3"/>
    <x v="10"/>
    <x v="10"/>
    <x v="3"/>
    <x v="2"/>
  </r>
  <r>
    <s v="AX11843"/>
    <s v="ENX2023"/>
    <s v="A173"/>
    <s v="EMP1027"/>
    <s v="C1342"/>
    <x v="450"/>
    <n v="3"/>
    <n v="818"/>
    <n v="450"/>
    <n v="1350"/>
    <n v="2454"/>
    <n v="1104"/>
    <s v="Product 24"/>
    <x v="25"/>
    <s v="Gary Rodriguez"/>
    <x v="62"/>
    <n v="4"/>
    <x v="3"/>
    <x v="10"/>
    <x v="10"/>
    <x v="3"/>
    <x v="2"/>
  </r>
  <r>
    <s v="AX12409"/>
    <s v="ENX2056"/>
    <s v="A116"/>
    <s v="EMP1035"/>
    <s v="C1574"/>
    <x v="450"/>
    <n v="1"/>
    <n v="1635"/>
    <n v="1046"/>
    <n v="1046"/>
    <n v="1635"/>
    <n v="589"/>
    <s v="Product 57"/>
    <x v="15"/>
    <s v="Roger Ramos"/>
    <x v="521"/>
    <n v="4"/>
    <x v="3"/>
    <x v="10"/>
    <x v="10"/>
    <x v="3"/>
    <x v="2"/>
  </r>
  <r>
    <s v="AX12568"/>
    <s v="ENX2085"/>
    <s v="A145"/>
    <s v="EMP1018"/>
    <s v="C1465"/>
    <x v="447"/>
    <n v="1"/>
    <n v="1862"/>
    <n v="1173"/>
    <n v="1173"/>
    <n v="1862"/>
    <n v="689"/>
    <s v="Product 86"/>
    <x v="35"/>
    <s v="Jimmy Young"/>
    <x v="88"/>
    <n v="4"/>
    <x v="3"/>
    <x v="10"/>
    <x v="10"/>
    <x v="3"/>
    <x v="2"/>
  </r>
  <r>
    <s v="AX12708"/>
    <s v="ENX2026"/>
    <s v="A136"/>
    <s v="EMP1009"/>
    <s v="C1782"/>
    <x v="447"/>
    <n v="2"/>
    <n v="947"/>
    <n v="786"/>
    <n v="1572"/>
    <n v="1894"/>
    <n v="322"/>
    <s v="Product 27"/>
    <x v="43"/>
    <s v="Kenneth Fields"/>
    <x v="607"/>
    <n v="4"/>
    <x v="3"/>
    <x v="10"/>
    <x v="10"/>
    <x v="3"/>
    <x v="2"/>
  </r>
  <r>
    <s v="AX12863"/>
    <s v="ENX2040"/>
    <s v="A108"/>
    <s v="EMP1034"/>
    <s v="C1147"/>
    <x v="447"/>
    <n v="2"/>
    <n v="1889"/>
    <n v="945"/>
    <n v="1890"/>
    <n v="3778"/>
    <n v="1888"/>
    <s v="Product 41"/>
    <x v="49"/>
    <s v="Arthur Mccoy"/>
    <x v="427"/>
    <n v="4"/>
    <x v="3"/>
    <x v="10"/>
    <x v="10"/>
    <x v="3"/>
    <x v="2"/>
  </r>
  <r>
    <s v="AX13066"/>
    <s v="ENX2096"/>
    <s v="A148"/>
    <s v="EMP1005"/>
    <s v="C1452"/>
    <x v="447"/>
    <n v="1"/>
    <n v="1587"/>
    <n v="1301"/>
    <n v="1301"/>
    <n v="1587"/>
    <n v="286"/>
    <s v="Product 97"/>
    <x v="62"/>
    <s v="Ryan Welch"/>
    <x v="234"/>
    <n v="4"/>
    <x v="3"/>
    <x v="10"/>
    <x v="10"/>
    <x v="3"/>
    <x v="2"/>
  </r>
  <r>
    <s v="AX13487"/>
    <s v="ENX2035"/>
    <s v="A173"/>
    <s v="EMP1003"/>
    <s v="C1654"/>
    <x v="448"/>
    <n v="1"/>
    <n v="458"/>
    <n v="376"/>
    <n v="376"/>
    <n v="458"/>
    <n v="82"/>
    <s v="Product 36"/>
    <x v="25"/>
    <s v="Christopher Tucker"/>
    <x v="351"/>
    <n v="4"/>
    <x v="3"/>
    <x v="10"/>
    <x v="10"/>
    <x v="3"/>
    <x v="2"/>
  </r>
  <r>
    <s v="AX13501"/>
    <s v="ENX2097"/>
    <s v="A130"/>
    <s v="EMP1018"/>
    <s v="C1570"/>
    <x v="449"/>
    <n v="4"/>
    <n v="1052"/>
    <n v="589"/>
    <n v="2356"/>
    <n v="4208"/>
    <n v="1852"/>
    <s v="Product 98"/>
    <x v="4"/>
    <s v="Jimmy Young"/>
    <x v="695"/>
    <n v="4"/>
    <x v="3"/>
    <x v="10"/>
    <x v="10"/>
    <x v="3"/>
    <x v="2"/>
  </r>
  <r>
    <s v="AX13509"/>
    <s v="ENX2035"/>
    <s v="A102"/>
    <s v="EMP1028"/>
    <s v="C1786"/>
    <x v="447"/>
    <n v="3"/>
    <n v="458"/>
    <n v="376"/>
    <n v="1128"/>
    <n v="1374"/>
    <n v="246"/>
    <s v="Product 36"/>
    <x v="44"/>
    <s v="Howard Sims"/>
    <x v="406"/>
    <n v="4"/>
    <x v="3"/>
    <x v="10"/>
    <x v="10"/>
    <x v="3"/>
    <x v="2"/>
  </r>
  <r>
    <s v="AX13897"/>
    <s v="ENX2034"/>
    <s v="A125"/>
    <s v="EMP1031"/>
    <s v="C1566"/>
    <x v="447"/>
    <n v="3"/>
    <n v="871"/>
    <n v="540"/>
    <n v="1620"/>
    <n v="2613"/>
    <n v="993"/>
    <s v="Product 35"/>
    <x v="31"/>
    <s v="Brian Thomas"/>
    <x v="45"/>
    <n v="4"/>
    <x v="3"/>
    <x v="10"/>
    <x v="10"/>
    <x v="3"/>
    <x v="2"/>
  </r>
  <r>
    <s v="AX14464"/>
    <s v="ENX2051"/>
    <s v="A137"/>
    <s v="EMP1026"/>
    <s v="C1680"/>
    <x v="448"/>
    <n v="4"/>
    <n v="1077"/>
    <n v="732"/>
    <n v="2928"/>
    <n v="4308"/>
    <n v="1380"/>
    <s v="Product 52"/>
    <x v="68"/>
    <s v="Martin Perry"/>
    <x v="797"/>
    <n v="4"/>
    <x v="3"/>
    <x v="10"/>
    <x v="10"/>
    <x v="3"/>
    <x v="2"/>
  </r>
  <r>
    <s v="AX15164"/>
    <s v="ENX2057"/>
    <s v="A133"/>
    <s v="EMP1014"/>
    <s v="C1322"/>
    <x v="448"/>
    <n v="1"/>
    <n v="181"/>
    <n v="130"/>
    <n v="130"/>
    <n v="181"/>
    <n v="51"/>
    <s v="Product 58"/>
    <x v="46"/>
    <s v="Ronald Reed"/>
    <x v="604"/>
    <n v="4"/>
    <x v="3"/>
    <x v="10"/>
    <x v="10"/>
    <x v="3"/>
    <x v="2"/>
  </r>
  <r>
    <s v="AX15264"/>
    <s v="ENX2055"/>
    <s v="A167"/>
    <s v="EMP1006"/>
    <s v="C1646"/>
    <x v="450"/>
    <n v="1"/>
    <n v="2495"/>
    <n v="1896"/>
    <n v="1896"/>
    <n v="2495"/>
    <n v="599"/>
    <s v="Product 56"/>
    <x v="64"/>
    <s v="Sean Miller"/>
    <x v="789"/>
    <n v="4"/>
    <x v="3"/>
    <x v="10"/>
    <x v="10"/>
    <x v="3"/>
    <x v="2"/>
  </r>
  <r>
    <s v="AX15424"/>
    <s v="ENX2032"/>
    <s v="A154"/>
    <s v="EMP1019"/>
    <s v="C1732"/>
    <x v="448"/>
    <n v="3"/>
    <n v="1967"/>
    <n v="1397"/>
    <n v="4191"/>
    <n v="5901"/>
    <n v="1710"/>
    <s v="Product 33"/>
    <x v="24"/>
    <s v="Roger Robertson"/>
    <x v="136"/>
    <n v="4"/>
    <x v="3"/>
    <x v="10"/>
    <x v="10"/>
    <x v="3"/>
    <x v="2"/>
  </r>
  <r>
    <s v="AX15880"/>
    <s v="ENX2014"/>
    <s v="A100"/>
    <s v="EMP1000"/>
    <s v="C1207"/>
    <x v="450"/>
    <n v="2"/>
    <n v="1809"/>
    <n v="1067"/>
    <n v="2134"/>
    <n v="3618"/>
    <n v="1484"/>
    <s v="Product 15"/>
    <x v="52"/>
    <s v="Fred Robertson"/>
    <x v="694"/>
    <n v="4"/>
    <x v="3"/>
    <x v="10"/>
    <x v="10"/>
    <x v="3"/>
    <x v="2"/>
  </r>
  <r>
    <s v="AX16360"/>
    <s v="ENX2047"/>
    <s v="A142"/>
    <s v="EMP1006"/>
    <s v="C1781"/>
    <x v="449"/>
    <n v="3"/>
    <n v="290"/>
    <n v="200"/>
    <n v="600"/>
    <n v="870"/>
    <n v="270"/>
    <s v="Product 48"/>
    <x v="56"/>
    <s v="Sean Miller"/>
    <x v="606"/>
    <n v="4"/>
    <x v="3"/>
    <x v="10"/>
    <x v="10"/>
    <x v="3"/>
    <x v="2"/>
  </r>
  <r>
    <s v="AX16775"/>
    <s v="ENX2068"/>
    <s v="A158"/>
    <s v="EMP1038"/>
    <s v="C1366"/>
    <x v="448"/>
    <n v="4"/>
    <n v="1500"/>
    <n v="900"/>
    <n v="3600"/>
    <n v="6000"/>
    <n v="2400"/>
    <s v="Product 69"/>
    <x v="58"/>
    <s v="Scott Mason"/>
    <x v="205"/>
    <n v="4"/>
    <x v="3"/>
    <x v="10"/>
    <x v="10"/>
    <x v="3"/>
    <x v="2"/>
  </r>
  <r>
    <s v="AX17147"/>
    <s v="ENX2049"/>
    <s v="A137"/>
    <s v="EMP1038"/>
    <s v="C1412"/>
    <x v="448"/>
    <n v="1"/>
    <n v="826"/>
    <n v="562"/>
    <n v="562"/>
    <n v="826"/>
    <n v="264"/>
    <s v="Product 50"/>
    <x v="68"/>
    <s v="Scott Mason"/>
    <x v="460"/>
    <n v="4"/>
    <x v="3"/>
    <x v="10"/>
    <x v="10"/>
    <x v="3"/>
    <x v="2"/>
  </r>
  <r>
    <s v="AX17225"/>
    <s v="ENX2034"/>
    <s v="A161"/>
    <s v="EMP1012"/>
    <s v="C1003"/>
    <x v="449"/>
    <n v="2"/>
    <n v="871"/>
    <n v="540"/>
    <n v="1080"/>
    <n v="1742"/>
    <n v="662"/>
    <s v="Product 35"/>
    <x v="6"/>
    <s v="John Reyes"/>
    <x v="494"/>
    <n v="4"/>
    <x v="3"/>
    <x v="10"/>
    <x v="10"/>
    <x v="3"/>
    <x v="2"/>
  </r>
  <r>
    <s v="AX17539"/>
    <s v="ENX2026"/>
    <s v="A134"/>
    <s v="EMP1021"/>
    <s v="C1159"/>
    <x v="450"/>
    <n v="1"/>
    <n v="947"/>
    <n v="786"/>
    <n v="786"/>
    <n v="947"/>
    <n v="161"/>
    <s v="Product 27"/>
    <x v="41"/>
    <s v="Clarence Fox"/>
    <x v="793"/>
    <n v="4"/>
    <x v="3"/>
    <x v="10"/>
    <x v="10"/>
    <x v="3"/>
    <x v="2"/>
  </r>
  <r>
    <s v="AX17711"/>
    <s v="ENX2063"/>
    <s v="A134"/>
    <s v="EMP1008"/>
    <s v="C1696"/>
    <x v="449"/>
    <n v="1"/>
    <n v="1708"/>
    <n v="871"/>
    <n v="871"/>
    <n v="1708"/>
    <n v="837"/>
    <s v="Product 64"/>
    <x v="41"/>
    <s v="Carl Elliott"/>
    <x v="436"/>
    <n v="4"/>
    <x v="3"/>
    <x v="10"/>
    <x v="10"/>
    <x v="3"/>
    <x v="2"/>
  </r>
  <r>
    <s v="AX18017"/>
    <s v="ENX2061"/>
    <s v="A122"/>
    <s v="EMP1038"/>
    <s v="C1338"/>
    <x v="450"/>
    <n v="3"/>
    <n v="913"/>
    <n v="584"/>
    <n v="1752"/>
    <n v="2739"/>
    <n v="987"/>
    <s v="Product 62"/>
    <x v="71"/>
    <s v="Scott Mason"/>
    <x v="542"/>
    <n v="4"/>
    <x v="3"/>
    <x v="10"/>
    <x v="10"/>
    <x v="3"/>
    <x v="2"/>
  </r>
  <r>
    <s v="AX18477"/>
    <s v="ENX2042"/>
    <s v="A168"/>
    <s v="EMP1008"/>
    <s v="C1789"/>
    <x v="447"/>
    <n v="1"/>
    <n v="203"/>
    <n v="154"/>
    <n v="154"/>
    <n v="203"/>
    <n v="49"/>
    <s v="Product 43"/>
    <x v="40"/>
    <s v="Carl Elliott"/>
    <x v="701"/>
    <n v="4"/>
    <x v="3"/>
    <x v="10"/>
    <x v="10"/>
    <x v="3"/>
    <x v="2"/>
  </r>
  <r>
    <s v="AX18616"/>
    <s v="ENX2002"/>
    <s v="A138"/>
    <s v="EMP1012"/>
    <s v="C1580"/>
    <x v="450"/>
    <n v="4"/>
    <n v="847"/>
    <n v="534"/>
    <n v="2136"/>
    <n v="3388"/>
    <n v="1252"/>
    <s v="Product 3"/>
    <x v="37"/>
    <s v="John Reyes"/>
    <x v="617"/>
    <n v="4"/>
    <x v="3"/>
    <x v="10"/>
    <x v="10"/>
    <x v="3"/>
    <x v="2"/>
  </r>
  <r>
    <s v="AX18949"/>
    <s v="ENX2066"/>
    <s v="A110"/>
    <s v="EMP1030"/>
    <s v="C1626"/>
    <x v="449"/>
    <n v="1"/>
    <n v="2091"/>
    <n v="1485"/>
    <n v="1485"/>
    <n v="2091"/>
    <n v="606"/>
    <s v="Product 67"/>
    <x v="63"/>
    <s v="Bobby Russell"/>
    <x v="153"/>
    <n v="4"/>
    <x v="3"/>
    <x v="10"/>
    <x v="10"/>
    <x v="3"/>
    <x v="2"/>
  </r>
  <r>
    <s v="AX19179"/>
    <s v="ENX2026"/>
    <s v="A119"/>
    <s v="EMP1038"/>
    <s v="C1168"/>
    <x v="449"/>
    <n v="1"/>
    <n v="947"/>
    <n v="786"/>
    <n v="786"/>
    <n v="947"/>
    <n v="161"/>
    <s v="Product 27"/>
    <x v="16"/>
    <s v="Scott Mason"/>
    <x v="532"/>
    <n v="4"/>
    <x v="3"/>
    <x v="10"/>
    <x v="10"/>
    <x v="3"/>
    <x v="2"/>
  </r>
  <r>
    <s v="AX19325"/>
    <s v="ENX2046"/>
    <s v="A146"/>
    <s v="EMP1013"/>
    <s v="C1021"/>
    <x v="447"/>
    <n v="3"/>
    <n v="2410"/>
    <n v="1518"/>
    <n v="4554"/>
    <n v="7230"/>
    <n v="2676"/>
    <s v="Product 47"/>
    <x v="27"/>
    <s v="Charles Harper"/>
    <x v="246"/>
    <n v="4"/>
    <x v="3"/>
    <x v="10"/>
    <x v="10"/>
    <x v="3"/>
    <x v="2"/>
  </r>
  <r>
    <s v="AX20140"/>
    <s v="ENX2093"/>
    <s v="A101"/>
    <s v="EMP1028"/>
    <s v="C1785"/>
    <x v="449"/>
    <n v="1"/>
    <n v="112"/>
    <n v="90"/>
    <n v="90"/>
    <n v="112"/>
    <n v="22"/>
    <s v="Product 94"/>
    <x v="60"/>
    <s v="Howard Sims"/>
    <x v="107"/>
    <n v="4"/>
    <x v="3"/>
    <x v="10"/>
    <x v="10"/>
    <x v="3"/>
    <x v="2"/>
  </r>
  <r>
    <s v="AX20221"/>
    <s v="ENX2100"/>
    <s v="A149"/>
    <s v="EMP1009"/>
    <s v="C1548"/>
    <x v="448"/>
    <n v="1"/>
    <n v="799"/>
    <n v="455"/>
    <n v="455"/>
    <n v="799"/>
    <n v="344"/>
    <s v="Product 101"/>
    <x v="59"/>
    <s v="Kenneth Fields"/>
    <x v="241"/>
    <n v="4"/>
    <x v="3"/>
    <x v="10"/>
    <x v="10"/>
    <x v="3"/>
    <x v="2"/>
  </r>
  <r>
    <s v="AX20389"/>
    <s v="ENX2081"/>
    <s v="A143"/>
    <s v="EMP1012"/>
    <s v="C1607"/>
    <x v="447"/>
    <n v="1"/>
    <n v="1566"/>
    <n v="1190"/>
    <n v="1190"/>
    <n v="1566"/>
    <n v="376"/>
    <s v="Product 82"/>
    <x v="39"/>
    <s v="John Reyes"/>
    <x v="211"/>
    <n v="4"/>
    <x v="3"/>
    <x v="10"/>
    <x v="10"/>
    <x v="3"/>
    <x v="2"/>
  </r>
  <r>
    <s v="AX20449"/>
    <s v="ENX2091"/>
    <s v="A134"/>
    <s v="EMP1011"/>
    <s v="C1142"/>
    <x v="447"/>
    <n v="1"/>
    <n v="368"/>
    <n v="294"/>
    <n v="294"/>
    <n v="368"/>
    <n v="74"/>
    <s v="Product 92"/>
    <x v="41"/>
    <s v="Larry Marshall"/>
    <x v="731"/>
    <n v="4"/>
    <x v="3"/>
    <x v="10"/>
    <x v="10"/>
    <x v="3"/>
    <x v="2"/>
  </r>
  <r>
    <s v="AX20515"/>
    <s v="ENX2052"/>
    <s v="A123"/>
    <s v="EMP1021"/>
    <s v="C1595"/>
    <x v="450"/>
    <n v="1"/>
    <n v="1526"/>
    <n v="1251"/>
    <n v="1251"/>
    <n v="1526"/>
    <n v="275"/>
    <s v="Product 53"/>
    <x v="34"/>
    <s v="Clarence Fox"/>
    <x v="372"/>
    <n v="4"/>
    <x v="3"/>
    <x v="10"/>
    <x v="10"/>
    <x v="3"/>
    <x v="2"/>
  </r>
  <r>
    <s v="AX20607"/>
    <s v="ENX2027"/>
    <s v="A143"/>
    <s v="EMP1041"/>
    <s v="C1070"/>
    <x v="449"/>
    <n v="1"/>
    <n v="2497"/>
    <n v="1473"/>
    <n v="1473"/>
    <n v="2497"/>
    <n v="1024"/>
    <s v="Product 28"/>
    <x v="39"/>
    <s v="Joe Sims"/>
    <x v="48"/>
    <n v="4"/>
    <x v="3"/>
    <x v="10"/>
    <x v="10"/>
    <x v="3"/>
    <x v="2"/>
  </r>
  <r>
    <s v="AX20831"/>
    <s v="ENX2042"/>
    <s v="A116"/>
    <s v="EMP1033"/>
    <s v="C1694"/>
    <x v="448"/>
    <n v="3"/>
    <n v="203"/>
    <n v="154"/>
    <n v="462"/>
    <n v="609"/>
    <n v="147"/>
    <s v="Product 43"/>
    <x v="15"/>
    <s v="Jerry Perry"/>
    <x v="506"/>
    <n v="4"/>
    <x v="3"/>
    <x v="10"/>
    <x v="10"/>
    <x v="3"/>
    <x v="2"/>
  </r>
  <r>
    <s v="AX20896"/>
    <s v="ENX2032"/>
    <s v="A155"/>
    <s v="EMP1043"/>
    <s v="C1424"/>
    <x v="447"/>
    <n v="2"/>
    <n v="1967"/>
    <n v="1397"/>
    <n v="2794"/>
    <n v="3934"/>
    <n v="1140"/>
    <s v="Product 33"/>
    <x v="53"/>
    <s v="Joshua Taylor"/>
    <x v="791"/>
    <n v="4"/>
    <x v="3"/>
    <x v="10"/>
    <x v="10"/>
    <x v="3"/>
    <x v="2"/>
  </r>
  <r>
    <s v="AX21028"/>
    <s v="ENX2011"/>
    <s v="A108"/>
    <s v="EMP1007"/>
    <s v="C1369"/>
    <x v="447"/>
    <n v="4"/>
    <n v="530"/>
    <n v="435"/>
    <n v="1740"/>
    <n v="2120"/>
    <n v="380"/>
    <s v="Product 12"/>
    <x v="49"/>
    <s v="Jeremy Mendoza"/>
    <x v="126"/>
    <n v="4"/>
    <x v="3"/>
    <x v="10"/>
    <x v="10"/>
    <x v="3"/>
    <x v="2"/>
  </r>
  <r>
    <s v="AX21041"/>
    <s v="ENX2008"/>
    <s v="A157"/>
    <s v="EMP1009"/>
    <s v="C1707"/>
    <x v="448"/>
    <n v="1"/>
    <n v="315"/>
    <n v="208"/>
    <n v="208"/>
    <n v="315"/>
    <n v="107"/>
    <s v="Product 9"/>
    <x v="7"/>
    <s v="Kenneth Fields"/>
    <x v="192"/>
    <n v="4"/>
    <x v="3"/>
    <x v="10"/>
    <x v="10"/>
    <x v="3"/>
    <x v="2"/>
  </r>
  <r>
    <s v="AX21372"/>
    <s v="ENX2083"/>
    <s v="A144"/>
    <s v="EMP1016"/>
    <s v="C1648"/>
    <x v="449"/>
    <n v="1"/>
    <n v="2141"/>
    <n v="1777"/>
    <n v="1777"/>
    <n v="2141"/>
    <n v="364"/>
    <s v="Product 84"/>
    <x v="65"/>
    <s v="Henry Nelson"/>
    <x v="430"/>
    <n v="4"/>
    <x v="3"/>
    <x v="10"/>
    <x v="10"/>
    <x v="3"/>
    <x v="2"/>
  </r>
  <r>
    <s v="AX21848"/>
    <s v="ENX2074"/>
    <s v="A101"/>
    <s v="EMP1016"/>
    <s v="C1489"/>
    <x v="449"/>
    <n v="4"/>
    <n v="504"/>
    <n v="408"/>
    <n v="1632"/>
    <n v="2016"/>
    <n v="384"/>
    <s v="Product 75"/>
    <x v="60"/>
    <s v="Henry Nelson"/>
    <x v="19"/>
    <n v="4"/>
    <x v="3"/>
    <x v="10"/>
    <x v="10"/>
    <x v="3"/>
    <x v="2"/>
  </r>
  <r>
    <s v="AX21933"/>
    <s v="ENX2081"/>
    <s v="A121"/>
    <s v="EMP1024"/>
    <s v="C1647"/>
    <x v="447"/>
    <n v="2"/>
    <n v="1566"/>
    <n v="1190"/>
    <n v="2380"/>
    <n v="3132"/>
    <n v="752"/>
    <s v="Product 82"/>
    <x v="72"/>
    <s v="Ernest Wheeler"/>
    <x v="318"/>
    <n v="4"/>
    <x v="3"/>
    <x v="10"/>
    <x v="10"/>
    <x v="3"/>
    <x v="2"/>
  </r>
  <r>
    <s v="AX22264"/>
    <s v="ENX2060"/>
    <s v="A144"/>
    <s v="EMP1018"/>
    <s v="C1028"/>
    <x v="447"/>
    <n v="1"/>
    <n v="1467"/>
    <n v="807"/>
    <n v="807"/>
    <n v="1467"/>
    <n v="660"/>
    <s v="Product 61"/>
    <x v="65"/>
    <s v="Jimmy Young"/>
    <x v="135"/>
    <n v="4"/>
    <x v="3"/>
    <x v="10"/>
    <x v="10"/>
    <x v="3"/>
    <x v="2"/>
  </r>
  <r>
    <s v="AX22272"/>
    <s v="ENX2023"/>
    <s v="A102"/>
    <s v="EMP1003"/>
    <s v="C1075"/>
    <x v="449"/>
    <n v="4"/>
    <n v="818"/>
    <n v="450"/>
    <n v="1800"/>
    <n v="3272"/>
    <n v="1472"/>
    <s v="Product 24"/>
    <x v="44"/>
    <s v="Christopher Tucker"/>
    <x v="594"/>
    <n v="4"/>
    <x v="3"/>
    <x v="10"/>
    <x v="10"/>
    <x v="3"/>
    <x v="2"/>
  </r>
  <r>
    <s v="AX22275"/>
    <s v="ENX2065"/>
    <s v="A154"/>
    <s v="EMP1009"/>
    <s v="C1742"/>
    <x v="447"/>
    <n v="1"/>
    <n v="2396"/>
    <n v="1965"/>
    <n v="1965"/>
    <n v="2396"/>
    <n v="431"/>
    <s v="Product 66"/>
    <x v="24"/>
    <s v="Kenneth Fields"/>
    <x v="434"/>
    <n v="4"/>
    <x v="3"/>
    <x v="10"/>
    <x v="10"/>
    <x v="3"/>
    <x v="2"/>
  </r>
  <r>
    <s v="AX22366"/>
    <s v="ENX2008"/>
    <s v="A133"/>
    <s v="EMP1009"/>
    <s v="C1479"/>
    <x v="450"/>
    <n v="3"/>
    <n v="315"/>
    <n v="208"/>
    <n v="624"/>
    <n v="945"/>
    <n v="321"/>
    <s v="Product 9"/>
    <x v="46"/>
    <s v="Kenneth Fields"/>
    <x v="385"/>
    <n v="4"/>
    <x v="3"/>
    <x v="10"/>
    <x v="10"/>
    <x v="3"/>
    <x v="2"/>
  </r>
  <r>
    <s v="AX23074"/>
    <s v="ENX2063"/>
    <s v="A150"/>
    <s v="EMP1044"/>
    <s v="C1554"/>
    <x v="448"/>
    <n v="1"/>
    <n v="1708"/>
    <n v="871"/>
    <n v="871"/>
    <n v="1708"/>
    <n v="837"/>
    <s v="Product 64"/>
    <x v="30"/>
    <s v="Martin Carr"/>
    <x v="516"/>
    <n v="4"/>
    <x v="3"/>
    <x v="10"/>
    <x v="10"/>
    <x v="3"/>
    <x v="2"/>
  </r>
  <r>
    <s v="AX23095"/>
    <s v="ENX2016"/>
    <s v="A139"/>
    <s v="EMP1025"/>
    <s v="C1383"/>
    <x v="447"/>
    <n v="1"/>
    <n v="1351"/>
    <n v="1108"/>
    <n v="1108"/>
    <n v="1351"/>
    <n v="243"/>
    <s v="Product 17"/>
    <x v="38"/>
    <s v="Ernest Wagner"/>
    <x v="508"/>
    <n v="4"/>
    <x v="3"/>
    <x v="10"/>
    <x v="10"/>
    <x v="3"/>
    <x v="2"/>
  </r>
  <r>
    <s v="AX23233"/>
    <s v="ENX2091"/>
    <s v="A100"/>
    <s v="EMP1036"/>
    <s v="C1472"/>
    <x v="447"/>
    <n v="1"/>
    <n v="368"/>
    <n v="294"/>
    <n v="294"/>
    <n v="368"/>
    <n v="74"/>
    <s v="Product 92"/>
    <x v="52"/>
    <s v="Robert Reed"/>
    <x v="626"/>
    <n v="4"/>
    <x v="3"/>
    <x v="10"/>
    <x v="10"/>
    <x v="3"/>
    <x v="2"/>
  </r>
  <r>
    <s v="AX23431"/>
    <s v="ENX2040"/>
    <s v="A139"/>
    <s v="EMP1024"/>
    <s v="C1443"/>
    <x v="448"/>
    <n v="1"/>
    <n v="1889"/>
    <n v="945"/>
    <n v="945"/>
    <n v="1889"/>
    <n v="944"/>
    <s v="Product 41"/>
    <x v="38"/>
    <s v="Ernest Wheeler"/>
    <x v="683"/>
    <n v="4"/>
    <x v="3"/>
    <x v="10"/>
    <x v="10"/>
    <x v="3"/>
    <x v="2"/>
  </r>
  <r>
    <s v="AX24089"/>
    <s v="ENX2037"/>
    <s v="A124"/>
    <s v="EMP1038"/>
    <s v="C1455"/>
    <x v="449"/>
    <n v="4"/>
    <n v="880"/>
    <n v="634"/>
    <n v="2536"/>
    <n v="3520"/>
    <n v="984"/>
    <s v="Product 38"/>
    <x v="67"/>
    <s v="Scott Mason"/>
    <x v="47"/>
    <n v="4"/>
    <x v="3"/>
    <x v="10"/>
    <x v="10"/>
    <x v="3"/>
    <x v="2"/>
  </r>
  <r>
    <s v="AX24262"/>
    <s v="ENX2058"/>
    <s v="A121"/>
    <s v="EMP1019"/>
    <s v="C1609"/>
    <x v="449"/>
    <n v="1"/>
    <n v="2257"/>
    <n v="1535"/>
    <n v="1535"/>
    <n v="2257"/>
    <n v="722"/>
    <s v="Product 59"/>
    <x v="72"/>
    <s v="Roger Robertson"/>
    <x v="757"/>
    <n v="4"/>
    <x v="3"/>
    <x v="10"/>
    <x v="10"/>
    <x v="3"/>
    <x v="2"/>
  </r>
  <r>
    <s v="AX24401"/>
    <s v="ENX2078"/>
    <s v="A131"/>
    <s v="EMP1005"/>
    <s v="C1754"/>
    <x v="449"/>
    <n v="1"/>
    <n v="1798"/>
    <n v="971"/>
    <n v="971"/>
    <n v="1798"/>
    <n v="827"/>
    <s v="Product 79"/>
    <x v="32"/>
    <s v="Ryan Welch"/>
    <x v="742"/>
    <n v="4"/>
    <x v="3"/>
    <x v="10"/>
    <x v="10"/>
    <x v="3"/>
    <x v="2"/>
  </r>
  <r>
    <s v="AX24974"/>
    <s v="ENX2088"/>
    <s v="A167"/>
    <s v="EMP1037"/>
    <s v="C1498"/>
    <x v="448"/>
    <n v="2"/>
    <n v="603"/>
    <n v="416"/>
    <n v="832"/>
    <n v="1206"/>
    <n v="374"/>
    <s v="Product 89"/>
    <x v="64"/>
    <s v="Carl Hall"/>
    <x v="10"/>
    <n v="4"/>
    <x v="3"/>
    <x v="10"/>
    <x v="10"/>
    <x v="3"/>
    <x v="2"/>
  </r>
  <r>
    <s v="AX10204"/>
    <s v="ENX2018"/>
    <s v="A112"/>
    <s v="EMP1030"/>
    <s v="C1214"/>
    <x v="451"/>
    <n v="1"/>
    <n v="1972"/>
    <n v="1321"/>
    <n v="1321"/>
    <n v="1972"/>
    <n v="651"/>
    <s v="Product 19"/>
    <x v="66"/>
    <s v="Bobby Russell"/>
    <x v="262"/>
    <n v="4"/>
    <x v="3"/>
    <x v="11"/>
    <x v="11"/>
    <x v="3"/>
    <x v="0"/>
  </r>
  <r>
    <s v="AX10244"/>
    <s v="ENX2072"/>
    <s v="A168"/>
    <s v="EMP1002"/>
    <s v="C1702"/>
    <x v="452"/>
    <n v="1"/>
    <n v="1887"/>
    <n v="1378"/>
    <n v="1378"/>
    <n v="1887"/>
    <n v="509"/>
    <s v="Product 73"/>
    <x v="40"/>
    <s v="Andrew Bowman"/>
    <x v="70"/>
    <n v="4"/>
    <x v="3"/>
    <x v="11"/>
    <x v="11"/>
    <x v="3"/>
    <x v="0"/>
  </r>
  <r>
    <s v="AX10251"/>
    <s v="ENX2040"/>
    <s v="A116"/>
    <s v="EMP1012"/>
    <s v="C1631"/>
    <x v="451"/>
    <n v="3"/>
    <n v="1889"/>
    <n v="945"/>
    <n v="2835"/>
    <n v="5667"/>
    <n v="2832"/>
    <s v="Product 41"/>
    <x v="15"/>
    <s v="John Reyes"/>
    <x v="659"/>
    <n v="4"/>
    <x v="3"/>
    <x v="11"/>
    <x v="11"/>
    <x v="3"/>
    <x v="0"/>
  </r>
  <r>
    <s v="AX11297"/>
    <s v="ENX2069"/>
    <s v="A118"/>
    <s v="EMP1006"/>
    <s v="C1575"/>
    <x v="451"/>
    <n v="4"/>
    <n v="378"/>
    <n v="291"/>
    <n v="1164"/>
    <n v="1512"/>
    <n v="348"/>
    <s v="Product 70"/>
    <x v="19"/>
    <s v="Sean Miller"/>
    <x v="99"/>
    <n v="4"/>
    <x v="3"/>
    <x v="11"/>
    <x v="11"/>
    <x v="3"/>
    <x v="0"/>
  </r>
  <r>
    <s v="AX11387"/>
    <s v="ENX2030"/>
    <s v="A134"/>
    <s v="EMP1028"/>
    <s v="C1084"/>
    <x v="453"/>
    <n v="4"/>
    <n v="1899"/>
    <n v="1044"/>
    <n v="4176"/>
    <n v="7596"/>
    <n v="3420"/>
    <s v="Product 31"/>
    <x v="41"/>
    <s v="Howard Sims"/>
    <x v="631"/>
    <n v="4"/>
    <x v="3"/>
    <x v="11"/>
    <x v="11"/>
    <x v="3"/>
    <x v="0"/>
  </r>
  <r>
    <s v="AX11822"/>
    <s v="ENX2031"/>
    <s v="A117"/>
    <s v="EMP1034"/>
    <s v="C1746"/>
    <x v="453"/>
    <n v="3"/>
    <n v="1638"/>
    <n v="1261"/>
    <n v="3783"/>
    <n v="4914"/>
    <n v="1131"/>
    <s v="Product 32"/>
    <x v="29"/>
    <s v="Arthur Mccoy"/>
    <x v="693"/>
    <n v="4"/>
    <x v="3"/>
    <x v="11"/>
    <x v="11"/>
    <x v="3"/>
    <x v="0"/>
  </r>
  <r>
    <s v="AX12142"/>
    <s v="ENX2088"/>
    <s v="A123"/>
    <s v="EMP1028"/>
    <s v="C1270"/>
    <x v="454"/>
    <n v="4"/>
    <n v="603"/>
    <n v="416"/>
    <n v="1664"/>
    <n v="2412"/>
    <n v="748"/>
    <s v="Product 89"/>
    <x v="34"/>
    <s v="Howard Sims"/>
    <x v="517"/>
    <n v="4"/>
    <x v="3"/>
    <x v="11"/>
    <x v="11"/>
    <x v="3"/>
    <x v="0"/>
  </r>
  <r>
    <s v="AX12162"/>
    <s v="ENX2011"/>
    <s v="A164"/>
    <s v="EMP1004"/>
    <s v="C1013"/>
    <x v="454"/>
    <n v="4"/>
    <n v="530"/>
    <n v="435"/>
    <n v="1740"/>
    <n v="2120"/>
    <n v="380"/>
    <s v="Product 12"/>
    <x v="3"/>
    <s v="Kenneth Bradley"/>
    <x v="431"/>
    <n v="4"/>
    <x v="3"/>
    <x v="11"/>
    <x v="11"/>
    <x v="3"/>
    <x v="0"/>
  </r>
  <r>
    <s v="AX12437"/>
    <s v="ENX2099"/>
    <s v="A167"/>
    <s v="EMP1002"/>
    <s v="C1021"/>
    <x v="452"/>
    <n v="1"/>
    <n v="1367"/>
    <n v="984"/>
    <n v="984"/>
    <n v="1367"/>
    <n v="383"/>
    <s v="Product 100"/>
    <x v="64"/>
    <s v="Andrew Bowman"/>
    <x v="246"/>
    <n v="4"/>
    <x v="3"/>
    <x v="11"/>
    <x v="11"/>
    <x v="3"/>
    <x v="0"/>
  </r>
  <r>
    <s v="AX12891"/>
    <s v="ENX2065"/>
    <s v="A164"/>
    <s v="EMP1002"/>
    <s v="C1215"/>
    <x v="453"/>
    <n v="1"/>
    <n v="2396"/>
    <n v="1965"/>
    <n v="1965"/>
    <n v="2396"/>
    <n v="431"/>
    <s v="Product 66"/>
    <x v="3"/>
    <s v="Andrew Bowman"/>
    <x v="650"/>
    <n v="4"/>
    <x v="3"/>
    <x v="11"/>
    <x v="11"/>
    <x v="3"/>
    <x v="0"/>
  </r>
  <r>
    <s v="AX12929"/>
    <s v="ENX2088"/>
    <s v="A127"/>
    <s v="EMP1033"/>
    <s v="C1192"/>
    <x v="451"/>
    <n v="3"/>
    <n v="603"/>
    <n v="416"/>
    <n v="1248"/>
    <n v="1809"/>
    <n v="561"/>
    <s v="Product 89"/>
    <x v="69"/>
    <s v="Jerry Perry"/>
    <x v="746"/>
    <n v="4"/>
    <x v="3"/>
    <x v="11"/>
    <x v="11"/>
    <x v="3"/>
    <x v="0"/>
  </r>
  <r>
    <s v="AX13259"/>
    <s v="ENX2073"/>
    <s v="A124"/>
    <s v="EMP1039"/>
    <s v="C1753"/>
    <x v="452"/>
    <n v="3"/>
    <n v="95"/>
    <n v="61"/>
    <n v="183"/>
    <n v="285"/>
    <n v="102"/>
    <s v="Product 74"/>
    <x v="67"/>
    <s v="Eugene Holmes"/>
    <x v="696"/>
    <n v="4"/>
    <x v="3"/>
    <x v="11"/>
    <x v="11"/>
    <x v="3"/>
    <x v="0"/>
  </r>
  <r>
    <s v="AX13429"/>
    <s v="ENX2048"/>
    <s v="A128"/>
    <s v="EMP1019"/>
    <s v="C1582"/>
    <x v="453"/>
    <n v="1"/>
    <n v="502"/>
    <n v="296"/>
    <n v="296"/>
    <n v="502"/>
    <n v="206"/>
    <s v="Product 49"/>
    <x v="12"/>
    <s v="Roger Robertson"/>
    <x v="259"/>
    <n v="4"/>
    <x v="3"/>
    <x v="11"/>
    <x v="11"/>
    <x v="3"/>
    <x v="0"/>
  </r>
  <r>
    <s v="AX13886"/>
    <s v="ENX2043"/>
    <s v="A164"/>
    <s v="EMP1000"/>
    <s v="C1590"/>
    <x v="451"/>
    <n v="1"/>
    <n v="545"/>
    <n v="425"/>
    <n v="425"/>
    <n v="545"/>
    <n v="120"/>
    <s v="Product 44"/>
    <x v="3"/>
    <s v="Fred Robertson"/>
    <x v="735"/>
    <n v="4"/>
    <x v="3"/>
    <x v="11"/>
    <x v="11"/>
    <x v="3"/>
    <x v="0"/>
  </r>
  <r>
    <s v="AX13911"/>
    <s v="ENX2005"/>
    <s v="A147"/>
    <s v="EMP1012"/>
    <s v="C1036"/>
    <x v="451"/>
    <n v="1"/>
    <n v="684"/>
    <n v="561"/>
    <n v="561"/>
    <n v="684"/>
    <n v="123"/>
    <s v="Product 6"/>
    <x v="42"/>
    <s v="John Reyes"/>
    <x v="256"/>
    <n v="4"/>
    <x v="3"/>
    <x v="11"/>
    <x v="11"/>
    <x v="3"/>
    <x v="0"/>
  </r>
  <r>
    <s v="AX13916"/>
    <s v="ENX2014"/>
    <s v="A135"/>
    <s v="EMP1021"/>
    <s v="C1658"/>
    <x v="455"/>
    <n v="2"/>
    <n v="1809"/>
    <n v="1067"/>
    <n v="2134"/>
    <n v="3618"/>
    <n v="1484"/>
    <s v="Product 15"/>
    <x v="10"/>
    <s v="Clarence Fox"/>
    <x v="612"/>
    <n v="4"/>
    <x v="3"/>
    <x v="11"/>
    <x v="11"/>
    <x v="3"/>
    <x v="0"/>
  </r>
  <r>
    <s v="AX14174"/>
    <s v="ENX2011"/>
    <s v="A165"/>
    <s v="EMP1001"/>
    <s v="C1041"/>
    <x v="452"/>
    <n v="3"/>
    <n v="530"/>
    <n v="435"/>
    <n v="1305"/>
    <n v="1590"/>
    <n v="285"/>
    <s v="Product 12"/>
    <x v="55"/>
    <s v="Kevin Butler"/>
    <x v="29"/>
    <n v="4"/>
    <x v="3"/>
    <x v="11"/>
    <x v="11"/>
    <x v="3"/>
    <x v="0"/>
  </r>
  <r>
    <s v="AX14328"/>
    <s v="ENX2079"/>
    <s v="A127"/>
    <s v="EMP1033"/>
    <s v="C1035"/>
    <x v="451"/>
    <n v="3"/>
    <n v="1725"/>
    <n v="1363"/>
    <n v="4089"/>
    <n v="5175"/>
    <n v="1086"/>
    <s v="Product 80"/>
    <x v="69"/>
    <s v="Jerry Perry"/>
    <x v="95"/>
    <n v="4"/>
    <x v="3"/>
    <x v="11"/>
    <x v="11"/>
    <x v="3"/>
    <x v="0"/>
  </r>
  <r>
    <s v="AX14726"/>
    <s v="ENX2042"/>
    <s v="A171"/>
    <s v="EMP1015"/>
    <s v="C1761"/>
    <x v="452"/>
    <n v="2"/>
    <n v="203"/>
    <n v="154"/>
    <n v="308"/>
    <n v="406"/>
    <n v="98"/>
    <s v="Product 43"/>
    <x v="0"/>
    <s v="Justin Lynch"/>
    <x v="618"/>
    <n v="4"/>
    <x v="3"/>
    <x v="11"/>
    <x v="11"/>
    <x v="3"/>
    <x v="0"/>
  </r>
  <r>
    <s v="AX14727"/>
    <s v="ENX2004"/>
    <s v="A153"/>
    <s v="EMP1017"/>
    <s v="C1504"/>
    <x v="454"/>
    <n v="1"/>
    <n v="1278"/>
    <n v="665"/>
    <n v="665"/>
    <n v="1278"/>
    <n v="613"/>
    <s v="Product 5"/>
    <x v="8"/>
    <s v="Brian Hansen"/>
    <x v="559"/>
    <n v="4"/>
    <x v="3"/>
    <x v="11"/>
    <x v="11"/>
    <x v="3"/>
    <x v="0"/>
  </r>
  <r>
    <s v="AX15008"/>
    <s v="ENX2039"/>
    <s v="A103"/>
    <s v="EMP1017"/>
    <s v="C1538"/>
    <x v="452"/>
    <n v="3"/>
    <n v="817"/>
    <n v="409"/>
    <n v="1227"/>
    <n v="2451"/>
    <n v="1224"/>
    <s v="Product 40"/>
    <x v="61"/>
    <s v="Brian Hansen"/>
    <x v="384"/>
    <n v="4"/>
    <x v="3"/>
    <x v="11"/>
    <x v="11"/>
    <x v="3"/>
    <x v="0"/>
  </r>
  <r>
    <s v="AX15091"/>
    <s v="ENX2073"/>
    <s v="A109"/>
    <s v="EMP1025"/>
    <s v="C1297"/>
    <x v="455"/>
    <n v="2"/>
    <n v="95"/>
    <n v="61"/>
    <n v="122"/>
    <n v="190"/>
    <n v="68"/>
    <s v="Product 74"/>
    <x v="57"/>
    <s v="Ernest Wagner"/>
    <x v="537"/>
    <n v="4"/>
    <x v="3"/>
    <x v="11"/>
    <x v="11"/>
    <x v="3"/>
    <x v="0"/>
  </r>
  <r>
    <s v="AX15291"/>
    <s v="ENX2067"/>
    <s v="A166"/>
    <s v="EMP1040"/>
    <s v="C1102"/>
    <x v="452"/>
    <n v="1"/>
    <n v="1119"/>
    <n v="683"/>
    <n v="683"/>
    <n v="1119"/>
    <n v="436"/>
    <s v="Product 68"/>
    <x v="70"/>
    <s v="Patrick Ruiz"/>
    <x v="766"/>
    <n v="4"/>
    <x v="3"/>
    <x v="11"/>
    <x v="11"/>
    <x v="3"/>
    <x v="0"/>
  </r>
  <r>
    <s v="AX15381"/>
    <s v="ENX2094"/>
    <s v="A118"/>
    <s v="EMP1004"/>
    <s v="C1364"/>
    <x v="454"/>
    <n v="2"/>
    <n v="771"/>
    <n v="648"/>
    <n v="1296"/>
    <n v="1542"/>
    <n v="246"/>
    <s v="Product 95"/>
    <x v="19"/>
    <s v="Kenneth Bradley"/>
    <x v="477"/>
    <n v="4"/>
    <x v="3"/>
    <x v="11"/>
    <x v="11"/>
    <x v="3"/>
    <x v="0"/>
  </r>
  <r>
    <s v="AX15385"/>
    <s v="ENX2092"/>
    <s v="A163"/>
    <s v="EMP1014"/>
    <s v="C1187"/>
    <x v="453"/>
    <n v="4"/>
    <n v="1639"/>
    <n v="1295"/>
    <n v="5180"/>
    <n v="6556"/>
    <n v="1376"/>
    <s v="Product 93"/>
    <x v="51"/>
    <s v="Ronald Reed"/>
    <x v="303"/>
    <n v="4"/>
    <x v="3"/>
    <x v="11"/>
    <x v="11"/>
    <x v="3"/>
    <x v="0"/>
  </r>
  <r>
    <s v="AX15815"/>
    <s v="ENX2009"/>
    <s v="A148"/>
    <s v="EMP1027"/>
    <s v="C1659"/>
    <x v="455"/>
    <n v="2"/>
    <n v="584"/>
    <n v="420"/>
    <n v="840"/>
    <n v="1168"/>
    <n v="328"/>
    <s v="Product 10"/>
    <x v="62"/>
    <s v="Gary Rodriguez"/>
    <x v="51"/>
    <n v="4"/>
    <x v="3"/>
    <x v="11"/>
    <x v="11"/>
    <x v="3"/>
    <x v="0"/>
  </r>
  <r>
    <s v="AX16327"/>
    <s v="ENX2035"/>
    <s v="A118"/>
    <s v="EMP1037"/>
    <s v="C1105"/>
    <x v="454"/>
    <n v="1"/>
    <n v="458"/>
    <n v="376"/>
    <n v="376"/>
    <n v="458"/>
    <n v="82"/>
    <s v="Product 36"/>
    <x v="19"/>
    <s v="Carl Hall"/>
    <x v="15"/>
    <n v="4"/>
    <x v="3"/>
    <x v="11"/>
    <x v="11"/>
    <x v="3"/>
    <x v="0"/>
  </r>
  <r>
    <s v="AX16733"/>
    <s v="ENX2096"/>
    <s v="A145"/>
    <s v="EMP1033"/>
    <s v="C1782"/>
    <x v="454"/>
    <n v="2"/>
    <n v="1587"/>
    <n v="1301"/>
    <n v="2602"/>
    <n v="3174"/>
    <n v="572"/>
    <s v="Product 97"/>
    <x v="35"/>
    <s v="Jerry Perry"/>
    <x v="607"/>
    <n v="4"/>
    <x v="3"/>
    <x v="11"/>
    <x v="11"/>
    <x v="3"/>
    <x v="0"/>
  </r>
  <r>
    <s v="AX16847"/>
    <s v="ENX2091"/>
    <s v="A110"/>
    <s v="EMP1029"/>
    <s v="C1770"/>
    <x v="451"/>
    <n v="1"/>
    <n v="368"/>
    <n v="294"/>
    <n v="294"/>
    <n v="368"/>
    <n v="74"/>
    <s v="Product 92"/>
    <x v="63"/>
    <s v="Howard Gardner"/>
    <x v="758"/>
    <n v="4"/>
    <x v="3"/>
    <x v="11"/>
    <x v="11"/>
    <x v="3"/>
    <x v="0"/>
  </r>
  <r>
    <s v="AX17752"/>
    <s v="ENX2003"/>
    <s v="A163"/>
    <s v="EMP1030"/>
    <s v="C1450"/>
    <x v="455"/>
    <n v="4"/>
    <n v="1783"/>
    <n v="1516"/>
    <n v="6064"/>
    <n v="7132"/>
    <n v="1068"/>
    <s v="Product 4"/>
    <x v="51"/>
    <s v="Bobby Russell"/>
    <x v="13"/>
    <n v="4"/>
    <x v="3"/>
    <x v="11"/>
    <x v="11"/>
    <x v="3"/>
    <x v="0"/>
  </r>
  <r>
    <s v="AX18421"/>
    <s v="ENX2067"/>
    <s v="A116"/>
    <s v="EMP1035"/>
    <s v="C1371"/>
    <x v="452"/>
    <n v="1"/>
    <n v="1119"/>
    <n v="683"/>
    <n v="683"/>
    <n v="1119"/>
    <n v="436"/>
    <s v="Product 68"/>
    <x v="15"/>
    <s v="Roger Ramos"/>
    <x v="180"/>
    <n v="4"/>
    <x v="3"/>
    <x v="11"/>
    <x v="11"/>
    <x v="3"/>
    <x v="0"/>
  </r>
  <r>
    <s v="AX18673"/>
    <s v="ENX2025"/>
    <s v="A147"/>
    <s v="EMP1011"/>
    <s v="C1396"/>
    <x v="452"/>
    <n v="1"/>
    <n v="667"/>
    <n v="387"/>
    <n v="387"/>
    <n v="667"/>
    <n v="280"/>
    <s v="Product 26"/>
    <x v="42"/>
    <s v="Larry Marshall"/>
    <x v="624"/>
    <n v="4"/>
    <x v="3"/>
    <x v="11"/>
    <x v="11"/>
    <x v="3"/>
    <x v="0"/>
  </r>
  <r>
    <s v="AX18814"/>
    <s v="ENX2026"/>
    <s v="A119"/>
    <s v="EMP1043"/>
    <s v="C1523"/>
    <x v="453"/>
    <n v="3"/>
    <n v="947"/>
    <n v="786"/>
    <n v="2358"/>
    <n v="2841"/>
    <n v="483"/>
    <s v="Product 27"/>
    <x v="16"/>
    <s v="Joshua Taylor"/>
    <x v="543"/>
    <n v="4"/>
    <x v="3"/>
    <x v="11"/>
    <x v="11"/>
    <x v="3"/>
    <x v="0"/>
  </r>
  <r>
    <s v="AX18885"/>
    <s v="ENX2067"/>
    <s v="A147"/>
    <s v="EMP1017"/>
    <s v="C1346"/>
    <x v="452"/>
    <n v="1"/>
    <n v="1119"/>
    <n v="683"/>
    <n v="683"/>
    <n v="1119"/>
    <n v="436"/>
    <s v="Product 68"/>
    <x v="42"/>
    <s v="Brian Hansen"/>
    <x v="340"/>
    <n v="4"/>
    <x v="3"/>
    <x v="11"/>
    <x v="11"/>
    <x v="3"/>
    <x v="0"/>
  </r>
  <r>
    <s v="AX19138"/>
    <s v="ENX2061"/>
    <s v="A169"/>
    <s v="EMP1032"/>
    <s v="C1323"/>
    <x v="455"/>
    <n v="1"/>
    <n v="913"/>
    <n v="584"/>
    <n v="584"/>
    <n v="913"/>
    <n v="329"/>
    <s v="Product 62"/>
    <x v="17"/>
    <s v="Larry Castillo"/>
    <x v="83"/>
    <n v="4"/>
    <x v="3"/>
    <x v="11"/>
    <x v="11"/>
    <x v="3"/>
    <x v="0"/>
  </r>
  <r>
    <s v="AX19187"/>
    <s v="ENX2098"/>
    <s v="A142"/>
    <s v="EMP1033"/>
    <s v="C1706"/>
    <x v="452"/>
    <n v="1"/>
    <n v="1178"/>
    <n v="683"/>
    <n v="683"/>
    <n v="1178"/>
    <n v="495"/>
    <s v="Product 99"/>
    <x v="56"/>
    <s v="Jerry Perry"/>
    <x v="171"/>
    <n v="4"/>
    <x v="3"/>
    <x v="11"/>
    <x v="11"/>
    <x v="3"/>
    <x v="0"/>
  </r>
  <r>
    <s v="AX19502"/>
    <s v="ENX2086"/>
    <s v="A142"/>
    <s v="EMP1025"/>
    <s v="C1267"/>
    <x v="455"/>
    <n v="1"/>
    <n v="123"/>
    <n v="84"/>
    <n v="84"/>
    <n v="123"/>
    <n v="39"/>
    <s v="Product 87"/>
    <x v="56"/>
    <s v="Ernest Wagner"/>
    <x v="657"/>
    <n v="4"/>
    <x v="3"/>
    <x v="11"/>
    <x v="11"/>
    <x v="3"/>
    <x v="0"/>
  </r>
  <r>
    <s v="AX19565"/>
    <s v="ENX2052"/>
    <s v="A143"/>
    <s v="EMP1016"/>
    <s v="C1019"/>
    <x v="451"/>
    <n v="3"/>
    <n v="1526"/>
    <n v="1251"/>
    <n v="3753"/>
    <n v="4578"/>
    <n v="825"/>
    <s v="Product 53"/>
    <x v="39"/>
    <s v="Henry Nelson"/>
    <x v="503"/>
    <n v="4"/>
    <x v="3"/>
    <x v="11"/>
    <x v="11"/>
    <x v="3"/>
    <x v="0"/>
  </r>
  <r>
    <s v="AX19697"/>
    <s v="ENX2058"/>
    <s v="A146"/>
    <s v="EMP1009"/>
    <s v="C1196"/>
    <x v="451"/>
    <n v="1"/>
    <n v="2257"/>
    <n v="1535"/>
    <n v="1535"/>
    <n v="2257"/>
    <n v="722"/>
    <s v="Product 59"/>
    <x v="27"/>
    <s v="Kenneth Fields"/>
    <x v="65"/>
    <n v="4"/>
    <x v="3"/>
    <x v="11"/>
    <x v="11"/>
    <x v="3"/>
    <x v="0"/>
  </r>
  <r>
    <s v="AX19778"/>
    <s v="ENX2047"/>
    <s v="A102"/>
    <s v="EMP1021"/>
    <s v="C1235"/>
    <x v="453"/>
    <n v="4"/>
    <n v="290"/>
    <n v="200"/>
    <n v="800"/>
    <n v="1160"/>
    <n v="360"/>
    <s v="Product 48"/>
    <x v="44"/>
    <s v="Clarence Fox"/>
    <x v="353"/>
    <n v="4"/>
    <x v="3"/>
    <x v="11"/>
    <x v="11"/>
    <x v="3"/>
    <x v="0"/>
  </r>
  <r>
    <s v="AX19779"/>
    <s v="ENX2063"/>
    <s v="A117"/>
    <s v="EMP1021"/>
    <s v="C1080"/>
    <x v="452"/>
    <n v="1"/>
    <n v="1708"/>
    <n v="871"/>
    <n v="871"/>
    <n v="1708"/>
    <n v="837"/>
    <s v="Product 64"/>
    <x v="29"/>
    <s v="Clarence Fox"/>
    <x v="720"/>
    <n v="4"/>
    <x v="3"/>
    <x v="11"/>
    <x v="11"/>
    <x v="3"/>
    <x v="0"/>
  </r>
  <r>
    <s v="AX19780"/>
    <s v="ENX2060"/>
    <s v="A119"/>
    <s v="EMP1016"/>
    <s v="C1651"/>
    <x v="453"/>
    <n v="2"/>
    <n v="1467"/>
    <n v="807"/>
    <n v="1614"/>
    <n v="2934"/>
    <n v="1320"/>
    <s v="Product 61"/>
    <x v="16"/>
    <s v="Henry Nelson"/>
    <x v="660"/>
    <n v="4"/>
    <x v="3"/>
    <x v="11"/>
    <x v="11"/>
    <x v="3"/>
    <x v="0"/>
  </r>
  <r>
    <s v="AX19954"/>
    <s v="ENX2035"/>
    <s v="A173"/>
    <s v="EMP1044"/>
    <s v="C1327"/>
    <x v="453"/>
    <n v="1"/>
    <n v="458"/>
    <n v="376"/>
    <n v="376"/>
    <n v="458"/>
    <n v="82"/>
    <s v="Product 36"/>
    <x v="25"/>
    <s v="Martin Carr"/>
    <x v="321"/>
    <n v="4"/>
    <x v="3"/>
    <x v="11"/>
    <x v="11"/>
    <x v="3"/>
    <x v="0"/>
  </r>
  <r>
    <s v="AX20300"/>
    <s v="ENX2057"/>
    <s v="A100"/>
    <s v="EMP1010"/>
    <s v="C1216"/>
    <x v="455"/>
    <n v="1"/>
    <n v="181"/>
    <n v="130"/>
    <n v="130"/>
    <n v="181"/>
    <n v="51"/>
    <s v="Product 58"/>
    <x v="52"/>
    <s v="Joshua Cook"/>
    <x v="580"/>
    <n v="4"/>
    <x v="3"/>
    <x v="11"/>
    <x v="11"/>
    <x v="3"/>
    <x v="0"/>
  </r>
  <r>
    <s v="AX20514"/>
    <s v="ENX2092"/>
    <s v="A151"/>
    <s v="EMP1041"/>
    <s v="C1176"/>
    <x v="452"/>
    <n v="3"/>
    <n v="1639"/>
    <n v="1295"/>
    <n v="3885"/>
    <n v="4917"/>
    <n v="1032"/>
    <s v="Product 93"/>
    <x v="1"/>
    <s v="Joe Sims"/>
    <x v="117"/>
    <n v="4"/>
    <x v="3"/>
    <x v="11"/>
    <x v="11"/>
    <x v="3"/>
    <x v="0"/>
  </r>
  <r>
    <s v="AX20610"/>
    <s v="ENX2089"/>
    <s v="A118"/>
    <s v="EMP1024"/>
    <s v="C1668"/>
    <x v="454"/>
    <n v="1"/>
    <n v="2294"/>
    <n v="1399"/>
    <n v="1399"/>
    <n v="2294"/>
    <n v="895"/>
    <s v="Product 90"/>
    <x v="19"/>
    <s v="Ernest Wheeler"/>
    <x v="727"/>
    <n v="4"/>
    <x v="3"/>
    <x v="11"/>
    <x v="11"/>
    <x v="3"/>
    <x v="0"/>
  </r>
  <r>
    <s v="AX20814"/>
    <s v="ENX2040"/>
    <s v="A112"/>
    <s v="EMP1003"/>
    <s v="C1489"/>
    <x v="454"/>
    <n v="1"/>
    <n v="1889"/>
    <n v="945"/>
    <n v="945"/>
    <n v="1889"/>
    <n v="944"/>
    <s v="Product 41"/>
    <x v="66"/>
    <s v="Christopher Tucker"/>
    <x v="19"/>
    <n v="4"/>
    <x v="3"/>
    <x v="11"/>
    <x v="11"/>
    <x v="3"/>
    <x v="0"/>
  </r>
  <r>
    <s v="AX21401"/>
    <s v="ENX2053"/>
    <s v="A112"/>
    <s v="EMP1039"/>
    <s v="C1267"/>
    <x v="451"/>
    <n v="3"/>
    <n v="596"/>
    <n v="358"/>
    <n v="1074"/>
    <n v="1788"/>
    <n v="714"/>
    <s v="Product 54"/>
    <x v="66"/>
    <s v="Eugene Holmes"/>
    <x v="657"/>
    <n v="4"/>
    <x v="3"/>
    <x v="11"/>
    <x v="11"/>
    <x v="3"/>
    <x v="0"/>
  </r>
  <r>
    <s v="AX21814"/>
    <s v="ENX2085"/>
    <s v="A111"/>
    <s v="EMP1019"/>
    <s v="C1060"/>
    <x v="453"/>
    <n v="1"/>
    <n v="1862"/>
    <n v="1173"/>
    <n v="1173"/>
    <n v="1862"/>
    <n v="689"/>
    <s v="Product 86"/>
    <x v="54"/>
    <s v="Roger Robertson"/>
    <x v="603"/>
    <n v="4"/>
    <x v="3"/>
    <x v="11"/>
    <x v="11"/>
    <x v="3"/>
    <x v="0"/>
  </r>
  <r>
    <s v="AX21956"/>
    <s v="ENX2070"/>
    <s v="A128"/>
    <s v="EMP1028"/>
    <s v="C1485"/>
    <x v="453"/>
    <n v="1"/>
    <n v="1671"/>
    <n v="1220"/>
    <n v="1220"/>
    <n v="1671"/>
    <n v="451"/>
    <s v="Product 71"/>
    <x v="12"/>
    <s v="Howard Sims"/>
    <x v="679"/>
    <n v="4"/>
    <x v="3"/>
    <x v="11"/>
    <x v="11"/>
    <x v="3"/>
    <x v="0"/>
  </r>
  <r>
    <s v="AX22253"/>
    <s v="ENX2068"/>
    <s v="A117"/>
    <s v="EMP1038"/>
    <s v="C1031"/>
    <x v="454"/>
    <n v="1"/>
    <n v="1500"/>
    <n v="900"/>
    <n v="900"/>
    <n v="1500"/>
    <n v="600"/>
    <s v="Product 69"/>
    <x v="29"/>
    <s v="Scott Mason"/>
    <x v="782"/>
    <n v="4"/>
    <x v="3"/>
    <x v="11"/>
    <x v="11"/>
    <x v="3"/>
    <x v="0"/>
  </r>
  <r>
    <s v="AX22480"/>
    <s v="ENX2014"/>
    <s v="A119"/>
    <s v="EMP1001"/>
    <s v="C1676"/>
    <x v="455"/>
    <n v="1"/>
    <n v="1809"/>
    <n v="1067"/>
    <n v="1067"/>
    <n v="1809"/>
    <n v="742"/>
    <s v="Product 15"/>
    <x v="16"/>
    <s v="Kevin Butler"/>
    <x v="497"/>
    <n v="4"/>
    <x v="3"/>
    <x v="11"/>
    <x v="11"/>
    <x v="3"/>
    <x v="0"/>
  </r>
  <r>
    <s v="AX22573"/>
    <s v="ENX2038"/>
    <s v="A139"/>
    <s v="EMP1042"/>
    <s v="C1011"/>
    <x v="454"/>
    <n v="1"/>
    <n v="392"/>
    <n v="255"/>
    <n v="255"/>
    <n v="392"/>
    <n v="137"/>
    <s v="Product 39"/>
    <x v="38"/>
    <s v="Scott Clark"/>
    <x v="275"/>
    <n v="4"/>
    <x v="3"/>
    <x v="11"/>
    <x v="11"/>
    <x v="3"/>
    <x v="0"/>
  </r>
  <r>
    <s v="AX22645"/>
    <s v="ENX2020"/>
    <s v="A172"/>
    <s v="EMP1014"/>
    <s v="C1335"/>
    <x v="455"/>
    <n v="1"/>
    <n v="2005"/>
    <n v="1223"/>
    <n v="1223"/>
    <n v="2005"/>
    <n v="782"/>
    <s v="Product 21"/>
    <x v="36"/>
    <s v="Ronald Reed"/>
    <x v="2"/>
    <n v="4"/>
    <x v="3"/>
    <x v="11"/>
    <x v="11"/>
    <x v="3"/>
    <x v="0"/>
  </r>
  <r>
    <s v="AX23479"/>
    <s v="ENX2081"/>
    <s v="A156"/>
    <s v="EMP1040"/>
    <s v="C1187"/>
    <x v="453"/>
    <n v="3"/>
    <n v="1566"/>
    <n v="1190"/>
    <n v="3570"/>
    <n v="4698"/>
    <n v="1128"/>
    <s v="Product 82"/>
    <x v="14"/>
    <s v="Patrick Ruiz"/>
    <x v="303"/>
    <n v="4"/>
    <x v="3"/>
    <x v="11"/>
    <x v="11"/>
    <x v="3"/>
    <x v="0"/>
  </r>
  <r>
    <s v="AX23636"/>
    <s v="ENX2046"/>
    <s v="A104"/>
    <s v="EMP1011"/>
    <s v="C1715"/>
    <x v="452"/>
    <n v="2"/>
    <n v="2410"/>
    <n v="1518"/>
    <n v="3036"/>
    <n v="4820"/>
    <n v="1784"/>
    <s v="Product 47"/>
    <x v="50"/>
    <s v="Larry Marshall"/>
    <x v="342"/>
    <n v="4"/>
    <x v="3"/>
    <x v="11"/>
    <x v="11"/>
    <x v="3"/>
    <x v="0"/>
  </r>
  <r>
    <s v="AX23724"/>
    <s v="ENX2011"/>
    <s v="A129"/>
    <s v="EMP1014"/>
    <s v="C1716"/>
    <x v="454"/>
    <n v="3"/>
    <n v="530"/>
    <n v="435"/>
    <n v="1305"/>
    <n v="1590"/>
    <n v="285"/>
    <s v="Product 12"/>
    <x v="22"/>
    <s v="Ronald Reed"/>
    <x v="24"/>
    <n v="4"/>
    <x v="3"/>
    <x v="11"/>
    <x v="11"/>
    <x v="3"/>
    <x v="0"/>
  </r>
  <r>
    <s v="AX23763"/>
    <s v="ENX2024"/>
    <s v="A134"/>
    <s v="EMP1034"/>
    <s v="C1796"/>
    <x v="455"/>
    <n v="3"/>
    <n v="356"/>
    <n v="292"/>
    <n v="876"/>
    <n v="1068"/>
    <n v="192"/>
    <s v="Product 25"/>
    <x v="41"/>
    <s v="Arthur Mccoy"/>
    <x v="630"/>
    <n v="4"/>
    <x v="3"/>
    <x v="11"/>
    <x v="11"/>
    <x v="3"/>
    <x v="0"/>
  </r>
  <r>
    <s v="AX24067"/>
    <s v="ENX2091"/>
    <s v="A139"/>
    <s v="EMP1036"/>
    <s v="C1764"/>
    <x v="451"/>
    <n v="3"/>
    <n v="368"/>
    <n v="294"/>
    <n v="882"/>
    <n v="1104"/>
    <n v="222"/>
    <s v="Product 92"/>
    <x v="38"/>
    <s v="Robert Reed"/>
    <x v="386"/>
    <n v="4"/>
    <x v="3"/>
    <x v="11"/>
    <x v="11"/>
    <x v="3"/>
    <x v="0"/>
  </r>
  <r>
    <s v="AX24387"/>
    <s v="ENX2077"/>
    <s v="A147"/>
    <s v="EMP1012"/>
    <s v="C1774"/>
    <x v="452"/>
    <n v="3"/>
    <n v="530"/>
    <n v="424"/>
    <n v="1272"/>
    <n v="1590"/>
    <n v="318"/>
    <s v="Product 78"/>
    <x v="42"/>
    <s v="John Reyes"/>
    <x v="232"/>
    <n v="4"/>
    <x v="3"/>
    <x v="11"/>
    <x v="11"/>
    <x v="3"/>
    <x v="0"/>
  </r>
  <r>
    <s v="AX24835"/>
    <s v="ENX2002"/>
    <s v="A153"/>
    <s v="EMP1034"/>
    <s v="C1718"/>
    <x v="454"/>
    <n v="1"/>
    <n v="847"/>
    <n v="534"/>
    <n v="534"/>
    <n v="847"/>
    <n v="313"/>
    <s v="Product 3"/>
    <x v="8"/>
    <s v="Arthur Mccoy"/>
    <x v="14"/>
    <n v="4"/>
    <x v="3"/>
    <x v="11"/>
    <x v="11"/>
    <x v="3"/>
    <x v="0"/>
  </r>
  <r>
    <s v="AX10079"/>
    <s v="ENX2043"/>
    <s v="A172"/>
    <s v="EMP1024"/>
    <s v="C1217"/>
    <x v="456"/>
    <n v="1"/>
    <n v="545"/>
    <n v="425"/>
    <n v="425"/>
    <n v="545"/>
    <n v="120"/>
    <s v="Product 44"/>
    <x v="36"/>
    <s v="Ernest Wheeler"/>
    <x v="619"/>
    <n v="4"/>
    <x v="3"/>
    <x v="11"/>
    <x v="11"/>
    <x v="3"/>
    <x v="2"/>
  </r>
  <r>
    <s v="AX10541"/>
    <s v="ENX2076"/>
    <s v="A145"/>
    <s v="EMP1004"/>
    <s v="C1651"/>
    <x v="456"/>
    <n v="2"/>
    <n v="1522"/>
    <n v="791"/>
    <n v="1582"/>
    <n v="3044"/>
    <n v="1462"/>
    <s v="Product 77"/>
    <x v="35"/>
    <s v="Kenneth Bradley"/>
    <x v="660"/>
    <n v="4"/>
    <x v="3"/>
    <x v="11"/>
    <x v="11"/>
    <x v="3"/>
    <x v="2"/>
  </r>
  <r>
    <s v="AX10796"/>
    <s v="ENX2053"/>
    <s v="A126"/>
    <s v="EMP1040"/>
    <s v="C1714"/>
    <x v="457"/>
    <n v="4"/>
    <n v="596"/>
    <n v="358"/>
    <n v="1432"/>
    <n v="2384"/>
    <n v="952"/>
    <s v="Product 54"/>
    <x v="5"/>
    <s v="Patrick Ruiz"/>
    <x v="317"/>
    <n v="4"/>
    <x v="3"/>
    <x v="11"/>
    <x v="11"/>
    <x v="3"/>
    <x v="2"/>
  </r>
  <r>
    <s v="AX10978"/>
    <s v="ENX2046"/>
    <s v="A105"/>
    <s v="EMP1038"/>
    <s v="C1506"/>
    <x v="456"/>
    <n v="3"/>
    <n v="2410"/>
    <n v="1518"/>
    <n v="4554"/>
    <n v="7230"/>
    <n v="2676"/>
    <s v="Product 47"/>
    <x v="45"/>
    <s v="Scott Mason"/>
    <x v="538"/>
    <n v="4"/>
    <x v="3"/>
    <x v="11"/>
    <x v="11"/>
    <x v="3"/>
    <x v="2"/>
  </r>
  <r>
    <s v="AX11256"/>
    <s v="ENX2017"/>
    <s v="A117"/>
    <s v="EMP1029"/>
    <s v="C1137"/>
    <x v="456"/>
    <n v="4"/>
    <n v="35"/>
    <n v="22"/>
    <n v="88"/>
    <n v="140"/>
    <n v="52"/>
    <s v="Product 18"/>
    <x v="29"/>
    <s v="Howard Gardner"/>
    <x v="131"/>
    <n v="4"/>
    <x v="3"/>
    <x v="11"/>
    <x v="11"/>
    <x v="3"/>
    <x v="2"/>
  </r>
  <r>
    <s v="AX11553"/>
    <s v="ENX2025"/>
    <s v="A114"/>
    <s v="EMP1019"/>
    <s v="C1484"/>
    <x v="457"/>
    <n v="1"/>
    <n v="667"/>
    <n v="387"/>
    <n v="387"/>
    <n v="667"/>
    <n v="280"/>
    <s v="Product 26"/>
    <x v="28"/>
    <s v="Roger Robertson"/>
    <x v="466"/>
    <n v="4"/>
    <x v="3"/>
    <x v="11"/>
    <x v="11"/>
    <x v="3"/>
    <x v="2"/>
  </r>
  <r>
    <s v="AX11805"/>
    <s v="ENX2077"/>
    <s v="A164"/>
    <s v="EMP1023"/>
    <s v="C1635"/>
    <x v="457"/>
    <n v="1"/>
    <n v="530"/>
    <n v="424"/>
    <n v="424"/>
    <n v="530"/>
    <n v="106"/>
    <s v="Product 78"/>
    <x v="3"/>
    <s v="Brian Davis"/>
    <x v="31"/>
    <n v="4"/>
    <x v="3"/>
    <x v="11"/>
    <x v="11"/>
    <x v="3"/>
    <x v="2"/>
  </r>
  <r>
    <s v="AX12509"/>
    <s v="ENX2033"/>
    <s v="A125"/>
    <s v="EMP1031"/>
    <s v="C1740"/>
    <x v="458"/>
    <n v="2"/>
    <n v="2182"/>
    <n v="1200"/>
    <n v="2400"/>
    <n v="4364"/>
    <n v="1964"/>
    <s v="Product 34"/>
    <x v="31"/>
    <s v="Brian Thomas"/>
    <x v="699"/>
    <n v="4"/>
    <x v="3"/>
    <x v="11"/>
    <x v="11"/>
    <x v="3"/>
    <x v="2"/>
  </r>
  <r>
    <s v="AX13003"/>
    <s v="ENX2035"/>
    <s v="A157"/>
    <s v="EMP1029"/>
    <s v="C1701"/>
    <x v="459"/>
    <n v="3"/>
    <n v="458"/>
    <n v="376"/>
    <n v="1128"/>
    <n v="1374"/>
    <n v="246"/>
    <s v="Product 36"/>
    <x v="7"/>
    <s v="Howard Gardner"/>
    <x v="736"/>
    <n v="4"/>
    <x v="3"/>
    <x v="11"/>
    <x v="11"/>
    <x v="3"/>
    <x v="2"/>
  </r>
  <r>
    <s v="AX13078"/>
    <s v="ENX2001"/>
    <s v="A158"/>
    <s v="EMP1015"/>
    <s v="C1140"/>
    <x v="457"/>
    <n v="1"/>
    <n v="951"/>
    <n v="504"/>
    <n v="504"/>
    <n v="951"/>
    <n v="447"/>
    <s v="Product 2"/>
    <x v="58"/>
    <s v="Justin Lynch"/>
    <x v="40"/>
    <n v="4"/>
    <x v="3"/>
    <x v="11"/>
    <x v="11"/>
    <x v="3"/>
    <x v="2"/>
  </r>
  <r>
    <s v="AX13510"/>
    <s v="ENX2034"/>
    <s v="A118"/>
    <s v="EMP1040"/>
    <s v="C1687"/>
    <x v="458"/>
    <n v="1"/>
    <n v="871"/>
    <n v="540"/>
    <n v="540"/>
    <n v="871"/>
    <n v="331"/>
    <s v="Product 35"/>
    <x v="19"/>
    <s v="Patrick Ruiz"/>
    <x v="389"/>
    <n v="4"/>
    <x v="3"/>
    <x v="11"/>
    <x v="11"/>
    <x v="3"/>
    <x v="2"/>
  </r>
  <r>
    <s v="AX14034"/>
    <s v="ENX2074"/>
    <s v="A169"/>
    <s v="EMP1018"/>
    <s v="C1716"/>
    <x v="458"/>
    <n v="1"/>
    <n v="504"/>
    <n v="408"/>
    <n v="408"/>
    <n v="504"/>
    <n v="96"/>
    <s v="Product 75"/>
    <x v="17"/>
    <s v="Jimmy Young"/>
    <x v="24"/>
    <n v="4"/>
    <x v="3"/>
    <x v="11"/>
    <x v="11"/>
    <x v="3"/>
    <x v="2"/>
  </r>
  <r>
    <s v="AX14394"/>
    <s v="ENX2027"/>
    <s v="A107"/>
    <s v="EMP1019"/>
    <s v="C1479"/>
    <x v="457"/>
    <n v="1"/>
    <n v="2497"/>
    <n v="1473"/>
    <n v="1473"/>
    <n v="2497"/>
    <n v="1024"/>
    <s v="Product 28"/>
    <x v="21"/>
    <s v="Roger Robertson"/>
    <x v="385"/>
    <n v="4"/>
    <x v="3"/>
    <x v="11"/>
    <x v="11"/>
    <x v="3"/>
    <x v="2"/>
  </r>
  <r>
    <s v="AX14887"/>
    <s v="ENX2098"/>
    <s v="A143"/>
    <s v="EMP1017"/>
    <s v="C1265"/>
    <x v="459"/>
    <n v="1"/>
    <n v="1178"/>
    <n v="683"/>
    <n v="683"/>
    <n v="1178"/>
    <n v="495"/>
    <s v="Product 99"/>
    <x v="39"/>
    <s v="Brian Hansen"/>
    <x v="348"/>
    <n v="4"/>
    <x v="3"/>
    <x v="11"/>
    <x v="11"/>
    <x v="3"/>
    <x v="2"/>
  </r>
  <r>
    <s v="AX15039"/>
    <s v="ENX2081"/>
    <s v="A153"/>
    <s v="EMP1006"/>
    <s v="C1706"/>
    <x v="459"/>
    <n v="1"/>
    <n v="1566"/>
    <n v="1190"/>
    <n v="1190"/>
    <n v="1566"/>
    <n v="376"/>
    <s v="Product 82"/>
    <x v="8"/>
    <s v="Sean Miller"/>
    <x v="171"/>
    <n v="4"/>
    <x v="3"/>
    <x v="11"/>
    <x v="11"/>
    <x v="3"/>
    <x v="2"/>
  </r>
  <r>
    <s v="AX15394"/>
    <s v="ENX2042"/>
    <s v="A115"/>
    <s v="EMP1033"/>
    <s v="C1170"/>
    <x v="456"/>
    <n v="1"/>
    <n v="203"/>
    <n v="154"/>
    <n v="154"/>
    <n v="203"/>
    <n v="49"/>
    <s v="Product 43"/>
    <x v="33"/>
    <s v="Jerry Perry"/>
    <x v="616"/>
    <n v="4"/>
    <x v="3"/>
    <x v="11"/>
    <x v="11"/>
    <x v="3"/>
    <x v="2"/>
  </r>
  <r>
    <s v="AX15940"/>
    <s v="ENX2061"/>
    <s v="A120"/>
    <s v="EMP1001"/>
    <s v="C1714"/>
    <x v="459"/>
    <n v="1"/>
    <n v="913"/>
    <n v="584"/>
    <n v="584"/>
    <n v="913"/>
    <n v="329"/>
    <s v="Product 62"/>
    <x v="20"/>
    <s v="Kevin Butler"/>
    <x v="317"/>
    <n v="4"/>
    <x v="3"/>
    <x v="11"/>
    <x v="11"/>
    <x v="3"/>
    <x v="2"/>
  </r>
  <r>
    <s v="AX16046"/>
    <s v="ENX2096"/>
    <s v="A124"/>
    <s v="EMP1039"/>
    <s v="C1089"/>
    <x v="456"/>
    <n v="2"/>
    <n v="1587"/>
    <n v="1301"/>
    <n v="2602"/>
    <n v="3174"/>
    <n v="572"/>
    <s v="Product 97"/>
    <x v="67"/>
    <s v="Eugene Holmes"/>
    <x v="267"/>
    <n v="4"/>
    <x v="3"/>
    <x v="11"/>
    <x v="11"/>
    <x v="3"/>
    <x v="2"/>
  </r>
  <r>
    <s v="AX16781"/>
    <s v="ENX2046"/>
    <s v="A121"/>
    <s v="EMP1027"/>
    <s v="C1300"/>
    <x v="456"/>
    <n v="1"/>
    <n v="2410"/>
    <n v="1518"/>
    <n v="1518"/>
    <n v="2410"/>
    <n v="892"/>
    <s v="Product 47"/>
    <x v="72"/>
    <s v="Gary Rodriguez"/>
    <x v="201"/>
    <n v="4"/>
    <x v="3"/>
    <x v="11"/>
    <x v="11"/>
    <x v="3"/>
    <x v="2"/>
  </r>
  <r>
    <s v="AX16941"/>
    <s v="ENX2021"/>
    <s v="A142"/>
    <s v="EMP1041"/>
    <s v="C1405"/>
    <x v="459"/>
    <n v="1"/>
    <n v="217"/>
    <n v="171"/>
    <n v="171"/>
    <n v="217"/>
    <n v="46"/>
    <s v="Product 22"/>
    <x v="56"/>
    <s v="Joe Sims"/>
    <x v="544"/>
    <n v="4"/>
    <x v="3"/>
    <x v="11"/>
    <x v="11"/>
    <x v="3"/>
    <x v="2"/>
  </r>
  <r>
    <s v="AX16997"/>
    <s v="ENX2021"/>
    <s v="A152"/>
    <s v="EMP1039"/>
    <s v="C1206"/>
    <x v="456"/>
    <n v="3"/>
    <n v="217"/>
    <n v="171"/>
    <n v="513"/>
    <n v="651"/>
    <n v="138"/>
    <s v="Product 22"/>
    <x v="26"/>
    <s v="Eugene Holmes"/>
    <x v="518"/>
    <n v="4"/>
    <x v="3"/>
    <x v="11"/>
    <x v="11"/>
    <x v="3"/>
    <x v="2"/>
  </r>
  <r>
    <s v="AX17485"/>
    <s v="ENX2051"/>
    <s v="A172"/>
    <s v="EMP1020"/>
    <s v="C1098"/>
    <x v="459"/>
    <n v="1"/>
    <n v="1077"/>
    <n v="732"/>
    <n v="732"/>
    <n v="1077"/>
    <n v="345"/>
    <s v="Product 52"/>
    <x v="36"/>
    <s v="Ryan Butler"/>
    <x v="622"/>
    <n v="4"/>
    <x v="3"/>
    <x v="11"/>
    <x v="11"/>
    <x v="3"/>
    <x v="2"/>
  </r>
  <r>
    <s v="AX17720"/>
    <s v="ENX2052"/>
    <s v="A136"/>
    <s v="EMP1004"/>
    <s v="C1216"/>
    <x v="456"/>
    <n v="3"/>
    <n v="1526"/>
    <n v="1251"/>
    <n v="3753"/>
    <n v="4578"/>
    <n v="825"/>
    <s v="Product 53"/>
    <x v="43"/>
    <s v="Kenneth Bradley"/>
    <x v="580"/>
    <n v="4"/>
    <x v="3"/>
    <x v="11"/>
    <x v="11"/>
    <x v="3"/>
    <x v="2"/>
  </r>
  <r>
    <s v="AX18809"/>
    <s v="ENX2057"/>
    <s v="A125"/>
    <s v="EMP1044"/>
    <s v="C1660"/>
    <x v="456"/>
    <n v="4"/>
    <n v="181"/>
    <n v="130"/>
    <n v="520"/>
    <n v="724"/>
    <n v="204"/>
    <s v="Product 58"/>
    <x v="31"/>
    <s v="Martin Carr"/>
    <x v="146"/>
    <n v="4"/>
    <x v="3"/>
    <x v="11"/>
    <x v="11"/>
    <x v="3"/>
    <x v="2"/>
  </r>
  <r>
    <s v="AX18917"/>
    <s v="ENX2068"/>
    <s v="A126"/>
    <s v="EMP1022"/>
    <s v="C1079"/>
    <x v="456"/>
    <n v="3"/>
    <n v="1500"/>
    <n v="900"/>
    <n v="2700"/>
    <n v="4500"/>
    <n v="1800"/>
    <s v="Product 69"/>
    <x v="5"/>
    <s v="Walter Cook"/>
    <x v="370"/>
    <n v="4"/>
    <x v="3"/>
    <x v="11"/>
    <x v="11"/>
    <x v="3"/>
    <x v="2"/>
  </r>
  <r>
    <s v="AX18960"/>
    <s v="ENX2027"/>
    <s v="A130"/>
    <s v="EMP1044"/>
    <s v="C1433"/>
    <x v="458"/>
    <n v="2"/>
    <n v="2497"/>
    <n v="1473"/>
    <n v="2946"/>
    <n v="4994"/>
    <n v="2048"/>
    <s v="Product 28"/>
    <x v="4"/>
    <s v="Martin Carr"/>
    <x v="525"/>
    <n v="4"/>
    <x v="3"/>
    <x v="11"/>
    <x v="11"/>
    <x v="3"/>
    <x v="2"/>
  </r>
  <r>
    <s v="AX19048"/>
    <s v="ENX2042"/>
    <s v="A169"/>
    <s v="EMP1002"/>
    <s v="C1708"/>
    <x v="459"/>
    <n v="3"/>
    <n v="203"/>
    <n v="154"/>
    <n v="462"/>
    <n v="609"/>
    <n v="147"/>
    <s v="Product 43"/>
    <x v="17"/>
    <s v="Andrew Bowman"/>
    <x v="579"/>
    <n v="4"/>
    <x v="3"/>
    <x v="11"/>
    <x v="11"/>
    <x v="3"/>
    <x v="2"/>
  </r>
  <r>
    <s v="AX19357"/>
    <s v="ENX2049"/>
    <s v="A155"/>
    <s v="EMP1005"/>
    <s v="C1731"/>
    <x v="458"/>
    <n v="3"/>
    <n v="826"/>
    <n v="562"/>
    <n v="1686"/>
    <n v="2478"/>
    <n v="792"/>
    <s v="Product 50"/>
    <x v="53"/>
    <s v="Ryan Welch"/>
    <x v="762"/>
    <n v="4"/>
    <x v="3"/>
    <x v="11"/>
    <x v="11"/>
    <x v="3"/>
    <x v="2"/>
  </r>
  <r>
    <s v="AX19742"/>
    <s v="ENX2042"/>
    <s v="A165"/>
    <s v="EMP1022"/>
    <s v="C1225"/>
    <x v="457"/>
    <n v="4"/>
    <n v="203"/>
    <n v="154"/>
    <n v="616"/>
    <n v="812"/>
    <n v="196"/>
    <s v="Product 43"/>
    <x v="55"/>
    <s v="Walter Cook"/>
    <x v="588"/>
    <n v="4"/>
    <x v="3"/>
    <x v="11"/>
    <x v="11"/>
    <x v="3"/>
    <x v="2"/>
  </r>
  <r>
    <s v="AX19809"/>
    <s v="ENX2017"/>
    <s v="A172"/>
    <s v="EMP1032"/>
    <s v="C1108"/>
    <x v="458"/>
    <n v="3"/>
    <n v="35"/>
    <n v="22"/>
    <n v="66"/>
    <n v="105"/>
    <n v="39"/>
    <s v="Product 18"/>
    <x v="36"/>
    <s v="Larry Castillo"/>
    <x v="656"/>
    <n v="4"/>
    <x v="3"/>
    <x v="11"/>
    <x v="11"/>
    <x v="3"/>
    <x v="2"/>
  </r>
  <r>
    <s v="AX20048"/>
    <s v="ENX2040"/>
    <s v="A168"/>
    <s v="EMP1042"/>
    <s v="C1203"/>
    <x v="457"/>
    <n v="1"/>
    <n v="1889"/>
    <n v="945"/>
    <n v="945"/>
    <n v="1889"/>
    <n v="944"/>
    <s v="Product 41"/>
    <x v="40"/>
    <s v="Scott Clark"/>
    <x v="792"/>
    <n v="4"/>
    <x v="3"/>
    <x v="11"/>
    <x v="11"/>
    <x v="3"/>
    <x v="2"/>
  </r>
  <r>
    <s v="AX20526"/>
    <s v="ENX2007"/>
    <s v="A107"/>
    <s v="EMP1031"/>
    <s v="C1000"/>
    <x v="458"/>
    <n v="3"/>
    <n v="1405"/>
    <n v="1054"/>
    <n v="3162"/>
    <n v="4215"/>
    <n v="1053"/>
    <s v="Product 8"/>
    <x v="21"/>
    <s v="Brian Thomas"/>
    <x v="57"/>
    <n v="4"/>
    <x v="3"/>
    <x v="11"/>
    <x v="11"/>
    <x v="3"/>
    <x v="2"/>
  </r>
  <r>
    <s v="AX20852"/>
    <s v="ENX2010"/>
    <s v="A132"/>
    <s v="EMP1023"/>
    <s v="C1666"/>
    <x v="458"/>
    <n v="1"/>
    <n v="1812"/>
    <n v="1305"/>
    <n v="1305"/>
    <n v="1812"/>
    <n v="507"/>
    <s v="Product 11"/>
    <x v="48"/>
    <s v="Brian Davis"/>
    <x v="473"/>
    <n v="4"/>
    <x v="3"/>
    <x v="11"/>
    <x v="11"/>
    <x v="3"/>
    <x v="2"/>
  </r>
  <r>
    <s v="AX21327"/>
    <s v="ENX2077"/>
    <s v="A154"/>
    <s v="EMP1010"/>
    <s v="C1583"/>
    <x v="458"/>
    <n v="4"/>
    <n v="530"/>
    <n v="424"/>
    <n v="1696"/>
    <n v="2120"/>
    <n v="424"/>
    <s v="Product 78"/>
    <x v="24"/>
    <s v="Joshua Cook"/>
    <x v="798"/>
    <n v="4"/>
    <x v="3"/>
    <x v="11"/>
    <x v="11"/>
    <x v="3"/>
    <x v="2"/>
  </r>
  <r>
    <s v="AX22761"/>
    <s v="ENX2027"/>
    <s v="A152"/>
    <s v="EMP1035"/>
    <s v="C1239"/>
    <x v="457"/>
    <n v="1"/>
    <n v="2497"/>
    <n v="1473"/>
    <n v="1473"/>
    <n v="2497"/>
    <n v="1024"/>
    <s v="Product 28"/>
    <x v="26"/>
    <s v="Roger Ramos"/>
    <x v="479"/>
    <n v="4"/>
    <x v="3"/>
    <x v="11"/>
    <x v="11"/>
    <x v="3"/>
    <x v="2"/>
  </r>
  <r>
    <s v="AX22816"/>
    <s v="ENX2046"/>
    <s v="A139"/>
    <s v="EMP1030"/>
    <s v="C1335"/>
    <x v="457"/>
    <n v="1"/>
    <n v="2410"/>
    <n v="1518"/>
    <n v="1518"/>
    <n v="2410"/>
    <n v="892"/>
    <s v="Product 47"/>
    <x v="38"/>
    <s v="Bobby Russell"/>
    <x v="2"/>
    <n v="4"/>
    <x v="3"/>
    <x v="11"/>
    <x v="11"/>
    <x v="3"/>
    <x v="2"/>
  </r>
  <r>
    <s v="AX23477"/>
    <s v="ENX2027"/>
    <s v="A169"/>
    <s v="EMP1003"/>
    <s v="C1716"/>
    <x v="457"/>
    <n v="3"/>
    <n v="2497"/>
    <n v="1473"/>
    <n v="4419"/>
    <n v="7491"/>
    <n v="3072"/>
    <s v="Product 28"/>
    <x v="17"/>
    <s v="Christopher Tucker"/>
    <x v="24"/>
    <n v="4"/>
    <x v="3"/>
    <x v="11"/>
    <x v="11"/>
    <x v="3"/>
    <x v="2"/>
  </r>
  <r>
    <s v="AX23838"/>
    <s v="ENX2059"/>
    <s v="A168"/>
    <s v="EMP1012"/>
    <s v="C1594"/>
    <x v="457"/>
    <n v="2"/>
    <n v="1494"/>
    <n v="971"/>
    <n v="1942"/>
    <n v="2988"/>
    <n v="1046"/>
    <s v="Product 60"/>
    <x v="40"/>
    <s v="John Reyes"/>
    <x v="770"/>
    <n v="4"/>
    <x v="3"/>
    <x v="11"/>
    <x v="11"/>
    <x v="3"/>
    <x v="2"/>
  </r>
  <r>
    <s v="AX24817"/>
    <s v="ENX2097"/>
    <s v="A148"/>
    <s v="EMP1035"/>
    <s v="C1598"/>
    <x v="459"/>
    <n v="1"/>
    <n v="1052"/>
    <n v="589"/>
    <n v="589"/>
    <n v="1052"/>
    <n v="463"/>
    <s v="Product 98"/>
    <x v="62"/>
    <s v="Roger Ramos"/>
    <x v="125"/>
    <n v="4"/>
    <x v="3"/>
    <x v="11"/>
    <x v="11"/>
    <x v="3"/>
    <x v="2"/>
  </r>
  <r>
    <s v="AX10289"/>
    <s v="ENX2056"/>
    <s v="A165"/>
    <s v="EMP1044"/>
    <s v="C1523"/>
    <x v="460"/>
    <n v="1"/>
    <n v="1635"/>
    <n v="1046"/>
    <n v="1046"/>
    <n v="1635"/>
    <n v="589"/>
    <s v="Product 57"/>
    <x v="55"/>
    <s v="Martin Carr"/>
    <x v="543"/>
    <n v="5"/>
    <x v="4"/>
    <x v="0"/>
    <x v="0"/>
    <x v="0"/>
    <x v="0"/>
  </r>
  <r>
    <s v="AX10536"/>
    <s v="ENX2043"/>
    <s v="A114"/>
    <s v="EMP1000"/>
    <s v="C1730"/>
    <x v="461"/>
    <n v="1"/>
    <n v="545"/>
    <n v="425"/>
    <n v="425"/>
    <n v="545"/>
    <n v="120"/>
    <s v="Product 44"/>
    <x v="28"/>
    <s v="Fred Robertson"/>
    <x v="777"/>
    <n v="5"/>
    <x v="4"/>
    <x v="0"/>
    <x v="0"/>
    <x v="0"/>
    <x v="0"/>
  </r>
  <r>
    <s v="AX10653"/>
    <s v="ENX2060"/>
    <s v="A120"/>
    <s v="EMP1006"/>
    <s v="C1746"/>
    <x v="462"/>
    <n v="1"/>
    <n v="1467"/>
    <n v="807"/>
    <n v="807"/>
    <n v="1467"/>
    <n v="660"/>
    <s v="Product 61"/>
    <x v="20"/>
    <s v="Sean Miller"/>
    <x v="693"/>
    <n v="5"/>
    <x v="4"/>
    <x v="0"/>
    <x v="0"/>
    <x v="0"/>
    <x v="0"/>
  </r>
  <r>
    <s v="AX10731"/>
    <s v="ENX2042"/>
    <s v="A167"/>
    <s v="EMP1020"/>
    <s v="C1285"/>
    <x v="462"/>
    <n v="3"/>
    <n v="203"/>
    <n v="154"/>
    <n v="462"/>
    <n v="609"/>
    <n v="147"/>
    <s v="Product 43"/>
    <x v="64"/>
    <s v="Ryan Butler"/>
    <x v="440"/>
    <n v="5"/>
    <x v="4"/>
    <x v="0"/>
    <x v="0"/>
    <x v="0"/>
    <x v="0"/>
  </r>
  <r>
    <s v="AX10741"/>
    <s v="ENX2040"/>
    <s v="A121"/>
    <s v="EMP1009"/>
    <s v="C1573"/>
    <x v="462"/>
    <n v="1"/>
    <n v="1889"/>
    <n v="945"/>
    <n v="945"/>
    <n v="1889"/>
    <n v="944"/>
    <s v="Product 41"/>
    <x v="72"/>
    <s v="Kenneth Fields"/>
    <x v="383"/>
    <n v="5"/>
    <x v="4"/>
    <x v="0"/>
    <x v="0"/>
    <x v="0"/>
    <x v="0"/>
  </r>
  <r>
    <s v="AX10908"/>
    <s v="ENX2080"/>
    <s v="A110"/>
    <s v="EMP1026"/>
    <s v="C1246"/>
    <x v="462"/>
    <n v="1"/>
    <n v="2353"/>
    <n v="1788"/>
    <n v="1788"/>
    <n v="2353"/>
    <n v="565"/>
    <s v="Product 81"/>
    <x v="63"/>
    <s v="Martin Perry"/>
    <x v="665"/>
    <n v="5"/>
    <x v="4"/>
    <x v="0"/>
    <x v="0"/>
    <x v="0"/>
    <x v="0"/>
  </r>
  <r>
    <s v="AX10945"/>
    <s v="ENX2088"/>
    <s v="A159"/>
    <s v="EMP1006"/>
    <s v="C1782"/>
    <x v="463"/>
    <n v="1"/>
    <n v="603"/>
    <n v="416"/>
    <n v="416"/>
    <n v="603"/>
    <n v="187"/>
    <s v="Product 89"/>
    <x v="13"/>
    <s v="Sean Miller"/>
    <x v="607"/>
    <n v="5"/>
    <x v="4"/>
    <x v="0"/>
    <x v="0"/>
    <x v="0"/>
    <x v="0"/>
  </r>
  <r>
    <s v="AX11125"/>
    <s v="ENX2097"/>
    <s v="A120"/>
    <s v="EMP1005"/>
    <s v="C1776"/>
    <x v="460"/>
    <n v="2"/>
    <n v="1052"/>
    <n v="589"/>
    <n v="1178"/>
    <n v="2104"/>
    <n v="926"/>
    <s v="Product 98"/>
    <x v="20"/>
    <s v="Ryan Welch"/>
    <x v="160"/>
    <n v="5"/>
    <x v="4"/>
    <x v="0"/>
    <x v="0"/>
    <x v="0"/>
    <x v="0"/>
  </r>
  <r>
    <s v="AX11243"/>
    <s v="ENX2026"/>
    <s v="A117"/>
    <s v="EMP1032"/>
    <s v="C1554"/>
    <x v="460"/>
    <n v="2"/>
    <n v="947"/>
    <n v="786"/>
    <n v="1572"/>
    <n v="1894"/>
    <n v="322"/>
    <s v="Product 27"/>
    <x v="29"/>
    <s v="Larry Castillo"/>
    <x v="516"/>
    <n v="5"/>
    <x v="4"/>
    <x v="0"/>
    <x v="0"/>
    <x v="0"/>
    <x v="0"/>
  </r>
  <r>
    <s v="AX11288"/>
    <s v="ENX2083"/>
    <s v="A132"/>
    <s v="EMP1040"/>
    <s v="C1512"/>
    <x v="464"/>
    <n v="1"/>
    <n v="2141"/>
    <n v="1777"/>
    <n v="1777"/>
    <n v="2141"/>
    <n v="364"/>
    <s v="Product 84"/>
    <x v="48"/>
    <s v="Patrick Ruiz"/>
    <x v="671"/>
    <n v="5"/>
    <x v="4"/>
    <x v="0"/>
    <x v="0"/>
    <x v="0"/>
    <x v="0"/>
  </r>
  <r>
    <s v="AX12034"/>
    <s v="ENX2046"/>
    <s v="A164"/>
    <s v="EMP1026"/>
    <s v="C1757"/>
    <x v="462"/>
    <n v="2"/>
    <n v="2410"/>
    <n v="1518"/>
    <n v="3036"/>
    <n v="4820"/>
    <n v="1784"/>
    <s v="Product 47"/>
    <x v="3"/>
    <s v="Martin Perry"/>
    <x v="376"/>
    <n v="5"/>
    <x v="4"/>
    <x v="0"/>
    <x v="0"/>
    <x v="0"/>
    <x v="0"/>
  </r>
  <r>
    <s v="AX12036"/>
    <s v="ENX2066"/>
    <s v="A115"/>
    <s v="EMP1043"/>
    <s v="C1411"/>
    <x v="461"/>
    <n v="2"/>
    <n v="2091"/>
    <n v="1485"/>
    <n v="2970"/>
    <n v="4182"/>
    <n v="1212"/>
    <s v="Product 67"/>
    <x v="33"/>
    <s v="Joshua Taylor"/>
    <x v="600"/>
    <n v="5"/>
    <x v="4"/>
    <x v="0"/>
    <x v="0"/>
    <x v="0"/>
    <x v="0"/>
  </r>
  <r>
    <s v="AX12198"/>
    <s v="ENX2080"/>
    <s v="A110"/>
    <s v="EMP1006"/>
    <s v="C1151"/>
    <x v="460"/>
    <n v="2"/>
    <n v="2353"/>
    <n v="1788"/>
    <n v="3576"/>
    <n v="4706"/>
    <n v="1130"/>
    <s v="Product 81"/>
    <x v="63"/>
    <s v="Sean Miller"/>
    <x v="56"/>
    <n v="5"/>
    <x v="4"/>
    <x v="0"/>
    <x v="0"/>
    <x v="0"/>
    <x v="0"/>
  </r>
  <r>
    <s v="AX12329"/>
    <s v="ENX2078"/>
    <s v="A118"/>
    <s v="EMP1005"/>
    <s v="C1297"/>
    <x v="464"/>
    <n v="4"/>
    <n v="1798"/>
    <n v="971"/>
    <n v="3884"/>
    <n v="7192"/>
    <n v="3308"/>
    <s v="Product 79"/>
    <x v="19"/>
    <s v="Ryan Welch"/>
    <x v="537"/>
    <n v="5"/>
    <x v="4"/>
    <x v="0"/>
    <x v="0"/>
    <x v="0"/>
    <x v="0"/>
  </r>
  <r>
    <s v="AX12360"/>
    <s v="ENX2035"/>
    <s v="A137"/>
    <s v="EMP1029"/>
    <s v="C1003"/>
    <x v="461"/>
    <n v="1"/>
    <n v="458"/>
    <n v="376"/>
    <n v="376"/>
    <n v="458"/>
    <n v="82"/>
    <s v="Product 36"/>
    <x v="68"/>
    <s v="Howard Gardner"/>
    <x v="494"/>
    <n v="5"/>
    <x v="4"/>
    <x v="0"/>
    <x v="0"/>
    <x v="0"/>
    <x v="0"/>
  </r>
  <r>
    <s v="AX12697"/>
    <s v="ENX2041"/>
    <s v="A109"/>
    <s v="EMP1029"/>
    <s v="C1661"/>
    <x v="461"/>
    <n v="2"/>
    <n v="1380"/>
    <n v="1090"/>
    <n v="2180"/>
    <n v="2760"/>
    <n v="580"/>
    <s v="Product 42"/>
    <x v="57"/>
    <s v="Howard Gardner"/>
    <x v="767"/>
    <n v="5"/>
    <x v="4"/>
    <x v="0"/>
    <x v="0"/>
    <x v="0"/>
    <x v="0"/>
  </r>
  <r>
    <s v="AX13307"/>
    <s v="ENX2043"/>
    <s v="A154"/>
    <s v="EMP1001"/>
    <s v="C1282"/>
    <x v="464"/>
    <n v="2"/>
    <n v="545"/>
    <n v="425"/>
    <n v="850"/>
    <n v="1090"/>
    <n v="240"/>
    <s v="Product 44"/>
    <x v="24"/>
    <s v="Kevin Butler"/>
    <x v="520"/>
    <n v="5"/>
    <x v="4"/>
    <x v="0"/>
    <x v="0"/>
    <x v="0"/>
    <x v="0"/>
  </r>
  <r>
    <s v="AX13317"/>
    <s v="ENX2069"/>
    <s v="A147"/>
    <s v="EMP1042"/>
    <s v="C1449"/>
    <x v="461"/>
    <n v="1"/>
    <n v="378"/>
    <n v="291"/>
    <n v="291"/>
    <n v="378"/>
    <n v="87"/>
    <s v="Product 70"/>
    <x v="42"/>
    <s v="Scott Clark"/>
    <x v="230"/>
    <n v="5"/>
    <x v="4"/>
    <x v="0"/>
    <x v="0"/>
    <x v="0"/>
    <x v="0"/>
  </r>
  <r>
    <s v="AX13465"/>
    <s v="ENX2058"/>
    <s v="A119"/>
    <s v="EMP1037"/>
    <s v="C1792"/>
    <x v="464"/>
    <n v="1"/>
    <n v="2257"/>
    <n v="1535"/>
    <n v="1535"/>
    <n v="2257"/>
    <n v="722"/>
    <s v="Product 59"/>
    <x v="16"/>
    <s v="Carl Hall"/>
    <x v="536"/>
    <n v="5"/>
    <x v="4"/>
    <x v="0"/>
    <x v="0"/>
    <x v="0"/>
    <x v="0"/>
  </r>
  <r>
    <s v="AX14006"/>
    <s v="ENX2008"/>
    <s v="A173"/>
    <s v="EMP1024"/>
    <s v="C1288"/>
    <x v="460"/>
    <n v="1"/>
    <n v="315"/>
    <n v="208"/>
    <n v="208"/>
    <n v="315"/>
    <n v="107"/>
    <s v="Product 9"/>
    <x v="25"/>
    <s v="Ernest Wheeler"/>
    <x v="674"/>
    <n v="5"/>
    <x v="4"/>
    <x v="0"/>
    <x v="0"/>
    <x v="0"/>
    <x v="0"/>
  </r>
  <r>
    <s v="AX14045"/>
    <s v="ENX2098"/>
    <s v="A138"/>
    <s v="EMP1012"/>
    <s v="C1125"/>
    <x v="463"/>
    <n v="1"/>
    <n v="1178"/>
    <n v="683"/>
    <n v="683"/>
    <n v="1178"/>
    <n v="495"/>
    <s v="Product 99"/>
    <x v="37"/>
    <s v="John Reyes"/>
    <x v="539"/>
    <n v="5"/>
    <x v="4"/>
    <x v="0"/>
    <x v="0"/>
    <x v="0"/>
    <x v="0"/>
  </r>
  <r>
    <s v="AX14130"/>
    <s v="ENX2013"/>
    <s v="A131"/>
    <s v="EMP1007"/>
    <s v="C1346"/>
    <x v="464"/>
    <n v="1"/>
    <n v="368"/>
    <n v="269"/>
    <n v="269"/>
    <n v="368"/>
    <n v="99"/>
    <s v="Product 14"/>
    <x v="32"/>
    <s v="Jeremy Mendoza"/>
    <x v="340"/>
    <n v="5"/>
    <x v="4"/>
    <x v="0"/>
    <x v="0"/>
    <x v="0"/>
    <x v="0"/>
  </r>
  <r>
    <s v="AX14604"/>
    <s v="ENX2005"/>
    <s v="A146"/>
    <s v="EMP1036"/>
    <s v="C1755"/>
    <x v="462"/>
    <n v="1"/>
    <n v="684"/>
    <n v="561"/>
    <n v="561"/>
    <n v="684"/>
    <n v="123"/>
    <s v="Product 6"/>
    <x v="27"/>
    <s v="Robert Reed"/>
    <x v="178"/>
    <n v="5"/>
    <x v="4"/>
    <x v="0"/>
    <x v="0"/>
    <x v="0"/>
    <x v="0"/>
  </r>
  <r>
    <s v="AX14677"/>
    <s v="ENX2009"/>
    <s v="A137"/>
    <s v="EMP1035"/>
    <s v="C1283"/>
    <x v="464"/>
    <n v="4"/>
    <n v="584"/>
    <n v="420"/>
    <n v="1680"/>
    <n v="2336"/>
    <n v="656"/>
    <s v="Product 10"/>
    <x v="68"/>
    <s v="Roger Ramos"/>
    <x v="184"/>
    <n v="5"/>
    <x v="4"/>
    <x v="0"/>
    <x v="0"/>
    <x v="0"/>
    <x v="0"/>
  </r>
  <r>
    <s v="AX14721"/>
    <s v="ENX2074"/>
    <s v="A159"/>
    <s v="EMP1001"/>
    <s v="C1348"/>
    <x v="461"/>
    <n v="2"/>
    <n v="504"/>
    <n v="408"/>
    <n v="816"/>
    <n v="1008"/>
    <n v="192"/>
    <s v="Product 75"/>
    <x v="13"/>
    <s v="Kevin Butler"/>
    <x v="236"/>
    <n v="5"/>
    <x v="4"/>
    <x v="0"/>
    <x v="0"/>
    <x v="0"/>
    <x v="0"/>
  </r>
  <r>
    <s v="AX15078"/>
    <s v="ENX2085"/>
    <s v="A155"/>
    <s v="EMP1040"/>
    <s v="C1769"/>
    <x v="461"/>
    <n v="1"/>
    <n v="1862"/>
    <n v="1173"/>
    <n v="1173"/>
    <n v="1862"/>
    <n v="689"/>
    <s v="Product 86"/>
    <x v="53"/>
    <s v="Patrick Ruiz"/>
    <x v="269"/>
    <n v="5"/>
    <x v="4"/>
    <x v="0"/>
    <x v="0"/>
    <x v="0"/>
    <x v="0"/>
  </r>
  <r>
    <s v="AX15083"/>
    <s v="ENX2058"/>
    <s v="A134"/>
    <s v="EMP1033"/>
    <s v="C1416"/>
    <x v="462"/>
    <n v="2"/>
    <n v="2257"/>
    <n v="1535"/>
    <n v="3070"/>
    <n v="4514"/>
    <n v="1444"/>
    <s v="Product 59"/>
    <x v="41"/>
    <s v="Jerry Perry"/>
    <x v="554"/>
    <n v="5"/>
    <x v="4"/>
    <x v="0"/>
    <x v="0"/>
    <x v="0"/>
    <x v="0"/>
  </r>
  <r>
    <s v="AX15100"/>
    <s v="ENX2100"/>
    <s v="A130"/>
    <s v="EMP1012"/>
    <s v="C1545"/>
    <x v="464"/>
    <n v="1"/>
    <n v="799"/>
    <n v="455"/>
    <n v="455"/>
    <n v="799"/>
    <n v="344"/>
    <s v="Product 101"/>
    <x v="4"/>
    <s v="John Reyes"/>
    <x v="646"/>
    <n v="5"/>
    <x v="4"/>
    <x v="0"/>
    <x v="0"/>
    <x v="0"/>
    <x v="0"/>
  </r>
  <r>
    <s v="AX15107"/>
    <s v="ENX2002"/>
    <s v="A172"/>
    <s v="EMP1009"/>
    <s v="C1179"/>
    <x v="460"/>
    <n v="3"/>
    <n v="847"/>
    <n v="534"/>
    <n v="1602"/>
    <n v="2541"/>
    <n v="939"/>
    <s v="Product 3"/>
    <x v="36"/>
    <s v="Kenneth Fields"/>
    <x v="788"/>
    <n v="5"/>
    <x v="4"/>
    <x v="0"/>
    <x v="0"/>
    <x v="0"/>
    <x v="0"/>
  </r>
  <r>
    <s v="AX15920"/>
    <s v="ENX2033"/>
    <s v="A165"/>
    <s v="EMP1023"/>
    <s v="C1461"/>
    <x v="460"/>
    <n v="1"/>
    <n v="2182"/>
    <n v="1200"/>
    <n v="1200"/>
    <n v="2182"/>
    <n v="982"/>
    <s v="Product 34"/>
    <x v="55"/>
    <s v="Brian Davis"/>
    <x v="634"/>
    <n v="5"/>
    <x v="4"/>
    <x v="0"/>
    <x v="0"/>
    <x v="0"/>
    <x v="0"/>
  </r>
  <r>
    <s v="AX16186"/>
    <s v="ENX2081"/>
    <s v="A163"/>
    <s v="EMP1001"/>
    <s v="C1710"/>
    <x v="462"/>
    <n v="2"/>
    <n v="1566"/>
    <n v="1190"/>
    <n v="2380"/>
    <n v="3132"/>
    <n v="752"/>
    <s v="Product 82"/>
    <x v="51"/>
    <s v="Kevin Butler"/>
    <x v="197"/>
    <n v="5"/>
    <x v="4"/>
    <x v="0"/>
    <x v="0"/>
    <x v="0"/>
    <x v="0"/>
  </r>
  <r>
    <s v="AX16862"/>
    <s v="ENX2000"/>
    <s v="A140"/>
    <s v="EMP1031"/>
    <s v="C1230"/>
    <x v="462"/>
    <n v="2"/>
    <n v="2241"/>
    <n v="1367"/>
    <n v="2734"/>
    <n v="4482"/>
    <n v="1748"/>
    <s v="Product 1"/>
    <x v="18"/>
    <s v="Brian Thomas"/>
    <x v="578"/>
    <n v="5"/>
    <x v="4"/>
    <x v="0"/>
    <x v="0"/>
    <x v="0"/>
    <x v="0"/>
  </r>
  <r>
    <s v="AX18096"/>
    <s v="ENX2048"/>
    <s v="A166"/>
    <s v="EMP1030"/>
    <s v="C1773"/>
    <x v="461"/>
    <n v="1"/>
    <n v="502"/>
    <n v="296"/>
    <n v="296"/>
    <n v="502"/>
    <n v="206"/>
    <s v="Product 49"/>
    <x v="70"/>
    <s v="Bobby Russell"/>
    <x v="723"/>
    <n v="5"/>
    <x v="4"/>
    <x v="0"/>
    <x v="0"/>
    <x v="0"/>
    <x v="0"/>
  </r>
  <r>
    <s v="AX18203"/>
    <s v="ENX2076"/>
    <s v="A132"/>
    <s v="EMP1032"/>
    <s v="C1128"/>
    <x v="460"/>
    <n v="1"/>
    <n v="1522"/>
    <n v="791"/>
    <n v="791"/>
    <n v="1522"/>
    <n v="731"/>
    <s v="Product 77"/>
    <x v="48"/>
    <s v="Larry Castillo"/>
    <x v="553"/>
    <n v="5"/>
    <x v="4"/>
    <x v="0"/>
    <x v="0"/>
    <x v="0"/>
    <x v="0"/>
  </r>
  <r>
    <s v="AX18389"/>
    <s v="ENX2067"/>
    <s v="A161"/>
    <s v="EMP1028"/>
    <s v="C1425"/>
    <x v="460"/>
    <n v="1"/>
    <n v="1119"/>
    <n v="683"/>
    <n v="683"/>
    <n v="1119"/>
    <n v="436"/>
    <s v="Product 68"/>
    <x v="6"/>
    <s v="Howard Sims"/>
    <x v="474"/>
    <n v="5"/>
    <x v="4"/>
    <x v="0"/>
    <x v="0"/>
    <x v="0"/>
    <x v="0"/>
  </r>
  <r>
    <s v="AX19397"/>
    <s v="ENX2051"/>
    <s v="A124"/>
    <s v="EMP1040"/>
    <s v="C1401"/>
    <x v="464"/>
    <n v="1"/>
    <n v="1077"/>
    <n v="732"/>
    <n v="732"/>
    <n v="1077"/>
    <n v="345"/>
    <s v="Product 52"/>
    <x v="67"/>
    <s v="Patrick Ruiz"/>
    <x v="36"/>
    <n v="5"/>
    <x v="4"/>
    <x v="0"/>
    <x v="0"/>
    <x v="0"/>
    <x v="0"/>
  </r>
  <r>
    <s v="AX19692"/>
    <s v="ENX2061"/>
    <s v="A123"/>
    <s v="EMP1026"/>
    <s v="C1574"/>
    <x v="464"/>
    <n v="1"/>
    <n v="913"/>
    <n v="584"/>
    <n v="584"/>
    <n v="913"/>
    <n v="329"/>
    <s v="Product 62"/>
    <x v="34"/>
    <s v="Martin Perry"/>
    <x v="521"/>
    <n v="5"/>
    <x v="4"/>
    <x v="0"/>
    <x v="0"/>
    <x v="0"/>
    <x v="0"/>
  </r>
  <r>
    <s v="AX19786"/>
    <s v="ENX2062"/>
    <s v="A106"/>
    <s v="EMP1004"/>
    <s v="C1054"/>
    <x v="460"/>
    <n v="3"/>
    <n v="2464"/>
    <n v="1774"/>
    <n v="5322"/>
    <n v="7392"/>
    <n v="2070"/>
    <s v="Product 63"/>
    <x v="11"/>
    <s v="Kenneth Bradley"/>
    <x v="58"/>
    <n v="5"/>
    <x v="4"/>
    <x v="0"/>
    <x v="0"/>
    <x v="0"/>
    <x v="0"/>
  </r>
  <r>
    <s v="AX20314"/>
    <s v="ENX2057"/>
    <s v="A164"/>
    <s v="EMP1035"/>
    <s v="C1415"/>
    <x v="463"/>
    <n v="1"/>
    <n v="181"/>
    <n v="130"/>
    <n v="130"/>
    <n v="181"/>
    <n v="51"/>
    <s v="Product 58"/>
    <x v="3"/>
    <s v="Roger Ramos"/>
    <x v="352"/>
    <n v="5"/>
    <x v="4"/>
    <x v="0"/>
    <x v="0"/>
    <x v="0"/>
    <x v="0"/>
  </r>
  <r>
    <s v="AX20435"/>
    <s v="ENX2015"/>
    <s v="A137"/>
    <s v="EMP1007"/>
    <s v="C1653"/>
    <x v="464"/>
    <n v="1"/>
    <n v="637"/>
    <n v="389"/>
    <n v="389"/>
    <n v="637"/>
    <n v="248"/>
    <s v="Product 16"/>
    <x v="68"/>
    <s v="Jeremy Mendoza"/>
    <x v="187"/>
    <n v="5"/>
    <x v="4"/>
    <x v="0"/>
    <x v="0"/>
    <x v="0"/>
    <x v="0"/>
  </r>
  <r>
    <s v="AX20962"/>
    <s v="ENX2022"/>
    <s v="A139"/>
    <s v="EMP1041"/>
    <s v="C1021"/>
    <x v="460"/>
    <n v="2"/>
    <n v="561"/>
    <n v="421"/>
    <n v="842"/>
    <n v="1122"/>
    <n v="280"/>
    <s v="Product 23"/>
    <x v="38"/>
    <s v="Joe Sims"/>
    <x v="246"/>
    <n v="5"/>
    <x v="4"/>
    <x v="0"/>
    <x v="0"/>
    <x v="0"/>
    <x v="0"/>
  </r>
  <r>
    <s v="AX21022"/>
    <s v="ENX2070"/>
    <s v="A166"/>
    <s v="EMP1032"/>
    <s v="C1371"/>
    <x v="461"/>
    <n v="1"/>
    <n v="1671"/>
    <n v="1220"/>
    <n v="1220"/>
    <n v="1671"/>
    <n v="451"/>
    <s v="Product 71"/>
    <x v="70"/>
    <s v="Larry Castillo"/>
    <x v="180"/>
    <n v="5"/>
    <x v="4"/>
    <x v="0"/>
    <x v="0"/>
    <x v="0"/>
    <x v="0"/>
  </r>
  <r>
    <s v="AX21173"/>
    <s v="ENX2036"/>
    <s v="A157"/>
    <s v="EMP1027"/>
    <s v="C1493"/>
    <x v="460"/>
    <n v="1"/>
    <n v="1582"/>
    <n v="1234"/>
    <n v="1234"/>
    <n v="1582"/>
    <n v="348"/>
    <s v="Product 37"/>
    <x v="7"/>
    <s v="Gary Rodriguez"/>
    <x v="380"/>
    <n v="5"/>
    <x v="4"/>
    <x v="0"/>
    <x v="0"/>
    <x v="0"/>
    <x v="0"/>
  </r>
  <r>
    <s v="AX21267"/>
    <s v="ENX2030"/>
    <s v="A128"/>
    <s v="EMP1024"/>
    <s v="C1600"/>
    <x v="460"/>
    <n v="1"/>
    <n v="1899"/>
    <n v="1044"/>
    <n v="1044"/>
    <n v="1899"/>
    <n v="855"/>
    <s v="Product 31"/>
    <x v="12"/>
    <s v="Ernest Wheeler"/>
    <x v="266"/>
    <n v="5"/>
    <x v="4"/>
    <x v="0"/>
    <x v="0"/>
    <x v="0"/>
    <x v="0"/>
  </r>
  <r>
    <s v="AX21271"/>
    <s v="ENX2005"/>
    <s v="A143"/>
    <s v="EMP1021"/>
    <s v="C1745"/>
    <x v="461"/>
    <n v="1"/>
    <n v="684"/>
    <n v="561"/>
    <n v="561"/>
    <n v="684"/>
    <n v="123"/>
    <s v="Product 6"/>
    <x v="39"/>
    <s v="Clarence Fox"/>
    <x v="784"/>
    <n v="5"/>
    <x v="4"/>
    <x v="0"/>
    <x v="0"/>
    <x v="0"/>
    <x v="0"/>
  </r>
  <r>
    <s v="AX21489"/>
    <s v="ENX2013"/>
    <s v="A126"/>
    <s v="EMP1028"/>
    <s v="C1228"/>
    <x v="461"/>
    <n v="4"/>
    <n v="368"/>
    <n v="269"/>
    <n v="1076"/>
    <n v="1472"/>
    <n v="396"/>
    <s v="Product 14"/>
    <x v="5"/>
    <s v="Howard Sims"/>
    <x v="530"/>
    <n v="5"/>
    <x v="4"/>
    <x v="0"/>
    <x v="0"/>
    <x v="0"/>
    <x v="0"/>
  </r>
  <r>
    <s v="AX21571"/>
    <s v="ENX2048"/>
    <s v="A155"/>
    <s v="EMP1041"/>
    <s v="C1074"/>
    <x v="462"/>
    <n v="1"/>
    <n v="502"/>
    <n v="296"/>
    <n v="296"/>
    <n v="502"/>
    <n v="206"/>
    <s v="Product 49"/>
    <x v="53"/>
    <s v="Joe Sims"/>
    <x v="96"/>
    <n v="5"/>
    <x v="4"/>
    <x v="0"/>
    <x v="0"/>
    <x v="0"/>
    <x v="0"/>
  </r>
  <r>
    <s v="AX21791"/>
    <s v="ENX2045"/>
    <s v="A125"/>
    <s v="EMP1024"/>
    <s v="C1077"/>
    <x v="460"/>
    <n v="4"/>
    <n v="556"/>
    <n v="395"/>
    <n v="1580"/>
    <n v="2224"/>
    <n v="644"/>
    <s v="Product 46"/>
    <x v="31"/>
    <s v="Ernest Wheeler"/>
    <x v="315"/>
    <n v="5"/>
    <x v="4"/>
    <x v="0"/>
    <x v="0"/>
    <x v="0"/>
    <x v="0"/>
  </r>
  <r>
    <s v="AX21866"/>
    <s v="ENX2004"/>
    <s v="A167"/>
    <s v="EMP1013"/>
    <s v="C1621"/>
    <x v="461"/>
    <n v="4"/>
    <n v="1278"/>
    <n v="665"/>
    <n v="2660"/>
    <n v="5112"/>
    <n v="2452"/>
    <s v="Product 5"/>
    <x v="64"/>
    <s v="Charles Harper"/>
    <x v="159"/>
    <n v="5"/>
    <x v="4"/>
    <x v="0"/>
    <x v="0"/>
    <x v="0"/>
    <x v="0"/>
  </r>
  <r>
    <s v="AX21950"/>
    <s v="ENX2045"/>
    <s v="A140"/>
    <s v="EMP1035"/>
    <s v="C1758"/>
    <x v="463"/>
    <n v="1"/>
    <n v="556"/>
    <n v="395"/>
    <n v="395"/>
    <n v="556"/>
    <n v="161"/>
    <s v="Product 46"/>
    <x v="18"/>
    <s v="Roger Ramos"/>
    <x v="329"/>
    <n v="5"/>
    <x v="4"/>
    <x v="0"/>
    <x v="0"/>
    <x v="0"/>
    <x v="0"/>
  </r>
  <r>
    <s v="AX22145"/>
    <s v="ENX2038"/>
    <s v="A100"/>
    <s v="EMP1032"/>
    <s v="C1148"/>
    <x v="462"/>
    <n v="3"/>
    <n v="392"/>
    <n v="255"/>
    <n v="765"/>
    <n v="1176"/>
    <n v="411"/>
    <s v="Product 39"/>
    <x v="52"/>
    <s v="Larry Castillo"/>
    <x v="55"/>
    <n v="5"/>
    <x v="4"/>
    <x v="0"/>
    <x v="0"/>
    <x v="0"/>
    <x v="0"/>
  </r>
  <r>
    <s v="AX22925"/>
    <s v="ENX2041"/>
    <s v="A169"/>
    <s v="EMP1034"/>
    <s v="C1747"/>
    <x v="464"/>
    <n v="1"/>
    <n v="1380"/>
    <n v="1090"/>
    <n v="1090"/>
    <n v="1380"/>
    <n v="290"/>
    <s v="Product 42"/>
    <x v="17"/>
    <s v="Arthur Mccoy"/>
    <x v="392"/>
    <n v="5"/>
    <x v="4"/>
    <x v="0"/>
    <x v="0"/>
    <x v="0"/>
    <x v="0"/>
  </r>
  <r>
    <s v="AX23659"/>
    <s v="ENX2032"/>
    <s v="A154"/>
    <s v="EMP1023"/>
    <s v="C1374"/>
    <x v="464"/>
    <n v="4"/>
    <n v="1967"/>
    <n v="1397"/>
    <n v="5588"/>
    <n v="7868"/>
    <n v="2280"/>
    <s v="Product 33"/>
    <x v="24"/>
    <s v="Brian Davis"/>
    <x v="189"/>
    <n v="5"/>
    <x v="4"/>
    <x v="0"/>
    <x v="0"/>
    <x v="0"/>
    <x v="0"/>
  </r>
  <r>
    <s v="AX23761"/>
    <s v="ENX2006"/>
    <s v="A123"/>
    <s v="EMP1042"/>
    <s v="C1543"/>
    <x v="461"/>
    <n v="1"/>
    <n v="1826"/>
    <n v="1443"/>
    <n v="1443"/>
    <n v="1826"/>
    <n v="383"/>
    <s v="Product 7"/>
    <x v="34"/>
    <s v="Scott Clark"/>
    <x v="337"/>
    <n v="5"/>
    <x v="4"/>
    <x v="0"/>
    <x v="0"/>
    <x v="0"/>
    <x v="0"/>
  </r>
  <r>
    <s v="AX23768"/>
    <s v="ENX2067"/>
    <s v="A113"/>
    <s v="EMP1013"/>
    <s v="C1641"/>
    <x v="463"/>
    <n v="1"/>
    <n v="1119"/>
    <n v="683"/>
    <n v="683"/>
    <n v="1119"/>
    <n v="436"/>
    <s v="Product 68"/>
    <x v="73"/>
    <s v="Charles Harper"/>
    <x v="761"/>
    <n v="5"/>
    <x v="4"/>
    <x v="0"/>
    <x v="0"/>
    <x v="0"/>
    <x v="0"/>
  </r>
  <r>
    <s v="AX23984"/>
    <s v="ENX2083"/>
    <s v="A166"/>
    <s v="EMP1043"/>
    <s v="C1173"/>
    <x v="463"/>
    <n v="1"/>
    <n v="2141"/>
    <n v="1777"/>
    <n v="1777"/>
    <n v="2141"/>
    <n v="364"/>
    <s v="Product 84"/>
    <x v="70"/>
    <s v="Joshua Taylor"/>
    <x v="167"/>
    <n v="5"/>
    <x v="4"/>
    <x v="0"/>
    <x v="0"/>
    <x v="0"/>
    <x v="0"/>
  </r>
  <r>
    <s v="AX24157"/>
    <s v="ENX2007"/>
    <s v="A125"/>
    <s v="EMP1044"/>
    <s v="C1360"/>
    <x v="464"/>
    <n v="2"/>
    <n v="1405"/>
    <n v="1054"/>
    <n v="2108"/>
    <n v="2810"/>
    <n v="702"/>
    <s v="Product 8"/>
    <x v="31"/>
    <s v="Martin Carr"/>
    <x v="573"/>
    <n v="5"/>
    <x v="4"/>
    <x v="0"/>
    <x v="0"/>
    <x v="0"/>
    <x v="0"/>
  </r>
  <r>
    <s v="AX24503"/>
    <s v="ENX2022"/>
    <s v="A145"/>
    <s v="EMP1022"/>
    <s v="C1102"/>
    <x v="462"/>
    <n v="4"/>
    <n v="561"/>
    <n v="421"/>
    <n v="1684"/>
    <n v="2244"/>
    <n v="560"/>
    <s v="Product 23"/>
    <x v="35"/>
    <s v="Walter Cook"/>
    <x v="766"/>
    <n v="5"/>
    <x v="4"/>
    <x v="0"/>
    <x v="0"/>
    <x v="0"/>
    <x v="0"/>
  </r>
  <r>
    <s v="AX10381"/>
    <s v="ENX2024"/>
    <s v="A138"/>
    <s v="EMP1018"/>
    <s v="C1791"/>
    <x v="465"/>
    <n v="3"/>
    <n v="356"/>
    <n v="292"/>
    <n v="876"/>
    <n v="1068"/>
    <n v="192"/>
    <s v="Product 25"/>
    <x v="37"/>
    <s v="Jimmy Young"/>
    <x v="193"/>
    <n v="5"/>
    <x v="4"/>
    <x v="0"/>
    <x v="0"/>
    <x v="0"/>
    <x v="1"/>
  </r>
  <r>
    <s v="AX10457"/>
    <s v="ENX2099"/>
    <s v="A164"/>
    <s v="EMP1036"/>
    <s v="C1761"/>
    <x v="466"/>
    <n v="2"/>
    <n v="1367"/>
    <n v="984"/>
    <n v="1968"/>
    <n v="2734"/>
    <n v="766"/>
    <s v="Product 100"/>
    <x v="3"/>
    <s v="Robert Reed"/>
    <x v="618"/>
    <n v="5"/>
    <x v="4"/>
    <x v="0"/>
    <x v="0"/>
    <x v="0"/>
    <x v="1"/>
  </r>
  <r>
    <s v="AX10826"/>
    <s v="ENX2065"/>
    <s v="A147"/>
    <s v="EMP1034"/>
    <s v="C1168"/>
    <x v="467"/>
    <n v="1"/>
    <n v="2396"/>
    <n v="1965"/>
    <n v="1965"/>
    <n v="2396"/>
    <n v="431"/>
    <s v="Product 66"/>
    <x v="42"/>
    <s v="Arthur Mccoy"/>
    <x v="532"/>
    <n v="5"/>
    <x v="4"/>
    <x v="0"/>
    <x v="0"/>
    <x v="0"/>
    <x v="1"/>
  </r>
  <r>
    <s v="AX11327"/>
    <s v="ENX2059"/>
    <s v="A112"/>
    <s v="EMP1039"/>
    <s v="C1353"/>
    <x v="467"/>
    <n v="1"/>
    <n v="1494"/>
    <n v="971"/>
    <n v="971"/>
    <n v="1494"/>
    <n v="523"/>
    <s v="Product 60"/>
    <x v="66"/>
    <s v="Eugene Holmes"/>
    <x v="642"/>
    <n v="5"/>
    <x v="4"/>
    <x v="0"/>
    <x v="0"/>
    <x v="0"/>
    <x v="1"/>
  </r>
  <r>
    <s v="AX11952"/>
    <s v="ENX2047"/>
    <s v="A169"/>
    <s v="EMP1042"/>
    <s v="C1648"/>
    <x v="467"/>
    <n v="3"/>
    <n v="290"/>
    <n v="200"/>
    <n v="600"/>
    <n v="870"/>
    <n v="270"/>
    <s v="Product 48"/>
    <x v="17"/>
    <s v="Scott Clark"/>
    <x v="430"/>
    <n v="5"/>
    <x v="4"/>
    <x v="0"/>
    <x v="0"/>
    <x v="0"/>
    <x v="1"/>
  </r>
  <r>
    <s v="AX12501"/>
    <s v="ENX2011"/>
    <s v="A165"/>
    <s v="EMP1041"/>
    <s v="C1015"/>
    <x v="468"/>
    <n v="3"/>
    <n v="530"/>
    <n v="435"/>
    <n v="1305"/>
    <n v="1590"/>
    <n v="285"/>
    <s v="Product 12"/>
    <x v="55"/>
    <s v="Joe Sims"/>
    <x v="583"/>
    <n v="5"/>
    <x v="4"/>
    <x v="0"/>
    <x v="0"/>
    <x v="0"/>
    <x v="1"/>
  </r>
  <r>
    <s v="AX12624"/>
    <s v="ENX2072"/>
    <s v="A144"/>
    <s v="EMP1011"/>
    <s v="C1064"/>
    <x v="465"/>
    <n v="4"/>
    <n v="1887"/>
    <n v="1378"/>
    <n v="5512"/>
    <n v="7548"/>
    <n v="2036"/>
    <s v="Product 73"/>
    <x v="65"/>
    <s v="Larry Marshall"/>
    <x v="597"/>
    <n v="5"/>
    <x v="4"/>
    <x v="0"/>
    <x v="0"/>
    <x v="0"/>
    <x v="1"/>
  </r>
  <r>
    <s v="AX12660"/>
    <s v="ENX2087"/>
    <s v="A118"/>
    <s v="EMP1036"/>
    <s v="C1118"/>
    <x v="466"/>
    <n v="2"/>
    <n v="1022"/>
    <n v="818"/>
    <n v="1636"/>
    <n v="2044"/>
    <n v="408"/>
    <s v="Product 88"/>
    <x v="19"/>
    <s v="Robert Reed"/>
    <x v="633"/>
    <n v="5"/>
    <x v="4"/>
    <x v="0"/>
    <x v="0"/>
    <x v="0"/>
    <x v="1"/>
  </r>
  <r>
    <s v="AX12779"/>
    <s v="ENX2014"/>
    <s v="A170"/>
    <s v="EMP1039"/>
    <s v="C1061"/>
    <x v="468"/>
    <n v="4"/>
    <n v="1809"/>
    <n v="1067"/>
    <n v="4268"/>
    <n v="7236"/>
    <n v="2968"/>
    <s v="Product 15"/>
    <x v="47"/>
    <s v="Eugene Holmes"/>
    <x v="228"/>
    <n v="5"/>
    <x v="4"/>
    <x v="0"/>
    <x v="0"/>
    <x v="0"/>
    <x v="1"/>
  </r>
  <r>
    <s v="AX13024"/>
    <s v="ENX2060"/>
    <s v="A125"/>
    <s v="EMP1021"/>
    <s v="C1324"/>
    <x v="467"/>
    <n v="2"/>
    <n v="1467"/>
    <n v="807"/>
    <n v="1614"/>
    <n v="2934"/>
    <n v="1320"/>
    <s v="Product 61"/>
    <x v="31"/>
    <s v="Clarence Fox"/>
    <x v="252"/>
    <n v="5"/>
    <x v="4"/>
    <x v="0"/>
    <x v="0"/>
    <x v="0"/>
    <x v="1"/>
  </r>
  <r>
    <s v="AX13155"/>
    <s v="ENX2040"/>
    <s v="A147"/>
    <s v="EMP1021"/>
    <s v="C1304"/>
    <x v="469"/>
    <n v="2"/>
    <n v="1889"/>
    <n v="945"/>
    <n v="1890"/>
    <n v="3778"/>
    <n v="1888"/>
    <s v="Product 41"/>
    <x v="42"/>
    <s v="Clarence Fox"/>
    <x v="298"/>
    <n v="5"/>
    <x v="4"/>
    <x v="0"/>
    <x v="0"/>
    <x v="0"/>
    <x v="1"/>
  </r>
  <r>
    <s v="AX13298"/>
    <s v="ENX2050"/>
    <s v="A114"/>
    <s v="EMP1002"/>
    <s v="C1658"/>
    <x v="465"/>
    <n v="1"/>
    <n v="2391"/>
    <n v="1291"/>
    <n v="1291"/>
    <n v="2391"/>
    <n v="1100"/>
    <s v="Product 51"/>
    <x v="28"/>
    <s v="Andrew Bowman"/>
    <x v="612"/>
    <n v="5"/>
    <x v="4"/>
    <x v="0"/>
    <x v="0"/>
    <x v="0"/>
    <x v="1"/>
  </r>
  <r>
    <s v="AX13337"/>
    <s v="ENX2049"/>
    <s v="A140"/>
    <s v="EMP1039"/>
    <s v="C1671"/>
    <x v="469"/>
    <n v="1"/>
    <n v="826"/>
    <n v="562"/>
    <n v="562"/>
    <n v="826"/>
    <n v="264"/>
    <s v="Product 50"/>
    <x v="18"/>
    <s v="Eugene Holmes"/>
    <x v="248"/>
    <n v="5"/>
    <x v="4"/>
    <x v="0"/>
    <x v="0"/>
    <x v="0"/>
    <x v="1"/>
  </r>
  <r>
    <s v="AX13450"/>
    <s v="ENX2055"/>
    <s v="A132"/>
    <s v="EMP1024"/>
    <s v="C1354"/>
    <x v="469"/>
    <n v="3"/>
    <n v="2495"/>
    <n v="1896"/>
    <n v="5688"/>
    <n v="7485"/>
    <n v="1797"/>
    <s v="Product 56"/>
    <x v="48"/>
    <s v="Ernest Wheeler"/>
    <x v="133"/>
    <n v="5"/>
    <x v="4"/>
    <x v="0"/>
    <x v="0"/>
    <x v="0"/>
    <x v="1"/>
  </r>
  <r>
    <s v="AX13484"/>
    <s v="ENX2064"/>
    <s v="A127"/>
    <s v="EMP1023"/>
    <s v="C1385"/>
    <x v="469"/>
    <n v="2"/>
    <n v="1414"/>
    <n v="962"/>
    <n v="1924"/>
    <n v="2828"/>
    <n v="904"/>
    <s v="Product 65"/>
    <x v="69"/>
    <s v="Brian Davis"/>
    <x v="523"/>
    <n v="5"/>
    <x v="4"/>
    <x v="0"/>
    <x v="0"/>
    <x v="0"/>
    <x v="1"/>
  </r>
  <r>
    <s v="AX14539"/>
    <s v="ENX2098"/>
    <s v="A114"/>
    <s v="EMP1013"/>
    <s v="C1098"/>
    <x v="469"/>
    <n v="2"/>
    <n v="1178"/>
    <n v="683"/>
    <n v="1366"/>
    <n v="2356"/>
    <n v="990"/>
    <s v="Product 99"/>
    <x v="28"/>
    <s v="Charles Harper"/>
    <x v="622"/>
    <n v="5"/>
    <x v="4"/>
    <x v="0"/>
    <x v="0"/>
    <x v="0"/>
    <x v="1"/>
  </r>
  <r>
    <s v="AX14778"/>
    <s v="ENX2058"/>
    <s v="A137"/>
    <s v="EMP1029"/>
    <s v="C1458"/>
    <x v="467"/>
    <n v="1"/>
    <n v="2257"/>
    <n v="1535"/>
    <n v="1535"/>
    <n v="2257"/>
    <n v="722"/>
    <s v="Product 59"/>
    <x v="68"/>
    <s v="Howard Gardner"/>
    <x v="291"/>
    <n v="5"/>
    <x v="4"/>
    <x v="0"/>
    <x v="0"/>
    <x v="0"/>
    <x v="1"/>
  </r>
  <r>
    <s v="AX15104"/>
    <s v="ENX2017"/>
    <s v="A117"/>
    <s v="EMP1041"/>
    <s v="C1383"/>
    <x v="465"/>
    <n v="1"/>
    <n v="35"/>
    <n v="22"/>
    <n v="22"/>
    <n v="35"/>
    <n v="13"/>
    <s v="Product 18"/>
    <x v="29"/>
    <s v="Joe Sims"/>
    <x v="508"/>
    <n v="5"/>
    <x v="4"/>
    <x v="0"/>
    <x v="0"/>
    <x v="0"/>
    <x v="1"/>
  </r>
  <r>
    <s v="AX15143"/>
    <s v="ENX2059"/>
    <s v="A146"/>
    <s v="EMP1004"/>
    <s v="C1524"/>
    <x v="468"/>
    <n v="4"/>
    <n v="1494"/>
    <n v="971"/>
    <n v="3884"/>
    <n v="5976"/>
    <n v="2092"/>
    <s v="Product 60"/>
    <x v="27"/>
    <s v="Kenneth Bradley"/>
    <x v="263"/>
    <n v="5"/>
    <x v="4"/>
    <x v="0"/>
    <x v="0"/>
    <x v="0"/>
    <x v="1"/>
  </r>
  <r>
    <s v="AX15168"/>
    <s v="ENX2081"/>
    <s v="A142"/>
    <s v="EMP1020"/>
    <s v="C1485"/>
    <x v="465"/>
    <n v="1"/>
    <n v="1566"/>
    <n v="1190"/>
    <n v="1190"/>
    <n v="1566"/>
    <n v="376"/>
    <s v="Product 82"/>
    <x v="56"/>
    <s v="Ryan Butler"/>
    <x v="679"/>
    <n v="5"/>
    <x v="4"/>
    <x v="0"/>
    <x v="0"/>
    <x v="0"/>
    <x v="1"/>
  </r>
  <r>
    <s v="AX15464"/>
    <s v="ENX2074"/>
    <s v="A139"/>
    <s v="EMP1011"/>
    <s v="C1669"/>
    <x v="468"/>
    <n v="4"/>
    <n v="504"/>
    <n v="408"/>
    <n v="1632"/>
    <n v="2016"/>
    <n v="384"/>
    <s v="Product 75"/>
    <x v="38"/>
    <s v="Larry Marshall"/>
    <x v="447"/>
    <n v="5"/>
    <x v="4"/>
    <x v="0"/>
    <x v="0"/>
    <x v="0"/>
    <x v="1"/>
  </r>
  <r>
    <s v="AX15956"/>
    <s v="ENX2003"/>
    <s v="A161"/>
    <s v="EMP1022"/>
    <s v="C1536"/>
    <x v="467"/>
    <n v="1"/>
    <n v="1783"/>
    <n v="1516"/>
    <n v="1516"/>
    <n v="1783"/>
    <n v="267"/>
    <s v="Product 4"/>
    <x v="6"/>
    <s v="Walter Cook"/>
    <x v="74"/>
    <n v="5"/>
    <x v="4"/>
    <x v="0"/>
    <x v="0"/>
    <x v="0"/>
    <x v="1"/>
  </r>
  <r>
    <s v="AX16016"/>
    <s v="ENX2041"/>
    <s v="A127"/>
    <s v="EMP1038"/>
    <s v="C1606"/>
    <x v="465"/>
    <n v="4"/>
    <n v="1380"/>
    <n v="1090"/>
    <n v="4360"/>
    <n v="5520"/>
    <n v="1160"/>
    <s v="Product 42"/>
    <x v="69"/>
    <s v="Scott Mason"/>
    <x v="250"/>
    <n v="5"/>
    <x v="4"/>
    <x v="0"/>
    <x v="0"/>
    <x v="0"/>
    <x v="1"/>
  </r>
  <r>
    <s v="AX17153"/>
    <s v="ENX2092"/>
    <s v="A112"/>
    <s v="EMP1005"/>
    <s v="C1637"/>
    <x v="468"/>
    <n v="1"/>
    <n v="1639"/>
    <n v="1295"/>
    <n v="1295"/>
    <n v="1639"/>
    <n v="344"/>
    <s v="Product 93"/>
    <x v="66"/>
    <s v="Ryan Welch"/>
    <x v="326"/>
    <n v="5"/>
    <x v="4"/>
    <x v="0"/>
    <x v="0"/>
    <x v="0"/>
    <x v="1"/>
  </r>
  <r>
    <s v="AX17592"/>
    <s v="ENX2067"/>
    <s v="A139"/>
    <s v="EMP1019"/>
    <s v="C1627"/>
    <x v="468"/>
    <n v="1"/>
    <n v="1119"/>
    <n v="683"/>
    <n v="683"/>
    <n v="1119"/>
    <n v="436"/>
    <s v="Product 68"/>
    <x v="38"/>
    <s v="Roger Robertson"/>
    <x v="785"/>
    <n v="5"/>
    <x v="4"/>
    <x v="0"/>
    <x v="0"/>
    <x v="0"/>
    <x v="1"/>
  </r>
  <r>
    <s v="AX17717"/>
    <s v="ENX2093"/>
    <s v="A117"/>
    <s v="EMP1000"/>
    <s v="C1658"/>
    <x v="465"/>
    <n v="2"/>
    <n v="112"/>
    <n v="90"/>
    <n v="180"/>
    <n v="224"/>
    <n v="44"/>
    <s v="Product 94"/>
    <x v="29"/>
    <s v="Fred Robertson"/>
    <x v="612"/>
    <n v="5"/>
    <x v="4"/>
    <x v="0"/>
    <x v="0"/>
    <x v="0"/>
    <x v="1"/>
  </r>
  <r>
    <s v="AX18076"/>
    <s v="ENX2052"/>
    <s v="A153"/>
    <s v="EMP1004"/>
    <s v="C1498"/>
    <x v="466"/>
    <n v="1"/>
    <n v="1526"/>
    <n v="1251"/>
    <n v="1251"/>
    <n v="1526"/>
    <n v="275"/>
    <s v="Product 53"/>
    <x v="8"/>
    <s v="Kenneth Bradley"/>
    <x v="10"/>
    <n v="5"/>
    <x v="4"/>
    <x v="0"/>
    <x v="0"/>
    <x v="0"/>
    <x v="1"/>
  </r>
  <r>
    <s v="AX18134"/>
    <s v="ENX2007"/>
    <s v="A112"/>
    <s v="EMP1023"/>
    <s v="C1576"/>
    <x v="466"/>
    <n v="1"/>
    <n v="1405"/>
    <n v="1054"/>
    <n v="1054"/>
    <n v="1405"/>
    <n v="351"/>
    <s v="Product 8"/>
    <x v="66"/>
    <s v="Brian Davis"/>
    <x v="398"/>
    <n v="5"/>
    <x v="4"/>
    <x v="0"/>
    <x v="0"/>
    <x v="0"/>
    <x v="1"/>
  </r>
  <r>
    <s v="AX18291"/>
    <s v="ENX2082"/>
    <s v="A168"/>
    <s v="EMP1014"/>
    <s v="C1756"/>
    <x v="469"/>
    <n v="2"/>
    <n v="1103"/>
    <n v="838"/>
    <n v="1676"/>
    <n v="2206"/>
    <n v="530"/>
    <s v="Product 83"/>
    <x v="40"/>
    <s v="Ronald Reed"/>
    <x v="371"/>
    <n v="5"/>
    <x v="4"/>
    <x v="0"/>
    <x v="0"/>
    <x v="0"/>
    <x v="1"/>
  </r>
  <r>
    <s v="AX18361"/>
    <s v="ENX2071"/>
    <s v="A151"/>
    <s v="EMP1000"/>
    <s v="C1530"/>
    <x v="465"/>
    <n v="1"/>
    <n v="136"/>
    <n v="72"/>
    <n v="72"/>
    <n v="136"/>
    <n v="64"/>
    <s v="Product 72"/>
    <x v="1"/>
    <s v="Fred Robertson"/>
    <x v="224"/>
    <n v="5"/>
    <x v="4"/>
    <x v="0"/>
    <x v="0"/>
    <x v="0"/>
    <x v="1"/>
  </r>
  <r>
    <s v="AX18817"/>
    <s v="ENX2043"/>
    <s v="A118"/>
    <s v="EMP1012"/>
    <s v="C1262"/>
    <x v="465"/>
    <n v="2"/>
    <n v="545"/>
    <n v="425"/>
    <n v="850"/>
    <n v="1090"/>
    <n v="240"/>
    <s v="Product 44"/>
    <x v="19"/>
    <s v="John Reyes"/>
    <x v="363"/>
    <n v="5"/>
    <x v="4"/>
    <x v="0"/>
    <x v="0"/>
    <x v="0"/>
    <x v="1"/>
  </r>
  <r>
    <s v="AX18857"/>
    <s v="ENX2088"/>
    <s v="A116"/>
    <s v="EMP1037"/>
    <s v="C1545"/>
    <x v="465"/>
    <n v="3"/>
    <n v="603"/>
    <n v="416"/>
    <n v="1248"/>
    <n v="1809"/>
    <n v="561"/>
    <s v="Product 89"/>
    <x v="15"/>
    <s v="Carl Hall"/>
    <x v="646"/>
    <n v="5"/>
    <x v="4"/>
    <x v="0"/>
    <x v="0"/>
    <x v="0"/>
    <x v="1"/>
  </r>
  <r>
    <s v="AX19003"/>
    <s v="ENX2077"/>
    <s v="A114"/>
    <s v="EMP1030"/>
    <s v="C1398"/>
    <x v="465"/>
    <n v="1"/>
    <n v="530"/>
    <n v="424"/>
    <n v="424"/>
    <n v="530"/>
    <n v="106"/>
    <s v="Product 78"/>
    <x v="28"/>
    <s v="Bobby Russell"/>
    <x v="680"/>
    <n v="5"/>
    <x v="4"/>
    <x v="0"/>
    <x v="0"/>
    <x v="0"/>
    <x v="1"/>
  </r>
  <r>
    <s v="AX19387"/>
    <s v="ENX2043"/>
    <s v="A173"/>
    <s v="EMP1003"/>
    <s v="C1317"/>
    <x v="465"/>
    <n v="1"/>
    <n v="545"/>
    <n v="425"/>
    <n v="425"/>
    <n v="545"/>
    <n v="120"/>
    <s v="Product 44"/>
    <x v="25"/>
    <s v="Christopher Tucker"/>
    <x v="504"/>
    <n v="5"/>
    <x v="4"/>
    <x v="0"/>
    <x v="0"/>
    <x v="0"/>
    <x v="1"/>
  </r>
  <r>
    <s v="AX19605"/>
    <s v="ENX2018"/>
    <s v="A106"/>
    <s v="EMP1035"/>
    <s v="C1229"/>
    <x v="467"/>
    <n v="1"/>
    <n v="1972"/>
    <n v="1321"/>
    <n v="1321"/>
    <n v="1972"/>
    <n v="651"/>
    <s v="Product 19"/>
    <x v="11"/>
    <s v="Roger Ramos"/>
    <x v="562"/>
    <n v="5"/>
    <x v="4"/>
    <x v="0"/>
    <x v="0"/>
    <x v="0"/>
    <x v="1"/>
  </r>
  <r>
    <s v="AX19861"/>
    <s v="ENX2071"/>
    <s v="A129"/>
    <s v="EMP1036"/>
    <s v="C1160"/>
    <x v="466"/>
    <n v="3"/>
    <n v="136"/>
    <n v="72"/>
    <n v="216"/>
    <n v="408"/>
    <n v="192"/>
    <s v="Product 72"/>
    <x v="22"/>
    <s v="Robert Reed"/>
    <x v="566"/>
    <n v="5"/>
    <x v="4"/>
    <x v="0"/>
    <x v="0"/>
    <x v="0"/>
    <x v="1"/>
  </r>
  <r>
    <s v="AX19906"/>
    <s v="ENX2069"/>
    <s v="A154"/>
    <s v="EMP1041"/>
    <s v="C1400"/>
    <x v="469"/>
    <n v="1"/>
    <n v="378"/>
    <n v="291"/>
    <n v="291"/>
    <n v="378"/>
    <n v="87"/>
    <s v="Product 70"/>
    <x v="24"/>
    <s v="Joe Sims"/>
    <x v="437"/>
    <n v="5"/>
    <x v="4"/>
    <x v="0"/>
    <x v="0"/>
    <x v="0"/>
    <x v="1"/>
  </r>
  <r>
    <s v="AX20673"/>
    <s v="ENX2056"/>
    <s v="A153"/>
    <s v="EMP1022"/>
    <s v="C1695"/>
    <x v="466"/>
    <n v="1"/>
    <n v="1635"/>
    <n v="1046"/>
    <n v="1046"/>
    <n v="1635"/>
    <n v="589"/>
    <s v="Product 57"/>
    <x v="8"/>
    <s v="Walter Cook"/>
    <x v="18"/>
    <n v="5"/>
    <x v="4"/>
    <x v="0"/>
    <x v="0"/>
    <x v="0"/>
    <x v="1"/>
  </r>
  <r>
    <s v="AX20711"/>
    <s v="ENX2098"/>
    <s v="A140"/>
    <s v="EMP1016"/>
    <s v="C1523"/>
    <x v="468"/>
    <n v="2"/>
    <n v="1178"/>
    <n v="683"/>
    <n v="1366"/>
    <n v="2356"/>
    <n v="990"/>
    <s v="Product 99"/>
    <x v="18"/>
    <s v="Henry Nelson"/>
    <x v="543"/>
    <n v="5"/>
    <x v="4"/>
    <x v="0"/>
    <x v="0"/>
    <x v="0"/>
    <x v="1"/>
  </r>
  <r>
    <s v="AX20835"/>
    <s v="ENX2022"/>
    <s v="A156"/>
    <s v="EMP1029"/>
    <s v="C1097"/>
    <x v="466"/>
    <n v="2"/>
    <n v="561"/>
    <n v="421"/>
    <n v="842"/>
    <n v="1122"/>
    <n v="280"/>
    <s v="Product 23"/>
    <x v="14"/>
    <s v="Howard Gardner"/>
    <x v="662"/>
    <n v="5"/>
    <x v="4"/>
    <x v="0"/>
    <x v="0"/>
    <x v="0"/>
    <x v="1"/>
  </r>
  <r>
    <s v="AX21001"/>
    <s v="ENX2004"/>
    <s v="A156"/>
    <s v="EMP1016"/>
    <s v="C1324"/>
    <x v="468"/>
    <n v="1"/>
    <n v="1278"/>
    <n v="665"/>
    <n v="665"/>
    <n v="1278"/>
    <n v="613"/>
    <s v="Product 5"/>
    <x v="14"/>
    <s v="Henry Nelson"/>
    <x v="252"/>
    <n v="5"/>
    <x v="4"/>
    <x v="0"/>
    <x v="0"/>
    <x v="0"/>
    <x v="1"/>
  </r>
  <r>
    <s v="AX21024"/>
    <s v="ENX2060"/>
    <s v="A105"/>
    <s v="EMP1007"/>
    <s v="C1789"/>
    <x v="468"/>
    <n v="2"/>
    <n v="1467"/>
    <n v="807"/>
    <n v="1614"/>
    <n v="2934"/>
    <n v="1320"/>
    <s v="Product 61"/>
    <x v="45"/>
    <s v="Jeremy Mendoza"/>
    <x v="701"/>
    <n v="5"/>
    <x v="4"/>
    <x v="0"/>
    <x v="0"/>
    <x v="0"/>
    <x v="1"/>
  </r>
  <r>
    <s v="AX21065"/>
    <s v="ENX2097"/>
    <s v="A170"/>
    <s v="EMP1006"/>
    <s v="C1287"/>
    <x v="469"/>
    <n v="1"/>
    <n v="1052"/>
    <n v="589"/>
    <n v="589"/>
    <n v="1052"/>
    <n v="463"/>
    <s v="Product 98"/>
    <x v="47"/>
    <s v="Sean Miller"/>
    <x v="443"/>
    <n v="5"/>
    <x v="4"/>
    <x v="0"/>
    <x v="0"/>
    <x v="0"/>
    <x v="1"/>
  </r>
  <r>
    <s v="AX21536"/>
    <s v="ENX2067"/>
    <s v="A137"/>
    <s v="EMP1018"/>
    <s v="C1003"/>
    <x v="468"/>
    <n v="1"/>
    <n v="1119"/>
    <n v="683"/>
    <n v="683"/>
    <n v="1119"/>
    <n v="436"/>
    <s v="Product 68"/>
    <x v="68"/>
    <s v="Jimmy Young"/>
    <x v="494"/>
    <n v="5"/>
    <x v="4"/>
    <x v="0"/>
    <x v="0"/>
    <x v="0"/>
    <x v="1"/>
  </r>
  <r>
    <s v="AX22067"/>
    <s v="ENX2025"/>
    <s v="A143"/>
    <s v="EMP1001"/>
    <s v="C1669"/>
    <x v="469"/>
    <n v="1"/>
    <n v="667"/>
    <n v="387"/>
    <n v="387"/>
    <n v="667"/>
    <n v="280"/>
    <s v="Product 26"/>
    <x v="39"/>
    <s v="Kevin Butler"/>
    <x v="447"/>
    <n v="5"/>
    <x v="4"/>
    <x v="0"/>
    <x v="0"/>
    <x v="0"/>
    <x v="1"/>
  </r>
  <r>
    <s v="AX22137"/>
    <s v="ENX2076"/>
    <s v="A145"/>
    <s v="EMP1038"/>
    <s v="C1328"/>
    <x v="468"/>
    <n v="1"/>
    <n v="1522"/>
    <n v="791"/>
    <n v="791"/>
    <n v="1522"/>
    <n v="731"/>
    <s v="Product 77"/>
    <x v="35"/>
    <s v="Scott Mason"/>
    <x v="488"/>
    <n v="5"/>
    <x v="4"/>
    <x v="0"/>
    <x v="0"/>
    <x v="0"/>
    <x v="1"/>
  </r>
  <r>
    <s v="AX22409"/>
    <s v="ENX2044"/>
    <s v="A147"/>
    <s v="EMP1033"/>
    <s v="C1182"/>
    <x v="468"/>
    <n v="2"/>
    <n v="886"/>
    <n v="478"/>
    <n v="956"/>
    <n v="1772"/>
    <n v="816"/>
    <s v="Product 45"/>
    <x v="42"/>
    <s v="Jerry Perry"/>
    <x v="759"/>
    <n v="5"/>
    <x v="4"/>
    <x v="0"/>
    <x v="0"/>
    <x v="0"/>
    <x v="1"/>
  </r>
  <r>
    <s v="AX22416"/>
    <s v="ENX2084"/>
    <s v="A159"/>
    <s v="EMP1018"/>
    <s v="C1021"/>
    <x v="468"/>
    <n v="3"/>
    <n v="1783"/>
    <n v="1230"/>
    <n v="3690"/>
    <n v="5349"/>
    <n v="1659"/>
    <s v="Product 85"/>
    <x v="13"/>
    <s v="Jimmy Young"/>
    <x v="246"/>
    <n v="5"/>
    <x v="4"/>
    <x v="0"/>
    <x v="0"/>
    <x v="0"/>
    <x v="1"/>
  </r>
  <r>
    <s v="AX22471"/>
    <s v="ENX2035"/>
    <s v="A151"/>
    <s v="EMP1015"/>
    <s v="C1568"/>
    <x v="466"/>
    <n v="3"/>
    <n v="458"/>
    <n v="376"/>
    <n v="1128"/>
    <n v="1374"/>
    <n v="246"/>
    <s v="Product 36"/>
    <x v="1"/>
    <s v="Justin Lynch"/>
    <x v="551"/>
    <n v="5"/>
    <x v="4"/>
    <x v="0"/>
    <x v="0"/>
    <x v="0"/>
    <x v="1"/>
  </r>
  <r>
    <s v="AX22797"/>
    <s v="ENX2003"/>
    <s v="A110"/>
    <s v="EMP1004"/>
    <s v="C1364"/>
    <x v="465"/>
    <n v="1"/>
    <n v="1783"/>
    <n v="1516"/>
    <n v="1516"/>
    <n v="1783"/>
    <n v="267"/>
    <s v="Product 4"/>
    <x v="63"/>
    <s v="Kenneth Bradley"/>
    <x v="477"/>
    <n v="5"/>
    <x v="4"/>
    <x v="0"/>
    <x v="0"/>
    <x v="0"/>
    <x v="1"/>
  </r>
  <r>
    <s v="AX22838"/>
    <s v="ENX2028"/>
    <s v="A160"/>
    <s v="EMP1006"/>
    <s v="C1013"/>
    <x v="466"/>
    <n v="4"/>
    <n v="2283"/>
    <n v="1484"/>
    <n v="5936"/>
    <n v="9132"/>
    <n v="3196"/>
    <s v="Product 29"/>
    <x v="9"/>
    <s v="Sean Miller"/>
    <x v="431"/>
    <n v="5"/>
    <x v="4"/>
    <x v="0"/>
    <x v="0"/>
    <x v="0"/>
    <x v="1"/>
  </r>
  <r>
    <s v="AX23287"/>
    <s v="ENX2084"/>
    <s v="A158"/>
    <s v="EMP1039"/>
    <s v="C1704"/>
    <x v="466"/>
    <n v="2"/>
    <n v="1783"/>
    <n v="1230"/>
    <n v="2460"/>
    <n v="3566"/>
    <n v="1106"/>
    <s v="Product 85"/>
    <x v="58"/>
    <s v="Eugene Holmes"/>
    <x v="28"/>
    <n v="5"/>
    <x v="4"/>
    <x v="0"/>
    <x v="0"/>
    <x v="0"/>
    <x v="1"/>
  </r>
  <r>
    <s v="AX23557"/>
    <s v="ENX2080"/>
    <s v="A122"/>
    <s v="EMP1012"/>
    <s v="C1178"/>
    <x v="465"/>
    <n v="1"/>
    <n v="2353"/>
    <n v="1788"/>
    <n v="1788"/>
    <n v="2353"/>
    <n v="565"/>
    <s v="Product 81"/>
    <x v="71"/>
    <s v="John Reyes"/>
    <x v="465"/>
    <n v="5"/>
    <x v="4"/>
    <x v="0"/>
    <x v="0"/>
    <x v="0"/>
    <x v="1"/>
  </r>
  <r>
    <s v="AX23706"/>
    <s v="ENX2068"/>
    <s v="A127"/>
    <s v="EMP1013"/>
    <s v="C1147"/>
    <x v="468"/>
    <n v="3"/>
    <n v="1500"/>
    <n v="900"/>
    <n v="2700"/>
    <n v="4500"/>
    <n v="1800"/>
    <s v="Product 69"/>
    <x v="69"/>
    <s v="Charles Harper"/>
    <x v="427"/>
    <n v="5"/>
    <x v="4"/>
    <x v="0"/>
    <x v="0"/>
    <x v="0"/>
    <x v="1"/>
  </r>
  <r>
    <s v="AX23890"/>
    <s v="ENX2060"/>
    <s v="A123"/>
    <s v="EMP1031"/>
    <s v="C1140"/>
    <x v="466"/>
    <n v="1"/>
    <n v="1467"/>
    <n v="807"/>
    <n v="807"/>
    <n v="1467"/>
    <n v="660"/>
    <s v="Product 61"/>
    <x v="34"/>
    <s v="Brian Thomas"/>
    <x v="40"/>
    <n v="5"/>
    <x v="4"/>
    <x v="0"/>
    <x v="0"/>
    <x v="0"/>
    <x v="1"/>
  </r>
  <r>
    <s v="AX23931"/>
    <s v="ENX2062"/>
    <s v="A110"/>
    <s v="EMP1016"/>
    <s v="C1084"/>
    <x v="469"/>
    <n v="1"/>
    <n v="2464"/>
    <n v="1774"/>
    <n v="1774"/>
    <n v="2464"/>
    <n v="690"/>
    <s v="Product 63"/>
    <x v="63"/>
    <s v="Henry Nelson"/>
    <x v="631"/>
    <n v="5"/>
    <x v="4"/>
    <x v="0"/>
    <x v="0"/>
    <x v="0"/>
    <x v="1"/>
  </r>
  <r>
    <s v="AX24206"/>
    <s v="ENX2022"/>
    <s v="A163"/>
    <s v="EMP1017"/>
    <s v="C1059"/>
    <x v="466"/>
    <n v="2"/>
    <n v="561"/>
    <n v="421"/>
    <n v="842"/>
    <n v="1122"/>
    <n v="280"/>
    <s v="Product 23"/>
    <x v="51"/>
    <s v="Brian Hansen"/>
    <x v="297"/>
    <n v="5"/>
    <x v="4"/>
    <x v="0"/>
    <x v="0"/>
    <x v="0"/>
    <x v="1"/>
  </r>
  <r>
    <s v="AX24597"/>
    <s v="ENX2019"/>
    <s v="A151"/>
    <s v="EMP1001"/>
    <s v="C1748"/>
    <x v="467"/>
    <n v="1"/>
    <n v="800"/>
    <n v="536"/>
    <n v="536"/>
    <n v="800"/>
    <n v="264"/>
    <s v="Product 20"/>
    <x v="1"/>
    <s v="Kevin Butler"/>
    <x v="162"/>
    <n v="5"/>
    <x v="4"/>
    <x v="0"/>
    <x v="0"/>
    <x v="0"/>
    <x v="1"/>
  </r>
  <r>
    <s v="AX10362"/>
    <s v="ENX2071"/>
    <s v="A169"/>
    <s v="EMP1019"/>
    <s v="C1322"/>
    <x v="470"/>
    <n v="1"/>
    <n v="136"/>
    <n v="72"/>
    <n v="72"/>
    <n v="136"/>
    <n v="64"/>
    <s v="Product 72"/>
    <x v="17"/>
    <s v="Roger Robertson"/>
    <x v="604"/>
    <n v="5"/>
    <x v="4"/>
    <x v="0"/>
    <x v="0"/>
    <x v="0"/>
    <x v="2"/>
  </r>
  <r>
    <s v="AX10372"/>
    <s v="ENX2063"/>
    <s v="A140"/>
    <s v="EMP1007"/>
    <s v="C1254"/>
    <x v="471"/>
    <n v="3"/>
    <n v="1708"/>
    <n v="871"/>
    <n v="2613"/>
    <n v="5124"/>
    <n v="2511"/>
    <s v="Product 64"/>
    <x v="18"/>
    <s v="Jeremy Mendoza"/>
    <x v="104"/>
    <n v="5"/>
    <x v="4"/>
    <x v="0"/>
    <x v="0"/>
    <x v="0"/>
    <x v="2"/>
  </r>
  <r>
    <s v="AX10378"/>
    <s v="ENX2007"/>
    <s v="A120"/>
    <s v="EMP1019"/>
    <s v="C1174"/>
    <x v="472"/>
    <n v="1"/>
    <n v="1405"/>
    <n v="1054"/>
    <n v="1054"/>
    <n v="1405"/>
    <n v="351"/>
    <s v="Product 8"/>
    <x v="20"/>
    <s v="Roger Robertson"/>
    <x v="715"/>
    <n v="5"/>
    <x v="4"/>
    <x v="0"/>
    <x v="0"/>
    <x v="0"/>
    <x v="2"/>
  </r>
  <r>
    <s v="AX10421"/>
    <s v="ENX2001"/>
    <s v="A112"/>
    <s v="EMP1033"/>
    <s v="C1041"/>
    <x v="473"/>
    <n v="1"/>
    <n v="951"/>
    <n v="504"/>
    <n v="504"/>
    <n v="951"/>
    <n v="447"/>
    <s v="Product 2"/>
    <x v="66"/>
    <s v="Jerry Perry"/>
    <x v="29"/>
    <n v="5"/>
    <x v="4"/>
    <x v="0"/>
    <x v="0"/>
    <x v="0"/>
    <x v="2"/>
  </r>
  <r>
    <s v="AX10443"/>
    <s v="ENX2057"/>
    <s v="A133"/>
    <s v="EMP1021"/>
    <s v="C1571"/>
    <x v="471"/>
    <n v="1"/>
    <n v="181"/>
    <n v="130"/>
    <n v="130"/>
    <n v="181"/>
    <n v="51"/>
    <s v="Product 58"/>
    <x v="46"/>
    <s v="Clarence Fox"/>
    <x v="316"/>
    <n v="5"/>
    <x v="4"/>
    <x v="0"/>
    <x v="0"/>
    <x v="0"/>
    <x v="2"/>
  </r>
  <r>
    <s v="AX10838"/>
    <s v="ENX2100"/>
    <s v="A155"/>
    <s v="EMP1023"/>
    <s v="C1229"/>
    <x v="472"/>
    <n v="1"/>
    <n v="799"/>
    <n v="455"/>
    <n v="455"/>
    <n v="799"/>
    <n v="344"/>
    <s v="Product 101"/>
    <x v="53"/>
    <s v="Brian Davis"/>
    <x v="562"/>
    <n v="5"/>
    <x v="4"/>
    <x v="0"/>
    <x v="0"/>
    <x v="0"/>
    <x v="2"/>
  </r>
  <r>
    <s v="AX12366"/>
    <s v="ENX2015"/>
    <s v="A112"/>
    <s v="EMP1034"/>
    <s v="C1091"/>
    <x v="472"/>
    <n v="1"/>
    <n v="637"/>
    <n v="389"/>
    <n v="389"/>
    <n v="637"/>
    <n v="248"/>
    <s v="Product 16"/>
    <x v="66"/>
    <s v="Arthur Mccoy"/>
    <x v="513"/>
    <n v="5"/>
    <x v="4"/>
    <x v="0"/>
    <x v="0"/>
    <x v="0"/>
    <x v="2"/>
  </r>
  <r>
    <s v="AX12383"/>
    <s v="ENX2076"/>
    <s v="A134"/>
    <s v="EMP1015"/>
    <s v="C1041"/>
    <x v="471"/>
    <n v="1"/>
    <n v="1522"/>
    <n v="791"/>
    <n v="791"/>
    <n v="1522"/>
    <n v="731"/>
    <s v="Product 77"/>
    <x v="41"/>
    <s v="Justin Lynch"/>
    <x v="29"/>
    <n v="5"/>
    <x v="4"/>
    <x v="0"/>
    <x v="0"/>
    <x v="0"/>
    <x v="2"/>
  </r>
  <r>
    <s v="AX12435"/>
    <s v="ENX2041"/>
    <s v="A142"/>
    <s v="EMP1001"/>
    <s v="C1798"/>
    <x v="470"/>
    <n v="2"/>
    <n v="1380"/>
    <n v="1090"/>
    <n v="2180"/>
    <n v="2760"/>
    <n v="580"/>
    <s v="Product 42"/>
    <x v="56"/>
    <s v="Kevin Butler"/>
    <x v="608"/>
    <n v="5"/>
    <x v="4"/>
    <x v="0"/>
    <x v="0"/>
    <x v="0"/>
    <x v="2"/>
  </r>
  <r>
    <s v="AX12625"/>
    <s v="ENX2035"/>
    <s v="A146"/>
    <s v="EMP1005"/>
    <s v="C1410"/>
    <x v="470"/>
    <n v="1"/>
    <n v="458"/>
    <n v="376"/>
    <n v="376"/>
    <n v="458"/>
    <n v="82"/>
    <s v="Product 36"/>
    <x v="27"/>
    <s v="Ryan Welch"/>
    <x v="112"/>
    <n v="5"/>
    <x v="4"/>
    <x v="0"/>
    <x v="0"/>
    <x v="0"/>
    <x v="2"/>
  </r>
  <r>
    <s v="AX12818"/>
    <s v="ENX2058"/>
    <s v="A149"/>
    <s v="EMP1037"/>
    <s v="C1750"/>
    <x v="472"/>
    <n v="4"/>
    <n v="2257"/>
    <n v="1535"/>
    <n v="6140"/>
    <n v="9028"/>
    <n v="2888"/>
    <s v="Product 59"/>
    <x v="59"/>
    <s v="Carl Hall"/>
    <x v="591"/>
    <n v="5"/>
    <x v="4"/>
    <x v="0"/>
    <x v="0"/>
    <x v="0"/>
    <x v="2"/>
  </r>
  <r>
    <s v="AX12955"/>
    <s v="ENX2039"/>
    <s v="A158"/>
    <s v="EMP1009"/>
    <s v="C1196"/>
    <x v="472"/>
    <n v="3"/>
    <n v="817"/>
    <n v="409"/>
    <n v="1227"/>
    <n v="2451"/>
    <n v="1224"/>
    <s v="Product 40"/>
    <x v="58"/>
    <s v="Kenneth Fields"/>
    <x v="65"/>
    <n v="5"/>
    <x v="4"/>
    <x v="0"/>
    <x v="0"/>
    <x v="0"/>
    <x v="2"/>
  </r>
  <r>
    <s v="AX13568"/>
    <s v="ENX2056"/>
    <s v="A103"/>
    <s v="EMP1044"/>
    <s v="C1310"/>
    <x v="473"/>
    <n v="3"/>
    <n v="1635"/>
    <n v="1046"/>
    <n v="3138"/>
    <n v="4905"/>
    <n v="1767"/>
    <s v="Product 57"/>
    <x v="61"/>
    <s v="Martin Carr"/>
    <x v="169"/>
    <n v="5"/>
    <x v="4"/>
    <x v="0"/>
    <x v="0"/>
    <x v="0"/>
    <x v="2"/>
  </r>
  <r>
    <s v="AX13861"/>
    <s v="ENX2018"/>
    <s v="A162"/>
    <s v="EMP1018"/>
    <s v="C1013"/>
    <x v="472"/>
    <n v="2"/>
    <n v="1972"/>
    <n v="1321"/>
    <n v="2642"/>
    <n v="3944"/>
    <n v="1302"/>
    <s v="Product 19"/>
    <x v="2"/>
    <s v="Jimmy Young"/>
    <x v="431"/>
    <n v="5"/>
    <x v="4"/>
    <x v="0"/>
    <x v="0"/>
    <x v="0"/>
    <x v="2"/>
  </r>
  <r>
    <s v="AX13957"/>
    <s v="ENX2078"/>
    <s v="A110"/>
    <s v="EMP1004"/>
    <s v="C1246"/>
    <x v="472"/>
    <n v="3"/>
    <n v="1798"/>
    <n v="971"/>
    <n v="2913"/>
    <n v="5394"/>
    <n v="2481"/>
    <s v="Product 79"/>
    <x v="63"/>
    <s v="Kenneth Bradley"/>
    <x v="665"/>
    <n v="5"/>
    <x v="4"/>
    <x v="0"/>
    <x v="0"/>
    <x v="0"/>
    <x v="2"/>
  </r>
  <r>
    <s v="AX14056"/>
    <s v="ENX2066"/>
    <s v="A171"/>
    <s v="EMP1040"/>
    <s v="C1398"/>
    <x v="471"/>
    <n v="1"/>
    <n v="2091"/>
    <n v="1485"/>
    <n v="1485"/>
    <n v="2091"/>
    <n v="606"/>
    <s v="Product 67"/>
    <x v="0"/>
    <s v="Patrick Ruiz"/>
    <x v="680"/>
    <n v="5"/>
    <x v="4"/>
    <x v="0"/>
    <x v="0"/>
    <x v="0"/>
    <x v="2"/>
  </r>
  <r>
    <s v="AX14249"/>
    <s v="ENX2086"/>
    <s v="A148"/>
    <s v="EMP1039"/>
    <s v="C1332"/>
    <x v="472"/>
    <n v="1"/>
    <n v="123"/>
    <n v="84"/>
    <n v="84"/>
    <n v="123"/>
    <n v="39"/>
    <s v="Product 87"/>
    <x v="62"/>
    <s v="Eugene Holmes"/>
    <x v="7"/>
    <n v="5"/>
    <x v="4"/>
    <x v="0"/>
    <x v="0"/>
    <x v="0"/>
    <x v="2"/>
  </r>
  <r>
    <s v="AX14623"/>
    <s v="ENX2080"/>
    <s v="A138"/>
    <s v="EMP1004"/>
    <s v="C1164"/>
    <x v="473"/>
    <n v="1"/>
    <n v="2353"/>
    <n v="1788"/>
    <n v="1788"/>
    <n v="2353"/>
    <n v="565"/>
    <s v="Product 81"/>
    <x v="37"/>
    <s v="Kenneth Bradley"/>
    <x v="149"/>
    <n v="5"/>
    <x v="4"/>
    <x v="0"/>
    <x v="0"/>
    <x v="0"/>
    <x v="2"/>
  </r>
  <r>
    <s v="AX14759"/>
    <s v="ENX2016"/>
    <s v="A103"/>
    <s v="EMP1006"/>
    <s v="C1478"/>
    <x v="472"/>
    <n v="1"/>
    <n v="1351"/>
    <n v="1108"/>
    <n v="1108"/>
    <n v="1351"/>
    <n v="243"/>
    <s v="Product 17"/>
    <x v="61"/>
    <s v="Sean Miller"/>
    <x v="483"/>
    <n v="5"/>
    <x v="4"/>
    <x v="0"/>
    <x v="0"/>
    <x v="0"/>
    <x v="2"/>
  </r>
  <r>
    <s v="AX14768"/>
    <s v="ENX2051"/>
    <s v="A135"/>
    <s v="EMP1025"/>
    <s v="C1536"/>
    <x v="470"/>
    <n v="1"/>
    <n v="1077"/>
    <n v="732"/>
    <n v="732"/>
    <n v="1077"/>
    <n v="345"/>
    <s v="Product 52"/>
    <x v="10"/>
    <s v="Ernest Wagner"/>
    <x v="74"/>
    <n v="5"/>
    <x v="4"/>
    <x v="0"/>
    <x v="0"/>
    <x v="0"/>
    <x v="2"/>
  </r>
  <r>
    <s v="AX15316"/>
    <s v="ENX2030"/>
    <s v="A145"/>
    <s v="EMP1009"/>
    <s v="C1152"/>
    <x v="470"/>
    <n v="1"/>
    <n v="1899"/>
    <n v="1044"/>
    <n v="1044"/>
    <n v="1899"/>
    <n v="855"/>
    <s v="Product 31"/>
    <x v="35"/>
    <s v="Kenneth Fields"/>
    <x v="198"/>
    <n v="5"/>
    <x v="4"/>
    <x v="0"/>
    <x v="0"/>
    <x v="0"/>
    <x v="2"/>
  </r>
  <r>
    <s v="AX15367"/>
    <s v="ENX2046"/>
    <s v="A133"/>
    <s v="EMP1033"/>
    <s v="C1688"/>
    <x v="472"/>
    <n v="1"/>
    <n v="2410"/>
    <n v="1518"/>
    <n v="1518"/>
    <n v="2410"/>
    <n v="892"/>
    <s v="Product 47"/>
    <x v="46"/>
    <s v="Jerry Perry"/>
    <x v="213"/>
    <n v="5"/>
    <x v="4"/>
    <x v="0"/>
    <x v="0"/>
    <x v="0"/>
    <x v="2"/>
  </r>
  <r>
    <s v="AX15421"/>
    <s v="ENX2025"/>
    <s v="A127"/>
    <s v="EMP1007"/>
    <s v="C1159"/>
    <x v="471"/>
    <n v="1"/>
    <n v="667"/>
    <n v="387"/>
    <n v="387"/>
    <n v="667"/>
    <n v="280"/>
    <s v="Product 26"/>
    <x v="69"/>
    <s v="Jeremy Mendoza"/>
    <x v="793"/>
    <n v="5"/>
    <x v="4"/>
    <x v="0"/>
    <x v="0"/>
    <x v="0"/>
    <x v="2"/>
  </r>
  <r>
    <s v="AX15753"/>
    <s v="ENX2023"/>
    <s v="A106"/>
    <s v="EMP1037"/>
    <s v="C1538"/>
    <x v="471"/>
    <n v="1"/>
    <n v="818"/>
    <n v="450"/>
    <n v="450"/>
    <n v="818"/>
    <n v="368"/>
    <s v="Product 24"/>
    <x v="11"/>
    <s v="Carl Hall"/>
    <x v="384"/>
    <n v="5"/>
    <x v="4"/>
    <x v="0"/>
    <x v="0"/>
    <x v="0"/>
    <x v="2"/>
  </r>
  <r>
    <s v="AX15883"/>
    <s v="ENX2028"/>
    <s v="A135"/>
    <s v="EMP1005"/>
    <s v="C1049"/>
    <x v="473"/>
    <n v="1"/>
    <n v="2283"/>
    <n v="1484"/>
    <n v="1484"/>
    <n v="2283"/>
    <n v="799"/>
    <s v="Product 29"/>
    <x v="10"/>
    <s v="Ryan Welch"/>
    <x v="305"/>
    <n v="5"/>
    <x v="4"/>
    <x v="0"/>
    <x v="0"/>
    <x v="0"/>
    <x v="2"/>
  </r>
  <r>
    <s v="AX15908"/>
    <s v="ENX2046"/>
    <s v="A164"/>
    <s v="EMP1010"/>
    <s v="C1118"/>
    <x v="470"/>
    <n v="1"/>
    <n v="2410"/>
    <n v="1518"/>
    <n v="1518"/>
    <n v="2410"/>
    <n v="892"/>
    <s v="Product 47"/>
    <x v="3"/>
    <s v="Joshua Cook"/>
    <x v="633"/>
    <n v="5"/>
    <x v="4"/>
    <x v="0"/>
    <x v="0"/>
    <x v="0"/>
    <x v="2"/>
  </r>
  <r>
    <s v="AX16296"/>
    <s v="ENX2091"/>
    <s v="A158"/>
    <s v="EMP1002"/>
    <s v="C1642"/>
    <x v="471"/>
    <n v="1"/>
    <n v="368"/>
    <n v="294"/>
    <n v="294"/>
    <n v="368"/>
    <n v="74"/>
    <s v="Product 92"/>
    <x v="58"/>
    <s v="Andrew Bowman"/>
    <x v="97"/>
    <n v="5"/>
    <x v="4"/>
    <x v="0"/>
    <x v="0"/>
    <x v="0"/>
    <x v="2"/>
  </r>
  <r>
    <s v="AX16334"/>
    <s v="ENX2033"/>
    <s v="A146"/>
    <s v="EMP1033"/>
    <s v="C1341"/>
    <x v="470"/>
    <n v="2"/>
    <n v="2182"/>
    <n v="1200"/>
    <n v="2400"/>
    <n v="4364"/>
    <n v="1964"/>
    <s v="Product 34"/>
    <x v="27"/>
    <s v="Jerry Perry"/>
    <x v="750"/>
    <n v="5"/>
    <x v="4"/>
    <x v="0"/>
    <x v="0"/>
    <x v="0"/>
    <x v="2"/>
  </r>
  <r>
    <s v="AX16359"/>
    <s v="ENX2081"/>
    <s v="A133"/>
    <s v="EMP1007"/>
    <s v="C1017"/>
    <x v="472"/>
    <n v="2"/>
    <n v="1566"/>
    <n v="1190"/>
    <n v="2380"/>
    <n v="3132"/>
    <n v="752"/>
    <s v="Product 82"/>
    <x v="46"/>
    <s v="Jeremy Mendoza"/>
    <x v="402"/>
    <n v="5"/>
    <x v="4"/>
    <x v="0"/>
    <x v="0"/>
    <x v="0"/>
    <x v="2"/>
  </r>
  <r>
    <s v="AX16541"/>
    <s v="ENX2034"/>
    <s v="A125"/>
    <s v="EMP1016"/>
    <s v="C1248"/>
    <x v="473"/>
    <n v="1"/>
    <n v="871"/>
    <n v="540"/>
    <n v="540"/>
    <n v="871"/>
    <n v="331"/>
    <s v="Product 35"/>
    <x v="31"/>
    <s v="Henry Nelson"/>
    <x v="354"/>
    <n v="5"/>
    <x v="4"/>
    <x v="0"/>
    <x v="0"/>
    <x v="0"/>
    <x v="2"/>
  </r>
  <r>
    <s v="AX16587"/>
    <s v="ENX2068"/>
    <s v="A155"/>
    <s v="EMP1032"/>
    <s v="C1262"/>
    <x v="471"/>
    <n v="1"/>
    <n v="1500"/>
    <n v="900"/>
    <n v="900"/>
    <n v="1500"/>
    <n v="600"/>
    <s v="Product 69"/>
    <x v="53"/>
    <s v="Larry Castillo"/>
    <x v="363"/>
    <n v="5"/>
    <x v="4"/>
    <x v="0"/>
    <x v="0"/>
    <x v="0"/>
    <x v="2"/>
  </r>
  <r>
    <s v="AX16712"/>
    <s v="ENX2019"/>
    <s v="A165"/>
    <s v="EMP1024"/>
    <s v="C1497"/>
    <x v="472"/>
    <n v="1"/>
    <n v="800"/>
    <n v="536"/>
    <n v="536"/>
    <n v="800"/>
    <n v="264"/>
    <s v="Product 20"/>
    <x v="55"/>
    <s v="Ernest Wheeler"/>
    <x v="794"/>
    <n v="5"/>
    <x v="4"/>
    <x v="0"/>
    <x v="0"/>
    <x v="0"/>
    <x v="2"/>
  </r>
  <r>
    <s v="AX17246"/>
    <s v="ENX2085"/>
    <s v="A114"/>
    <s v="EMP1010"/>
    <s v="C1205"/>
    <x v="470"/>
    <n v="3"/>
    <n v="1862"/>
    <n v="1173"/>
    <n v="3519"/>
    <n v="5586"/>
    <n v="2067"/>
    <s v="Product 86"/>
    <x v="28"/>
    <s v="Joshua Cook"/>
    <x v="285"/>
    <n v="5"/>
    <x v="4"/>
    <x v="0"/>
    <x v="0"/>
    <x v="0"/>
    <x v="2"/>
  </r>
  <r>
    <s v="AX17283"/>
    <s v="ENX2081"/>
    <s v="A168"/>
    <s v="EMP1040"/>
    <s v="C1702"/>
    <x v="473"/>
    <n v="1"/>
    <n v="1566"/>
    <n v="1190"/>
    <n v="1190"/>
    <n v="1566"/>
    <n v="376"/>
    <s v="Product 82"/>
    <x v="40"/>
    <s v="Patrick Ruiz"/>
    <x v="70"/>
    <n v="5"/>
    <x v="4"/>
    <x v="0"/>
    <x v="0"/>
    <x v="0"/>
    <x v="2"/>
  </r>
  <r>
    <s v="AX17708"/>
    <s v="ENX2039"/>
    <s v="A126"/>
    <s v="EMP1008"/>
    <s v="C1069"/>
    <x v="472"/>
    <n v="3"/>
    <n v="817"/>
    <n v="409"/>
    <n v="1227"/>
    <n v="2451"/>
    <n v="1224"/>
    <s v="Product 40"/>
    <x v="5"/>
    <s v="Carl Elliott"/>
    <x v="284"/>
    <n v="5"/>
    <x v="4"/>
    <x v="0"/>
    <x v="0"/>
    <x v="0"/>
    <x v="2"/>
  </r>
  <r>
    <s v="AX18101"/>
    <s v="ENX2045"/>
    <s v="A141"/>
    <s v="EMP1044"/>
    <s v="C1171"/>
    <x v="471"/>
    <n v="1"/>
    <n v="556"/>
    <n v="395"/>
    <n v="395"/>
    <n v="556"/>
    <n v="161"/>
    <s v="Product 46"/>
    <x v="23"/>
    <s v="Martin Carr"/>
    <x v="150"/>
    <n v="5"/>
    <x v="4"/>
    <x v="0"/>
    <x v="0"/>
    <x v="0"/>
    <x v="2"/>
  </r>
  <r>
    <s v="AX18373"/>
    <s v="ENX2089"/>
    <s v="A104"/>
    <s v="EMP1042"/>
    <s v="C1341"/>
    <x v="470"/>
    <n v="2"/>
    <n v="2294"/>
    <n v="1399"/>
    <n v="2798"/>
    <n v="4588"/>
    <n v="1790"/>
    <s v="Product 90"/>
    <x v="50"/>
    <s v="Scott Clark"/>
    <x v="750"/>
    <n v="5"/>
    <x v="4"/>
    <x v="0"/>
    <x v="0"/>
    <x v="0"/>
    <x v="2"/>
  </r>
  <r>
    <s v="AX18560"/>
    <s v="ENX2078"/>
    <s v="A114"/>
    <s v="EMP1015"/>
    <s v="C1575"/>
    <x v="470"/>
    <n v="3"/>
    <n v="1798"/>
    <n v="971"/>
    <n v="2913"/>
    <n v="5394"/>
    <n v="2481"/>
    <s v="Product 79"/>
    <x v="28"/>
    <s v="Justin Lynch"/>
    <x v="99"/>
    <n v="5"/>
    <x v="4"/>
    <x v="0"/>
    <x v="0"/>
    <x v="0"/>
    <x v="2"/>
  </r>
  <r>
    <s v="AX19458"/>
    <s v="ENX2069"/>
    <s v="A141"/>
    <s v="EMP1007"/>
    <s v="C1089"/>
    <x v="473"/>
    <n v="2"/>
    <n v="378"/>
    <n v="291"/>
    <n v="582"/>
    <n v="756"/>
    <n v="174"/>
    <s v="Product 70"/>
    <x v="23"/>
    <s v="Jeremy Mendoza"/>
    <x v="267"/>
    <n v="5"/>
    <x v="4"/>
    <x v="0"/>
    <x v="0"/>
    <x v="0"/>
    <x v="2"/>
  </r>
  <r>
    <s v="AX19533"/>
    <s v="ENX2050"/>
    <s v="A120"/>
    <s v="EMP1038"/>
    <s v="C1522"/>
    <x v="470"/>
    <n v="3"/>
    <n v="2391"/>
    <n v="1291"/>
    <n v="3873"/>
    <n v="7173"/>
    <n v="3300"/>
    <s v="Product 51"/>
    <x v="20"/>
    <s v="Scott Mason"/>
    <x v="121"/>
    <n v="5"/>
    <x v="4"/>
    <x v="0"/>
    <x v="0"/>
    <x v="0"/>
    <x v="2"/>
  </r>
  <r>
    <s v="AX19884"/>
    <s v="ENX2066"/>
    <s v="A131"/>
    <s v="EMP1011"/>
    <s v="C1273"/>
    <x v="472"/>
    <n v="1"/>
    <n v="2091"/>
    <n v="1485"/>
    <n v="1485"/>
    <n v="2091"/>
    <n v="606"/>
    <s v="Product 67"/>
    <x v="32"/>
    <s v="Larry Marshall"/>
    <x v="469"/>
    <n v="5"/>
    <x v="4"/>
    <x v="0"/>
    <x v="0"/>
    <x v="0"/>
    <x v="2"/>
  </r>
  <r>
    <s v="AX19895"/>
    <s v="ENX2003"/>
    <s v="A119"/>
    <s v="EMP1024"/>
    <s v="C1658"/>
    <x v="472"/>
    <n v="2"/>
    <n v="1783"/>
    <n v="1516"/>
    <n v="3032"/>
    <n v="3566"/>
    <n v="534"/>
    <s v="Product 4"/>
    <x v="16"/>
    <s v="Ernest Wheeler"/>
    <x v="612"/>
    <n v="5"/>
    <x v="4"/>
    <x v="0"/>
    <x v="0"/>
    <x v="0"/>
    <x v="2"/>
  </r>
  <r>
    <s v="AX20128"/>
    <s v="ENX2042"/>
    <s v="A154"/>
    <s v="EMP1012"/>
    <s v="C1163"/>
    <x v="471"/>
    <n v="1"/>
    <n v="203"/>
    <n v="154"/>
    <n v="154"/>
    <n v="203"/>
    <n v="49"/>
    <s v="Product 43"/>
    <x v="24"/>
    <s v="John Reyes"/>
    <x v="23"/>
    <n v="5"/>
    <x v="4"/>
    <x v="0"/>
    <x v="0"/>
    <x v="0"/>
    <x v="2"/>
  </r>
  <r>
    <s v="AX20174"/>
    <s v="ENX2074"/>
    <s v="A108"/>
    <s v="EMP1018"/>
    <s v="C1557"/>
    <x v="472"/>
    <n v="1"/>
    <n v="504"/>
    <n v="408"/>
    <n v="408"/>
    <n v="504"/>
    <n v="96"/>
    <s v="Product 75"/>
    <x v="49"/>
    <s v="Jimmy Young"/>
    <x v="729"/>
    <n v="5"/>
    <x v="4"/>
    <x v="0"/>
    <x v="0"/>
    <x v="0"/>
    <x v="2"/>
  </r>
  <r>
    <s v="AX21229"/>
    <s v="ENX2089"/>
    <s v="A105"/>
    <s v="EMP1016"/>
    <s v="C1188"/>
    <x v="470"/>
    <n v="3"/>
    <n v="2294"/>
    <n v="1399"/>
    <n v="4197"/>
    <n v="6882"/>
    <n v="2685"/>
    <s v="Product 90"/>
    <x v="45"/>
    <s v="Henry Nelson"/>
    <x v="369"/>
    <n v="5"/>
    <x v="4"/>
    <x v="0"/>
    <x v="0"/>
    <x v="0"/>
    <x v="2"/>
  </r>
  <r>
    <s v="AX21510"/>
    <s v="ENX2026"/>
    <s v="A143"/>
    <s v="EMP1039"/>
    <s v="C1598"/>
    <x v="472"/>
    <n v="3"/>
    <n v="947"/>
    <n v="786"/>
    <n v="2358"/>
    <n v="2841"/>
    <n v="483"/>
    <s v="Product 27"/>
    <x v="39"/>
    <s v="Eugene Holmes"/>
    <x v="125"/>
    <n v="5"/>
    <x v="4"/>
    <x v="0"/>
    <x v="0"/>
    <x v="0"/>
    <x v="2"/>
  </r>
  <r>
    <s v="AX21524"/>
    <s v="ENX2049"/>
    <s v="A156"/>
    <s v="EMP1016"/>
    <s v="C1099"/>
    <x v="470"/>
    <n v="2"/>
    <n v="826"/>
    <n v="562"/>
    <n v="1124"/>
    <n v="1652"/>
    <n v="528"/>
    <s v="Product 50"/>
    <x v="14"/>
    <s v="Henry Nelson"/>
    <x v="394"/>
    <n v="5"/>
    <x v="4"/>
    <x v="0"/>
    <x v="0"/>
    <x v="0"/>
    <x v="2"/>
  </r>
  <r>
    <s v="AX21711"/>
    <s v="ENX2091"/>
    <s v="A167"/>
    <s v="EMP1030"/>
    <s v="C1619"/>
    <x v="471"/>
    <n v="1"/>
    <n v="368"/>
    <n v="294"/>
    <n v="294"/>
    <n v="368"/>
    <n v="74"/>
    <s v="Product 92"/>
    <x v="64"/>
    <s v="Bobby Russell"/>
    <x v="77"/>
    <n v="5"/>
    <x v="4"/>
    <x v="0"/>
    <x v="0"/>
    <x v="0"/>
    <x v="2"/>
  </r>
  <r>
    <s v="AX21801"/>
    <s v="ENX2035"/>
    <s v="A137"/>
    <s v="EMP1022"/>
    <s v="C1682"/>
    <x v="472"/>
    <n v="1"/>
    <n v="458"/>
    <n v="376"/>
    <n v="376"/>
    <n v="458"/>
    <n v="82"/>
    <s v="Product 36"/>
    <x v="68"/>
    <s v="Walter Cook"/>
    <x v="313"/>
    <n v="5"/>
    <x v="4"/>
    <x v="0"/>
    <x v="0"/>
    <x v="0"/>
    <x v="2"/>
  </r>
  <r>
    <s v="AX22095"/>
    <s v="ENX2011"/>
    <s v="A164"/>
    <s v="EMP1041"/>
    <s v="C1407"/>
    <x v="472"/>
    <n v="1"/>
    <n v="530"/>
    <n v="435"/>
    <n v="435"/>
    <n v="530"/>
    <n v="95"/>
    <s v="Product 12"/>
    <x v="3"/>
    <s v="Joe Sims"/>
    <x v="294"/>
    <n v="5"/>
    <x v="4"/>
    <x v="0"/>
    <x v="0"/>
    <x v="0"/>
    <x v="2"/>
  </r>
  <r>
    <s v="AX22426"/>
    <s v="ENX2080"/>
    <s v="A127"/>
    <s v="EMP1021"/>
    <s v="C1202"/>
    <x v="471"/>
    <n v="2"/>
    <n v="2353"/>
    <n v="1788"/>
    <n v="3576"/>
    <n v="4706"/>
    <n v="1130"/>
    <s v="Product 81"/>
    <x v="69"/>
    <s v="Clarence Fox"/>
    <x v="3"/>
    <n v="5"/>
    <x v="4"/>
    <x v="0"/>
    <x v="0"/>
    <x v="0"/>
    <x v="2"/>
  </r>
  <r>
    <s v="AX22458"/>
    <s v="ENX2035"/>
    <s v="A120"/>
    <s v="EMP1018"/>
    <s v="C1023"/>
    <x v="473"/>
    <n v="1"/>
    <n v="458"/>
    <n v="376"/>
    <n v="376"/>
    <n v="458"/>
    <n v="82"/>
    <s v="Product 36"/>
    <x v="20"/>
    <s v="Jimmy Young"/>
    <x v="799"/>
    <n v="5"/>
    <x v="4"/>
    <x v="0"/>
    <x v="0"/>
    <x v="0"/>
    <x v="2"/>
  </r>
  <r>
    <s v="AX22477"/>
    <s v="ENX2062"/>
    <s v="A115"/>
    <s v="EMP1030"/>
    <s v="C1433"/>
    <x v="472"/>
    <n v="4"/>
    <n v="2464"/>
    <n v="1774"/>
    <n v="7096"/>
    <n v="9856"/>
    <n v="2760"/>
    <s v="Product 63"/>
    <x v="33"/>
    <s v="Bobby Russell"/>
    <x v="525"/>
    <n v="5"/>
    <x v="4"/>
    <x v="0"/>
    <x v="0"/>
    <x v="0"/>
    <x v="2"/>
  </r>
  <r>
    <s v="AX22588"/>
    <s v="ENX2010"/>
    <s v="A149"/>
    <s v="EMP1042"/>
    <s v="C1540"/>
    <x v="472"/>
    <n v="3"/>
    <n v="1812"/>
    <n v="1305"/>
    <n v="3915"/>
    <n v="5436"/>
    <n v="1521"/>
    <s v="Product 11"/>
    <x v="59"/>
    <s v="Scott Clark"/>
    <x v="493"/>
    <n v="5"/>
    <x v="4"/>
    <x v="0"/>
    <x v="0"/>
    <x v="0"/>
    <x v="2"/>
  </r>
  <r>
    <s v="AX22956"/>
    <s v="ENX2051"/>
    <s v="A100"/>
    <s v="EMP1018"/>
    <s v="C1542"/>
    <x v="470"/>
    <n v="1"/>
    <n v="1077"/>
    <n v="732"/>
    <n v="732"/>
    <n v="1077"/>
    <n v="345"/>
    <s v="Product 52"/>
    <x v="52"/>
    <s v="Jimmy Young"/>
    <x v="712"/>
    <n v="5"/>
    <x v="4"/>
    <x v="0"/>
    <x v="0"/>
    <x v="0"/>
    <x v="2"/>
  </r>
  <r>
    <s v="AX23398"/>
    <s v="ENX2057"/>
    <s v="A172"/>
    <s v="EMP1018"/>
    <s v="C1151"/>
    <x v="473"/>
    <n v="3"/>
    <n v="181"/>
    <n v="130"/>
    <n v="390"/>
    <n v="543"/>
    <n v="153"/>
    <s v="Product 58"/>
    <x v="36"/>
    <s v="Jimmy Young"/>
    <x v="56"/>
    <n v="5"/>
    <x v="4"/>
    <x v="0"/>
    <x v="0"/>
    <x v="0"/>
    <x v="2"/>
  </r>
  <r>
    <s v="AX23453"/>
    <s v="ENX2081"/>
    <s v="A146"/>
    <s v="EMP1010"/>
    <s v="C1641"/>
    <x v="473"/>
    <n v="1"/>
    <n v="1566"/>
    <n v="1190"/>
    <n v="1190"/>
    <n v="1566"/>
    <n v="376"/>
    <s v="Product 82"/>
    <x v="27"/>
    <s v="Joshua Cook"/>
    <x v="761"/>
    <n v="5"/>
    <x v="4"/>
    <x v="0"/>
    <x v="0"/>
    <x v="0"/>
    <x v="2"/>
  </r>
  <r>
    <s v="AX24064"/>
    <s v="ENX2007"/>
    <s v="A171"/>
    <s v="EMP1042"/>
    <s v="C1054"/>
    <x v="472"/>
    <n v="2"/>
    <n v="1405"/>
    <n v="1054"/>
    <n v="2108"/>
    <n v="2810"/>
    <n v="702"/>
    <s v="Product 8"/>
    <x v="0"/>
    <s v="Scott Clark"/>
    <x v="58"/>
    <n v="5"/>
    <x v="4"/>
    <x v="0"/>
    <x v="0"/>
    <x v="0"/>
    <x v="2"/>
  </r>
  <r>
    <s v="AX24651"/>
    <s v="ENX2077"/>
    <s v="A149"/>
    <s v="EMP1016"/>
    <s v="C1020"/>
    <x v="473"/>
    <n v="4"/>
    <n v="530"/>
    <n v="424"/>
    <n v="1696"/>
    <n v="2120"/>
    <n v="424"/>
    <s v="Product 78"/>
    <x v="59"/>
    <s v="Henry Nelson"/>
    <x v="423"/>
    <n v="5"/>
    <x v="4"/>
    <x v="0"/>
    <x v="0"/>
    <x v="0"/>
    <x v="2"/>
  </r>
  <r>
    <s v="AX24910"/>
    <s v="ENX2094"/>
    <s v="A132"/>
    <s v="EMP1009"/>
    <s v="C1746"/>
    <x v="472"/>
    <n v="2"/>
    <n v="771"/>
    <n v="648"/>
    <n v="1296"/>
    <n v="1542"/>
    <n v="246"/>
    <s v="Product 95"/>
    <x v="48"/>
    <s v="Kenneth Fields"/>
    <x v="693"/>
    <n v="5"/>
    <x v="4"/>
    <x v="0"/>
    <x v="0"/>
    <x v="0"/>
    <x v="2"/>
  </r>
  <r>
    <s v="AX24917"/>
    <s v="ENX2002"/>
    <s v="A150"/>
    <s v="EMP1021"/>
    <s v="C1068"/>
    <x v="470"/>
    <n v="1"/>
    <n v="847"/>
    <n v="534"/>
    <n v="534"/>
    <n v="847"/>
    <n v="313"/>
    <s v="Product 3"/>
    <x v="30"/>
    <s v="Clarence Fox"/>
    <x v="288"/>
    <n v="5"/>
    <x v="4"/>
    <x v="0"/>
    <x v="0"/>
    <x v="0"/>
    <x v="2"/>
  </r>
  <r>
    <s v="AX24954"/>
    <s v="ENX2064"/>
    <s v="A134"/>
    <s v="EMP1022"/>
    <s v="C1682"/>
    <x v="471"/>
    <n v="1"/>
    <n v="1414"/>
    <n v="962"/>
    <n v="962"/>
    <n v="1414"/>
    <n v="452"/>
    <s v="Product 65"/>
    <x v="41"/>
    <s v="Walter Cook"/>
    <x v="313"/>
    <n v="5"/>
    <x v="4"/>
    <x v="0"/>
    <x v="0"/>
    <x v="0"/>
    <x v="2"/>
  </r>
  <r>
    <s v="AX10082"/>
    <s v="ENX2070"/>
    <s v="A111"/>
    <s v="EMP1040"/>
    <s v="C1519"/>
    <x v="474"/>
    <n v="1"/>
    <n v="1671"/>
    <n v="1220"/>
    <n v="1220"/>
    <n v="1671"/>
    <n v="451"/>
    <s v="Product 71"/>
    <x v="54"/>
    <s v="Patrick Ruiz"/>
    <x v="426"/>
    <n v="5"/>
    <x v="4"/>
    <x v="1"/>
    <x v="1"/>
    <x v="0"/>
    <x v="0"/>
  </r>
  <r>
    <s v="AX10531"/>
    <s v="ENX2060"/>
    <s v="A136"/>
    <s v="EMP1011"/>
    <s v="C1683"/>
    <x v="475"/>
    <n v="1"/>
    <n v="1467"/>
    <n v="807"/>
    <n v="807"/>
    <n v="1467"/>
    <n v="660"/>
    <s v="Product 61"/>
    <x v="43"/>
    <s v="Larry Marshall"/>
    <x v="379"/>
    <n v="5"/>
    <x v="4"/>
    <x v="1"/>
    <x v="1"/>
    <x v="0"/>
    <x v="0"/>
  </r>
  <r>
    <s v="AX10567"/>
    <s v="ENX2041"/>
    <s v="A119"/>
    <s v="EMP1033"/>
    <s v="C1775"/>
    <x v="474"/>
    <n v="1"/>
    <n v="1380"/>
    <n v="1090"/>
    <n v="1090"/>
    <n v="1380"/>
    <n v="290"/>
    <s v="Product 42"/>
    <x v="16"/>
    <s v="Jerry Perry"/>
    <x v="69"/>
    <n v="5"/>
    <x v="4"/>
    <x v="1"/>
    <x v="1"/>
    <x v="0"/>
    <x v="0"/>
  </r>
  <r>
    <s v="AX10610"/>
    <s v="ENX2063"/>
    <s v="A112"/>
    <s v="EMP1031"/>
    <s v="C1079"/>
    <x v="476"/>
    <n v="1"/>
    <n v="1708"/>
    <n v="871"/>
    <n v="871"/>
    <n v="1708"/>
    <n v="837"/>
    <s v="Product 64"/>
    <x v="66"/>
    <s v="Brian Thomas"/>
    <x v="370"/>
    <n v="5"/>
    <x v="4"/>
    <x v="1"/>
    <x v="1"/>
    <x v="0"/>
    <x v="0"/>
  </r>
  <r>
    <s v="AX10803"/>
    <s v="ENX2032"/>
    <s v="A142"/>
    <s v="EMP1003"/>
    <s v="C1357"/>
    <x v="476"/>
    <n v="4"/>
    <n v="1967"/>
    <n v="1397"/>
    <n v="5588"/>
    <n v="7868"/>
    <n v="2280"/>
    <s v="Product 33"/>
    <x v="56"/>
    <s v="Christopher Tucker"/>
    <x v="327"/>
    <n v="5"/>
    <x v="4"/>
    <x v="1"/>
    <x v="1"/>
    <x v="0"/>
    <x v="0"/>
  </r>
  <r>
    <s v="AX10817"/>
    <s v="ENX2063"/>
    <s v="A172"/>
    <s v="EMP1043"/>
    <s v="C1578"/>
    <x v="477"/>
    <n v="1"/>
    <n v="1708"/>
    <n v="871"/>
    <n v="871"/>
    <n v="1708"/>
    <n v="837"/>
    <s v="Product 64"/>
    <x v="36"/>
    <s v="Joshua Taylor"/>
    <x v="17"/>
    <n v="5"/>
    <x v="4"/>
    <x v="1"/>
    <x v="1"/>
    <x v="0"/>
    <x v="0"/>
  </r>
  <r>
    <s v="AX11229"/>
    <s v="ENX2090"/>
    <s v="A148"/>
    <s v="EMP1014"/>
    <s v="C1196"/>
    <x v="474"/>
    <n v="3"/>
    <n v="1338"/>
    <n v="682"/>
    <n v="2046"/>
    <n v="4014"/>
    <n v="1968"/>
    <s v="Product 91"/>
    <x v="62"/>
    <s v="Ronald Reed"/>
    <x v="65"/>
    <n v="5"/>
    <x v="4"/>
    <x v="1"/>
    <x v="1"/>
    <x v="0"/>
    <x v="0"/>
  </r>
  <r>
    <s v="AX11300"/>
    <s v="ENX2099"/>
    <s v="A172"/>
    <s v="EMP1022"/>
    <s v="C1787"/>
    <x v="474"/>
    <n v="3"/>
    <n v="1367"/>
    <n v="984"/>
    <n v="2952"/>
    <n v="4101"/>
    <n v="1149"/>
    <s v="Product 100"/>
    <x v="36"/>
    <s v="Walter Cook"/>
    <x v="439"/>
    <n v="5"/>
    <x v="4"/>
    <x v="1"/>
    <x v="1"/>
    <x v="0"/>
    <x v="0"/>
  </r>
  <r>
    <s v="AX11568"/>
    <s v="ENX2034"/>
    <s v="A131"/>
    <s v="EMP1034"/>
    <s v="C1385"/>
    <x v="477"/>
    <n v="1"/>
    <n v="871"/>
    <n v="540"/>
    <n v="540"/>
    <n v="871"/>
    <n v="331"/>
    <s v="Product 35"/>
    <x v="32"/>
    <s v="Arthur Mccoy"/>
    <x v="523"/>
    <n v="5"/>
    <x v="4"/>
    <x v="1"/>
    <x v="1"/>
    <x v="0"/>
    <x v="0"/>
  </r>
  <r>
    <s v="AX11881"/>
    <s v="ENX2009"/>
    <s v="A164"/>
    <s v="EMP1006"/>
    <s v="C1198"/>
    <x v="474"/>
    <n v="3"/>
    <n v="584"/>
    <n v="420"/>
    <n v="1260"/>
    <n v="1752"/>
    <n v="492"/>
    <s v="Product 10"/>
    <x v="3"/>
    <s v="Sean Miller"/>
    <x v="42"/>
    <n v="5"/>
    <x v="4"/>
    <x v="1"/>
    <x v="1"/>
    <x v="0"/>
    <x v="0"/>
  </r>
  <r>
    <s v="AX12093"/>
    <s v="ENX2069"/>
    <s v="A149"/>
    <s v="EMP1028"/>
    <s v="C1737"/>
    <x v="475"/>
    <n v="3"/>
    <n v="378"/>
    <n v="291"/>
    <n v="873"/>
    <n v="1134"/>
    <n v="261"/>
    <s v="Product 70"/>
    <x v="59"/>
    <s v="Howard Sims"/>
    <x v="343"/>
    <n v="5"/>
    <x v="4"/>
    <x v="1"/>
    <x v="1"/>
    <x v="0"/>
    <x v="0"/>
  </r>
  <r>
    <s v="AX12377"/>
    <s v="ENX2035"/>
    <s v="A148"/>
    <s v="EMP1019"/>
    <s v="C1730"/>
    <x v="476"/>
    <n v="1"/>
    <n v="458"/>
    <n v="376"/>
    <n v="376"/>
    <n v="458"/>
    <n v="82"/>
    <s v="Product 36"/>
    <x v="62"/>
    <s v="Roger Robertson"/>
    <x v="777"/>
    <n v="5"/>
    <x v="4"/>
    <x v="1"/>
    <x v="1"/>
    <x v="0"/>
    <x v="0"/>
  </r>
  <r>
    <s v="AX12381"/>
    <s v="ENX2047"/>
    <s v="A154"/>
    <s v="EMP1043"/>
    <s v="C1662"/>
    <x v="474"/>
    <n v="2"/>
    <n v="290"/>
    <n v="200"/>
    <n v="400"/>
    <n v="580"/>
    <n v="180"/>
    <s v="Product 48"/>
    <x v="24"/>
    <s v="Joshua Taylor"/>
    <x v="649"/>
    <n v="5"/>
    <x v="4"/>
    <x v="1"/>
    <x v="1"/>
    <x v="0"/>
    <x v="0"/>
  </r>
  <r>
    <s v="AX12581"/>
    <s v="ENX2007"/>
    <s v="A126"/>
    <s v="EMP1000"/>
    <s v="C1721"/>
    <x v="475"/>
    <n v="3"/>
    <n v="1405"/>
    <n v="1054"/>
    <n v="3162"/>
    <n v="4215"/>
    <n v="1053"/>
    <s v="Product 8"/>
    <x v="5"/>
    <s v="Fred Robertson"/>
    <x v="678"/>
    <n v="5"/>
    <x v="4"/>
    <x v="1"/>
    <x v="1"/>
    <x v="0"/>
    <x v="0"/>
  </r>
  <r>
    <s v="AX12608"/>
    <s v="ENX2039"/>
    <s v="A117"/>
    <s v="EMP1016"/>
    <s v="C1657"/>
    <x v="477"/>
    <n v="2"/>
    <n v="817"/>
    <n v="409"/>
    <n v="818"/>
    <n v="1634"/>
    <n v="816"/>
    <s v="Product 40"/>
    <x v="29"/>
    <s v="Henry Nelson"/>
    <x v="361"/>
    <n v="5"/>
    <x v="4"/>
    <x v="1"/>
    <x v="1"/>
    <x v="0"/>
    <x v="0"/>
  </r>
  <r>
    <s v="AX12852"/>
    <s v="ENX2013"/>
    <s v="A121"/>
    <s v="EMP1006"/>
    <s v="C1374"/>
    <x v="474"/>
    <n v="4"/>
    <n v="368"/>
    <n v="269"/>
    <n v="1076"/>
    <n v="1472"/>
    <n v="396"/>
    <s v="Product 14"/>
    <x v="72"/>
    <s v="Sean Miller"/>
    <x v="189"/>
    <n v="5"/>
    <x v="4"/>
    <x v="1"/>
    <x v="1"/>
    <x v="0"/>
    <x v="0"/>
  </r>
  <r>
    <s v="AX12874"/>
    <s v="ENX2056"/>
    <s v="A148"/>
    <s v="EMP1004"/>
    <s v="C1764"/>
    <x v="477"/>
    <n v="1"/>
    <n v="1635"/>
    <n v="1046"/>
    <n v="1046"/>
    <n v="1635"/>
    <n v="589"/>
    <s v="Product 57"/>
    <x v="62"/>
    <s v="Kenneth Bradley"/>
    <x v="386"/>
    <n v="5"/>
    <x v="4"/>
    <x v="1"/>
    <x v="1"/>
    <x v="0"/>
    <x v="0"/>
  </r>
  <r>
    <s v="AX12941"/>
    <s v="ENX2056"/>
    <s v="A107"/>
    <s v="EMP1032"/>
    <s v="C1377"/>
    <x v="477"/>
    <n v="3"/>
    <n v="1635"/>
    <n v="1046"/>
    <n v="3138"/>
    <n v="4905"/>
    <n v="1767"/>
    <s v="Product 57"/>
    <x v="21"/>
    <s v="Larry Castillo"/>
    <x v="214"/>
    <n v="5"/>
    <x v="4"/>
    <x v="1"/>
    <x v="1"/>
    <x v="0"/>
    <x v="0"/>
  </r>
  <r>
    <s v="AX13114"/>
    <s v="ENX2028"/>
    <s v="A105"/>
    <s v="EMP1004"/>
    <s v="C1389"/>
    <x v="474"/>
    <n v="1"/>
    <n v="2283"/>
    <n v="1484"/>
    <n v="1484"/>
    <n v="2283"/>
    <n v="799"/>
    <s v="Product 29"/>
    <x v="45"/>
    <s v="Kenneth Bradley"/>
    <x v="38"/>
    <n v="5"/>
    <x v="4"/>
    <x v="1"/>
    <x v="1"/>
    <x v="0"/>
    <x v="0"/>
  </r>
  <r>
    <s v="AX13160"/>
    <s v="ENX2039"/>
    <s v="A166"/>
    <s v="EMP1044"/>
    <s v="C1455"/>
    <x v="477"/>
    <n v="2"/>
    <n v="817"/>
    <n v="409"/>
    <n v="818"/>
    <n v="1634"/>
    <n v="816"/>
    <s v="Product 40"/>
    <x v="70"/>
    <s v="Martin Carr"/>
    <x v="47"/>
    <n v="5"/>
    <x v="4"/>
    <x v="1"/>
    <x v="1"/>
    <x v="0"/>
    <x v="0"/>
  </r>
  <r>
    <s v="AX13195"/>
    <s v="ENX2040"/>
    <s v="A107"/>
    <s v="EMP1030"/>
    <s v="C1460"/>
    <x v="477"/>
    <n v="1"/>
    <n v="1889"/>
    <n v="945"/>
    <n v="945"/>
    <n v="1889"/>
    <n v="944"/>
    <s v="Product 41"/>
    <x v="21"/>
    <s v="Bobby Russell"/>
    <x v="613"/>
    <n v="5"/>
    <x v="4"/>
    <x v="1"/>
    <x v="1"/>
    <x v="0"/>
    <x v="0"/>
  </r>
  <r>
    <s v="AX13488"/>
    <s v="ENX2000"/>
    <s v="A131"/>
    <s v="EMP1006"/>
    <s v="C1304"/>
    <x v="477"/>
    <n v="1"/>
    <n v="2241"/>
    <n v="1367"/>
    <n v="1367"/>
    <n v="2241"/>
    <n v="874"/>
    <s v="Product 1"/>
    <x v="32"/>
    <s v="Sean Miller"/>
    <x v="298"/>
    <n v="5"/>
    <x v="4"/>
    <x v="1"/>
    <x v="1"/>
    <x v="0"/>
    <x v="0"/>
  </r>
  <r>
    <s v="AX13781"/>
    <s v="ENX2007"/>
    <s v="A108"/>
    <s v="EMP1009"/>
    <s v="C1064"/>
    <x v="477"/>
    <n v="3"/>
    <n v="1405"/>
    <n v="1054"/>
    <n v="3162"/>
    <n v="4215"/>
    <n v="1053"/>
    <s v="Product 8"/>
    <x v="49"/>
    <s v="Kenneth Fields"/>
    <x v="597"/>
    <n v="5"/>
    <x v="4"/>
    <x v="1"/>
    <x v="1"/>
    <x v="0"/>
    <x v="0"/>
  </r>
  <r>
    <s v="AX14143"/>
    <s v="ENX2062"/>
    <s v="A155"/>
    <s v="EMP1023"/>
    <s v="C1603"/>
    <x v="477"/>
    <n v="2"/>
    <n v="2464"/>
    <n v="1774"/>
    <n v="3548"/>
    <n v="4928"/>
    <n v="1380"/>
    <s v="Product 63"/>
    <x v="53"/>
    <s v="Brian Davis"/>
    <x v="229"/>
    <n v="5"/>
    <x v="4"/>
    <x v="1"/>
    <x v="1"/>
    <x v="0"/>
    <x v="0"/>
  </r>
  <r>
    <s v="AX14211"/>
    <s v="ENX2073"/>
    <s v="A151"/>
    <s v="EMP1016"/>
    <s v="C1386"/>
    <x v="475"/>
    <n v="1"/>
    <n v="95"/>
    <n v="61"/>
    <n v="61"/>
    <n v="95"/>
    <n v="34"/>
    <s v="Product 74"/>
    <x v="1"/>
    <s v="Henry Nelson"/>
    <x v="123"/>
    <n v="5"/>
    <x v="4"/>
    <x v="1"/>
    <x v="1"/>
    <x v="0"/>
    <x v="0"/>
  </r>
  <r>
    <s v="AX15033"/>
    <s v="ENX2083"/>
    <s v="A111"/>
    <s v="EMP1032"/>
    <s v="C1609"/>
    <x v="475"/>
    <n v="1"/>
    <n v="2141"/>
    <n v="1777"/>
    <n v="1777"/>
    <n v="2141"/>
    <n v="364"/>
    <s v="Product 84"/>
    <x v="54"/>
    <s v="Larry Castillo"/>
    <x v="757"/>
    <n v="5"/>
    <x v="4"/>
    <x v="1"/>
    <x v="1"/>
    <x v="0"/>
    <x v="0"/>
  </r>
  <r>
    <s v="AX15307"/>
    <s v="ENX2081"/>
    <s v="A122"/>
    <s v="EMP1029"/>
    <s v="C1416"/>
    <x v="477"/>
    <n v="3"/>
    <n v="1566"/>
    <n v="1190"/>
    <n v="3570"/>
    <n v="4698"/>
    <n v="1128"/>
    <s v="Product 82"/>
    <x v="71"/>
    <s v="Howard Gardner"/>
    <x v="554"/>
    <n v="5"/>
    <x v="4"/>
    <x v="1"/>
    <x v="1"/>
    <x v="0"/>
    <x v="0"/>
  </r>
  <r>
    <s v="AX15604"/>
    <s v="ENX2019"/>
    <s v="A150"/>
    <s v="EMP1020"/>
    <s v="C1411"/>
    <x v="476"/>
    <n v="4"/>
    <n v="800"/>
    <n v="536"/>
    <n v="2144"/>
    <n v="3200"/>
    <n v="1056"/>
    <s v="Product 20"/>
    <x v="30"/>
    <s v="Ryan Butler"/>
    <x v="600"/>
    <n v="5"/>
    <x v="4"/>
    <x v="1"/>
    <x v="1"/>
    <x v="0"/>
    <x v="0"/>
  </r>
  <r>
    <s v="AX16873"/>
    <s v="ENX2003"/>
    <s v="A140"/>
    <s v="EMP1007"/>
    <s v="C1541"/>
    <x v="475"/>
    <n v="1"/>
    <n v="1783"/>
    <n v="1516"/>
    <n v="1516"/>
    <n v="1783"/>
    <n v="267"/>
    <s v="Product 4"/>
    <x v="18"/>
    <s v="Jeremy Mendoza"/>
    <x v="628"/>
    <n v="5"/>
    <x v="4"/>
    <x v="1"/>
    <x v="1"/>
    <x v="0"/>
    <x v="0"/>
  </r>
  <r>
    <s v="AX16931"/>
    <s v="ENX2052"/>
    <s v="A130"/>
    <s v="EMP1025"/>
    <s v="C1267"/>
    <x v="477"/>
    <n v="3"/>
    <n v="1526"/>
    <n v="1251"/>
    <n v="3753"/>
    <n v="4578"/>
    <n v="825"/>
    <s v="Product 53"/>
    <x v="4"/>
    <s v="Ernest Wagner"/>
    <x v="657"/>
    <n v="5"/>
    <x v="4"/>
    <x v="1"/>
    <x v="1"/>
    <x v="0"/>
    <x v="0"/>
  </r>
  <r>
    <s v="AX17455"/>
    <s v="ENX2086"/>
    <s v="A152"/>
    <s v="EMP1038"/>
    <s v="C1352"/>
    <x v="477"/>
    <n v="1"/>
    <n v="123"/>
    <n v="84"/>
    <n v="84"/>
    <n v="123"/>
    <n v="39"/>
    <s v="Product 87"/>
    <x v="26"/>
    <s v="Scott Mason"/>
    <x v="20"/>
    <n v="5"/>
    <x v="4"/>
    <x v="1"/>
    <x v="1"/>
    <x v="0"/>
    <x v="0"/>
  </r>
  <r>
    <s v="AX19066"/>
    <s v="ENX2085"/>
    <s v="A144"/>
    <s v="EMP1024"/>
    <s v="C1213"/>
    <x v="476"/>
    <n v="1"/>
    <n v="1862"/>
    <n v="1173"/>
    <n v="1173"/>
    <n v="1862"/>
    <n v="689"/>
    <s v="Product 86"/>
    <x v="65"/>
    <s v="Ernest Wheeler"/>
    <x v="487"/>
    <n v="5"/>
    <x v="4"/>
    <x v="1"/>
    <x v="1"/>
    <x v="0"/>
    <x v="0"/>
  </r>
  <r>
    <s v="AX19310"/>
    <s v="ENX2039"/>
    <s v="A114"/>
    <s v="EMP1021"/>
    <s v="C1388"/>
    <x v="477"/>
    <n v="2"/>
    <n v="817"/>
    <n v="409"/>
    <n v="818"/>
    <n v="1634"/>
    <n v="816"/>
    <s v="Product 40"/>
    <x v="28"/>
    <s v="Clarence Fox"/>
    <x v="120"/>
    <n v="5"/>
    <x v="4"/>
    <x v="1"/>
    <x v="1"/>
    <x v="0"/>
    <x v="0"/>
  </r>
  <r>
    <s v="AX19362"/>
    <s v="ENX2037"/>
    <s v="A170"/>
    <s v="EMP1033"/>
    <s v="C1798"/>
    <x v="475"/>
    <n v="2"/>
    <n v="880"/>
    <n v="634"/>
    <n v="1268"/>
    <n v="1760"/>
    <n v="492"/>
    <s v="Product 38"/>
    <x v="47"/>
    <s v="Jerry Perry"/>
    <x v="608"/>
    <n v="5"/>
    <x v="4"/>
    <x v="1"/>
    <x v="1"/>
    <x v="0"/>
    <x v="0"/>
  </r>
  <r>
    <s v="AX19721"/>
    <s v="ENX2041"/>
    <s v="A108"/>
    <s v="EMP1017"/>
    <s v="C1650"/>
    <x v="474"/>
    <n v="4"/>
    <n v="1380"/>
    <n v="1090"/>
    <n v="4360"/>
    <n v="5520"/>
    <n v="1160"/>
    <s v="Product 42"/>
    <x v="49"/>
    <s v="Brian Hansen"/>
    <x v="645"/>
    <n v="5"/>
    <x v="4"/>
    <x v="1"/>
    <x v="1"/>
    <x v="0"/>
    <x v="0"/>
  </r>
  <r>
    <s v="AX19781"/>
    <s v="ENX2100"/>
    <s v="A170"/>
    <s v="EMP1033"/>
    <s v="C1776"/>
    <x v="477"/>
    <n v="4"/>
    <n v="799"/>
    <n v="455"/>
    <n v="1820"/>
    <n v="3196"/>
    <n v="1376"/>
    <s v="Product 101"/>
    <x v="47"/>
    <s v="Jerry Perry"/>
    <x v="160"/>
    <n v="5"/>
    <x v="4"/>
    <x v="1"/>
    <x v="1"/>
    <x v="0"/>
    <x v="0"/>
  </r>
  <r>
    <s v="AX19805"/>
    <s v="ENX2090"/>
    <s v="A117"/>
    <s v="EMP1023"/>
    <s v="C1077"/>
    <x v="476"/>
    <n v="1"/>
    <n v="1338"/>
    <n v="682"/>
    <n v="682"/>
    <n v="1338"/>
    <n v="656"/>
    <s v="Product 91"/>
    <x v="29"/>
    <s v="Brian Davis"/>
    <x v="315"/>
    <n v="5"/>
    <x v="4"/>
    <x v="1"/>
    <x v="1"/>
    <x v="0"/>
    <x v="0"/>
  </r>
  <r>
    <s v="AX20183"/>
    <s v="ENX2079"/>
    <s v="A120"/>
    <s v="EMP1004"/>
    <s v="C1205"/>
    <x v="475"/>
    <n v="2"/>
    <n v="1725"/>
    <n v="1363"/>
    <n v="2726"/>
    <n v="3450"/>
    <n v="724"/>
    <s v="Product 80"/>
    <x v="20"/>
    <s v="Kenneth Bradley"/>
    <x v="285"/>
    <n v="5"/>
    <x v="4"/>
    <x v="1"/>
    <x v="1"/>
    <x v="0"/>
    <x v="0"/>
  </r>
  <r>
    <s v="AX20358"/>
    <s v="ENX2006"/>
    <s v="A134"/>
    <s v="EMP1028"/>
    <s v="C1270"/>
    <x v="474"/>
    <n v="3"/>
    <n v="1826"/>
    <n v="1443"/>
    <n v="4329"/>
    <n v="5478"/>
    <n v="1149"/>
    <s v="Product 7"/>
    <x v="41"/>
    <s v="Howard Sims"/>
    <x v="517"/>
    <n v="5"/>
    <x v="4"/>
    <x v="1"/>
    <x v="1"/>
    <x v="0"/>
    <x v="0"/>
  </r>
  <r>
    <s v="AX20502"/>
    <s v="ENX2048"/>
    <s v="A157"/>
    <s v="EMP1008"/>
    <s v="C1018"/>
    <x v="477"/>
    <n v="1"/>
    <n v="502"/>
    <n v="296"/>
    <n v="296"/>
    <n v="502"/>
    <n v="206"/>
    <s v="Product 49"/>
    <x v="7"/>
    <s v="Carl Elliott"/>
    <x v="138"/>
    <n v="5"/>
    <x v="4"/>
    <x v="1"/>
    <x v="1"/>
    <x v="0"/>
    <x v="0"/>
  </r>
  <r>
    <s v="AX20574"/>
    <s v="ENX2079"/>
    <s v="A161"/>
    <s v="EMP1006"/>
    <s v="C1289"/>
    <x v="475"/>
    <n v="1"/>
    <n v="1725"/>
    <n v="1363"/>
    <n v="1363"/>
    <n v="1725"/>
    <n v="362"/>
    <s v="Product 80"/>
    <x v="6"/>
    <s v="Sean Miller"/>
    <x v="328"/>
    <n v="5"/>
    <x v="4"/>
    <x v="1"/>
    <x v="1"/>
    <x v="0"/>
    <x v="0"/>
  </r>
  <r>
    <s v="AX21965"/>
    <s v="ENX2017"/>
    <s v="A105"/>
    <s v="EMP1005"/>
    <s v="C1165"/>
    <x v="476"/>
    <n v="4"/>
    <n v="35"/>
    <n v="22"/>
    <n v="88"/>
    <n v="140"/>
    <n v="52"/>
    <s v="Product 18"/>
    <x v="45"/>
    <s v="Ryan Welch"/>
    <x v="82"/>
    <n v="5"/>
    <x v="4"/>
    <x v="1"/>
    <x v="1"/>
    <x v="0"/>
    <x v="0"/>
  </r>
  <r>
    <s v="AX22000"/>
    <s v="ENX2066"/>
    <s v="A132"/>
    <s v="EMP1020"/>
    <s v="C1507"/>
    <x v="477"/>
    <n v="1"/>
    <n v="2091"/>
    <n v="1485"/>
    <n v="1485"/>
    <n v="2091"/>
    <n v="606"/>
    <s v="Product 67"/>
    <x v="48"/>
    <s v="Ryan Butler"/>
    <x v="227"/>
    <n v="5"/>
    <x v="4"/>
    <x v="1"/>
    <x v="1"/>
    <x v="0"/>
    <x v="0"/>
  </r>
  <r>
    <s v="AX22040"/>
    <s v="ENX2008"/>
    <s v="A120"/>
    <s v="EMP1005"/>
    <s v="C1759"/>
    <x v="475"/>
    <n v="4"/>
    <n v="315"/>
    <n v="208"/>
    <n v="832"/>
    <n v="1260"/>
    <n v="428"/>
    <s v="Product 9"/>
    <x v="20"/>
    <s v="Ryan Welch"/>
    <x v="355"/>
    <n v="5"/>
    <x v="4"/>
    <x v="1"/>
    <x v="1"/>
    <x v="0"/>
    <x v="0"/>
  </r>
  <r>
    <s v="AX22835"/>
    <s v="ENX2074"/>
    <s v="A132"/>
    <s v="EMP1037"/>
    <s v="C1248"/>
    <x v="477"/>
    <n v="1"/>
    <n v="504"/>
    <n v="408"/>
    <n v="408"/>
    <n v="504"/>
    <n v="96"/>
    <s v="Product 75"/>
    <x v="48"/>
    <s v="Carl Hall"/>
    <x v="354"/>
    <n v="5"/>
    <x v="4"/>
    <x v="1"/>
    <x v="1"/>
    <x v="0"/>
    <x v="0"/>
  </r>
  <r>
    <s v="AX23091"/>
    <s v="ENX2001"/>
    <s v="A121"/>
    <s v="EMP1023"/>
    <s v="C1733"/>
    <x v="474"/>
    <n v="4"/>
    <n v="951"/>
    <n v="504"/>
    <n v="2016"/>
    <n v="3804"/>
    <n v="1788"/>
    <s v="Product 2"/>
    <x v="72"/>
    <s v="Brian Davis"/>
    <x v="32"/>
    <n v="5"/>
    <x v="4"/>
    <x v="1"/>
    <x v="1"/>
    <x v="0"/>
    <x v="0"/>
  </r>
  <r>
    <s v="AX23422"/>
    <s v="ENX2030"/>
    <s v="A172"/>
    <s v="EMP1019"/>
    <s v="C1010"/>
    <x v="474"/>
    <n v="2"/>
    <n v="1899"/>
    <n v="1044"/>
    <n v="2088"/>
    <n v="3798"/>
    <n v="1710"/>
    <s v="Product 31"/>
    <x v="36"/>
    <s v="Roger Robertson"/>
    <x v="399"/>
    <n v="5"/>
    <x v="4"/>
    <x v="1"/>
    <x v="1"/>
    <x v="0"/>
    <x v="0"/>
  </r>
  <r>
    <s v="AX24106"/>
    <s v="ENX2089"/>
    <s v="A106"/>
    <s v="EMP1021"/>
    <s v="C1274"/>
    <x v="477"/>
    <n v="2"/>
    <n v="2294"/>
    <n v="1399"/>
    <n v="2798"/>
    <n v="4588"/>
    <n v="1790"/>
    <s v="Product 90"/>
    <x v="11"/>
    <s v="Clarence Fox"/>
    <x v="173"/>
    <n v="5"/>
    <x v="4"/>
    <x v="1"/>
    <x v="1"/>
    <x v="0"/>
    <x v="0"/>
  </r>
  <r>
    <s v="AX24125"/>
    <s v="ENX2029"/>
    <s v="A154"/>
    <s v="EMP1000"/>
    <s v="C1360"/>
    <x v="475"/>
    <n v="2"/>
    <n v="1848"/>
    <n v="1294"/>
    <n v="2588"/>
    <n v="3696"/>
    <n v="1108"/>
    <s v="Product 30"/>
    <x v="24"/>
    <s v="Fred Robertson"/>
    <x v="573"/>
    <n v="5"/>
    <x v="4"/>
    <x v="1"/>
    <x v="1"/>
    <x v="0"/>
    <x v="0"/>
  </r>
  <r>
    <s v="AX24283"/>
    <s v="ENX2063"/>
    <s v="A156"/>
    <s v="EMP1042"/>
    <s v="C1606"/>
    <x v="476"/>
    <n v="4"/>
    <n v="1708"/>
    <n v="871"/>
    <n v="3484"/>
    <n v="6832"/>
    <n v="3348"/>
    <s v="Product 64"/>
    <x v="14"/>
    <s v="Scott Clark"/>
    <x v="250"/>
    <n v="5"/>
    <x v="4"/>
    <x v="1"/>
    <x v="1"/>
    <x v="0"/>
    <x v="0"/>
  </r>
  <r>
    <s v="AX24297"/>
    <s v="ENX2029"/>
    <s v="A135"/>
    <s v="EMP1042"/>
    <s v="C1387"/>
    <x v="474"/>
    <n v="1"/>
    <n v="1848"/>
    <n v="1294"/>
    <n v="1294"/>
    <n v="1848"/>
    <n v="554"/>
    <s v="Product 30"/>
    <x v="10"/>
    <s v="Scott Clark"/>
    <x v="346"/>
    <n v="5"/>
    <x v="4"/>
    <x v="1"/>
    <x v="1"/>
    <x v="0"/>
    <x v="0"/>
  </r>
  <r>
    <s v="AX24348"/>
    <s v="ENX2082"/>
    <s v="A169"/>
    <s v="EMP1003"/>
    <s v="C1690"/>
    <x v="475"/>
    <n v="1"/>
    <n v="1103"/>
    <n v="838"/>
    <n v="838"/>
    <n v="1103"/>
    <n v="265"/>
    <s v="Product 83"/>
    <x v="17"/>
    <s v="Christopher Tucker"/>
    <x v="185"/>
    <n v="5"/>
    <x v="4"/>
    <x v="1"/>
    <x v="1"/>
    <x v="0"/>
    <x v="0"/>
  </r>
  <r>
    <s v="AX24609"/>
    <s v="ENX2009"/>
    <s v="A151"/>
    <s v="EMP1003"/>
    <s v="C1800"/>
    <x v="475"/>
    <n v="1"/>
    <n v="584"/>
    <n v="420"/>
    <n v="420"/>
    <n v="584"/>
    <n v="164"/>
    <s v="Product 10"/>
    <x v="1"/>
    <s v="Christopher Tucker"/>
    <x v="319"/>
    <n v="5"/>
    <x v="4"/>
    <x v="1"/>
    <x v="1"/>
    <x v="0"/>
    <x v="0"/>
  </r>
  <r>
    <s v="AX24701"/>
    <s v="ENX2002"/>
    <s v="A138"/>
    <s v="EMP1021"/>
    <s v="C1578"/>
    <x v="476"/>
    <n v="3"/>
    <n v="847"/>
    <n v="534"/>
    <n v="1602"/>
    <n v="2541"/>
    <n v="939"/>
    <s v="Product 3"/>
    <x v="37"/>
    <s v="Clarence Fox"/>
    <x v="17"/>
    <n v="5"/>
    <x v="4"/>
    <x v="1"/>
    <x v="1"/>
    <x v="0"/>
    <x v="0"/>
  </r>
  <r>
    <s v="AX10337"/>
    <s v="ENX2061"/>
    <s v="A155"/>
    <s v="EMP1031"/>
    <s v="C1347"/>
    <x v="478"/>
    <n v="4"/>
    <n v="913"/>
    <n v="584"/>
    <n v="2336"/>
    <n v="3652"/>
    <n v="1316"/>
    <s v="Product 62"/>
    <x v="53"/>
    <s v="Brian Thomas"/>
    <x v="686"/>
    <n v="5"/>
    <x v="4"/>
    <x v="1"/>
    <x v="1"/>
    <x v="0"/>
    <x v="1"/>
  </r>
  <r>
    <s v="AX10880"/>
    <s v="ENX2068"/>
    <s v="A123"/>
    <s v="EMP1032"/>
    <s v="C1596"/>
    <x v="479"/>
    <n v="1"/>
    <n v="1500"/>
    <n v="900"/>
    <n v="900"/>
    <n v="1500"/>
    <n v="600"/>
    <s v="Product 69"/>
    <x v="34"/>
    <s v="Larry Castillo"/>
    <x v="217"/>
    <n v="5"/>
    <x v="4"/>
    <x v="1"/>
    <x v="1"/>
    <x v="0"/>
    <x v="1"/>
  </r>
  <r>
    <s v="AX10971"/>
    <s v="ENX2081"/>
    <s v="A131"/>
    <s v="EMP1033"/>
    <s v="C1026"/>
    <x v="479"/>
    <n v="1"/>
    <n v="1566"/>
    <n v="1190"/>
    <n v="1190"/>
    <n v="1566"/>
    <n v="376"/>
    <s v="Product 82"/>
    <x v="32"/>
    <s v="Jerry Perry"/>
    <x v="410"/>
    <n v="5"/>
    <x v="4"/>
    <x v="1"/>
    <x v="1"/>
    <x v="0"/>
    <x v="1"/>
  </r>
  <r>
    <s v="AX11086"/>
    <s v="ENX2055"/>
    <s v="A142"/>
    <s v="EMP1040"/>
    <s v="C1505"/>
    <x v="480"/>
    <n v="4"/>
    <n v="2495"/>
    <n v="1896"/>
    <n v="7584"/>
    <n v="9980"/>
    <n v="2396"/>
    <s v="Product 56"/>
    <x v="56"/>
    <s v="Patrick Ruiz"/>
    <x v="632"/>
    <n v="5"/>
    <x v="4"/>
    <x v="1"/>
    <x v="1"/>
    <x v="0"/>
    <x v="1"/>
  </r>
  <r>
    <s v="AX11617"/>
    <s v="ENX2085"/>
    <s v="A124"/>
    <s v="EMP1013"/>
    <s v="C1331"/>
    <x v="480"/>
    <n v="4"/>
    <n v="1862"/>
    <n v="1173"/>
    <n v="4692"/>
    <n v="7448"/>
    <n v="2756"/>
    <s v="Product 86"/>
    <x v="67"/>
    <s v="Charles Harper"/>
    <x v="482"/>
    <n v="5"/>
    <x v="4"/>
    <x v="1"/>
    <x v="1"/>
    <x v="0"/>
    <x v="1"/>
  </r>
  <r>
    <s v="AX12123"/>
    <s v="ENX2050"/>
    <s v="A104"/>
    <s v="EMP1003"/>
    <s v="C1070"/>
    <x v="481"/>
    <n v="4"/>
    <n v="2391"/>
    <n v="1291"/>
    <n v="5164"/>
    <n v="9564"/>
    <n v="4400"/>
    <s v="Product 51"/>
    <x v="50"/>
    <s v="Christopher Tucker"/>
    <x v="48"/>
    <n v="5"/>
    <x v="4"/>
    <x v="1"/>
    <x v="1"/>
    <x v="0"/>
    <x v="1"/>
  </r>
  <r>
    <s v="AX12253"/>
    <s v="ENX2061"/>
    <s v="A115"/>
    <s v="EMP1044"/>
    <s v="C1286"/>
    <x v="479"/>
    <n v="3"/>
    <n v="913"/>
    <n v="584"/>
    <n v="1752"/>
    <n v="2739"/>
    <n v="987"/>
    <s v="Product 62"/>
    <x v="33"/>
    <s v="Martin Carr"/>
    <x v="308"/>
    <n v="5"/>
    <x v="4"/>
    <x v="1"/>
    <x v="1"/>
    <x v="0"/>
    <x v="1"/>
  </r>
  <r>
    <s v="AX12261"/>
    <s v="ENX2050"/>
    <s v="A157"/>
    <s v="EMP1043"/>
    <s v="C1672"/>
    <x v="479"/>
    <n v="1"/>
    <n v="2391"/>
    <n v="1291"/>
    <n v="1291"/>
    <n v="2391"/>
    <n v="1100"/>
    <s v="Product 51"/>
    <x v="7"/>
    <s v="Joshua Taylor"/>
    <x v="547"/>
    <n v="5"/>
    <x v="4"/>
    <x v="1"/>
    <x v="1"/>
    <x v="0"/>
    <x v="1"/>
  </r>
  <r>
    <s v="AX12420"/>
    <s v="ENX2048"/>
    <s v="A105"/>
    <s v="EMP1005"/>
    <s v="C1423"/>
    <x v="480"/>
    <n v="1"/>
    <n v="502"/>
    <n v="296"/>
    <n v="296"/>
    <n v="502"/>
    <n v="206"/>
    <s v="Product 49"/>
    <x v="45"/>
    <s v="Ryan Welch"/>
    <x v="182"/>
    <n v="5"/>
    <x v="4"/>
    <x v="1"/>
    <x v="1"/>
    <x v="0"/>
    <x v="1"/>
  </r>
  <r>
    <s v="AX13045"/>
    <s v="ENX2045"/>
    <s v="A121"/>
    <s v="EMP1025"/>
    <s v="C1210"/>
    <x v="478"/>
    <n v="2"/>
    <n v="556"/>
    <n v="395"/>
    <n v="790"/>
    <n v="1112"/>
    <n v="322"/>
    <s v="Product 46"/>
    <x v="72"/>
    <s v="Ernest Wagner"/>
    <x v="629"/>
    <n v="5"/>
    <x v="4"/>
    <x v="1"/>
    <x v="1"/>
    <x v="0"/>
    <x v="1"/>
  </r>
  <r>
    <s v="AX13065"/>
    <s v="ENX2021"/>
    <s v="A147"/>
    <s v="EMP1022"/>
    <s v="C1618"/>
    <x v="478"/>
    <n v="4"/>
    <n v="217"/>
    <n v="171"/>
    <n v="684"/>
    <n v="868"/>
    <n v="184"/>
    <s v="Product 22"/>
    <x v="42"/>
    <s v="Walter Cook"/>
    <x v="292"/>
    <n v="5"/>
    <x v="4"/>
    <x v="1"/>
    <x v="1"/>
    <x v="0"/>
    <x v="1"/>
  </r>
  <r>
    <s v="AX13545"/>
    <s v="ENX2098"/>
    <s v="A117"/>
    <s v="EMP1028"/>
    <s v="C1001"/>
    <x v="479"/>
    <n v="1"/>
    <n v="1178"/>
    <n v="683"/>
    <n v="683"/>
    <n v="1178"/>
    <n v="495"/>
    <s v="Product 99"/>
    <x v="29"/>
    <s v="Howard Sims"/>
    <x v="725"/>
    <n v="5"/>
    <x v="4"/>
    <x v="1"/>
    <x v="1"/>
    <x v="0"/>
    <x v="1"/>
  </r>
  <r>
    <s v="AX14244"/>
    <s v="ENX2027"/>
    <s v="A163"/>
    <s v="EMP1014"/>
    <s v="C1304"/>
    <x v="479"/>
    <n v="3"/>
    <n v="2497"/>
    <n v="1473"/>
    <n v="4419"/>
    <n v="7491"/>
    <n v="3072"/>
    <s v="Product 28"/>
    <x v="51"/>
    <s v="Ronald Reed"/>
    <x v="298"/>
    <n v="5"/>
    <x v="4"/>
    <x v="1"/>
    <x v="1"/>
    <x v="0"/>
    <x v="1"/>
  </r>
  <r>
    <s v="AX14628"/>
    <s v="ENX2030"/>
    <s v="A117"/>
    <s v="EMP1022"/>
    <s v="C1662"/>
    <x v="480"/>
    <n v="1"/>
    <n v="1899"/>
    <n v="1044"/>
    <n v="1044"/>
    <n v="1899"/>
    <n v="855"/>
    <s v="Product 31"/>
    <x v="29"/>
    <s v="Walter Cook"/>
    <x v="649"/>
    <n v="5"/>
    <x v="4"/>
    <x v="1"/>
    <x v="1"/>
    <x v="0"/>
    <x v="1"/>
  </r>
  <r>
    <s v="AX15170"/>
    <s v="ENX2023"/>
    <s v="A100"/>
    <s v="EMP1020"/>
    <s v="C1775"/>
    <x v="481"/>
    <n v="2"/>
    <n v="818"/>
    <n v="450"/>
    <n v="900"/>
    <n v="1636"/>
    <n v="736"/>
    <s v="Product 24"/>
    <x v="52"/>
    <s v="Ryan Butler"/>
    <x v="69"/>
    <n v="5"/>
    <x v="4"/>
    <x v="1"/>
    <x v="1"/>
    <x v="0"/>
    <x v="1"/>
  </r>
  <r>
    <s v="AX15259"/>
    <s v="ENX2044"/>
    <s v="A126"/>
    <s v="EMP1021"/>
    <s v="C1008"/>
    <x v="480"/>
    <n v="1"/>
    <n v="886"/>
    <n v="478"/>
    <n v="478"/>
    <n v="886"/>
    <n v="408"/>
    <s v="Product 45"/>
    <x v="5"/>
    <s v="Clarence Fox"/>
    <x v="796"/>
    <n v="5"/>
    <x v="4"/>
    <x v="1"/>
    <x v="1"/>
    <x v="0"/>
    <x v="1"/>
  </r>
  <r>
    <s v="AX15451"/>
    <s v="ENX2003"/>
    <s v="A163"/>
    <s v="EMP1008"/>
    <s v="C1478"/>
    <x v="481"/>
    <n v="3"/>
    <n v="1783"/>
    <n v="1516"/>
    <n v="4548"/>
    <n v="5349"/>
    <n v="801"/>
    <s v="Product 4"/>
    <x v="51"/>
    <s v="Carl Elliott"/>
    <x v="483"/>
    <n v="5"/>
    <x v="4"/>
    <x v="1"/>
    <x v="1"/>
    <x v="0"/>
    <x v="1"/>
  </r>
  <r>
    <s v="AX15789"/>
    <s v="ENX2031"/>
    <s v="A168"/>
    <s v="EMP1038"/>
    <s v="C1162"/>
    <x v="481"/>
    <n v="2"/>
    <n v="1638"/>
    <n v="1261"/>
    <n v="2522"/>
    <n v="3276"/>
    <n v="754"/>
    <s v="Product 32"/>
    <x v="40"/>
    <s v="Scott Mason"/>
    <x v="177"/>
    <n v="5"/>
    <x v="4"/>
    <x v="1"/>
    <x v="1"/>
    <x v="0"/>
    <x v="1"/>
  </r>
  <r>
    <s v="AX16142"/>
    <s v="ENX2055"/>
    <s v="A138"/>
    <s v="EMP1019"/>
    <s v="C1126"/>
    <x v="481"/>
    <n v="3"/>
    <n v="2495"/>
    <n v="1896"/>
    <n v="5688"/>
    <n v="7485"/>
    <n v="1797"/>
    <s v="Product 56"/>
    <x v="37"/>
    <s v="Roger Robertson"/>
    <x v="374"/>
    <n v="5"/>
    <x v="4"/>
    <x v="1"/>
    <x v="1"/>
    <x v="0"/>
    <x v="1"/>
  </r>
  <r>
    <s v="AX16247"/>
    <s v="ENX2010"/>
    <s v="A102"/>
    <s v="EMP1033"/>
    <s v="C1431"/>
    <x v="480"/>
    <n v="2"/>
    <n v="1812"/>
    <n v="1305"/>
    <n v="2610"/>
    <n v="3624"/>
    <n v="1014"/>
    <s v="Product 11"/>
    <x v="44"/>
    <s v="Jerry Perry"/>
    <x v="587"/>
    <n v="5"/>
    <x v="4"/>
    <x v="1"/>
    <x v="1"/>
    <x v="0"/>
    <x v="1"/>
  </r>
  <r>
    <s v="AX16337"/>
    <s v="ENX2007"/>
    <s v="A155"/>
    <s v="EMP1020"/>
    <s v="C1343"/>
    <x v="479"/>
    <n v="3"/>
    <n v="1405"/>
    <n v="1054"/>
    <n v="3162"/>
    <n v="4215"/>
    <n v="1053"/>
    <s v="Product 8"/>
    <x v="53"/>
    <s v="Ryan Butler"/>
    <x v="175"/>
    <n v="5"/>
    <x v="4"/>
    <x v="1"/>
    <x v="1"/>
    <x v="0"/>
    <x v="1"/>
  </r>
  <r>
    <s v="AX16719"/>
    <s v="ENX2024"/>
    <s v="A112"/>
    <s v="EMP1028"/>
    <s v="C1098"/>
    <x v="481"/>
    <n v="3"/>
    <n v="356"/>
    <n v="292"/>
    <n v="876"/>
    <n v="1068"/>
    <n v="192"/>
    <s v="Product 25"/>
    <x v="66"/>
    <s v="Howard Sims"/>
    <x v="622"/>
    <n v="5"/>
    <x v="4"/>
    <x v="1"/>
    <x v="1"/>
    <x v="0"/>
    <x v="1"/>
  </r>
  <r>
    <s v="AX16981"/>
    <s v="ENX2025"/>
    <s v="A149"/>
    <s v="EMP1039"/>
    <s v="C1752"/>
    <x v="480"/>
    <n v="2"/>
    <n v="667"/>
    <n v="387"/>
    <n v="774"/>
    <n v="1334"/>
    <n v="560"/>
    <s v="Product 26"/>
    <x v="59"/>
    <s v="Eugene Holmes"/>
    <x v="233"/>
    <n v="5"/>
    <x v="4"/>
    <x v="1"/>
    <x v="1"/>
    <x v="0"/>
    <x v="1"/>
  </r>
  <r>
    <s v="AX17017"/>
    <s v="ENX2021"/>
    <s v="A145"/>
    <s v="EMP1033"/>
    <s v="C1144"/>
    <x v="481"/>
    <n v="3"/>
    <n v="217"/>
    <n v="171"/>
    <n v="513"/>
    <n v="651"/>
    <n v="138"/>
    <s v="Product 22"/>
    <x v="35"/>
    <s v="Jerry Perry"/>
    <x v="478"/>
    <n v="5"/>
    <x v="4"/>
    <x v="1"/>
    <x v="1"/>
    <x v="0"/>
    <x v="1"/>
  </r>
  <r>
    <s v="AX17476"/>
    <s v="ENX2085"/>
    <s v="A127"/>
    <s v="EMP1027"/>
    <s v="C1321"/>
    <x v="480"/>
    <n v="4"/>
    <n v="1862"/>
    <n v="1173"/>
    <n v="4692"/>
    <n v="7448"/>
    <n v="2756"/>
    <s v="Product 86"/>
    <x v="69"/>
    <s v="Gary Rodriguez"/>
    <x v="775"/>
    <n v="5"/>
    <x v="4"/>
    <x v="1"/>
    <x v="1"/>
    <x v="0"/>
    <x v="1"/>
  </r>
  <r>
    <s v="AX17729"/>
    <s v="ENX2032"/>
    <s v="A113"/>
    <s v="EMP1034"/>
    <s v="C1091"/>
    <x v="479"/>
    <n v="2"/>
    <n v="1967"/>
    <n v="1397"/>
    <n v="2794"/>
    <n v="3934"/>
    <n v="1140"/>
    <s v="Product 33"/>
    <x v="73"/>
    <s v="Arthur Mccoy"/>
    <x v="513"/>
    <n v="5"/>
    <x v="4"/>
    <x v="1"/>
    <x v="1"/>
    <x v="0"/>
    <x v="1"/>
  </r>
  <r>
    <s v="AX18031"/>
    <s v="ENX2031"/>
    <s v="A144"/>
    <s v="EMP1042"/>
    <s v="C1021"/>
    <x v="480"/>
    <n v="1"/>
    <n v="1638"/>
    <n v="1261"/>
    <n v="1261"/>
    <n v="1638"/>
    <n v="377"/>
    <s v="Product 32"/>
    <x v="65"/>
    <s v="Scott Clark"/>
    <x v="246"/>
    <n v="5"/>
    <x v="4"/>
    <x v="1"/>
    <x v="1"/>
    <x v="0"/>
    <x v="1"/>
  </r>
  <r>
    <s v="AX18471"/>
    <s v="ENX2086"/>
    <s v="A110"/>
    <s v="EMP1032"/>
    <s v="C1533"/>
    <x v="481"/>
    <n v="4"/>
    <n v="123"/>
    <n v="84"/>
    <n v="336"/>
    <n v="492"/>
    <n v="156"/>
    <s v="Product 87"/>
    <x v="63"/>
    <s v="Larry Castillo"/>
    <x v="179"/>
    <n v="5"/>
    <x v="4"/>
    <x v="1"/>
    <x v="1"/>
    <x v="0"/>
    <x v="1"/>
  </r>
  <r>
    <s v="AX19743"/>
    <s v="ENX2059"/>
    <s v="A173"/>
    <s v="EMP1027"/>
    <s v="C1130"/>
    <x v="478"/>
    <n v="3"/>
    <n v="1494"/>
    <n v="971"/>
    <n v="2913"/>
    <n v="4482"/>
    <n v="1569"/>
    <s v="Product 60"/>
    <x v="25"/>
    <s v="Gary Rodriguez"/>
    <x v="448"/>
    <n v="5"/>
    <x v="4"/>
    <x v="1"/>
    <x v="1"/>
    <x v="0"/>
    <x v="1"/>
  </r>
  <r>
    <s v="AX19880"/>
    <s v="ENX2013"/>
    <s v="A162"/>
    <s v="EMP1040"/>
    <s v="C1124"/>
    <x v="479"/>
    <n v="1"/>
    <n v="368"/>
    <n v="269"/>
    <n v="269"/>
    <n v="368"/>
    <n v="99"/>
    <s v="Product 14"/>
    <x v="2"/>
    <s v="Patrick Ruiz"/>
    <x v="102"/>
    <n v="5"/>
    <x v="4"/>
    <x v="1"/>
    <x v="1"/>
    <x v="0"/>
    <x v="1"/>
  </r>
  <r>
    <s v="AX20005"/>
    <s v="ENX2055"/>
    <s v="A151"/>
    <s v="EMP1031"/>
    <s v="C1488"/>
    <x v="478"/>
    <n v="1"/>
    <n v="2495"/>
    <n v="1896"/>
    <n v="1896"/>
    <n v="2495"/>
    <n v="599"/>
    <s v="Product 56"/>
    <x v="1"/>
    <s v="Brian Thomas"/>
    <x v="763"/>
    <n v="5"/>
    <x v="4"/>
    <x v="1"/>
    <x v="1"/>
    <x v="0"/>
    <x v="1"/>
  </r>
  <r>
    <s v="AX20270"/>
    <s v="ENX2009"/>
    <s v="A117"/>
    <s v="EMP1010"/>
    <s v="C1724"/>
    <x v="481"/>
    <n v="1"/>
    <n v="584"/>
    <n v="420"/>
    <n v="420"/>
    <n v="584"/>
    <n v="164"/>
    <s v="Product 10"/>
    <x v="29"/>
    <s v="Joshua Cook"/>
    <x v="378"/>
    <n v="5"/>
    <x v="4"/>
    <x v="1"/>
    <x v="1"/>
    <x v="0"/>
    <x v="1"/>
  </r>
  <r>
    <s v="AX20641"/>
    <s v="ENX2064"/>
    <s v="A138"/>
    <s v="EMP1025"/>
    <s v="C1164"/>
    <x v="478"/>
    <n v="1"/>
    <n v="1414"/>
    <n v="962"/>
    <n v="962"/>
    <n v="1414"/>
    <n v="452"/>
    <s v="Product 65"/>
    <x v="37"/>
    <s v="Ernest Wagner"/>
    <x v="149"/>
    <n v="5"/>
    <x v="4"/>
    <x v="1"/>
    <x v="1"/>
    <x v="0"/>
    <x v="1"/>
  </r>
  <r>
    <s v="AX21244"/>
    <s v="ENX2054"/>
    <s v="A101"/>
    <s v="EMP1041"/>
    <s v="C1753"/>
    <x v="478"/>
    <n v="1"/>
    <n v="127"/>
    <n v="79"/>
    <n v="79"/>
    <n v="127"/>
    <n v="48"/>
    <s v="Product 55"/>
    <x v="60"/>
    <s v="Joe Sims"/>
    <x v="696"/>
    <n v="5"/>
    <x v="4"/>
    <x v="1"/>
    <x v="1"/>
    <x v="0"/>
    <x v="1"/>
  </r>
  <r>
    <s v="AX21382"/>
    <s v="ENX2056"/>
    <s v="A152"/>
    <s v="EMP1007"/>
    <s v="C1777"/>
    <x v="478"/>
    <n v="1"/>
    <n v="1635"/>
    <n v="1046"/>
    <n v="1046"/>
    <n v="1635"/>
    <n v="589"/>
    <s v="Product 57"/>
    <x v="26"/>
    <s v="Jeremy Mendoza"/>
    <x v="682"/>
    <n v="5"/>
    <x v="4"/>
    <x v="1"/>
    <x v="1"/>
    <x v="0"/>
    <x v="1"/>
  </r>
  <r>
    <s v="AX21772"/>
    <s v="ENX2056"/>
    <s v="A101"/>
    <s v="EMP1038"/>
    <s v="C1123"/>
    <x v="479"/>
    <n v="2"/>
    <n v="1635"/>
    <n v="1046"/>
    <n v="2092"/>
    <n v="3270"/>
    <n v="1178"/>
    <s v="Product 57"/>
    <x v="60"/>
    <s v="Scott Mason"/>
    <x v="222"/>
    <n v="5"/>
    <x v="4"/>
    <x v="1"/>
    <x v="1"/>
    <x v="0"/>
    <x v="1"/>
  </r>
  <r>
    <s v="AX21954"/>
    <s v="ENX2017"/>
    <s v="A110"/>
    <s v="EMP1004"/>
    <s v="C1555"/>
    <x v="479"/>
    <n v="3"/>
    <n v="35"/>
    <n v="22"/>
    <n v="66"/>
    <n v="105"/>
    <n v="39"/>
    <s v="Product 18"/>
    <x v="63"/>
    <s v="Kenneth Bradley"/>
    <x v="148"/>
    <n v="5"/>
    <x v="4"/>
    <x v="1"/>
    <x v="1"/>
    <x v="0"/>
    <x v="1"/>
  </r>
  <r>
    <s v="AX22943"/>
    <s v="ENX2090"/>
    <s v="A128"/>
    <s v="EMP1044"/>
    <s v="C1512"/>
    <x v="480"/>
    <n v="2"/>
    <n v="1338"/>
    <n v="682"/>
    <n v="1364"/>
    <n v="2676"/>
    <n v="1312"/>
    <s v="Product 91"/>
    <x v="12"/>
    <s v="Martin Carr"/>
    <x v="671"/>
    <n v="5"/>
    <x v="4"/>
    <x v="1"/>
    <x v="1"/>
    <x v="0"/>
    <x v="1"/>
  </r>
  <r>
    <s v="AX23079"/>
    <s v="ENX2033"/>
    <s v="A162"/>
    <s v="EMP1004"/>
    <s v="C1364"/>
    <x v="481"/>
    <n v="4"/>
    <n v="2182"/>
    <n v="1200"/>
    <n v="4800"/>
    <n v="8728"/>
    <n v="3928"/>
    <s v="Product 34"/>
    <x v="2"/>
    <s v="Kenneth Bradley"/>
    <x v="477"/>
    <n v="5"/>
    <x v="4"/>
    <x v="1"/>
    <x v="1"/>
    <x v="0"/>
    <x v="1"/>
  </r>
  <r>
    <s v="AX23084"/>
    <s v="ENX2032"/>
    <s v="A106"/>
    <s v="EMP1040"/>
    <s v="C1490"/>
    <x v="478"/>
    <n v="1"/>
    <n v="1967"/>
    <n v="1397"/>
    <n v="1397"/>
    <n v="1967"/>
    <n v="570"/>
    <s v="Product 33"/>
    <x v="11"/>
    <s v="Patrick Ruiz"/>
    <x v="61"/>
    <n v="5"/>
    <x v="4"/>
    <x v="1"/>
    <x v="1"/>
    <x v="0"/>
    <x v="1"/>
  </r>
  <r>
    <s v="AX23143"/>
    <s v="ENX2036"/>
    <s v="A119"/>
    <s v="EMP1010"/>
    <s v="C1043"/>
    <x v="481"/>
    <n v="1"/>
    <n v="1582"/>
    <n v="1234"/>
    <n v="1234"/>
    <n v="1582"/>
    <n v="348"/>
    <s v="Product 37"/>
    <x v="16"/>
    <s v="Joshua Cook"/>
    <x v="546"/>
    <n v="5"/>
    <x v="4"/>
    <x v="1"/>
    <x v="1"/>
    <x v="0"/>
    <x v="1"/>
  </r>
  <r>
    <s v="AX23391"/>
    <s v="ENX2089"/>
    <s v="A128"/>
    <s v="EMP1002"/>
    <s v="C1533"/>
    <x v="478"/>
    <n v="3"/>
    <n v="2294"/>
    <n v="1399"/>
    <n v="4197"/>
    <n v="6882"/>
    <n v="2685"/>
    <s v="Product 90"/>
    <x v="12"/>
    <s v="Andrew Bowman"/>
    <x v="179"/>
    <n v="5"/>
    <x v="4"/>
    <x v="1"/>
    <x v="1"/>
    <x v="0"/>
    <x v="1"/>
  </r>
  <r>
    <s v="AX23683"/>
    <s v="ENX2055"/>
    <s v="A172"/>
    <s v="EMP1028"/>
    <s v="C1091"/>
    <x v="478"/>
    <n v="4"/>
    <n v="2495"/>
    <n v="1896"/>
    <n v="7584"/>
    <n v="9980"/>
    <n v="2396"/>
    <s v="Product 56"/>
    <x v="36"/>
    <s v="Howard Sims"/>
    <x v="513"/>
    <n v="5"/>
    <x v="4"/>
    <x v="1"/>
    <x v="1"/>
    <x v="0"/>
    <x v="1"/>
  </r>
  <r>
    <s v="AX24091"/>
    <s v="ENX2074"/>
    <s v="A172"/>
    <s v="EMP1037"/>
    <s v="C1552"/>
    <x v="480"/>
    <n v="3"/>
    <n v="504"/>
    <n v="408"/>
    <n v="1224"/>
    <n v="1512"/>
    <n v="288"/>
    <s v="Product 75"/>
    <x v="36"/>
    <s v="Carl Hall"/>
    <x v="92"/>
    <n v="5"/>
    <x v="4"/>
    <x v="1"/>
    <x v="1"/>
    <x v="0"/>
    <x v="1"/>
  </r>
  <r>
    <s v="AX24129"/>
    <s v="ENX2012"/>
    <s v="A110"/>
    <s v="EMP1022"/>
    <s v="C1284"/>
    <x v="479"/>
    <n v="4"/>
    <n v="1353"/>
    <n v="947"/>
    <n v="3788"/>
    <n v="5412"/>
    <n v="1624"/>
    <s v="Product 13"/>
    <x v="63"/>
    <s v="Walter Cook"/>
    <x v="713"/>
    <n v="5"/>
    <x v="4"/>
    <x v="1"/>
    <x v="1"/>
    <x v="0"/>
    <x v="1"/>
  </r>
  <r>
    <s v="AX24304"/>
    <s v="ENX2048"/>
    <s v="A102"/>
    <s v="EMP1002"/>
    <s v="C1713"/>
    <x v="479"/>
    <n v="1"/>
    <n v="502"/>
    <n v="296"/>
    <n v="296"/>
    <n v="502"/>
    <n v="206"/>
    <s v="Product 49"/>
    <x v="44"/>
    <s v="Andrew Bowman"/>
    <x v="753"/>
    <n v="5"/>
    <x v="4"/>
    <x v="1"/>
    <x v="1"/>
    <x v="0"/>
    <x v="1"/>
  </r>
  <r>
    <s v="AX10128"/>
    <s v="ENX2054"/>
    <s v="A126"/>
    <s v="EMP1029"/>
    <s v="C1347"/>
    <x v="482"/>
    <n v="1"/>
    <n v="127"/>
    <n v="79"/>
    <n v="79"/>
    <n v="127"/>
    <n v="48"/>
    <s v="Product 55"/>
    <x v="5"/>
    <s v="Howard Gardner"/>
    <x v="686"/>
    <n v="5"/>
    <x v="4"/>
    <x v="1"/>
    <x v="1"/>
    <x v="0"/>
    <x v="2"/>
  </r>
  <r>
    <s v="AX10142"/>
    <s v="ENX2046"/>
    <s v="A128"/>
    <s v="EMP1028"/>
    <s v="C1794"/>
    <x v="483"/>
    <n v="4"/>
    <n v="2410"/>
    <n v="1518"/>
    <n v="6072"/>
    <n v="9640"/>
    <n v="3568"/>
    <s v="Product 47"/>
    <x v="12"/>
    <s v="Howard Sims"/>
    <x v="411"/>
    <n v="5"/>
    <x v="4"/>
    <x v="1"/>
    <x v="1"/>
    <x v="0"/>
    <x v="2"/>
  </r>
  <r>
    <s v="AX10206"/>
    <s v="ENX2054"/>
    <s v="A107"/>
    <s v="EMP1011"/>
    <s v="C1387"/>
    <x v="483"/>
    <n v="1"/>
    <n v="127"/>
    <n v="79"/>
    <n v="79"/>
    <n v="127"/>
    <n v="48"/>
    <s v="Product 55"/>
    <x v="21"/>
    <s v="Larry Marshall"/>
    <x v="346"/>
    <n v="5"/>
    <x v="4"/>
    <x v="1"/>
    <x v="1"/>
    <x v="0"/>
    <x v="2"/>
  </r>
  <r>
    <s v="AX10301"/>
    <s v="ENX2079"/>
    <s v="A164"/>
    <s v="EMP1019"/>
    <s v="C1015"/>
    <x v="484"/>
    <n v="2"/>
    <n v="1725"/>
    <n v="1363"/>
    <n v="2726"/>
    <n v="3450"/>
    <n v="724"/>
    <s v="Product 80"/>
    <x v="3"/>
    <s v="Roger Robertson"/>
    <x v="583"/>
    <n v="5"/>
    <x v="4"/>
    <x v="1"/>
    <x v="1"/>
    <x v="0"/>
    <x v="2"/>
  </r>
  <r>
    <s v="AX10434"/>
    <s v="ENX2079"/>
    <s v="A166"/>
    <s v="EMP1034"/>
    <s v="C1465"/>
    <x v="485"/>
    <n v="2"/>
    <n v="1725"/>
    <n v="1363"/>
    <n v="2726"/>
    <n v="3450"/>
    <n v="724"/>
    <s v="Product 80"/>
    <x v="70"/>
    <s v="Arthur Mccoy"/>
    <x v="88"/>
    <n v="5"/>
    <x v="4"/>
    <x v="1"/>
    <x v="1"/>
    <x v="0"/>
    <x v="2"/>
  </r>
  <r>
    <s v="AX10557"/>
    <s v="ENX2000"/>
    <s v="A108"/>
    <s v="EMP1012"/>
    <s v="C1023"/>
    <x v="484"/>
    <n v="1"/>
    <n v="2241"/>
    <n v="1367"/>
    <n v="1367"/>
    <n v="2241"/>
    <n v="874"/>
    <s v="Product 1"/>
    <x v="49"/>
    <s v="John Reyes"/>
    <x v="799"/>
    <n v="5"/>
    <x v="4"/>
    <x v="1"/>
    <x v="1"/>
    <x v="0"/>
    <x v="2"/>
  </r>
  <r>
    <s v="AX10763"/>
    <s v="ENX2039"/>
    <s v="A159"/>
    <s v="EMP1020"/>
    <s v="C1728"/>
    <x v="484"/>
    <n v="3"/>
    <n v="817"/>
    <n v="409"/>
    <n v="1227"/>
    <n v="2451"/>
    <n v="1224"/>
    <s v="Product 40"/>
    <x v="13"/>
    <s v="Ryan Butler"/>
    <x v="446"/>
    <n v="5"/>
    <x v="4"/>
    <x v="1"/>
    <x v="1"/>
    <x v="0"/>
    <x v="2"/>
  </r>
  <r>
    <s v="AX10901"/>
    <s v="ENX2032"/>
    <s v="A138"/>
    <s v="EMP1012"/>
    <s v="C1395"/>
    <x v="483"/>
    <n v="4"/>
    <n v="1967"/>
    <n v="1397"/>
    <n v="5588"/>
    <n v="7868"/>
    <n v="2280"/>
    <s v="Product 33"/>
    <x v="37"/>
    <s v="John Reyes"/>
    <x v="202"/>
    <n v="5"/>
    <x v="4"/>
    <x v="1"/>
    <x v="1"/>
    <x v="0"/>
    <x v="2"/>
  </r>
  <r>
    <s v="AX10911"/>
    <s v="ENX2095"/>
    <s v="A111"/>
    <s v="EMP1029"/>
    <s v="C1238"/>
    <x v="484"/>
    <n v="3"/>
    <n v="1743"/>
    <n v="872"/>
    <n v="2616"/>
    <n v="5229"/>
    <n v="2613"/>
    <s v="Product 96"/>
    <x v="54"/>
    <s v="Howard Gardner"/>
    <x v="627"/>
    <n v="5"/>
    <x v="4"/>
    <x v="1"/>
    <x v="1"/>
    <x v="0"/>
    <x v="2"/>
  </r>
  <r>
    <s v="AX10946"/>
    <s v="ENX2016"/>
    <s v="A140"/>
    <s v="EMP1025"/>
    <s v="C1104"/>
    <x v="483"/>
    <n v="1"/>
    <n v="1351"/>
    <n v="1108"/>
    <n v="1108"/>
    <n v="1351"/>
    <n v="243"/>
    <s v="Product 17"/>
    <x v="18"/>
    <s v="Ernest Wagner"/>
    <x v="367"/>
    <n v="5"/>
    <x v="4"/>
    <x v="1"/>
    <x v="1"/>
    <x v="0"/>
    <x v="2"/>
  </r>
  <r>
    <s v="AX11357"/>
    <s v="ENX2072"/>
    <s v="A156"/>
    <s v="EMP1012"/>
    <s v="C1547"/>
    <x v="485"/>
    <n v="2"/>
    <n v="1887"/>
    <n v="1378"/>
    <n v="2756"/>
    <n v="3774"/>
    <n v="1018"/>
    <s v="Product 73"/>
    <x v="14"/>
    <s v="John Reyes"/>
    <x v="800"/>
    <n v="5"/>
    <x v="4"/>
    <x v="1"/>
    <x v="1"/>
    <x v="0"/>
    <x v="2"/>
  </r>
  <r>
    <s v="AX11594"/>
    <s v="ENX2047"/>
    <s v="A111"/>
    <s v="EMP1010"/>
    <s v="C1472"/>
    <x v="485"/>
    <n v="3"/>
    <n v="290"/>
    <n v="200"/>
    <n v="600"/>
    <n v="870"/>
    <n v="270"/>
    <s v="Product 48"/>
    <x v="54"/>
    <s v="Joshua Cook"/>
    <x v="626"/>
    <n v="5"/>
    <x v="4"/>
    <x v="1"/>
    <x v="1"/>
    <x v="0"/>
    <x v="2"/>
  </r>
  <r>
    <s v="AX11664"/>
    <s v="ENX2011"/>
    <s v="A166"/>
    <s v="EMP1029"/>
    <s v="C1532"/>
    <x v="485"/>
    <n v="3"/>
    <n v="530"/>
    <n v="435"/>
    <n v="1305"/>
    <n v="1590"/>
    <n v="285"/>
    <s v="Product 12"/>
    <x v="70"/>
    <s v="Howard Gardner"/>
    <x v="103"/>
    <n v="5"/>
    <x v="4"/>
    <x v="1"/>
    <x v="1"/>
    <x v="0"/>
    <x v="2"/>
  </r>
  <r>
    <s v="AX12161"/>
    <s v="ENX2020"/>
    <s v="A124"/>
    <s v="EMP1001"/>
    <s v="C1628"/>
    <x v="482"/>
    <n v="2"/>
    <n v="2005"/>
    <n v="1223"/>
    <n v="2446"/>
    <n v="4010"/>
    <n v="1564"/>
    <s v="Product 21"/>
    <x v="67"/>
    <s v="Kevin Butler"/>
    <x v="161"/>
    <n v="5"/>
    <x v="4"/>
    <x v="1"/>
    <x v="1"/>
    <x v="0"/>
    <x v="2"/>
  </r>
  <r>
    <s v="AX12358"/>
    <s v="ENX2087"/>
    <s v="A114"/>
    <s v="EMP1012"/>
    <s v="C1386"/>
    <x v="485"/>
    <n v="4"/>
    <n v="1022"/>
    <n v="818"/>
    <n v="3272"/>
    <n v="4088"/>
    <n v="816"/>
    <s v="Product 88"/>
    <x v="28"/>
    <s v="John Reyes"/>
    <x v="123"/>
    <n v="5"/>
    <x v="4"/>
    <x v="1"/>
    <x v="1"/>
    <x v="0"/>
    <x v="2"/>
  </r>
  <r>
    <s v="AX12516"/>
    <s v="ENX2089"/>
    <s v="A128"/>
    <s v="EMP1013"/>
    <s v="C1756"/>
    <x v="483"/>
    <n v="2"/>
    <n v="2294"/>
    <n v="1399"/>
    <n v="2798"/>
    <n v="4588"/>
    <n v="1790"/>
    <s v="Product 90"/>
    <x v="12"/>
    <s v="Charles Harper"/>
    <x v="371"/>
    <n v="5"/>
    <x v="4"/>
    <x v="1"/>
    <x v="1"/>
    <x v="0"/>
    <x v="2"/>
  </r>
  <r>
    <s v="AX12965"/>
    <s v="ENX2091"/>
    <s v="A134"/>
    <s v="EMP1029"/>
    <s v="C1696"/>
    <x v="483"/>
    <n v="2"/>
    <n v="368"/>
    <n v="294"/>
    <n v="588"/>
    <n v="736"/>
    <n v="148"/>
    <s v="Product 92"/>
    <x v="41"/>
    <s v="Howard Gardner"/>
    <x v="436"/>
    <n v="5"/>
    <x v="4"/>
    <x v="1"/>
    <x v="1"/>
    <x v="0"/>
    <x v="2"/>
  </r>
  <r>
    <s v="AX13305"/>
    <s v="ENX2031"/>
    <s v="A173"/>
    <s v="EMP1027"/>
    <s v="C1643"/>
    <x v="483"/>
    <n v="1"/>
    <n v="1638"/>
    <n v="1261"/>
    <n v="1261"/>
    <n v="1638"/>
    <n v="377"/>
    <s v="Product 32"/>
    <x v="25"/>
    <s v="Gary Rodriguez"/>
    <x v="142"/>
    <n v="5"/>
    <x v="4"/>
    <x v="1"/>
    <x v="1"/>
    <x v="0"/>
    <x v="2"/>
  </r>
  <r>
    <s v="AX13426"/>
    <s v="ENX2023"/>
    <s v="A131"/>
    <s v="EMP1013"/>
    <s v="C1165"/>
    <x v="482"/>
    <n v="1"/>
    <n v="818"/>
    <n v="450"/>
    <n v="450"/>
    <n v="818"/>
    <n v="368"/>
    <s v="Product 24"/>
    <x v="32"/>
    <s v="Charles Harper"/>
    <x v="82"/>
    <n v="5"/>
    <x v="4"/>
    <x v="1"/>
    <x v="1"/>
    <x v="0"/>
    <x v="2"/>
  </r>
  <r>
    <s v="AX13922"/>
    <s v="ENX2022"/>
    <s v="A149"/>
    <s v="EMP1009"/>
    <s v="C1752"/>
    <x v="482"/>
    <n v="3"/>
    <n v="561"/>
    <n v="421"/>
    <n v="1263"/>
    <n v="1683"/>
    <n v="420"/>
    <s v="Product 23"/>
    <x v="59"/>
    <s v="Kenneth Fields"/>
    <x v="233"/>
    <n v="5"/>
    <x v="4"/>
    <x v="1"/>
    <x v="1"/>
    <x v="0"/>
    <x v="2"/>
  </r>
  <r>
    <s v="AX14139"/>
    <s v="ENX2031"/>
    <s v="A170"/>
    <s v="EMP1027"/>
    <s v="C1756"/>
    <x v="482"/>
    <n v="4"/>
    <n v="1638"/>
    <n v="1261"/>
    <n v="5044"/>
    <n v="6552"/>
    <n v="1508"/>
    <s v="Product 32"/>
    <x v="47"/>
    <s v="Gary Rodriguez"/>
    <x v="371"/>
    <n v="5"/>
    <x v="4"/>
    <x v="1"/>
    <x v="1"/>
    <x v="0"/>
    <x v="2"/>
  </r>
  <r>
    <s v="AX14683"/>
    <s v="ENX2016"/>
    <s v="A161"/>
    <s v="EMP1022"/>
    <s v="C1558"/>
    <x v="484"/>
    <n v="2"/>
    <n v="1351"/>
    <n v="1108"/>
    <n v="2216"/>
    <n v="2702"/>
    <n v="486"/>
    <s v="Product 17"/>
    <x v="6"/>
    <s v="Walter Cook"/>
    <x v="170"/>
    <n v="5"/>
    <x v="4"/>
    <x v="1"/>
    <x v="1"/>
    <x v="0"/>
    <x v="2"/>
  </r>
  <r>
    <s v="AX14936"/>
    <s v="ENX2022"/>
    <s v="A134"/>
    <s v="EMP1005"/>
    <s v="C1354"/>
    <x v="482"/>
    <n v="2"/>
    <n v="561"/>
    <n v="421"/>
    <n v="842"/>
    <n v="1122"/>
    <n v="280"/>
    <s v="Product 23"/>
    <x v="41"/>
    <s v="Ryan Welch"/>
    <x v="133"/>
    <n v="5"/>
    <x v="4"/>
    <x v="1"/>
    <x v="1"/>
    <x v="0"/>
    <x v="2"/>
  </r>
  <r>
    <s v="AX15189"/>
    <s v="ENX2029"/>
    <s v="A113"/>
    <s v="EMP1024"/>
    <s v="C1478"/>
    <x v="484"/>
    <n v="3"/>
    <n v="1848"/>
    <n v="1294"/>
    <n v="3882"/>
    <n v="5544"/>
    <n v="1662"/>
    <s v="Product 30"/>
    <x v="73"/>
    <s v="Ernest Wheeler"/>
    <x v="483"/>
    <n v="5"/>
    <x v="4"/>
    <x v="1"/>
    <x v="1"/>
    <x v="0"/>
    <x v="2"/>
  </r>
  <r>
    <s v="AX15358"/>
    <s v="ENX2078"/>
    <s v="A157"/>
    <s v="EMP1034"/>
    <s v="C1585"/>
    <x v="483"/>
    <n v="2"/>
    <n v="1798"/>
    <n v="971"/>
    <n v="1942"/>
    <n v="3596"/>
    <n v="1654"/>
    <s v="Product 79"/>
    <x v="7"/>
    <s v="Arthur Mccoy"/>
    <x v="400"/>
    <n v="5"/>
    <x v="4"/>
    <x v="1"/>
    <x v="1"/>
    <x v="0"/>
    <x v="2"/>
  </r>
  <r>
    <s v="AX15388"/>
    <s v="ENX2073"/>
    <s v="A134"/>
    <s v="EMP1012"/>
    <s v="C1236"/>
    <x v="485"/>
    <n v="2"/>
    <n v="95"/>
    <n v="61"/>
    <n v="122"/>
    <n v="190"/>
    <n v="68"/>
    <s v="Product 74"/>
    <x v="41"/>
    <s v="John Reyes"/>
    <x v="795"/>
    <n v="5"/>
    <x v="4"/>
    <x v="1"/>
    <x v="1"/>
    <x v="0"/>
    <x v="2"/>
  </r>
  <r>
    <s v="AX15615"/>
    <s v="ENX2093"/>
    <s v="A114"/>
    <s v="EMP1005"/>
    <s v="C1687"/>
    <x v="485"/>
    <n v="1"/>
    <n v="112"/>
    <n v="90"/>
    <n v="90"/>
    <n v="112"/>
    <n v="22"/>
    <s v="Product 94"/>
    <x v="28"/>
    <s v="Ryan Welch"/>
    <x v="389"/>
    <n v="5"/>
    <x v="4"/>
    <x v="1"/>
    <x v="1"/>
    <x v="0"/>
    <x v="2"/>
  </r>
  <r>
    <s v="AX15891"/>
    <s v="ENX2032"/>
    <s v="A149"/>
    <s v="EMP1038"/>
    <s v="C1349"/>
    <x v="482"/>
    <n v="1"/>
    <n v="1967"/>
    <n v="1397"/>
    <n v="1397"/>
    <n v="1967"/>
    <n v="570"/>
    <s v="Product 33"/>
    <x v="59"/>
    <s v="Scott Mason"/>
    <x v="501"/>
    <n v="5"/>
    <x v="4"/>
    <x v="1"/>
    <x v="1"/>
    <x v="0"/>
    <x v="2"/>
  </r>
  <r>
    <s v="AX16184"/>
    <s v="ENX2009"/>
    <s v="A151"/>
    <s v="EMP1019"/>
    <s v="C1373"/>
    <x v="482"/>
    <n v="4"/>
    <n v="584"/>
    <n v="420"/>
    <n v="1680"/>
    <n v="2336"/>
    <n v="656"/>
    <s v="Product 10"/>
    <x v="1"/>
    <s v="Roger Robertson"/>
    <x v="471"/>
    <n v="5"/>
    <x v="4"/>
    <x v="1"/>
    <x v="1"/>
    <x v="0"/>
    <x v="2"/>
  </r>
  <r>
    <s v="AX16426"/>
    <s v="ENX2025"/>
    <s v="A138"/>
    <s v="EMP1022"/>
    <s v="C1375"/>
    <x v="485"/>
    <n v="2"/>
    <n v="667"/>
    <n v="387"/>
    <n v="774"/>
    <n v="1334"/>
    <n v="560"/>
    <s v="Product 26"/>
    <x v="37"/>
    <s v="Walter Cook"/>
    <x v="9"/>
    <n v="5"/>
    <x v="4"/>
    <x v="1"/>
    <x v="1"/>
    <x v="0"/>
    <x v="2"/>
  </r>
  <r>
    <s v="AX16989"/>
    <s v="ENX2095"/>
    <s v="A131"/>
    <s v="EMP1009"/>
    <s v="C1454"/>
    <x v="482"/>
    <n v="1"/>
    <n v="1743"/>
    <n v="872"/>
    <n v="872"/>
    <n v="1743"/>
    <n v="871"/>
    <s v="Product 96"/>
    <x v="32"/>
    <s v="Kenneth Fields"/>
    <x v="68"/>
    <n v="5"/>
    <x v="4"/>
    <x v="1"/>
    <x v="1"/>
    <x v="0"/>
    <x v="2"/>
  </r>
  <r>
    <s v="AX17138"/>
    <s v="ENX2027"/>
    <s v="A104"/>
    <s v="EMP1018"/>
    <s v="C1461"/>
    <x v="485"/>
    <n v="3"/>
    <n v="2497"/>
    <n v="1473"/>
    <n v="4419"/>
    <n v="7491"/>
    <n v="3072"/>
    <s v="Product 28"/>
    <x v="50"/>
    <s v="Jimmy Young"/>
    <x v="634"/>
    <n v="5"/>
    <x v="4"/>
    <x v="1"/>
    <x v="1"/>
    <x v="0"/>
    <x v="2"/>
  </r>
  <r>
    <s v="AX17560"/>
    <s v="ENX2010"/>
    <s v="A140"/>
    <s v="EMP1001"/>
    <s v="C1541"/>
    <x v="483"/>
    <n v="2"/>
    <n v="1812"/>
    <n v="1305"/>
    <n v="2610"/>
    <n v="3624"/>
    <n v="1014"/>
    <s v="Product 11"/>
    <x v="18"/>
    <s v="Kevin Butler"/>
    <x v="628"/>
    <n v="5"/>
    <x v="4"/>
    <x v="1"/>
    <x v="1"/>
    <x v="0"/>
    <x v="2"/>
  </r>
  <r>
    <s v="AX17727"/>
    <s v="ENX2073"/>
    <s v="A158"/>
    <s v="EMP1035"/>
    <s v="C1281"/>
    <x v="484"/>
    <n v="4"/>
    <n v="95"/>
    <n v="61"/>
    <n v="244"/>
    <n v="380"/>
    <n v="136"/>
    <s v="Product 74"/>
    <x v="58"/>
    <s v="Roger Ramos"/>
    <x v="216"/>
    <n v="5"/>
    <x v="4"/>
    <x v="1"/>
    <x v="1"/>
    <x v="0"/>
    <x v="2"/>
  </r>
  <r>
    <s v="AX18139"/>
    <s v="ENX2069"/>
    <s v="A164"/>
    <s v="EMP1017"/>
    <s v="C1446"/>
    <x v="484"/>
    <n v="1"/>
    <n v="378"/>
    <n v="291"/>
    <n v="291"/>
    <n v="378"/>
    <n v="87"/>
    <s v="Product 70"/>
    <x v="3"/>
    <s v="Brian Hansen"/>
    <x v="345"/>
    <n v="5"/>
    <x v="4"/>
    <x v="1"/>
    <x v="1"/>
    <x v="0"/>
    <x v="2"/>
  </r>
  <r>
    <s v="AX18378"/>
    <s v="ENX2062"/>
    <s v="A123"/>
    <s v="EMP1030"/>
    <s v="C1646"/>
    <x v="482"/>
    <n v="3"/>
    <n v="2464"/>
    <n v="1774"/>
    <n v="5322"/>
    <n v="7392"/>
    <n v="2070"/>
    <s v="Product 63"/>
    <x v="34"/>
    <s v="Bobby Russell"/>
    <x v="789"/>
    <n v="5"/>
    <x v="4"/>
    <x v="1"/>
    <x v="1"/>
    <x v="0"/>
    <x v="2"/>
  </r>
  <r>
    <s v="AX18410"/>
    <s v="ENX2050"/>
    <s v="A102"/>
    <s v="EMP1015"/>
    <s v="C1243"/>
    <x v="482"/>
    <n v="3"/>
    <n v="2391"/>
    <n v="1291"/>
    <n v="3873"/>
    <n v="7173"/>
    <n v="3300"/>
    <s v="Product 51"/>
    <x v="44"/>
    <s v="Justin Lynch"/>
    <x v="129"/>
    <n v="5"/>
    <x v="4"/>
    <x v="1"/>
    <x v="1"/>
    <x v="0"/>
    <x v="2"/>
  </r>
  <r>
    <s v="AX18414"/>
    <s v="ENX2071"/>
    <s v="A116"/>
    <s v="EMP1028"/>
    <s v="C1732"/>
    <x v="483"/>
    <n v="1"/>
    <n v="136"/>
    <n v="72"/>
    <n v="72"/>
    <n v="136"/>
    <n v="64"/>
    <s v="Product 72"/>
    <x v="15"/>
    <s v="Howard Sims"/>
    <x v="136"/>
    <n v="5"/>
    <x v="4"/>
    <x v="1"/>
    <x v="1"/>
    <x v="0"/>
    <x v="2"/>
  </r>
  <r>
    <s v="AX18634"/>
    <s v="ENX2026"/>
    <s v="A131"/>
    <s v="EMP1017"/>
    <s v="C1446"/>
    <x v="483"/>
    <n v="4"/>
    <n v="947"/>
    <n v="786"/>
    <n v="3144"/>
    <n v="3788"/>
    <n v="644"/>
    <s v="Product 27"/>
    <x v="32"/>
    <s v="Brian Hansen"/>
    <x v="345"/>
    <n v="5"/>
    <x v="4"/>
    <x v="1"/>
    <x v="1"/>
    <x v="0"/>
    <x v="2"/>
  </r>
  <r>
    <s v="AX18727"/>
    <s v="ENX2043"/>
    <s v="A160"/>
    <s v="EMP1018"/>
    <s v="C1768"/>
    <x v="484"/>
    <n v="2"/>
    <n v="545"/>
    <n v="425"/>
    <n v="850"/>
    <n v="1090"/>
    <n v="240"/>
    <s v="Product 44"/>
    <x v="9"/>
    <s v="Jimmy Young"/>
    <x v="496"/>
    <n v="5"/>
    <x v="4"/>
    <x v="1"/>
    <x v="1"/>
    <x v="0"/>
    <x v="2"/>
  </r>
  <r>
    <s v="AX18938"/>
    <s v="ENX2014"/>
    <s v="A129"/>
    <s v="EMP1029"/>
    <s v="C1018"/>
    <x v="483"/>
    <n v="1"/>
    <n v="1809"/>
    <n v="1067"/>
    <n v="1067"/>
    <n v="1809"/>
    <n v="742"/>
    <s v="Product 15"/>
    <x v="22"/>
    <s v="Howard Gardner"/>
    <x v="138"/>
    <n v="5"/>
    <x v="4"/>
    <x v="1"/>
    <x v="1"/>
    <x v="0"/>
    <x v="2"/>
  </r>
  <r>
    <s v="AX19017"/>
    <s v="ENX2039"/>
    <s v="A137"/>
    <s v="EMP1002"/>
    <s v="C1052"/>
    <x v="485"/>
    <n v="3"/>
    <n v="817"/>
    <n v="409"/>
    <n v="1227"/>
    <n v="2451"/>
    <n v="1224"/>
    <s v="Product 40"/>
    <x v="68"/>
    <s v="Andrew Bowman"/>
    <x v="638"/>
    <n v="5"/>
    <x v="4"/>
    <x v="1"/>
    <x v="1"/>
    <x v="0"/>
    <x v="2"/>
  </r>
  <r>
    <s v="AX19057"/>
    <s v="ENX2051"/>
    <s v="A127"/>
    <s v="EMP1010"/>
    <s v="C1773"/>
    <x v="485"/>
    <n v="3"/>
    <n v="1077"/>
    <n v="732"/>
    <n v="2196"/>
    <n v="3231"/>
    <n v="1035"/>
    <s v="Product 52"/>
    <x v="69"/>
    <s v="Joshua Cook"/>
    <x v="723"/>
    <n v="5"/>
    <x v="4"/>
    <x v="1"/>
    <x v="1"/>
    <x v="0"/>
    <x v="2"/>
  </r>
  <r>
    <s v="AX19505"/>
    <s v="ENX2032"/>
    <s v="A121"/>
    <s v="EMP1022"/>
    <s v="C1588"/>
    <x v="482"/>
    <n v="3"/>
    <n v="1967"/>
    <n v="1397"/>
    <n v="4191"/>
    <n v="5901"/>
    <n v="1710"/>
    <s v="Product 33"/>
    <x v="72"/>
    <s v="Walter Cook"/>
    <x v="653"/>
    <n v="5"/>
    <x v="4"/>
    <x v="1"/>
    <x v="1"/>
    <x v="0"/>
    <x v="2"/>
  </r>
  <r>
    <s v="AX19728"/>
    <s v="ENX2080"/>
    <s v="A161"/>
    <s v="EMP1010"/>
    <s v="C1313"/>
    <x v="482"/>
    <n v="3"/>
    <n v="2353"/>
    <n v="1788"/>
    <n v="5364"/>
    <n v="7059"/>
    <n v="1695"/>
    <s v="Product 81"/>
    <x v="6"/>
    <s v="Joshua Cook"/>
    <x v="728"/>
    <n v="5"/>
    <x v="4"/>
    <x v="1"/>
    <x v="1"/>
    <x v="0"/>
    <x v="2"/>
  </r>
  <r>
    <s v="AX19782"/>
    <s v="ENX2085"/>
    <s v="A142"/>
    <s v="EMP1019"/>
    <s v="C1447"/>
    <x v="483"/>
    <n v="2"/>
    <n v="1862"/>
    <n v="1173"/>
    <n v="2346"/>
    <n v="3724"/>
    <n v="1378"/>
    <s v="Product 86"/>
    <x v="56"/>
    <s v="Roger Robertson"/>
    <x v="702"/>
    <n v="5"/>
    <x v="4"/>
    <x v="1"/>
    <x v="1"/>
    <x v="0"/>
    <x v="2"/>
  </r>
  <r>
    <s v="AX20249"/>
    <s v="ENX2080"/>
    <s v="A118"/>
    <s v="EMP1034"/>
    <s v="C1644"/>
    <x v="485"/>
    <n v="1"/>
    <n v="2353"/>
    <n v="1788"/>
    <n v="1788"/>
    <n v="2353"/>
    <n v="565"/>
    <s v="Product 81"/>
    <x v="19"/>
    <s v="Arthur Mccoy"/>
    <x v="109"/>
    <n v="5"/>
    <x v="4"/>
    <x v="1"/>
    <x v="1"/>
    <x v="0"/>
    <x v="2"/>
  </r>
  <r>
    <s v="AX20331"/>
    <s v="ENX2003"/>
    <s v="A118"/>
    <s v="EMP1020"/>
    <s v="C1338"/>
    <x v="482"/>
    <n v="1"/>
    <n v="1783"/>
    <n v="1516"/>
    <n v="1516"/>
    <n v="1783"/>
    <n v="267"/>
    <s v="Product 4"/>
    <x v="19"/>
    <s v="Ryan Butler"/>
    <x v="542"/>
    <n v="5"/>
    <x v="4"/>
    <x v="1"/>
    <x v="1"/>
    <x v="0"/>
    <x v="2"/>
  </r>
  <r>
    <s v="AX20472"/>
    <s v="ENX2076"/>
    <s v="A147"/>
    <s v="EMP1031"/>
    <s v="C1432"/>
    <x v="482"/>
    <n v="1"/>
    <n v="1522"/>
    <n v="791"/>
    <n v="791"/>
    <n v="1522"/>
    <n v="731"/>
    <s v="Product 77"/>
    <x v="42"/>
    <s v="Brian Thomas"/>
    <x v="186"/>
    <n v="5"/>
    <x v="4"/>
    <x v="1"/>
    <x v="1"/>
    <x v="0"/>
    <x v="2"/>
  </r>
  <r>
    <s v="AX20604"/>
    <s v="ENX2056"/>
    <s v="A170"/>
    <s v="EMP1020"/>
    <s v="C1760"/>
    <x v="482"/>
    <n v="1"/>
    <n v="1635"/>
    <n v="1046"/>
    <n v="1046"/>
    <n v="1635"/>
    <n v="589"/>
    <s v="Product 57"/>
    <x v="47"/>
    <s v="Ryan Butler"/>
    <x v="502"/>
    <n v="5"/>
    <x v="4"/>
    <x v="1"/>
    <x v="1"/>
    <x v="0"/>
    <x v="2"/>
  </r>
  <r>
    <s v="AX20888"/>
    <s v="ENX2020"/>
    <s v="A132"/>
    <s v="EMP1005"/>
    <s v="C1495"/>
    <x v="485"/>
    <n v="3"/>
    <n v="2005"/>
    <n v="1223"/>
    <n v="3669"/>
    <n v="6015"/>
    <n v="2346"/>
    <s v="Product 21"/>
    <x v="48"/>
    <s v="Ryan Welch"/>
    <x v="780"/>
    <n v="5"/>
    <x v="4"/>
    <x v="1"/>
    <x v="1"/>
    <x v="0"/>
    <x v="2"/>
  </r>
  <r>
    <s v="AX22316"/>
    <s v="ENX2019"/>
    <s v="A120"/>
    <s v="EMP1042"/>
    <s v="C1486"/>
    <x v="483"/>
    <n v="2"/>
    <n v="800"/>
    <n v="536"/>
    <n v="1072"/>
    <n v="1600"/>
    <n v="528"/>
    <s v="Product 20"/>
    <x v="20"/>
    <s v="Scott Clark"/>
    <x v="357"/>
    <n v="5"/>
    <x v="4"/>
    <x v="1"/>
    <x v="1"/>
    <x v="0"/>
    <x v="2"/>
  </r>
  <r>
    <s v="AX22981"/>
    <s v="ENX2014"/>
    <s v="A157"/>
    <s v="EMP1007"/>
    <s v="C1588"/>
    <x v="485"/>
    <n v="1"/>
    <n v="1809"/>
    <n v="1067"/>
    <n v="1067"/>
    <n v="1809"/>
    <n v="742"/>
    <s v="Product 15"/>
    <x v="7"/>
    <s v="Jeremy Mendoza"/>
    <x v="653"/>
    <n v="5"/>
    <x v="4"/>
    <x v="1"/>
    <x v="1"/>
    <x v="0"/>
    <x v="2"/>
  </r>
  <r>
    <s v="AX23149"/>
    <s v="ENX2095"/>
    <s v="A122"/>
    <s v="EMP1033"/>
    <s v="C1408"/>
    <x v="483"/>
    <n v="2"/>
    <n v="1743"/>
    <n v="872"/>
    <n v="1744"/>
    <n v="3486"/>
    <n v="1742"/>
    <s v="Product 96"/>
    <x v="71"/>
    <s v="Jerry Perry"/>
    <x v="647"/>
    <n v="5"/>
    <x v="4"/>
    <x v="1"/>
    <x v="1"/>
    <x v="0"/>
    <x v="2"/>
  </r>
  <r>
    <s v="AX23290"/>
    <s v="ENX2004"/>
    <s v="A120"/>
    <s v="EMP1023"/>
    <s v="C1226"/>
    <x v="484"/>
    <n v="3"/>
    <n v="1278"/>
    <n v="665"/>
    <n v="1995"/>
    <n v="3834"/>
    <n v="1839"/>
    <s v="Product 5"/>
    <x v="20"/>
    <s v="Brian Davis"/>
    <x v="598"/>
    <n v="5"/>
    <x v="4"/>
    <x v="1"/>
    <x v="1"/>
    <x v="0"/>
    <x v="2"/>
  </r>
  <r>
    <s v="AX23397"/>
    <s v="ENX2003"/>
    <s v="A144"/>
    <s v="EMP1037"/>
    <s v="C1185"/>
    <x v="485"/>
    <n v="1"/>
    <n v="1783"/>
    <n v="1516"/>
    <n v="1516"/>
    <n v="1783"/>
    <n v="267"/>
    <s v="Product 4"/>
    <x v="65"/>
    <s v="Carl Hall"/>
    <x v="215"/>
    <n v="5"/>
    <x v="4"/>
    <x v="1"/>
    <x v="1"/>
    <x v="0"/>
    <x v="2"/>
  </r>
  <r>
    <s v="AX23481"/>
    <s v="ENX2065"/>
    <s v="A118"/>
    <s v="EMP1022"/>
    <s v="C1627"/>
    <x v="484"/>
    <n v="1"/>
    <n v="2396"/>
    <n v="1965"/>
    <n v="1965"/>
    <n v="2396"/>
    <n v="431"/>
    <s v="Product 66"/>
    <x v="19"/>
    <s v="Walter Cook"/>
    <x v="785"/>
    <n v="5"/>
    <x v="4"/>
    <x v="1"/>
    <x v="1"/>
    <x v="0"/>
    <x v="2"/>
  </r>
  <r>
    <s v="AX24052"/>
    <s v="ENX2091"/>
    <s v="A162"/>
    <s v="EMP1026"/>
    <s v="C1049"/>
    <x v="482"/>
    <n v="2"/>
    <n v="368"/>
    <n v="294"/>
    <n v="588"/>
    <n v="736"/>
    <n v="148"/>
    <s v="Product 92"/>
    <x v="2"/>
    <s v="Martin Perry"/>
    <x v="305"/>
    <n v="5"/>
    <x v="4"/>
    <x v="1"/>
    <x v="1"/>
    <x v="0"/>
    <x v="2"/>
  </r>
  <r>
    <s v="AX24126"/>
    <s v="ENX2075"/>
    <s v="A159"/>
    <s v="EMP1038"/>
    <s v="C1625"/>
    <x v="483"/>
    <n v="1"/>
    <n v="400"/>
    <n v="208"/>
    <n v="208"/>
    <n v="400"/>
    <n v="192"/>
    <s v="Product 76"/>
    <x v="13"/>
    <s v="Scott Mason"/>
    <x v="575"/>
    <n v="5"/>
    <x v="4"/>
    <x v="1"/>
    <x v="1"/>
    <x v="0"/>
    <x v="2"/>
  </r>
  <r>
    <s v="AX24418"/>
    <s v="ENX2058"/>
    <s v="A151"/>
    <s v="EMP1024"/>
    <s v="C1790"/>
    <x v="482"/>
    <n v="4"/>
    <n v="2257"/>
    <n v="1535"/>
    <n v="6140"/>
    <n v="9028"/>
    <n v="2888"/>
    <s v="Product 59"/>
    <x v="1"/>
    <s v="Ernest Wheeler"/>
    <x v="428"/>
    <n v="5"/>
    <x v="4"/>
    <x v="1"/>
    <x v="1"/>
    <x v="0"/>
    <x v="2"/>
  </r>
  <r>
    <s v="AX24668"/>
    <s v="ENX2014"/>
    <s v="A100"/>
    <s v="EMP1029"/>
    <s v="C1755"/>
    <x v="482"/>
    <n v="1"/>
    <n v="1809"/>
    <n v="1067"/>
    <n v="1067"/>
    <n v="1809"/>
    <n v="742"/>
    <s v="Product 15"/>
    <x v="52"/>
    <s v="Howard Gardner"/>
    <x v="178"/>
    <n v="5"/>
    <x v="4"/>
    <x v="1"/>
    <x v="1"/>
    <x v="0"/>
    <x v="2"/>
  </r>
  <r>
    <s v="AX24702"/>
    <s v="ENX2033"/>
    <s v="A132"/>
    <s v="EMP1001"/>
    <s v="C1712"/>
    <x v="484"/>
    <n v="3"/>
    <n v="2182"/>
    <n v="1200"/>
    <n v="3600"/>
    <n v="6546"/>
    <n v="2946"/>
    <s v="Product 34"/>
    <x v="48"/>
    <s v="Kevin Butler"/>
    <x v="21"/>
    <n v="5"/>
    <x v="4"/>
    <x v="1"/>
    <x v="1"/>
    <x v="0"/>
    <x v="2"/>
  </r>
  <r>
    <s v="AX24894"/>
    <s v="ENX2073"/>
    <s v="A118"/>
    <s v="EMP1014"/>
    <s v="C1548"/>
    <x v="482"/>
    <n v="3"/>
    <n v="95"/>
    <n v="61"/>
    <n v="183"/>
    <n v="285"/>
    <n v="102"/>
    <s v="Product 74"/>
    <x v="19"/>
    <s v="Ronald Reed"/>
    <x v="241"/>
    <n v="5"/>
    <x v="4"/>
    <x v="1"/>
    <x v="1"/>
    <x v="0"/>
    <x v="2"/>
  </r>
  <r>
    <s v="AX24944"/>
    <s v="ENX2024"/>
    <s v="A159"/>
    <s v="EMP1034"/>
    <s v="C1235"/>
    <x v="485"/>
    <n v="3"/>
    <n v="356"/>
    <n v="292"/>
    <n v="876"/>
    <n v="1068"/>
    <n v="192"/>
    <s v="Product 25"/>
    <x v="13"/>
    <s v="Arthur Mccoy"/>
    <x v="353"/>
    <n v="5"/>
    <x v="4"/>
    <x v="1"/>
    <x v="1"/>
    <x v="0"/>
    <x v="2"/>
  </r>
  <r>
    <s v="AX10076"/>
    <s v="ENX2092"/>
    <s v="A122"/>
    <s v="EMP1031"/>
    <s v="C1470"/>
    <x v="486"/>
    <n v="1"/>
    <n v="1639"/>
    <n v="1295"/>
    <n v="1295"/>
    <n v="1639"/>
    <n v="344"/>
    <s v="Product 93"/>
    <x v="71"/>
    <s v="Brian Thomas"/>
    <x v="621"/>
    <n v="5"/>
    <x v="4"/>
    <x v="2"/>
    <x v="2"/>
    <x v="0"/>
    <x v="0"/>
  </r>
  <r>
    <s v="AX10172"/>
    <s v="ENX2076"/>
    <s v="A101"/>
    <s v="EMP1005"/>
    <s v="C1507"/>
    <x v="487"/>
    <n v="1"/>
    <n v="1522"/>
    <n v="791"/>
    <n v="791"/>
    <n v="1522"/>
    <n v="731"/>
    <s v="Product 77"/>
    <x v="60"/>
    <s v="Ryan Welch"/>
    <x v="227"/>
    <n v="5"/>
    <x v="4"/>
    <x v="2"/>
    <x v="2"/>
    <x v="0"/>
    <x v="0"/>
  </r>
  <r>
    <s v="AX10342"/>
    <s v="ENX2094"/>
    <s v="A106"/>
    <s v="EMP1013"/>
    <s v="C1213"/>
    <x v="488"/>
    <n v="1"/>
    <n v="771"/>
    <n v="648"/>
    <n v="648"/>
    <n v="771"/>
    <n v="123"/>
    <s v="Product 95"/>
    <x v="11"/>
    <s v="Charles Harper"/>
    <x v="487"/>
    <n v="5"/>
    <x v="4"/>
    <x v="2"/>
    <x v="2"/>
    <x v="0"/>
    <x v="0"/>
  </r>
  <r>
    <s v="AX10608"/>
    <s v="ENX2020"/>
    <s v="A173"/>
    <s v="EMP1001"/>
    <s v="C1720"/>
    <x v="489"/>
    <n v="4"/>
    <n v="2005"/>
    <n v="1223"/>
    <n v="4892"/>
    <n v="8020"/>
    <n v="3128"/>
    <s v="Product 21"/>
    <x v="25"/>
    <s v="Kevin Butler"/>
    <x v="152"/>
    <n v="5"/>
    <x v="4"/>
    <x v="2"/>
    <x v="2"/>
    <x v="0"/>
    <x v="0"/>
  </r>
  <r>
    <s v="AX10716"/>
    <s v="ENX2054"/>
    <s v="A112"/>
    <s v="EMP1016"/>
    <s v="C1450"/>
    <x v="489"/>
    <n v="2"/>
    <n v="127"/>
    <n v="79"/>
    <n v="158"/>
    <n v="254"/>
    <n v="96"/>
    <s v="Product 55"/>
    <x v="66"/>
    <s v="Henry Nelson"/>
    <x v="13"/>
    <n v="5"/>
    <x v="4"/>
    <x v="2"/>
    <x v="2"/>
    <x v="0"/>
    <x v="0"/>
  </r>
  <r>
    <s v="AX10747"/>
    <s v="ENX2039"/>
    <s v="A104"/>
    <s v="EMP1020"/>
    <s v="C1592"/>
    <x v="488"/>
    <n v="1"/>
    <n v="817"/>
    <n v="409"/>
    <n v="409"/>
    <n v="817"/>
    <n v="408"/>
    <s v="Product 40"/>
    <x v="50"/>
    <s v="Ryan Butler"/>
    <x v="499"/>
    <n v="5"/>
    <x v="4"/>
    <x v="2"/>
    <x v="2"/>
    <x v="0"/>
    <x v="0"/>
  </r>
  <r>
    <s v="AX11013"/>
    <s v="ENX2087"/>
    <s v="A129"/>
    <s v="EMP1039"/>
    <s v="C1266"/>
    <x v="487"/>
    <n v="1"/>
    <n v="1022"/>
    <n v="818"/>
    <n v="818"/>
    <n v="1022"/>
    <n v="204"/>
    <s v="Product 88"/>
    <x v="22"/>
    <s v="Eugene Holmes"/>
    <x v="254"/>
    <n v="5"/>
    <x v="4"/>
    <x v="2"/>
    <x v="2"/>
    <x v="0"/>
    <x v="0"/>
  </r>
  <r>
    <s v="AX11274"/>
    <s v="ENX2025"/>
    <s v="A156"/>
    <s v="EMP1035"/>
    <s v="C1610"/>
    <x v="486"/>
    <n v="2"/>
    <n v="667"/>
    <n v="387"/>
    <n v="774"/>
    <n v="1334"/>
    <n v="560"/>
    <s v="Product 26"/>
    <x v="14"/>
    <s v="Roger Ramos"/>
    <x v="362"/>
    <n v="5"/>
    <x v="4"/>
    <x v="2"/>
    <x v="2"/>
    <x v="0"/>
    <x v="0"/>
  </r>
  <r>
    <s v="AX11352"/>
    <s v="ENX2068"/>
    <s v="A142"/>
    <s v="EMP1004"/>
    <s v="C1370"/>
    <x v="486"/>
    <n v="1"/>
    <n v="1500"/>
    <n v="900"/>
    <n v="900"/>
    <n v="1500"/>
    <n v="600"/>
    <s v="Product 69"/>
    <x v="56"/>
    <s v="Kenneth Bradley"/>
    <x v="341"/>
    <n v="5"/>
    <x v="4"/>
    <x v="2"/>
    <x v="2"/>
    <x v="0"/>
    <x v="0"/>
  </r>
  <r>
    <s v="AX11961"/>
    <s v="ENX2070"/>
    <s v="A170"/>
    <s v="EMP1002"/>
    <s v="C1741"/>
    <x v="487"/>
    <n v="1"/>
    <n v="1671"/>
    <n v="1220"/>
    <n v="1220"/>
    <n v="1671"/>
    <n v="451"/>
    <s v="Product 71"/>
    <x v="47"/>
    <s v="Andrew Bowman"/>
    <x v="534"/>
    <n v="5"/>
    <x v="4"/>
    <x v="2"/>
    <x v="2"/>
    <x v="0"/>
    <x v="0"/>
  </r>
  <r>
    <s v="AX12018"/>
    <s v="ENX2074"/>
    <s v="A102"/>
    <s v="EMP1018"/>
    <s v="C1314"/>
    <x v="487"/>
    <n v="2"/>
    <n v="504"/>
    <n v="408"/>
    <n v="816"/>
    <n v="1008"/>
    <n v="192"/>
    <s v="Product 75"/>
    <x v="44"/>
    <s v="Jimmy Young"/>
    <x v="421"/>
    <n v="5"/>
    <x v="4"/>
    <x v="2"/>
    <x v="2"/>
    <x v="0"/>
    <x v="0"/>
  </r>
  <r>
    <s v="AX12372"/>
    <s v="ENX2063"/>
    <s v="A136"/>
    <s v="EMP1001"/>
    <s v="C1556"/>
    <x v="488"/>
    <n v="2"/>
    <n v="1708"/>
    <n v="871"/>
    <n v="1742"/>
    <n v="3416"/>
    <n v="1674"/>
    <s v="Product 64"/>
    <x v="43"/>
    <s v="Kevin Butler"/>
    <x v="223"/>
    <n v="5"/>
    <x v="4"/>
    <x v="2"/>
    <x v="2"/>
    <x v="0"/>
    <x v="0"/>
  </r>
  <r>
    <s v="AX12523"/>
    <s v="ENX2043"/>
    <s v="A104"/>
    <s v="EMP1020"/>
    <s v="C1696"/>
    <x v="489"/>
    <n v="1"/>
    <n v="545"/>
    <n v="425"/>
    <n v="425"/>
    <n v="545"/>
    <n v="120"/>
    <s v="Product 44"/>
    <x v="50"/>
    <s v="Ryan Butler"/>
    <x v="436"/>
    <n v="5"/>
    <x v="4"/>
    <x v="2"/>
    <x v="2"/>
    <x v="0"/>
    <x v="0"/>
  </r>
  <r>
    <s v="AX12958"/>
    <s v="ENX2027"/>
    <s v="A146"/>
    <s v="EMP1026"/>
    <s v="C1347"/>
    <x v="486"/>
    <n v="1"/>
    <n v="2497"/>
    <n v="1473"/>
    <n v="1473"/>
    <n v="2497"/>
    <n v="1024"/>
    <s v="Product 28"/>
    <x v="27"/>
    <s v="Martin Perry"/>
    <x v="686"/>
    <n v="5"/>
    <x v="4"/>
    <x v="2"/>
    <x v="2"/>
    <x v="0"/>
    <x v="0"/>
  </r>
  <r>
    <s v="AX13196"/>
    <s v="ENX2036"/>
    <s v="A125"/>
    <s v="EMP1020"/>
    <s v="C1484"/>
    <x v="487"/>
    <n v="3"/>
    <n v="1582"/>
    <n v="1234"/>
    <n v="3702"/>
    <n v="4746"/>
    <n v="1044"/>
    <s v="Product 37"/>
    <x v="31"/>
    <s v="Ryan Butler"/>
    <x v="466"/>
    <n v="5"/>
    <x v="4"/>
    <x v="2"/>
    <x v="2"/>
    <x v="0"/>
    <x v="0"/>
  </r>
  <r>
    <s v="AX13336"/>
    <s v="ENX2039"/>
    <s v="A149"/>
    <s v="EMP1020"/>
    <s v="C1707"/>
    <x v="489"/>
    <n v="1"/>
    <n v="817"/>
    <n v="409"/>
    <n v="409"/>
    <n v="817"/>
    <n v="408"/>
    <s v="Product 40"/>
    <x v="59"/>
    <s v="Ryan Butler"/>
    <x v="192"/>
    <n v="5"/>
    <x v="4"/>
    <x v="2"/>
    <x v="2"/>
    <x v="0"/>
    <x v="0"/>
  </r>
  <r>
    <s v="AX13602"/>
    <s v="ENX2035"/>
    <s v="A103"/>
    <s v="EMP1036"/>
    <s v="C1364"/>
    <x v="488"/>
    <n v="1"/>
    <n v="458"/>
    <n v="376"/>
    <n v="376"/>
    <n v="458"/>
    <n v="82"/>
    <s v="Product 36"/>
    <x v="61"/>
    <s v="Robert Reed"/>
    <x v="477"/>
    <n v="5"/>
    <x v="4"/>
    <x v="2"/>
    <x v="2"/>
    <x v="0"/>
    <x v="0"/>
  </r>
  <r>
    <s v="AX14005"/>
    <s v="ENX2073"/>
    <s v="A119"/>
    <s v="EMP1043"/>
    <s v="C1142"/>
    <x v="488"/>
    <n v="3"/>
    <n v="95"/>
    <n v="61"/>
    <n v="183"/>
    <n v="285"/>
    <n v="102"/>
    <s v="Product 74"/>
    <x v="16"/>
    <s v="Joshua Taylor"/>
    <x v="731"/>
    <n v="5"/>
    <x v="4"/>
    <x v="2"/>
    <x v="2"/>
    <x v="0"/>
    <x v="0"/>
  </r>
  <r>
    <s v="AX14082"/>
    <s v="ENX2099"/>
    <s v="A103"/>
    <s v="EMP1035"/>
    <s v="C1136"/>
    <x v="488"/>
    <n v="1"/>
    <n v="1367"/>
    <n v="984"/>
    <n v="984"/>
    <n v="1367"/>
    <n v="383"/>
    <s v="Product 100"/>
    <x v="61"/>
    <s v="Roger Ramos"/>
    <x v="425"/>
    <n v="5"/>
    <x v="4"/>
    <x v="2"/>
    <x v="2"/>
    <x v="0"/>
    <x v="0"/>
  </r>
  <r>
    <s v="AX14260"/>
    <s v="ENX2091"/>
    <s v="A119"/>
    <s v="EMP1040"/>
    <s v="C1008"/>
    <x v="488"/>
    <n v="1"/>
    <n v="368"/>
    <n v="294"/>
    <n v="294"/>
    <n v="368"/>
    <n v="74"/>
    <s v="Product 92"/>
    <x v="16"/>
    <s v="Patrick Ruiz"/>
    <x v="796"/>
    <n v="5"/>
    <x v="4"/>
    <x v="2"/>
    <x v="2"/>
    <x v="0"/>
    <x v="0"/>
  </r>
  <r>
    <s v="AX14576"/>
    <s v="ENX2077"/>
    <s v="A153"/>
    <s v="EMP1008"/>
    <s v="C1146"/>
    <x v="489"/>
    <n v="3"/>
    <n v="530"/>
    <n v="424"/>
    <n v="1272"/>
    <n v="1590"/>
    <n v="318"/>
    <s v="Product 78"/>
    <x v="8"/>
    <s v="Carl Elliott"/>
    <x v="274"/>
    <n v="5"/>
    <x v="4"/>
    <x v="2"/>
    <x v="2"/>
    <x v="0"/>
    <x v="0"/>
  </r>
  <r>
    <s v="AX14702"/>
    <s v="ENX2100"/>
    <s v="A106"/>
    <s v="EMP1000"/>
    <s v="C1259"/>
    <x v="486"/>
    <n v="4"/>
    <n v="799"/>
    <n v="455"/>
    <n v="1820"/>
    <n v="3196"/>
    <n v="1376"/>
    <s v="Product 101"/>
    <x v="11"/>
    <s v="Fred Robertson"/>
    <x v="475"/>
    <n v="5"/>
    <x v="4"/>
    <x v="2"/>
    <x v="2"/>
    <x v="0"/>
    <x v="0"/>
  </r>
  <r>
    <s v="AX14861"/>
    <s v="ENX2070"/>
    <s v="A111"/>
    <s v="EMP1021"/>
    <s v="C1637"/>
    <x v="489"/>
    <n v="1"/>
    <n v="1671"/>
    <n v="1220"/>
    <n v="1220"/>
    <n v="1671"/>
    <n v="451"/>
    <s v="Product 71"/>
    <x v="54"/>
    <s v="Clarence Fox"/>
    <x v="326"/>
    <n v="5"/>
    <x v="4"/>
    <x v="2"/>
    <x v="2"/>
    <x v="0"/>
    <x v="0"/>
  </r>
  <r>
    <s v="AX14927"/>
    <s v="ENX2040"/>
    <s v="A114"/>
    <s v="EMP1029"/>
    <s v="C1354"/>
    <x v="488"/>
    <n v="1"/>
    <n v="1889"/>
    <n v="945"/>
    <n v="945"/>
    <n v="1889"/>
    <n v="944"/>
    <s v="Product 41"/>
    <x v="28"/>
    <s v="Howard Gardner"/>
    <x v="133"/>
    <n v="5"/>
    <x v="4"/>
    <x v="2"/>
    <x v="2"/>
    <x v="0"/>
    <x v="0"/>
  </r>
  <r>
    <s v="AX15081"/>
    <s v="ENX2062"/>
    <s v="A173"/>
    <s v="EMP1018"/>
    <s v="C1649"/>
    <x v="487"/>
    <n v="4"/>
    <n v="2464"/>
    <n v="1774"/>
    <n v="7096"/>
    <n v="9856"/>
    <n v="2760"/>
    <s v="Product 63"/>
    <x v="25"/>
    <s v="Jimmy Young"/>
    <x v="790"/>
    <n v="5"/>
    <x v="4"/>
    <x v="2"/>
    <x v="2"/>
    <x v="0"/>
    <x v="0"/>
  </r>
  <r>
    <s v="AX15136"/>
    <s v="ENX2052"/>
    <s v="A169"/>
    <s v="EMP1042"/>
    <s v="C1184"/>
    <x v="488"/>
    <n v="3"/>
    <n v="1526"/>
    <n v="1251"/>
    <n v="3753"/>
    <n v="4578"/>
    <n v="825"/>
    <s v="Product 53"/>
    <x v="17"/>
    <s v="Scott Clark"/>
    <x v="707"/>
    <n v="5"/>
    <x v="4"/>
    <x v="2"/>
    <x v="2"/>
    <x v="0"/>
    <x v="0"/>
  </r>
  <r>
    <s v="AX15334"/>
    <s v="ENX2007"/>
    <s v="A117"/>
    <s v="EMP1000"/>
    <s v="C1124"/>
    <x v="489"/>
    <n v="1"/>
    <n v="1405"/>
    <n v="1054"/>
    <n v="1054"/>
    <n v="1405"/>
    <n v="351"/>
    <s v="Product 8"/>
    <x v="29"/>
    <s v="Fred Robertson"/>
    <x v="102"/>
    <n v="5"/>
    <x v="4"/>
    <x v="2"/>
    <x v="2"/>
    <x v="0"/>
    <x v="0"/>
  </r>
  <r>
    <s v="AX15586"/>
    <s v="ENX2058"/>
    <s v="A133"/>
    <s v="EMP1021"/>
    <s v="C1370"/>
    <x v="488"/>
    <n v="1"/>
    <n v="2257"/>
    <n v="1535"/>
    <n v="1535"/>
    <n v="2257"/>
    <n v="722"/>
    <s v="Product 59"/>
    <x v="46"/>
    <s v="Clarence Fox"/>
    <x v="341"/>
    <n v="5"/>
    <x v="4"/>
    <x v="2"/>
    <x v="2"/>
    <x v="0"/>
    <x v="0"/>
  </r>
  <r>
    <s v="AX16219"/>
    <s v="ENX2092"/>
    <s v="A133"/>
    <s v="EMP1040"/>
    <s v="C1010"/>
    <x v="488"/>
    <n v="2"/>
    <n v="1639"/>
    <n v="1295"/>
    <n v="2590"/>
    <n v="3278"/>
    <n v="688"/>
    <s v="Product 93"/>
    <x v="46"/>
    <s v="Patrick Ruiz"/>
    <x v="399"/>
    <n v="5"/>
    <x v="4"/>
    <x v="2"/>
    <x v="2"/>
    <x v="0"/>
    <x v="0"/>
  </r>
  <r>
    <s v="AX16517"/>
    <s v="ENX2035"/>
    <s v="A130"/>
    <s v="EMP1021"/>
    <s v="C1617"/>
    <x v="487"/>
    <n v="1"/>
    <n v="458"/>
    <n v="376"/>
    <n v="376"/>
    <n v="458"/>
    <n v="82"/>
    <s v="Product 36"/>
    <x v="4"/>
    <s v="Clarence Fox"/>
    <x v="195"/>
    <n v="5"/>
    <x v="4"/>
    <x v="2"/>
    <x v="2"/>
    <x v="0"/>
    <x v="0"/>
  </r>
  <r>
    <s v="AX16904"/>
    <s v="ENX2078"/>
    <s v="A125"/>
    <s v="EMP1040"/>
    <s v="C1088"/>
    <x v="486"/>
    <n v="4"/>
    <n v="1798"/>
    <n v="971"/>
    <n v="3884"/>
    <n v="7192"/>
    <n v="3308"/>
    <s v="Product 79"/>
    <x v="31"/>
    <s v="Patrick Ruiz"/>
    <x v="498"/>
    <n v="5"/>
    <x v="4"/>
    <x v="2"/>
    <x v="2"/>
    <x v="0"/>
    <x v="0"/>
  </r>
  <r>
    <s v="AX17427"/>
    <s v="ENX2002"/>
    <s v="A115"/>
    <s v="EMP1040"/>
    <s v="C1587"/>
    <x v="489"/>
    <n v="2"/>
    <n v="847"/>
    <n v="534"/>
    <n v="1068"/>
    <n v="1694"/>
    <n v="626"/>
    <s v="Product 3"/>
    <x v="33"/>
    <s v="Patrick Ruiz"/>
    <x v="403"/>
    <n v="5"/>
    <x v="4"/>
    <x v="2"/>
    <x v="2"/>
    <x v="0"/>
    <x v="0"/>
  </r>
  <r>
    <s v="AX17947"/>
    <s v="ENX2084"/>
    <s v="A161"/>
    <s v="EMP1012"/>
    <s v="C1416"/>
    <x v="488"/>
    <n v="1"/>
    <n v="1783"/>
    <n v="1230"/>
    <n v="1230"/>
    <n v="1783"/>
    <n v="553"/>
    <s v="Product 85"/>
    <x v="6"/>
    <s v="John Reyes"/>
    <x v="554"/>
    <n v="5"/>
    <x v="4"/>
    <x v="2"/>
    <x v="2"/>
    <x v="0"/>
    <x v="0"/>
  </r>
  <r>
    <s v="AX18179"/>
    <s v="ENX2051"/>
    <s v="A128"/>
    <s v="EMP1006"/>
    <s v="C1020"/>
    <x v="487"/>
    <n v="2"/>
    <n v="1077"/>
    <n v="732"/>
    <n v="1464"/>
    <n v="2154"/>
    <n v="690"/>
    <s v="Product 52"/>
    <x v="12"/>
    <s v="Sean Miller"/>
    <x v="423"/>
    <n v="5"/>
    <x v="4"/>
    <x v="2"/>
    <x v="2"/>
    <x v="0"/>
    <x v="0"/>
  </r>
  <r>
    <s v="AX19478"/>
    <s v="ENX2059"/>
    <s v="A135"/>
    <s v="EMP1023"/>
    <s v="C1697"/>
    <x v="487"/>
    <n v="1"/>
    <n v="1494"/>
    <n v="971"/>
    <n v="971"/>
    <n v="1494"/>
    <n v="523"/>
    <s v="Product 60"/>
    <x v="10"/>
    <s v="Brian Davis"/>
    <x v="589"/>
    <n v="5"/>
    <x v="4"/>
    <x v="2"/>
    <x v="2"/>
    <x v="0"/>
    <x v="0"/>
  </r>
  <r>
    <s v="AX20071"/>
    <s v="ENX2005"/>
    <s v="A147"/>
    <s v="EMP1030"/>
    <s v="C1569"/>
    <x v="488"/>
    <n v="2"/>
    <n v="684"/>
    <n v="561"/>
    <n v="1122"/>
    <n v="1368"/>
    <n v="246"/>
    <s v="Product 6"/>
    <x v="42"/>
    <s v="Bobby Russell"/>
    <x v="485"/>
    <n v="5"/>
    <x v="4"/>
    <x v="2"/>
    <x v="2"/>
    <x v="0"/>
    <x v="0"/>
  </r>
  <r>
    <s v="AX20109"/>
    <s v="ENX2015"/>
    <s v="A105"/>
    <s v="EMP1031"/>
    <s v="C1749"/>
    <x v="487"/>
    <n v="1"/>
    <n v="637"/>
    <n v="389"/>
    <n v="389"/>
    <n v="637"/>
    <n v="248"/>
    <s v="Product 16"/>
    <x v="45"/>
    <s v="Brian Thomas"/>
    <x v="393"/>
    <n v="5"/>
    <x v="4"/>
    <x v="2"/>
    <x v="2"/>
    <x v="0"/>
    <x v="0"/>
  </r>
  <r>
    <s v="AX20666"/>
    <s v="ENX2074"/>
    <s v="A122"/>
    <s v="EMP1010"/>
    <s v="C1724"/>
    <x v="489"/>
    <n v="1"/>
    <n v="504"/>
    <n v="408"/>
    <n v="408"/>
    <n v="504"/>
    <n v="96"/>
    <s v="Product 75"/>
    <x v="71"/>
    <s v="Joshua Cook"/>
    <x v="378"/>
    <n v="5"/>
    <x v="4"/>
    <x v="2"/>
    <x v="2"/>
    <x v="0"/>
    <x v="0"/>
  </r>
  <r>
    <s v="AX21256"/>
    <s v="ENX2019"/>
    <s v="A112"/>
    <s v="EMP1027"/>
    <s v="C1142"/>
    <x v="488"/>
    <n v="4"/>
    <n v="800"/>
    <n v="536"/>
    <n v="2144"/>
    <n v="3200"/>
    <n v="1056"/>
    <s v="Product 20"/>
    <x v="66"/>
    <s v="Gary Rodriguez"/>
    <x v="731"/>
    <n v="5"/>
    <x v="4"/>
    <x v="2"/>
    <x v="2"/>
    <x v="0"/>
    <x v="0"/>
  </r>
  <r>
    <s v="AX21360"/>
    <s v="ENX2051"/>
    <s v="A161"/>
    <s v="EMP1028"/>
    <s v="C1181"/>
    <x v="489"/>
    <n v="1"/>
    <n v="1077"/>
    <n v="732"/>
    <n v="732"/>
    <n v="1077"/>
    <n v="345"/>
    <s v="Product 52"/>
    <x v="6"/>
    <s v="Howard Sims"/>
    <x v="449"/>
    <n v="5"/>
    <x v="4"/>
    <x v="2"/>
    <x v="2"/>
    <x v="0"/>
    <x v="0"/>
  </r>
  <r>
    <s v="AX21979"/>
    <s v="ENX2054"/>
    <s v="A128"/>
    <s v="EMP1039"/>
    <s v="C1653"/>
    <x v="487"/>
    <n v="3"/>
    <n v="127"/>
    <n v="79"/>
    <n v="237"/>
    <n v="381"/>
    <n v="144"/>
    <s v="Product 55"/>
    <x v="12"/>
    <s v="Eugene Holmes"/>
    <x v="187"/>
    <n v="5"/>
    <x v="4"/>
    <x v="2"/>
    <x v="2"/>
    <x v="0"/>
    <x v="0"/>
  </r>
  <r>
    <s v="AX22034"/>
    <s v="ENX2030"/>
    <s v="A162"/>
    <s v="EMP1038"/>
    <s v="C1374"/>
    <x v="486"/>
    <n v="1"/>
    <n v="1899"/>
    <n v="1044"/>
    <n v="1044"/>
    <n v="1899"/>
    <n v="855"/>
    <s v="Product 31"/>
    <x v="2"/>
    <s v="Scott Mason"/>
    <x v="189"/>
    <n v="5"/>
    <x v="4"/>
    <x v="2"/>
    <x v="2"/>
    <x v="0"/>
    <x v="0"/>
  </r>
  <r>
    <s v="AX22340"/>
    <s v="ENX2078"/>
    <s v="A136"/>
    <s v="EMP1019"/>
    <s v="C1354"/>
    <x v="489"/>
    <n v="2"/>
    <n v="1798"/>
    <n v="971"/>
    <n v="1942"/>
    <n v="3596"/>
    <n v="1654"/>
    <s v="Product 79"/>
    <x v="43"/>
    <s v="Roger Robertson"/>
    <x v="133"/>
    <n v="5"/>
    <x v="4"/>
    <x v="2"/>
    <x v="2"/>
    <x v="0"/>
    <x v="0"/>
  </r>
  <r>
    <s v="AX22390"/>
    <s v="ENX2010"/>
    <s v="A166"/>
    <s v="EMP1005"/>
    <s v="C1157"/>
    <x v="489"/>
    <n v="3"/>
    <n v="1812"/>
    <n v="1305"/>
    <n v="3915"/>
    <n v="5436"/>
    <n v="1521"/>
    <s v="Product 11"/>
    <x v="70"/>
    <s v="Ryan Welch"/>
    <x v="415"/>
    <n v="5"/>
    <x v="4"/>
    <x v="2"/>
    <x v="2"/>
    <x v="0"/>
    <x v="0"/>
  </r>
  <r>
    <s v="AX22845"/>
    <s v="ENX2018"/>
    <s v="A150"/>
    <s v="EMP1037"/>
    <s v="C1730"/>
    <x v="487"/>
    <n v="2"/>
    <n v="1972"/>
    <n v="1321"/>
    <n v="2642"/>
    <n v="3944"/>
    <n v="1302"/>
    <s v="Product 19"/>
    <x v="30"/>
    <s v="Carl Hall"/>
    <x v="777"/>
    <n v="5"/>
    <x v="4"/>
    <x v="2"/>
    <x v="2"/>
    <x v="0"/>
    <x v="0"/>
  </r>
  <r>
    <s v="AX23162"/>
    <s v="ENX2028"/>
    <s v="A110"/>
    <s v="EMP1037"/>
    <s v="C1692"/>
    <x v="488"/>
    <n v="3"/>
    <n v="2283"/>
    <n v="1484"/>
    <n v="4452"/>
    <n v="6849"/>
    <n v="2397"/>
    <s v="Product 29"/>
    <x v="63"/>
    <s v="Carl Hall"/>
    <x v="555"/>
    <n v="5"/>
    <x v="4"/>
    <x v="2"/>
    <x v="2"/>
    <x v="0"/>
    <x v="0"/>
  </r>
  <r>
    <s v="AX23309"/>
    <s v="ENX2008"/>
    <s v="A157"/>
    <s v="EMP1034"/>
    <s v="C1514"/>
    <x v="486"/>
    <n v="1"/>
    <n v="315"/>
    <n v="208"/>
    <n v="208"/>
    <n v="315"/>
    <n v="107"/>
    <s v="Product 9"/>
    <x v="7"/>
    <s v="Arthur Mccoy"/>
    <x v="307"/>
    <n v="5"/>
    <x v="4"/>
    <x v="2"/>
    <x v="2"/>
    <x v="0"/>
    <x v="0"/>
  </r>
  <r>
    <s v="AX24234"/>
    <s v="ENX2067"/>
    <s v="A144"/>
    <s v="EMP1044"/>
    <s v="C1171"/>
    <x v="487"/>
    <n v="2"/>
    <n v="1119"/>
    <n v="683"/>
    <n v="1366"/>
    <n v="2238"/>
    <n v="872"/>
    <s v="Product 68"/>
    <x v="65"/>
    <s v="Martin Carr"/>
    <x v="150"/>
    <n v="5"/>
    <x v="4"/>
    <x v="2"/>
    <x v="2"/>
    <x v="0"/>
    <x v="0"/>
  </r>
  <r>
    <s v="AX24261"/>
    <s v="ENX2037"/>
    <s v="A145"/>
    <s v="EMP1024"/>
    <s v="C1620"/>
    <x v="489"/>
    <n v="4"/>
    <n v="880"/>
    <n v="634"/>
    <n v="2536"/>
    <n v="3520"/>
    <n v="984"/>
    <s v="Product 38"/>
    <x v="35"/>
    <s v="Ernest Wheeler"/>
    <x v="445"/>
    <n v="5"/>
    <x v="4"/>
    <x v="2"/>
    <x v="2"/>
    <x v="0"/>
    <x v="0"/>
  </r>
  <r>
    <s v="AX24997"/>
    <s v="ENX2040"/>
    <s v="A161"/>
    <s v="EMP1003"/>
    <s v="C1626"/>
    <x v="489"/>
    <n v="1"/>
    <n v="1889"/>
    <n v="945"/>
    <n v="945"/>
    <n v="1889"/>
    <n v="944"/>
    <s v="Product 41"/>
    <x v="6"/>
    <s v="Christopher Tucker"/>
    <x v="153"/>
    <n v="5"/>
    <x v="4"/>
    <x v="2"/>
    <x v="2"/>
    <x v="0"/>
    <x v="0"/>
  </r>
  <r>
    <s v="AX10820"/>
    <s v="ENX2013"/>
    <s v="A135"/>
    <s v="EMP1034"/>
    <s v="C1406"/>
    <x v="490"/>
    <n v="1"/>
    <n v="368"/>
    <n v="269"/>
    <n v="269"/>
    <n v="368"/>
    <n v="99"/>
    <s v="Product 14"/>
    <x v="10"/>
    <s v="Arthur Mccoy"/>
    <x v="783"/>
    <n v="5"/>
    <x v="4"/>
    <x v="2"/>
    <x v="2"/>
    <x v="0"/>
    <x v="1"/>
  </r>
  <r>
    <s v="AX11134"/>
    <s v="ENX2012"/>
    <s v="A120"/>
    <s v="EMP1019"/>
    <s v="C1779"/>
    <x v="490"/>
    <n v="3"/>
    <n v="1353"/>
    <n v="947"/>
    <n v="2841"/>
    <n v="4059"/>
    <n v="1218"/>
    <s v="Product 13"/>
    <x v="20"/>
    <s v="Roger Robertson"/>
    <x v="648"/>
    <n v="5"/>
    <x v="4"/>
    <x v="2"/>
    <x v="2"/>
    <x v="0"/>
    <x v="1"/>
  </r>
  <r>
    <s v="AX11446"/>
    <s v="ENX2093"/>
    <s v="A102"/>
    <s v="EMP1008"/>
    <s v="C1743"/>
    <x v="490"/>
    <n v="1"/>
    <n v="112"/>
    <n v="90"/>
    <n v="90"/>
    <n v="112"/>
    <n v="22"/>
    <s v="Product 94"/>
    <x v="44"/>
    <s v="Carl Elliott"/>
    <x v="276"/>
    <n v="5"/>
    <x v="4"/>
    <x v="2"/>
    <x v="2"/>
    <x v="0"/>
    <x v="1"/>
  </r>
  <r>
    <s v="AX12356"/>
    <s v="ENX2100"/>
    <s v="A116"/>
    <s v="EMP1043"/>
    <s v="C1513"/>
    <x v="490"/>
    <n v="2"/>
    <n v="799"/>
    <n v="455"/>
    <n v="910"/>
    <n v="1598"/>
    <n v="688"/>
    <s v="Product 101"/>
    <x v="15"/>
    <s v="Joshua Taylor"/>
    <x v="414"/>
    <n v="5"/>
    <x v="4"/>
    <x v="2"/>
    <x v="2"/>
    <x v="0"/>
    <x v="1"/>
  </r>
  <r>
    <s v="AX12362"/>
    <s v="ENX2062"/>
    <s v="A108"/>
    <s v="EMP1002"/>
    <s v="C1640"/>
    <x v="490"/>
    <n v="1"/>
    <n v="2464"/>
    <n v="1774"/>
    <n v="1774"/>
    <n v="2464"/>
    <n v="690"/>
    <s v="Product 63"/>
    <x v="49"/>
    <s v="Andrew Bowman"/>
    <x v="59"/>
    <n v="5"/>
    <x v="4"/>
    <x v="2"/>
    <x v="2"/>
    <x v="0"/>
    <x v="1"/>
  </r>
  <r>
    <s v="AX12602"/>
    <s v="ENX2020"/>
    <s v="A127"/>
    <s v="EMP1013"/>
    <s v="C1210"/>
    <x v="491"/>
    <n v="1"/>
    <n v="2005"/>
    <n v="1223"/>
    <n v="1223"/>
    <n v="2005"/>
    <n v="782"/>
    <s v="Product 21"/>
    <x v="69"/>
    <s v="Charles Harper"/>
    <x v="629"/>
    <n v="5"/>
    <x v="4"/>
    <x v="2"/>
    <x v="2"/>
    <x v="0"/>
    <x v="1"/>
  </r>
  <r>
    <s v="AX12695"/>
    <s v="ENX2000"/>
    <s v="A150"/>
    <s v="EMP1020"/>
    <s v="C1071"/>
    <x v="491"/>
    <n v="4"/>
    <n v="2241"/>
    <n v="1367"/>
    <n v="5468"/>
    <n v="8964"/>
    <n v="3496"/>
    <s v="Product 1"/>
    <x v="30"/>
    <s v="Ryan Butler"/>
    <x v="264"/>
    <n v="5"/>
    <x v="4"/>
    <x v="2"/>
    <x v="2"/>
    <x v="0"/>
    <x v="1"/>
  </r>
  <r>
    <s v="AX13159"/>
    <s v="ENX2041"/>
    <s v="A105"/>
    <s v="EMP1043"/>
    <s v="C1782"/>
    <x v="490"/>
    <n v="4"/>
    <n v="1380"/>
    <n v="1090"/>
    <n v="4360"/>
    <n v="5520"/>
    <n v="1160"/>
    <s v="Product 42"/>
    <x v="45"/>
    <s v="Joshua Taylor"/>
    <x v="607"/>
    <n v="5"/>
    <x v="4"/>
    <x v="2"/>
    <x v="2"/>
    <x v="0"/>
    <x v="1"/>
  </r>
  <r>
    <s v="AX13300"/>
    <s v="ENX2043"/>
    <s v="A165"/>
    <s v="EMP1005"/>
    <s v="C1594"/>
    <x v="490"/>
    <n v="3"/>
    <n v="545"/>
    <n v="425"/>
    <n v="1275"/>
    <n v="1635"/>
    <n v="360"/>
    <s v="Product 44"/>
    <x v="55"/>
    <s v="Ryan Welch"/>
    <x v="770"/>
    <n v="5"/>
    <x v="4"/>
    <x v="2"/>
    <x v="2"/>
    <x v="0"/>
    <x v="1"/>
  </r>
  <r>
    <s v="AX13445"/>
    <s v="ENX2085"/>
    <s v="A152"/>
    <s v="EMP1000"/>
    <s v="C1323"/>
    <x v="490"/>
    <n v="4"/>
    <n v="1862"/>
    <n v="1173"/>
    <n v="4692"/>
    <n v="7448"/>
    <n v="2756"/>
    <s v="Product 86"/>
    <x v="26"/>
    <s v="Fred Robertson"/>
    <x v="83"/>
    <n v="5"/>
    <x v="4"/>
    <x v="2"/>
    <x v="2"/>
    <x v="0"/>
    <x v="1"/>
  </r>
  <r>
    <s v="AX13493"/>
    <s v="ENX2030"/>
    <s v="A159"/>
    <s v="EMP1033"/>
    <s v="C1664"/>
    <x v="491"/>
    <n v="1"/>
    <n v="1899"/>
    <n v="1044"/>
    <n v="1044"/>
    <n v="1899"/>
    <n v="855"/>
    <s v="Product 31"/>
    <x v="13"/>
    <s v="Jerry Perry"/>
    <x v="12"/>
    <n v="5"/>
    <x v="4"/>
    <x v="2"/>
    <x v="2"/>
    <x v="0"/>
    <x v="1"/>
  </r>
  <r>
    <s v="AX14002"/>
    <s v="ENX2050"/>
    <s v="A129"/>
    <s v="EMP1039"/>
    <s v="C1365"/>
    <x v="490"/>
    <n v="1"/>
    <n v="2391"/>
    <n v="1291"/>
    <n v="1291"/>
    <n v="2391"/>
    <n v="1100"/>
    <s v="Product 51"/>
    <x v="22"/>
    <s v="Eugene Holmes"/>
    <x v="450"/>
    <n v="5"/>
    <x v="4"/>
    <x v="2"/>
    <x v="2"/>
    <x v="0"/>
    <x v="1"/>
  </r>
  <r>
    <s v="AX14636"/>
    <s v="ENX2025"/>
    <s v="A108"/>
    <s v="EMP1034"/>
    <s v="C1375"/>
    <x v="490"/>
    <n v="1"/>
    <n v="667"/>
    <n v="387"/>
    <n v="387"/>
    <n v="667"/>
    <n v="280"/>
    <s v="Product 26"/>
    <x v="49"/>
    <s v="Arthur Mccoy"/>
    <x v="9"/>
    <n v="5"/>
    <x v="4"/>
    <x v="2"/>
    <x v="2"/>
    <x v="0"/>
    <x v="1"/>
  </r>
  <r>
    <s v="AX14801"/>
    <s v="ENX2035"/>
    <s v="A165"/>
    <s v="EMP1023"/>
    <s v="C1752"/>
    <x v="491"/>
    <n v="1"/>
    <n v="458"/>
    <n v="376"/>
    <n v="376"/>
    <n v="458"/>
    <n v="82"/>
    <s v="Product 36"/>
    <x v="55"/>
    <s v="Brian Davis"/>
    <x v="233"/>
    <n v="5"/>
    <x v="4"/>
    <x v="2"/>
    <x v="2"/>
    <x v="0"/>
    <x v="1"/>
  </r>
  <r>
    <s v="AX14934"/>
    <s v="ENX2037"/>
    <s v="A149"/>
    <s v="EMP1000"/>
    <s v="C1567"/>
    <x v="490"/>
    <n v="3"/>
    <n v="880"/>
    <n v="634"/>
    <n v="1902"/>
    <n v="2640"/>
    <n v="738"/>
    <s v="Product 38"/>
    <x v="59"/>
    <s v="Fred Robertson"/>
    <x v="251"/>
    <n v="5"/>
    <x v="4"/>
    <x v="2"/>
    <x v="2"/>
    <x v="0"/>
    <x v="1"/>
  </r>
  <r>
    <s v="AX15551"/>
    <s v="ENX2026"/>
    <s v="A132"/>
    <s v="EMP1027"/>
    <s v="C1382"/>
    <x v="490"/>
    <n v="2"/>
    <n v="947"/>
    <n v="786"/>
    <n v="1572"/>
    <n v="1894"/>
    <n v="322"/>
    <s v="Product 27"/>
    <x v="48"/>
    <s v="Gary Rodriguez"/>
    <x v="334"/>
    <n v="5"/>
    <x v="4"/>
    <x v="2"/>
    <x v="2"/>
    <x v="0"/>
    <x v="1"/>
  </r>
  <r>
    <s v="AX15570"/>
    <s v="ENX2087"/>
    <s v="A164"/>
    <s v="EMP1041"/>
    <s v="C1593"/>
    <x v="490"/>
    <n v="1"/>
    <n v="1022"/>
    <n v="818"/>
    <n v="818"/>
    <n v="1022"/>
    <n v="204"/>
    <s v="Product 88"/>
    <x v="3"/>
    <s v="Joe Sims"/>
    <x v="25"/>
    <n v="5"/>
    <x v="4"/>
    <x v="2"/>
    <x v="2"/>
    <x v="0"/>
    <x v="1"/>
  </r>
  <r>
    <s v="AX15607"/>
    <s v="ENX2029"/>
    <s v="A137"/>
    <s v="EMP1025"/>
    <s v="C1043"/>
    <x v="491"/>
    <n v="2"/>
    <n v="1848"/>
    <n v="1294"/>
    <n v="2588"/>
    <n v="3696"/>
    <n v="1108"/>
    <s v="Product 30"/>
    <x v="68"/>
    <s v="Ernest Wagner"/>
    <x v="546"/>
    <n v="5"/>
    <x v="4"/>
    <x v="2"/>
    <x v="2"/>
    <x v="0"/>
    <x v="1"/>
  </r>
  <r>
    <s v="AX15618"/>
    <s v="ENX2090"/>
    <s v="A117"/>
    <s v="EMP1021"/>
    <s v="C1296"/>
    <x v="490"/>
    <n v="1"/>
    <n v="1338"/>
    <n v="682"/>
    <n v="682"/>
    <n v="1338"/>
    <n v="656"/>
    <s v="Product 91"/>
    <x v="29"/>
    <s v="Clarence Fox"/>
    <x v="105"/>
    <n v="5"/>
    <x v="4"/>
    <x v="2"/>
    <x v="2"/>
    <x v="0"/>
    <x v="1"/>
  </r>
  <r>
    <s v="AX16414"/>
    <s v="ENX2000"/>
    <s v="A159"/>
    <s v="EMP1038"/>
    <s v="C1657"/>
    <x v="490"/>
    <n v="3"/>
    <n v="2241"/>
    <n v="1367"/>
    <n v="4101"/>
    <n v="6723"/>
    <n v="2622"/>
    <s v="Product 1"/>
    <x v="13"/>
    <s v="Scott Mason"/>
    <x v="361"/>
    <n v="5"/>
    <x v="4"/>
    <x v="2"/>
    <x v="2"/>
    <x v="0"/>
    <x v="1"/>
  </r>
  <r>
    <s v="AX17164"/>
    <s v="ENX2056"/>
    <s v="A130"/>
    <s v="EMP1029"/>
    <s v="C1447"/>
    <x v="490"/>
    <n v="1"/>
    <n v="1635"/>
    <n v="1046"/>
    <n v="1046"/>
    <n v="1635"/>
    <n v="589"/>
    <s v="Product 57"/>
    <x v="4"/>
    <s v="Howard Gardner"/>
    <x v="702"/>
    <n v="5"/>
    <x v="4"/>
    <x v="2"/>
    <x v="2"/>
    <x v="0"/>
    <x v="1"/>
  </r>
  <r>
    <s v="AX17632"/>
    <s v="ENX2078"/>
    <s v="A115"/>
    <s v="EMP1037"/>
    <s v="C1703"/>
    <x v="490"/>
    <n v="4"/>
    <n v="1798"/>
    <n v="971"/>
    <n v="3884"/>
    <n v="7192"/>
    <n v="3308"/>
    <s v="Product 79"/>
    <x v="33"/>
    <s v="Carl Hall"/>
    <x v="424"/>
    <n v="5"/>
    <x v="4"/>
    <x v="2"/>
    <x v="2"/>
    <x v="0"/>
    <x v="1"/>
  </r>
  <r>
    <s v="AX18525"/>
    <s v="ENX2023"/>
    <s v="A165"/>
    <s v="EMP1019"/>
    <s v="C1752"/>
    <x v="490"/>
    <n v="1"/>
    <n v="818"/>
    <n v="450"/>
    <n v="450"/>
    <n v="818"/>
    <n v="368"/>
    <s v="Product 24"/>
    <x v="55"/>
    <s v="Roger Robertson"/>
    <x v="233"/>
    <n v="5"/>
    <x v="4"/>
    <x v="2"/>
    <x v="2"/>
    <x v="0"/>
    <x v="1"/>
  </r>
  <r>
    <s v="AX18678"/>
    <s v="ENX2028"/>
    <s v="A145"/>
    <s v="EMP1018"/>
    <s v="C1121"/>
    <x v="490"/>
    <n v="3"/>
    <n v="2283"/>
    <n v="1484"/>
    <n v="4452"/>
    <n v="6849"/>
    <n v="2397"/>
    <s v="Product 29"/>
    <x v="35"/>
    <s v="Jimmy Young"/>
    <x v="681"/>
    <n v="5"/>
    <x v="4"/>
    <x v="2"/>
    <x v="2"/>
    <x v="0"/>
    <x v="1"/>
  </r>
  <r>
    <s v="AX18974"/>
    <s v="ENX2049"/>
    <s v="A137"/>
    <s v="EMP1009"/>
    <s v="C1487"/>
    <x v="490"/>
    <n v="3"/>
    <n v="826"/>
    <n v="562"/>
    <n v="1686"/>
    <n v="2478"/>
    <n v="792"/>
    <s v="Product 50"/>
    <x v="68"/>
    <s v="Kenneth Fields"/>
    <x v="461"/>
    <n v="5"/>
    <x v="4"/>
    <x v="2"/>
    <x v="2"/>
    <x v="0"/>
    <x v="1"/>
  </r>
  <r>
    <s v="AX19274"/>
    <s v="ENX2071"/>
    <s v="A170"/>
    <s v="EMP1003"/>
    <s v="C1756"/>
    <x v="490"/>
    <n v="4"/>
    <n v="136"/>
    <n v="72"/>
    <n v="288"/>
    <n v="544"/>
    <n v="256"/>
    <s v="Product 72"/>
    <x v="47"/>
    <s v="Christopher Tucker"/>
    <x v="371"/>
    <n v="5"/>
    <x v="4"/>
    <x v="2"/>
    <x v="2"/>
    <x v="0"/>
    <x v="1"/>
  </r>
  <r>
    <s v="AX19857"/>
    <s v="ENX2039"/>
    <s v="A119"/>
    <s v="EMP1043"/>
    <s v="C1789"/>
    <x v="490"/>
    <n v="1"/>
    <n v="817"/>
    <n v="409"/>
    <n v="409"/>
    <n v="817"/>
    <n v="408"/>
    <s v="Product 40"/>
    <x v="16"/>
    <s v="Joshua Taylor"/>
    <x v="701"/>
    <n v="5"/>
    <x v="4"/>
    <x v="2"/>
    <x v="2"/>
    <x v="0"/>
    <x v="1"/>
  </r>
  <r>
    <s v="AX19878"/>
    <s v="ENX2070"/>
    <s v="A141"/>
    <s v="EMP1000"/>
    <s v="C1783"/>
    <x v="491"/>
    <n v="3"/>
    <n v="1671"/>
    <n v="1220"/>
    <n v="3660"/>
    <n v="5013"/>
    <n v="1353"/>
    <s v="Product 71"/>
    <x v="23"/>
    <s v="Fred Robertson"/>
    <x v="272"/>
    <n v="5"/>
    <x v="4"/>
    <x v="2"/>
    <x v="2"/>
    <x v="0"/>
    <x v="1"/>
  </r>
  <r>
    <s v="AX20275"/>
    <s v="ENX2045"/>
    <s v="A107"/>
    <s v="EMP1009"/>
    <s v="C1186"/>
    <x v="490"/>
    <n v="4"/>
    <n v="556"/>
    <n v="395"/>
    <n v="1580"/>
    <n v="2224"/>
    <n v="644"/>
    <s v="Product 46"/>
    <x v="21"/>
    <s v="Kenneth Fields"/>
    <x v="467"/>
    <n v="5"/>
    <x v="4"/>
    <x v="2"/>
    <x v="2"/>
    <x v="0"/>
    <x v="1"/>
  </r>
  <r>
    <s v="AX21493"/>
    <s v="ENX2032"/>
    <s v="A165"/>
    <s v="EMP1007"/>
    <s v="C1080"/>
    <x v="490"/>
    <n v="1"/>
    <n v="1967"/>
    <n v="1397"/>
    <n v="1397"/>
    <n v="1967"/>
    <n v="570"/>
    <s v="Product 33"/>
    <x v="55"/>
    <s v="Jeremy Mendoza"/>
    <x v="720"/>
    <n v="5"/>
    <x v="4"/>
    <x v="2"/>
    <x v="2"/>
    <x v="0"/>
    <x v="1"/>
  </r>
  <r>
    <s v="AX22475"/>
    <s v="ENX2045"/>
    <s v="A121"/>
    <s v="EMP1035"/>
    <s v="C1339"/>
    <x v="490"/>
    <n v="3"/>
    <n v="556"/>
    <n v="395"/>
    <n v="1185"/>
    <n v="1668"/>
    <n v="483"/>
    <s v="Product 46"/>
    <x v="72"/>
    <s v="Roger Ramos"/>
    <x v="401"/>
    <n v="5"/>
    <x v="4"/>
    <x v="2"/>
    <x v="2"/>
    <x v="0"/>
    <x v="1"/>
  </r>
  <r>
    <s v="AX23979"/>
    <s v="ENX2055"/>
    <s v="A139"/>
    <s v="EMP1039"/>
    <s v="C1223"/>
    <x v="490"/>
    <n v="3"/>
    <n v="2495"/>
    <n v="1896"/>
    <n v="5688"/>
    <n v="7485"/>
    <n v="1797"/>
    <s v="Product 56"/>
    <x v="38"/>
    <s v="Eugene Holmes"/>
    <x v="310"/>
    <n v="5"/>
    <x v="4"/>
    <x v="2"/>
    <x v="2"/>
    <x v="0"/>
    <x v="1"/>
  </r>
  <r>
    <s v="AX24002"/>
    <s v="ENX2066"/>
    <s v="A128"/>
    <s v="EMP1011"/>
    <s v="C1710"/>
    <x v="490"/>
    <n v="1"/>
    <n v="2091"/>
    <n v="1485"/>
    <n v="1485"/>
    <n v="2091"/>
    <n v="606"/>
    <s v="Product 67"/>
    <x v="12"/>
    <s v="Larry Marshall"/>
    <x v="197"/>
    <n v="5"/>
    <x v="4"/>
    <x v="2"/>
    <x v="2"/>
    <x v="0"/>
    <x v="1"/>
  </r>
  <r>
    <s v="AX24426"/>
    <s v="ENX2069"/>
    <s v="A104"/>
    <s v="EMP1010"/>
    <s v="C1068"/>
    <x v="491"/>
    <n v="1"/>
    <n v="378"/>
    <n v="291"/>
    <n v="291"/>
    <n v="378"/>
    <n v="87"/>
    <s v="Product 70"/>
    <x v="50"/>
    <s v="Joshua Cook"/>
    <x v="288"/>
    <n v="5"/>
    <x v="4"/>
    <x v="2"/>
    <x v="2"/>
    <x v="0"/>
    <x v="1"/>
  </r>
  <r>
    <s v="AX24950"/>
    <s v="ENX2048"/>
    <s v="A107"/>
    <s v="EMP1008"/>
    <s v="C1472"/>
    <x v="491"/>
    <n v="1"/>
    <n v="502"/>
    <n v="296"/>
    <n v="296"/>
    <n v="502"/>
    <n v="206"/>
    <s v="Product 49"/>
    <x v="21"/>
    <s v="Carl Elliott"/>
    <x v="626"/>
    <n v="5"/>
    <x v="4"/>
    <x v="2"/>
    <x v="2"/>
    <x v="0"/>
    <x v="1"/>
  </r>
  <r>
    <s v="AX10068"/>
    <s v="ENX2058"/>
    <s v="A107"/>
    <s v="EMP1012"/>
    <s v="C1767"/>
    <x v="492"/>
    <n v="1"/>
    <n v="2257"/>
    <n v="1535"/>
    <n v="1535"/>
    <n v="2257"/>
    <n v="722"/>
    <s v="Product 59"/>
    <x v="21"/>
    <s v="John Reyes"/>
    <x v="4"/>
    <n v="5"/>
    <x v="4"/>
    <x v="2"/>
    <x v="2"/>
    <x v="0"/>
    <x v="2"/>
  </r>
  <r>
    <s v="AX10242"/>
    <s v="ENX2017"/>
    <s v="A171"/>
    <s v="EMP1003"/>
    <s v="C1731"/>
    <x v="492"/>
    <n v="1"/>
    <n v="35"/>
    <n v="22"/>
    <n v="22"/>
    <n v="35"/>
    <n v="13"/>
    <s v="Product 18"/>
    <x v="0"/>
    <s v="Christopher Tucker"/>
    <x v="762"/>
    <n v="5"/>
    <x v="4"/>
    <x v="2"/>
    <x v="2"/>
    <x v="0"/>
    <x v="2"/>
  </r>
  <r>
    <s v="AX10319"/>
    <s v="ENX2016"/>
    <s v="A158"/>
    <s v="EMP1016"/>
    <s v="C1094"/>
    <x v="492"/>
    <n v="1"/>
    <n v="1351"/>
    <n v="1108"/>
    <n v="1108"/>
    <n v="1351"/>
    <n v="243"/>
    <s v="Product 17"/>
    <x v="58"/>
    <s v="Henry Nelson"/>
    <x v="261"/>
    <n v="5"/>
    <x v="4"/>
    <x v="2"/>
    <x v="2"/>
    <x v="0"/>
    <x v="2"/>
  </r>
  <r>
    <s v="AX10599"/>
    <s v="ENX2076"/>
    <s v="A115"/>
    <s v="EMP1034"/>
    <s v="C1370"/>
    <x v="493"/>
    <n v="3"/>
    <n v="1522"/>
    <n v="791"/>
    <n v="2373"/>
    <n v="4566"/>
    <n v="2193"/>
    <s v="Product 77"/>
    <x v="33"/>
    <s v="Arthur Mccoy"/>
    <x v="341"/>
    <n v="5"/>
    <x v="4"/>
    <x v="2"/>
    <x v="2"/>
    <x v="0"/>
    <x v="2"/>
  </r>
  <r>
    <s v="AX10846"/>
    <s v="ENX2095"/>
    <s v="A120"/>
    <s v="EMP1039"/>
    <s v="C1169"/>
    <x v="494"/>
    <n v="2"/>
    <n v="1743"/>
    <n v="872"/>
    <n v="1744"/>
    <n v="3486"/>
    <n v="1742"/>
    <s v="Product 96"/>
    <x v="20"/>
    <s v="Eugene Holmes"/>
    <x v="293"/>
    <n v="5"/>
    <x v="4"/>
    <x v="2"/>
    <x v="2"/>
    <x v="0"/>
    <x v="2"/>
  </r>
  <r>
    <s v="AX11058"/>
    <s v="ENX2090"/>
    <s v="A171"/>
    <s v="EMP1029"/>
    <s v="C1411"/>
    <x v="494"/>
    <n v="3"/>
    <n v="1338"/>
    <n v="682"/>
    <n v="2046"/>
    <n v="4014"/>
    <n v="1968"/>
    <s v="Product 91"/>
    <x v="0"/>
    <s v="Howard Gardner"/>
    <x v="600"/>
    <n v="5"/>
    <x v="4"/>
    <x v="2"/>
    <x v="2"/>
    <x v="0"/>
    <x v="2"/>
  </r>
  <r>
    <s v="AX11152"/>
    <s v="ENX2095"/>
    <s v="A128"/>
    <s v="EMP1030"/>
    <s v="C1487"/>
    <x v="495"/>
    <n v="2"/>
    <n v="1743"/>
    <n v="872"/>
    <n v="1744"/>
    <n v="3486"/>
    <n v="1742"/>
    <s v="Product 96"/>
    <x v="12"/>
    <s v="Bobby Russell"/>
    <x v="461"/>
    <n v="5"/>
    <x v="4"/>
    <x v="2"/>
    <x v="2"/>
    <x v="0"/>
    <x v="2"/>
  </r>
  <r>
    <s v="AX11264"/>
    <s v="ENX2015"/>
    <s v="A112"/>
    <s v="EMP1006"/>
    <s v="C1419"/>
    <x v="495"/>
    <n v="3"/>
    <n v="637"/>
    <n v="389"/>
    <n v="1167"/>
    <n v="1911"/>
    <n v="744"/>
    <s v="Product 16"/>
    <x v="66"/>
    <s v="Sean Miller"/>
    <x v="163"/>
    <n v="5"/>
    <x v="4"/>
    <x v="2"/>
    <x v="2"/>
    <x v="0"/>
    <x v="2"/>
  </r>
  <r>
    <s v="AX11476"/>
    <s v="ENX2064"/>
    <s v="A132"/>
    <s v="EMP1040"/>
    <s v="C1500"/>
    <x v="494"/>
    <n v="3"/>
    <n v="1414"/>
    <n v="962"/>
    <n v="2886"/>
    <n v="4242"/>
    <n v="1356"/>
    <s v="Product 65"/>
    <x v="48"/>
    <s v="Patrick Ruiz"/>
    <x v="639"/>
    <n v="5"/>
    <x v="4"/>
    <x v="2"/>
    <x v="2"/>
    <x v="0"/>
    <x v="2"/>
  </r>
  <r>
    <s v="AX11489"/>
    <s v="ENX2049"/>
    <s v="A111"/>
    <s v="EMP1037"/>
    <s v="C1224"/>
    <x v="495"/>
    <n v="1"/>
    <n v="826"/>
    <n v="562"/>
    <n v="562"/>
    <n v="826"/>
    <n v="264"/>
    <s v="Product 50"/>
    <x v="54"/>
    <s v="Carl Hall"/>
    <x v="492"/>
    <n v="5"/>
    <x v="4"/>
    <x v="2"/>
    <x v="2"/>
    <x v="0"/>
    <x v="2"/>
  </r>
  <r>
    <s v="AX11519"/>
    <s v="ENX2047"/>
    <s v="A112"/>
    <s v="EMP1022"/>
    <s v="C1218"/>
    <x v="493"/>
    <n v="1"/>
    <n v="290"/>
    <n v="200"/>
    <n v="200"/>
    <n v="290"/>
    <n v="90"/>
    <s v="Product 48"/>
    <x v="66"/>
    <s v="Walter Cook"/>
    <x v="786"/>
    <n v="5"/>
    <x v="4"/>
    <x v="2"/>
    <x v="2"/>
    <x v="0"/>
    <x v="2"/>
  </r>
  <r>
    <s v="AX11736"/>
    <s v="ENX2030"/>
    <s v="A144"/>
    <s v="EMP1032"/>
    <s v="C1275"/>
    <x v="494"/>
    <n v="3"/>
    <n v="1899"/>
    <n v="1044"/>
    <n v="3132"/>
    <n v="5697"/>
    <n v="2565"/>
    <s v="Product 31"/>
    <x v="65"/>
    <s v="Larry Castillo"/>
    <x v="144"/>
    <n v="5"/>
    <x v="4"/>
    <x v="2"/>
    <x v="2"/>
    <x v="0"/>
    <x v="2"/>
  </r>
  <r>
    <s v="AX12151"/>
    <s v="ENX2047"/>
    <s v="A116"/>
    <s v="EMP1019"/>
    <s v="C1019"/>
    <x v="495"/>
    <n v="2"/>
    <n v="290"/>
    <n v="200"/>
    <n v="400"/>
    <n v="580"/>
    <n v="180"/>
    <s v="Product 48"/>
    <x v="15"/>
    <s v="Roger Robertson"/>
    <x v="503"/>
    <n v="5"/>
    <x v="4"/>
    <x v="2"/>
    <x v="2"/>
    <x v="0"/>
    <x v="2"/>
  </r>
  <r>
    <s v="AX12549"/>
    <s v="ENX2044"/>
    <s v="A144"/>
    <s v="EMP1042"/>
    <s v="C1276"/>
    <x v="495"/>
    <n v="3"/>
    <n v="886"/>
    <n v="478"/>
    <n v="1434"/>
    <n v="2658"/>
    <n v="1224"/>
    <s v="Product 45"/>
    <x v="65"/>
    <s v="Scott Clark"/>
    <x v="773"/>
    <n v="5"/>
    <x v="4"/>
    <x v="2"/>
    <x v="2"/>
    <x v="0"/>
    <x v="2"/>
  </r>
  <r>
    <s v="AX13211"/>
    <s v="ENX2095"/>
    <s v="A139"/>
    <s v="EMP1035"/>
    <s v="C1614"/>
    <x v="492"/>
    <n v="2"/>
    <n v="1743"/>
    <n v="872"/>
    <n v="1744"/>
    <n v="3486"/>
    <n v="1742"/>
    <s v="Product 96"/>
    <x v="38"/>
    <s v="Roger Ramos"/>
    <x v="11"/>
    <n v="5"/>
    <x v="4"/>
    <x v="2"/>
    <x v="2"/>
    <x v="0"/>
    <x v="2"/>
  </r>
  <r>
    <s v="AX13777"/>
    <s v="ENX2084"/>
    <s v="A169"/>
    <s v="EMP1039"/>
    <s v="C1208"/>
    <x v="493"/>
    <n v="2"/>
    <n v="1783"/>
    <n v="1230"/>
    <n v="2460"/>
    <n v="3566"/>
    <n v="1106"/>
    <s v="Product 85"/>
    <x v="17"/>
    <s v="Eugene Holmes"/>
    <x v="582"/>
    <n v="5"/>
    <x v="4"/>
    <x v="2"/>
    <x v="2"/>
    <x v="0"/>
    <x v="2"/>
  </r>
  <r>
    <s v="AX14186"/>
    <s v="ENX2099"/>
    <s v="A146"/>
    <s v="EMP1017"/>
    <s v="C1579"/>
    <x v="492"/>
    <n v="2"/>
    <n v="1367"/>
    <n v="984"/>
    <n v="1968"/>
    <n v="2734"/>
    <n v="766"/>
    <s v="Product 100"/>
    <x v="27"/>
    <s v="Brian Hansen"/>
    <x v="422"/>
    <n v="5"/>
    <x v="4"/>
    <x v="2"/>
    <x v="2"/>
    <x v="0"/>
    <x v="2"/>
  </r>
  <r>
    <s v="AX14197"/>
    <s v="ENX2027"/>
    <s v="A126"/>
    <s v="EMP1006"/>
    <s v="C1209"/>
    <x v="495"/>
    <n v="1"/>
    <n v="2497"/>
    <n v="1473"/>
    <n v="1473"/>
    <n v="2497"/>
    <n v="1024"/>
    <s v="Product 28"/>
    <x v="5"/>
    <s v="Sean Miller"/>
    <x v="225"/>
    <n v="5"/>
    <x v="4"/>
    <x v="2"/>
    <x v="2"/>
    <x v="0"/>
    <x v="2"/>
  </r>
  <r>
    <s v="AX14442"/>
    <s v="ENX2099"/>
    <s v="A121"/>
    <s v="EMP1014"/>
    <s v="C1517"/>
    <x v="493"/>
    <n v="3"/>
    <n v="1367"/>
    <n v="984"/>
    <n v="2952"/>
    <n v="4101"/>
    <n v="1149"/>
    <s v="Product 100"/>
    <x v="72"/>
    <s v="Ronald Reed"/>
    <x v="359"/>
    <n v="5"/>
    <x v="4"/>
    <x v="2"/>
    <x v="2"/>
    <x v="0"/>
    <x v="2"/>
  </r>
  <r>
    <s v="AX14461"/>
    <s v="ENX2069"/>
    <s v="A168"/>
    <s v="EMP1028"/>
    <s v="C1765"/>
    <x v="494"/>
    <n v="1"/>
    <n v="378"/>
    <n v="291"/>
    <n v="291"/>
    <n v="378"/>
    <n v="87"/>
    <s v="Product 70"/>
    <x v="40"/>
    <s v="Howard Sims"/>
    <x v="470"/>
    <n v="5"/>
    <x v="4"/>
    <x v="2"/>
    <x v="2"/>
    <x v="0"/>
    <x v="2"/>
  </r>
  <r>
    <s v="AX14578"/>
    <s v="ENX2035"/>
    <s v="A151"/>
    <s v="EMP1034"/>
    <s v="C1663"/>
    <x v="495"/>
    <n v="1"/>
    <n v="458"/>
    <n v="376"/>
    <n v="376"/>
    <n v="458"/>
    <n v="82"/>
    <s v="Product 36"/>
    <x v="1"/>
    <s v="Arthur Mccoy"/>
    <x v="602"/>
    <n v="5"/>
    <x v="4"/>
    <x v="2"/>
    <x v="2"/>
    <x v="0"/>
    <x v="2"/>
  </r>
  <r>
    <s v="AX14585"/>
    <s v="ENX2023"/>
    <s v="A138"/>
    <s v="EMP1030"/>
    <s v="C1714"/>
    <x v="493"/>
    <n v="3"/>
    <n v="818"/>
    <n v="450"/>
    <n v="1350"/>
    <n v="2454"/>
    <n v="1104"/>
    <s v="Product 24"/>
    <x v="37"/>
    <s v="Bobby Russell"/>
    <x v="317"/>
    <n v="5"/>
    <x v="4"/>
    <x v="2"/>
    <x v="2"/>
    <x v="0"/>
    <x v="2"/>
  </r>
  <r>
    <s v="AX14732"/>
    <s v="ENX2070"/>
    <s v="A115"/>
    <s v="EMP1009"/>
    <s v="C1246"/>
    <x v="495"/>
    <n v="3"/>
    <n v="1671"/>
    <n v="1220"/>
    <n v="3660"/>
    <n v="5013"/>
    <n v="1353"/>
    <s v="Product 71"/>
    <x v="33"/>
    <s v="Kenneth Fields"/>
    <x v="665"/>
    <n v="5"/>
    <x v="4"/>
    <x v="2"/>
    <x v="2"/>
    <x v="0"/>
    <x v="2"/>
  </r>
  <r>
    <s v="AX14854"/>
    <s v="ENX2022"/>
    <s v="A163"/>
    <s v="EMP1007"/>
    <s v="C1269"/>
    <x v="494"/>
    <n v="2"/>
    <n v="561"/>
    <n v="421"/>
    <n v="842"/>
    <n v="1122"/>
    <n v="280"/>
    <s v="Product 23"/>
    <x v="51"/>
    <s v="Jeremy Mendoza"/>
    <x v="661"/>
    <n v="5"/>
    <x v="4"/>
    <x v="2"/>
    <x v="2"/>
    <x v="0"/>
    <x v="2"/>
  </r>
  <r>
    <s v="AX14863"/>
    <s v="ENX2074"/>
    <s v="A172"/>
    <s v="EMP1021"/>
    <s v="C1138"/>
    <x v="494"/>
    <n v="1"/>
    <n v="504"/>
    <n v="408"/>
    <n v="408"/>
    <n v="504"/>
    <n v="96"/>
    <s v="Product 75"/>
    <x v="36"/>
    <s v="Clarence Fox"/>
    <x v="325"/>
    <n v="5"/>
    <x v="4"/>
    <x v="2"/>
    <x v="2"/>
    <x v="0"/>
    <x v="2"/>
  </r>
  <r>
    <s v="AX14922"/>
    <s v="ENX2048"/>
    <s v="A153"/>
    <s v="EMP1019"/>
    <s v="C1559"/>
    <x v="494"/>
    <n v="2"/>
    <n v="502"/>
    <n v="296"/>
    <n v="592"/>
    <n v="1004"/>
    <n v="412"/>
    <s v="Product 49"/>
    <x v="8"/>
    <s v="Roger Robertson"/>
    <x v="43"/>
    <n v="5"/>
    <x v="4"/>
    <x v="2"/>
    <x v="2"/>
    <x v="0"/>
    <x v="2"/>
  </r>
  <r>
    <s v="AX15552"/>
    <s v="ENX2018"/>
    <s v="A108"/>
    <s v="EMP1006"/>
    <s v="C1278"/>
    <x v="494"/>
    <n v="2"/>
    <n v="1972"/>
    <n v="1321"/>
    <n v="2642"/>
    <n v="3944"/>
    <n v="1302"/>
    <s v="Product 19"/>
    <x v="49"/>
    <s v="Sean Miller"/>
    <x v="744"/>
    <n v="5"/>
    <x v="4"/>
    <x v="2"/>
    <x v="2"/>
    <x v="0"/>
    <x v="2"/>
  </r>
  <r>
    <s v="AX15611"/>
    <s v="ENX2062"/>
    <s v="A100"/>
    <s v="EMP1003"/>
    <s v="C1563"/>
    <x v="496"/>
    <n v="4"/>
    <n v="2464"/>
    <n v="1774"/>
    <n v="7096"/>
    <n v="9856"/>
    <n v="2760"/>
    <s v="Product 63"/>
    <x v="52"/>
    <s v="Christopher Tucker"/>
    <x v="130"/>
    <n v="5"/>
    <x v="4"/>
    <x v="2"/>
    <x v="2"/>
    <x v="0"/>
    <x v="2"/>
  </r>
  <r>
    <s v="AX16038"/>
    <s v="ENX2078"/>
    <s v="A150"/>
    <s v="EMP1004"/>
    <s v="C1686"/>
    <x v="495"/>
    <n v="4"/>
    <n v="1798"/>
    <n v="971"/>
    <n v="3884"/>
    <n v="7192"/>
    <n v="3308"/>
    <s v="Product 79"/>
    <x v="30"/>
    <s v="Kenneth Bradley"/>
    <x v="748"/>
    <n v="5"/>
    <x v="4"/>
    <x v="2"/>
    <x v="2"/>
    <x v="0"/>
    <x v="2"/>
  </r>
  <r>
    <s v="AX16047"/>
    <s v="ENX2054"/>
    <s v="A156"/>
    <s v="EMP1044"/>
    <s v="C1520"/>
    <x v="495"/>
    <n v="1"/>
    <n v="127"/>
    <n v="79"/>
    <n v="79"/>
    <n v="127"/>
    <n v="48"/>
    <s v="Product 55"/>
    <x v="14"/>
    <s v="Martin Carr"/>
    <x v="576"/>
    <n v="5"/>
    <x v="4"/>
    <x v="2"/>
    <x v="2"/>
    <x v="0"/>
    <x v="2"/>
  </r>
  <r>
    <s v="AX16294"/>
    <s v="ENX2019"/>
    <s v="A108"/>
    <s v="EMP1029"/>
    <s v="C1101"/>
    <x v="493"/>
    <n v="2"/>
    <n v="800"/>
    <n v="536"/>
    <n v="1072"/>
    <n v="1600"/>
    <n v="528"/>
    <s v="Product 20"/>
    <x v="49"/>
    <s v="Howard Gardner"/>
    <x v="347"/>
    <n v="5"/>
    <x v="4"/>
    <x v="2"/>
    <x v="2"/>
    <x v="0"/>
    <x v="2"/>
  </r>
  <r>
    <s v="AX16544"/>
    <s v="ENX2001"/>
    <s v="A148"/>
    <s v="EMP1026"/>
    <s v="C1521"/>
    <x v="492"/>
    <n v="1"/>
    <n v="951"/>
    <n v="504"/>
    <n v="504"/>
    <n v="951"/>
    <n v="447"/>
    <s v="Product 2"/>
    <x v="62"/>
    <s v="Martin Perry"/>
    <x v="697"/>
    <n v="5"/>
    <x v="4"/>
    <x v="2"/>
    <x v="2"/>
    <x v="0"/>
    <x v="2"/>
  </r>
  <r>
    <s v="AX16570"/>
    <s v="ENX2100"/>
    <s v="A152"/>
    <s v="EMP1028"/>
    <s v="C1796"/>
    <x v="492"/>
    <n v="1"/>
    <n v="799"/>
    <n v="455"/>
    <n v="455"/>
    <n v="799"/>
    <n v="344"/>
    <s v="Product 101"/>
    <x v="26"/>
    <s v="Howard Sims"/>
    <x v="630"/>
    <n v="5"/>
    <x v="4"/>
    <x v="2"/>
    <x v="2"/>
    <x v="0"/>
    <x v="2"/>
  </r>
  <r>
    <s v="AX16916"/>
    <s v="ENX2058"/>
    <s v="A173"/>
    <s v="EMP1025"/>
    <s v="C1464"/>
    <x v="493"/>
    <n v="3"/>
    <n v="2257"/>
    <n v="1535"/>
    <n v="4605"/>
    <n v="6771"/>
    <n v="2166"/>
    <s v="Product 59"/>
    <x v="25"/>
    <s v="Ernest Wagner"/>
    <x v="322"/>
    <n v="5"/>
    <x v="4"/>
    <x v="2"/>
    <x v="2"/>
    <x v="0"/>
    <x v="2"/>
  </r>
  <r>
    <s v="AX17205"/>
    <s v="ENX2054"/>
    <s v="A127"/>
    <s v="EMP1037"/>
    <s v="C1016"/>
    <x v="493"/>
    <n v="3"/>
    <n v="127"/>
    <n v="79"/>
    <n v="237"/>
    <n v="381"/>
    <n v="144"/>
    <s v="Product 55"/>
    <x v="69"/>
    <s v="Carl Hall"/>
    <x v="335"/>
    <n v="5"/>
    <x v="4"/>
    <x v="2"/>
    <x v="2"/>
    <x v="0"/>
    <x v="2"/>
  </r>
  <r>
    <s v="AX17811"/>
    <s v="ENX2065"/>
    <s v="A127"/>
    <s v="EMP1021"/>
    <s v="C1655"/>
    <x v="494"/>
    <n v="1"/>
    <n v="2396"/>
    <n v="1965"/>
    <n v="1965"/>
    <n v="2396"/>
    <n v="431"/>
    <s v="Product 66"/>
    <x v="69"/>
    <s v="Clarence Fox"/>
    <x v="73"/>
    <n v="5"/>
    <x v="4"/>
    <x v="2"/>
    <x v="2"/>
    <x v="0"/>
    <x v="2"/>
  </r>
  <r>
    <s v="AX17972"/>
    <s v="ENX2095"/>
    <s v="A171"/>
    <s v="EMP1044"/>
    <s v="C1454"/>
    <x v="496"/>
    <n v="1"/>
    <n v="1743"/>
    <n v="872"/>
    <n v="872"/>
    <n v="1743"/>
    <n v="871"/>
    <s v="Product 96"/>
    <x v="0"/>
    <s v="Martin Carr"/>
    <x v="68"/>
    <n v="5"/>
    <x v="4"/>
    <x v="2"/>
    <x v="2"/>
    <x v="0"/>
    <x v="2"/>
  </r>
  <r>
    <s v="AX18159"/>
    <s v="ENX2008"/>
    <s v="A123"/>
    <s v="EMP1022"/>
    <s v="C1506"/>
    <x v="495"/>
    <n v="1"/>
    <n v="315"/>
    <n v="208"/>
    <n v="208"/>
    <n v="315"/>
    <n v="107"/>
    <s v="Product 9"/>
    <x v="34"/>
    <s v="Walter Cook"/>
    <x v="538"/>
    <n v="5"/>
    <x v="4"/>
    <x v="2"/>
    <x v="2"/>
    <x v="0"/>
    <x v="2"/>
  </r>
  <r>
    <s v="AX19210"/>
    <s v="ENX2035"/>
    <s v="A142"/>
    <s v="EMP1036"/>
    <s v="C1363"/>
    <x v="493"/>
    <n v="3"/>
    <n v="458"/>
    <n v="376"/>
    <n v="1128"/>
    <n v="1374"/>
    <n v="246"/>
    <s v="Product 36"/>
    <x v="56"/>
    <s v="Robert Reed"/>
    <x v="505"/>
    <n v="5"/>
    <x v="4"/>
    <x v="2"/>
    <x v="2"/>
    <x v="0"/>
    <x v="2"/>
  </r>
  <r>
    <s v="AX19273"/>
    <s v="ENX2003"/>
    <s v="A160"/>
    <s v="EMP1022"/>
    <s v="C1338"/>
    <x v="495"/>
    <n v="1"/>
    <n v="1783"/>
    <n v="1516"/>
    <n v="1516"/>
    <n v="1783"/>
    <n v="267"/>
    <s v="Product 4"/>
    <x v="9"/>
    <s v="Walter Cook"/>
    <x v="542"/>
    <n v="5"/>
    <x v="4"/>
    <x v="2"/>
    <x v="2"/>
    <x v="0"/>
    <x v="2"/>
  </r>
  <r>
    <s v="AX19592"/>
    <s v="ENX2053"/>
    <s v="A104"/>
    <s v="EMP1024"/>
    <s v="C1586"/>
    <x v="494"/>
    <n v="2"/>
    <n v="596"/>
    <n v="358"/>
    <n v="716"/>
    <n v="1192"/>
    <n v="476"/>
    <s v="Product 54"/>
    <x v="50"/>
    <s v="Ernest Wheeler"/>
    <x v="585"/>
    <n v="5"/>
    <x v="4"/>
    <x v="2"/>
    <x v="2"/>
    <x v="0"/>
    <x v="2"/>
  </r>
  <r>
    <s v="AX19597"/>
    <s v="ENX2049"/>
    <s v="A100"/>
    <s v="EMP1019"/>
    <s v="C1511"/>
    <x v="495"/>
    <n v="1"/>
    <n v="826"/>
    <n v="562"/>
    <n v="562"/>
    <n v="826"/>
    <n v="264"/>
    <s v="Product 50"/>
    <x v="52"/>
    <s v="Roger Robertson"/>
    <x v="754"/>
    <n v="5"/>
    <x v="4"/>
    <x v="2"/>
    <x v="2"/>
    <x v="0"/>
    <x v="2"/>
  </r>
  <r>
    <s v="AX19818"/>
    <s v="ENX2055"/>
    <s v="A136"/>
    <s v="EMP1017"/>
    <s v="C1763"/>
    <x v="494"/>
    <n v="1"/>
    <n v="2495"/>
    <n v="1896"/>
    <n v="1896"/>
    <n v="2495"/>
    <n v="599"/>
    <s v="Product 56"/>
    <x v="43"/>
    <s v="Brian Hansen"/>
    <x v="409"/>
    <n v="5"/>
    <x v="4"/>
    <x v="2"/>
    <x v="2"/>
    <x v="0"/>
    <x v="2"/>
  </r>
  <r>
    <s v="AX19939"/>
    <s v="ENX2034"/>
    <s v="A123"/>
    <s v="EMP1024"/>
    <s v="C1206"/>
    <x v="493"/>
    <n v="1"/>
    <n v="871"/>
    <n v="540"/>
    <n v="540"/>
    <n v="871"/>
    <n v="331"/>
    <s v="Product 35"/>
    <x v="34"/>
    <s v="Ernest Wheeler"/>
    <x v="518"/>
    <n v="5"/>
    <x v="4"/>
    <x v="2"/>
    <x v="2"/>
    <x v="0"/>
    <x v="2"/>
  </r>
  <r>
    <s v="AX20397"/>
    <s v="ENX2034"/>
    <s v="A140"/>
    <s v="EMP1001"/>
    <s v="C1451"/>
    <x v="493"/>
    <n v="3"/>
    <n v="871"/>
    <n v="540"/>
    <n v="1620"/>
    <n v="2613"/>
    <n v="993"/>
    <s v="Product 35"/>
    <x v="18"/>
    <s v="Kevin Butler"/>
    <x v="80"/>
    <n v="5"/>
    <x v="4"/>
    <x v="2"/>
    <x v="2"/>
    <x v="0"/>
    <x v="2"/>
  </r>
  <r>
    <s v="AX20535"/>
    <s v="ENX2056"/>
    <s v="A114"/>
    <s v="EMP1024"/>
    <s v="C1156"/>
    <x v="493"/>
    <n v="2"/>
    <n v="1635"/>
    <n v="1046"/>
    <n v="2092"/>
    <n v="3270"/>
    <n v="1178"/>
    <s v="Product 57"/>
    <x v="28"/>
    <s v="Ernest Wheeler"/>
    <x v="740"/>
    <n v="5"/>
    <x v="4"/>
    <x v="2"/>
    <x v="2"/>
    <x v="0"/>
    <x v="2"/>
  </r>
  <r>
    <s v="AX20837"/>
    <s v="ENX2064"/>
    <s v="A117"/>
    <s v="EMP1016"/>
    <s v="C1056"/>
    <x v="496"/>
    <n v="2"/>
    <n v="1414"/>
    <n v="962"/>
    <n v="1924"/>
    <n v="2828"/>
    <n v="904"/>
    <s v="Product 65"/>
    <x v="29"/>
    <s v="Henry Nelson"/>
    <x v="260"/>
    <n v="5"/>
    <x v="4"/>
    <x v="2"/>
    <x v="2"/>
    <x v="0"/>
    <x v="2"/>
  </r>
  <r>
    <s v="AX20889"/>
    <s v="ENX2085"/>
    <s v="A118"/>
    <s v="EMP1008"/>
    <s v="C1125"/>
    <x v="494"/>
    <n v="1"/>
    <n v="1862"/>
    <n v="1173"/>
    <n v="1173"/>
    <n v="1862"/>
    <n v="689"/>
    <s v="Product 86"/>
    <x v="19"/>
    <s v="Carl Elliott"/>
    <x v="539"/>
    <n v="5"/>
    <x v="4"/>
    <x v="2"/>
    <x v="2"/>
    <x v="0"/>
    <x v="2"/>
  </r>
  <r>
    <s v="AX20969"/>
    <s v="ENX2059"/>
    <s v="A129"/>
    <s v="EMP1034"/>
    <s v="C1535"/>
    <x v="493"/>
    <n v="1"/>
    <n v="1494"/>
    <n v="971"/>
    <n v="971"/>
    <n v="1494"/>
    <n v="523"/>
    <s v="Product 60"/>
    <x v="22"/>
    <s v="Arthur Mccoy"/>
    <x v="85"/>
    <n v="5"/>
    <x v="4"/>
    <x v="2"/>
    <x v="2"/>
    <x v="0"/>
    <x v="2"/>
  </r>
  <r>
    <s v="AX21048"/>
    <s v="ENX2024"/>
    <s v="A161"/>
    <s v="EMP1008"/>
    <s v="C1327"/>
    <x v="496"/>
    <n v="4"/>
    <n v="356"/>
    <n v="292"/>
    <n v="1168"/>
    <n v="1424"/>
    <n v="256"/>
    <s v="Product 25"/>
    <x v="6"/>
    <s v="Carl Elliott"/>
    <x v="321"/>
    <n v="5"/>
    <x v="4"/>
    <x v="2"/>
    <x v="2"/>
    <x v="0"/>
    <x v="2"/>
  </r>
  <r>
    <s v="AX21702"/>
    <s v="ENX2045"/>
    <s v="A106"/>
    <s v="EMP1010"/>
    <s v="C1036"/>
    <x v="492"/>
    <n v="4"/>
    <n v="556"/>
    <n v="395"/>
    <n v="1580"/>
    <n v="2224"/>
    <n v="644"/>
    <s v="Product 46"/>
    <x v="11"/>
    <s v="Joshua Cook"/>
    <x v="256"/>
    <n v="5"/>
    <x v="4"/>
    <x v="2"/>
    <x v="2"/>
    <x v="0"/>
    <x v="2"/>
  </r>
  <r>
    <s v="AX21723"/>
    <s v="ENX2098"/>
    <s v="A100"/>
    <s v="EMP1024"/>
    <s v="C1531"/>
    <x v="494"/>
    <n v="3"/>
    <n v="1178"/>
    <n v="683"/>
    <n v="2049"/>
    <n v="3534"/>
    <n v="1485"/>
    <s v="Product 99"/>
    <x v="52"/>
    <s v="Ernest Wheeler"/>
    <x v="743"/>
    <n v="5"/>
    <x v="4"/>
    <x v="2"/>
    <x v="2"/>
    <x v="0"/>
    <x v="2"/>
  </r>
  <r>
    <s v="AX21881"/>
    <s v="ENX2046"/>
    <s v="A127"/>
    <s v="EMP1018"/>
    <s v="C1741"/>
    <x v="494"/>
    <n v="1"/>
    <n v="2410"/>
    <n v="1518"/>
    <n v="1518"/>
    <n v="2410"/>
    <n v="892"/>
    <s v="Product 47"/>
    <x v="69"/>
    <s v="Jimmy Young"/>
    <x v="534"/>
    <n v="5"/>
    <x v="4"/>
    <x v="2"/>
    <x v="2"/>
    <x v="0"/>
    <x v="2"/>
  </r>
  <r>
    <s v="AX21901"/>
    <s v="ENX2046"/>
    <s v="A104"/>
    <s v="EMP1027"/>
    <s v="C1572"/>
    <x v="493"/>
    <n v="3"/>
    <n v="2410"/>
    <n v="1518"/>
    <n v="4554"/>
    <n v="7230"/>
    <n v="2676"/>
    <s v="Product 47"/>
    <x v="50"/>
    <s v="Gary Rodriguez"/>
    <x v="717"/>
    <n v="5"/>
    <x v="4"/>
    <x v="2"/>
    <x v="2"/>
    <x v="0"/>
    <x v="2"/>
  </r>
  <r>
    <s v="AX22076"/>
    <s v="ENX2031"/>
    <s v="A124"/>
    <s v="EMP1025"/>
    <s v="C1458"/>
    <x v="494"/>
    <n v="4"/>
    <n v="1638"/>
    <n v="1261"/>
    <n v="5044"/>
    <n v="6552"/>
    <n v="1508"/>
    <s v="Product 32"/>
    <x v="67"/>
    <s v="Ernest Wagner"/>
    <x v="291"/>
    <n v="5"/>
    <x v="4"/>
    <x v="2"/>
    <x v="2"/>
    <x v="0"/>
    <x v="2"/>
  </r>
  <r>
    <s v="AX22112"/>
    <s v="ENX2073"/>
    <s v="A141"/>
    <s v="EMP1040"/>
    <s v="C1219"/>
    <x v="492"/>
    <n v="1"/>
    <n v="95"/>
    <n v="61"/>
    <n v="61"/>
    <n v="95"/>
    <n v="34"/>
    <s v="Product 74"/>
    <x v="23"/>
    <s v="Patrick Ruiz"/>
    <x v="301"/>
    <n v="5"/>
    <x v="4"/>
    <x v="2"/>
    <x v="2"/>
    <x v="0"/>
    <x v="2"/>
  </r>
  <r>
    <s v="AX22120"/>
    <s v="ENX2018"/>
    <s v="A152"/>
    <s v="EMP1002"/>
    <s v="C1434"/>
    <x v="493"/>
    <n v="4"/>
    <n v="1972"/>
    <n v="1321"/>
    <n v="5284"/>
    <n v="7888"/>
    <n v="2604"/>
    <s v="Product 19"/>
    <x v="26"/>
    <s v="Andrew Bowman"/>
    <x v="722"/>
    <n v="5"/>
    <x v="4"/>
    <x v="2"/>
    <x v="2"/>
    <x v="0"/>
    <x v="2"/>
  </r>
  <r>
    <s v="AX22718"/>
    <s v="ENX2062"/>
    <s v="A113"/>
    <s v="EMP1042"/>
    <s v="C1237"/>
    <x v="495"/>
    <n v="1"/>
    <n v="2464"/>
    <n v="1774"/>
    <n v="1774"/>
    <n v="2464"/>
    <n v="690"/>
    <s v="Product 63"/>
    <x v="73"/>
    <s v="Scott Clark"/>
    <x v="484"/>
    <n v="5"/>
    <x v="4"/>
    <x v="2"/>
    <x v="2"/>
    <x v="0"/>
    <x v="2"/>
  </r>
  <r>
    <s v="AX22743"/>
    <s v="ENX2059"/>
    <s v="A170"/>
    <s v="EMP1002"/>
    <s v="C1285"/>
    <x v="495"/>
    <n v="2"/>
    <n v="1494"/>
    <n v="971"/>
    <n v="1942"/>
    <n v="2988"/>
    <n v="1046"/>
    <s v="Product 60"/>
    <x v="47"/>
    <s v="Andrew Bowman"/>
    <x v="440"/>
    <n v="5"/>
    <x v="4"/>
    <x v="2"/>
    <x v="2"/>
    <x v="0"/>
    <x v="2"/>
  </r>
  <r>
    <s v="AX22858"/>
    <s v="ENX2017"/>
    <s v="A161"/>
    <s v="EMP1013"/>
    <s v="C1697"/>
    <x v="496"/>
    <n v="4"/>
    <n v="35"/>
    <n v="22"/>
    <n v="88"/>
    <n v="140"/>
    <n v="52"/>
    <s v="Product 18"/>
    <x v="6"/>
    <s v="Charles Harper"/>
    <x v="589"/>
    <n v="5"/>
    <x v="4"/>
    <x v="2"/>
    <x v="2"/>
    <x v="0"/>
    <x v="2"/>
  </r>
  <r>
    <s v="AX23674"/>
    <s v="ENX2087"/>
    <s v="A137"/>
    <s v="EMP1029"/>
    <s v="C1677"/>
    <x v="495"/>
    <n v="3"/>
    <n v="1022"/>
    <n v="818"/>
    <n v="2454"/>
    <n v="3066"/>
    <n v="612"/>
    <s v="Product 88"/>
    <x v="68"/>
    <s v="Howard Gardner"/>
    <x v="641"/>
    <n v="5"/>
    <x v="4"/>
    <x v="2"/>
    <x v="2"/>
    <x v="0"/>
    <x v="2"/>
  </r>
  <r>
    <s v="AX24260"/>
    <s v="ENX2038"/>
    <s v="A143"/>
    <s v="EMP1037"/>
    <s v="C1559"/>
    <x v="495"/>
    <n v="3"/>
    <n v="392"/>
    <n v="255"/>
    <n v="765"/>
    <n v="1176"/>
    <n v="411"/>
    <s v="Product 39"/>
    <x v="39"/>
    <s v="Carl Hall"/>
    <x v="43"/>
    <n v="5"/>
    <x v="4"/>
    <x v="2"/>
    <x v="2"/>
    <x v="0"/>
    <x v="2"/>
  </r>
  <r>
    <s v="AX24554"/>
    <s v="ENX2016"/>
    <s v="A111"/>
    <s v="EMP1013"/>
    <s v="C1768"/>
    <x v="494"/>
    <n v="1"/>
    <n v="1351"/>
    <n v="1108"/>
    <n v="1108"/>
    <n v="1351"/>
    <n v="243"/>
    <s v="Product 17"/>
    <x v="54"/>
    <s v="Charles Harper"/>
    <x v="496"/>
    <n v="5"/>
    <x v="4"/>
    <x v="2"/>
    <x v="2"/>
    <x v="0"/>
    <x v="2"/>
  </r>
  <r>
    <s v="AX24652"/>
    <s v="ENX2016"/>
    <s v="A139"/>
    <s v="EMP1025"/>
    <s v="C1422"/>
    <x v="496"/>
    <n v="1"/>
    <n v="1351"/>
    <n v="1108"/>
    <n v="1108"/>
    <n v="1351"/>
    <n v="243"/>
    <s v="Product 17"/>
    <x v="38"/>
    <s v="Ernest Wagner"/>
    <x v="176"/>
    <n v="5"/>
    <x v="4"/>
    <x v="2"/>
    <x v="2"/>
    <x v="0"/>
    <x v="2"/>
  </r>
  <r>
    <s v="AX24657"/>
    <s v="ENX2053"/>
    <s v="A139"/>
    <s v="EMP1040"/>
    <s v="C1389"/>
    <x v="492"/>
    <n v="1"/>
    <n v="596"/>
    <n v="358"/>
    <n v="358"/>
    <n v="596"/>
    <n v="238"/>
    <s v="Product 54"/>
    <x v="38"/>
    <s v="Patrick Ruiz"/>
    <x v="38"/>
    <n v="5"/>
    <x v="4"/>
    <x v="2"/>
    <x v="2"/>
    <x v="0"/>
    <x v="2"/>
  </r>
  <r>
    <s v="AX24987"/>
    <s v="ENX2017"/>
    <s v="A160"/>
    <s v="EMP1010"/>
    <s v="C1060"/>
    <x v="494"/>
    <n v="4"/>
    <n v="35"/>
    <n v="22"/>
    <n v="88"/>
    <n v="140"/>
    <n v="52"/>
    <s v="Product 18"/>
    <x v="9"/>
    <s v="Joshua Cook"/>
    <x v="603"/>
    <n v="5"/>
    <x v="4"/>
    <x v="2"/>
    <x v="2"/>
    <x v="0"/>
    <x v="2"/>
  </r>
  <r>
    <s v="AX10312"/>
    <s v="ENX2042"/>
    <s v="A114"/>
    <s v="EMP1010"/>
    <s v="C1515"/>
    <x v="497"/>
    <n v="3"/>
    <n v="203"/>
    <n v="154"/>
    <n v="462"/>
    <n v="609"/>
    <n v="147"/>
    <s v="Product 43"/>
    <x v="28"/>
    <s v="Joshua Cook"/>
    <x v="570"/>
    <n v="5"/>
    <x v="4"/>
    <x v="3"/>
    <x v="3"/>
    <x v="1"/>
    <x v="0"/>
  </r>
  <r>
    <s v="AX10962"/>
    <s v="ENX2042"/>
    <s v="A126"/>
    <s v="EMP1014"/>
    <s v="C1111"/>
    <x v="497"/>
    <n v="4"/>
    <n v="203"/>
    <n v="154"/>
    <n v="616"/>
    <n v="812"/>
    <n v="196"/>
    <s v="Product 43"/>
    <x v="5"/>
    <s v="Ronald Reed"/>
    <x v="563"/>
    <n v="5"/>
    <x v="4"/>
    <x v="3"/>
    <x v="3"/>
    <x v="1"/>
    <x v="0"/>
  </r>
  <r>
    <s v="AX10990"/>
    <s v="ENX2067"/>
    <s v="A128"/>
    <s v="EMP1024"/>
    <s v="C1202"/>
    <x v="498"/>
    <n v="1"/>
    <n v="1119"/>
    <n v="683"/>
    <n v="683"/>
    <n v="1119"/>
    <n v="436"/>
    <s v="Product 68"/>
    <x v="12"/>
    <s v="Ernest Wheeler"/>
    <x v="3"/>
    <n v="5"/>
    <x v="4"/>
    <x v="3"/>
    <x v="3"/>
    <x v="1"/>
    <x v="0"/>
  </r>
  <r>
    <s v="AX11050"/>
    <s v="ENX2084"/>
    <s v="A104"/>
    <s v="EMP1014"/>
    <s v="C1345"/>
    <x v="499"/>
    <n v="3"/>
    <n v="1783"/>
    <n v="1230"/>
    <n v="3690"/>
    <n v="5349"/>
    <n v="1659"/>
    <s v="Product 85"/>
    <x v="50"/>
    <s v="Ronald Reed"/>
    <x v="567"/>
    <n v="5"/>
    <x v="4"/>
    <x v="3"/>
    <x v="3"/>
    <x v="1"/>
    <x v="0"/>
  </r>
  <r>
    <s v="AX11082"/>
    <s v="ENX2055"/>
    <s v="A151"/>
    <s v="EMP1009"/>
    <s v="C1373"/>
    <x v="499"/>
    <n v="1"/>
    <n v="2495"/>
    <n v="1896"/>
    <n v="1896"/>
    <n v="2495"/>
    <n v="599"/>
    <s v="Product 56"/>
    <x v="1"/>
    <s v="Kenneth Fields"/>
    <x v="471"/>
    <n v="5"/>
    <x v="4"/>
    <x v="3"/>
    <x v="3"/>
    <x v="1"/>
    <x v="0"/>
  </r>
  <r>
    <s v="AX11343"/>
    <s v="ENX2039"/>
    <s v="A172"/>
    <s v="EMP1016"/>
    <s v="C1202"/>
    <x v="497"/>
    <n v="3"/>
    <n v="817"/>
    <n v="409"/>
    <n v="1227"/>
    <n v="2451"/>
    <n v="1224"/>
    <s v="Product 40"/>
    <x v="36"/>
    <s v="Henry Nelson"/>
    <x v="3"/>
    <n v="5"/>
    <x v="4"/>
    <x v="3"/>
    <x v="3"/>
    <x v="1"/>
    <x v="0"/>
  </r>
  <r>
    <s v="AX11954"/>
    <s v="ENX2023"/>
    <s v="A157"/>
    <s v="EMP1020"/>
    <s v="C1592"/>
    <x v="500"/>
    <n v="1"/>
    <n v="818"/>
    <n v="450"/>
    <n v="450"/>
    <n v="818"/>
    <n v="368"/>
    <s v="Product 24"/>
    <x v="7"/>
    <s v="Ryan Butler"/>
    <x v="499"/>
    <n v="5"/>
    <x v="4"/>
    <x v="3"/>
    <x v="3"/>
    <x v="1"/>
    <x v="0"/>
  </r>
  <r>
    <s v="AX12228"/>
    <s v="ENX2100"/>
    <s v="A149"/>
    <s v="EMP1006"/>
    <s v="C1543"/>
    <x v="499"/>
    <n v="1"/>
    <n v="799"/>
    <n v="455"/>
    <n v="455"/>
    <n v="799"/>
    <n v="344"/>
    <s v="Product 101"/>
    <x v="59"/>
    <s v="Sean Miller"/>
    <x v="337"/>
    <n v="5"/>
    <x v="4"/>
    <x v="3"/>
    <x v="3"/>
    <x v="1"/>
    <x v="0"/>
  </r>
  <r>
    <s v="AX12689"/>
    <s v="ENX2021"/>
    <s v="A117"/>
    <s v="EMP1037"/>
    <s v="C1067"/>
    <x v="499"/>
    <n v="1"/>
    <n v="217"/>
    <n v="171"/>
    <n v="171"/>
    <n v="217"/>
    <n v="46"/>
    <s v="Product 22"/>
    <x v="29"/>
    <s v="Carl Hall"/>
    <x v="108"/>
    <n v="5"/>
    <x v="4"/>
    <x v="3"/>
    <x v="3"/>
    <x v="1"/>
    <x v="0"/>
  </r>
  <r>
    <s v="AX12907"/>
    <s v="ENX2070"/>
    <s v="A106"/>
    <s v="EMP1041"/>
    <s v="C1662"/>
    <x v="499"/>
    <n v="3"/>
    <n v="1671"/>
    <n v="1220"/>
    <n v="3660"/>
    <n v="5013"/>
    <n v="1353"/>
    <s v="Product 71"/>
    <x v="11"/>
    <s v="Joe Sims"/>
    <x v="649"/>
    <n v="5"/>
    <x v="4"/>
    <x v="3"/>
    <x v="3"/>
    <x v="1"/>
    <x v="0"/>
  </r>
  <r>
    <s v="AX13151"/>
    <s v="ENX2040"/>
    <s v="A106"/>
    <s v="EMP1006"/>
    <s v="C1675"/>
    <x v="498"/>
    <n v="1"/>
    <n v="1889"/>
    <n v="945"/>
    <n v="945"/>
    <n v="1889"/>
    <n v="944"/>
    <s v="Product 41"/>
    <x v="11"/>
    <s v="Sean Miller"/>
    <x v="453"/>
    <n v="5"/>
    <x v="4"/>
    <x v="3"/>
    <x v="3"/>
    <x v="1"/>
    <x v="0"/>
  </r>
  <r>
    <s v="AX13677"/>
    <s v="ENX2069"/>
    <s v="A140"/>
    <s v="EMP1011"/>
    <s v="C1271"/>
    <x v="497"/>
    <n v="3"/>
    <n v="378"/>
    <n v="291"/>
    <n v="873"/>
    <n v="1134"/>
    <n v="261"/>
    <s v="Product 70"/>
    <x v="18"/>
    <s v="Larry Marshall"/>
    <x v="314"/>
    <n v="5"/>
    <x v="4"/>
    <x v="3"/>
    <x v="3"/>
    <x v="1"/>
    <x v="0"/>
  </r>
  <r>
    <s v="AX13729"/>
    <s v="ENX2062"/>
    <s v="A102"/>
    <s v="EMP1025"/>
    <s v="C1537"/>
    <x v="500"/>
    <n v="1"/>
    <n v="2464"/>
    <n v="1774"/>
    <n v="1774"/>
    <n v="2464"/>
    <n v="690"/>
    <s v="Product 63"/>
    <x v="44"/>
    <s v="Ernest Wagner"/>
    <x v="141"/>
    <n v="5"/>
    <x v="4"/>
    <x v="3"/>
    <x v="3"/>
    <x v="1"/>
    <x v="0"/>
  </r>
  <r>
    <s v="AX14120"/>
    <s v="ENX2005"/>
    <s v="A107"/>
    <s v="EMP1011"/>
    <s v="C1125"/>
    <x v="498"/>
    <n v="1"/>
    <n v="684"/>
    <n v="561"/>
    <n v="561"/>
    <n v="684"/>
    <n v="123"/>
    <s v="Product 6"/>
    <x v="21"/>
    <s v="Larry Marshall"/>
    <x v="539"/>
    <n v="5"/>
    <x v="4"/>
    <x v="3"/>
    <x v="3"/>
    <x v="1"/>
    <x v="0"/>
  </r>
  <r>
    <s v="AX14340"/>
    <s v="ENX2079"/>
    <s v="A113"/>
    <s v="EMP1016"/>
    <s v="C1538"/>
    <x v="498"/>
    <n v="2"/>
    <n v="1725"/>
    <n v="1363"/>
    <n v="2726"/>
    <n v="3450"/>
    <n v="724"/>
    <s v="Product 80"/>
    <x v="73"/>
    <s v="Henry Nelson"/>
    <x v="384"/>
    <n v="5"/>
    <x v="4"/>
    <x v="3"/>
    <x v="3"/>
    <x v="1"/>
    <x v="0"/>
  </r>
  <r>
    <s v="AX14584"/>
    <s v="ENX2051"/>
    <s v="A165"/>
    <s v="EMP1027"/>
    <s v="C1634"/>
    <x v="498"/>
    <n v="1"/>
    <n v="1077"/>
    <n v="732"/>
    <n v="732"/>
    <n v="1077"/>
    <n v="345"/>
    <s v="Product 52"/>
    <x v="55"/>
    <s v="Gary Rodriguez"/>
    <x v="71"/>
    <n v="5"/>
    <x v="4"/>
    <x v="3"/>
    <x v="3"/>
    <x v="1"/>
    <x v="0"/>
  </r>
  <r>
    <s v="AX14620"/>
    <s v="ENX2097"/>
    <s v="A126"/>
    <s v="EMP1011"/>
    <s v="C1406"/>
    <x v="499"/>
    <n v="2"/>
    <n v="1052"/>
    <n v="589"/>
    <n v="1178"/>
    <n v="2104"/>
    <n v="926"/>
    <s v="Product 98"/>
    <x v="5"/>
    <s v="Larry Marshall"/>
    <x v="783"/>
    <n v="5"/>
    <x v="4"/>
    <x v="3"/>
    <x v="3"/>
    <x v="1"/>
    <x v="0"/>
  </r>
  <r>
    <s v="AX14767"/>
    <s v="ENX2018"/>
    <s v="A129"/>
    <s v="EMP1012"/>
    <s v="C1180"/>
    <x v="499"/>
    <n v="2"/>
    <n v="1972"/>
    <n v="1321"/>
    <n v="2642"/>
    <n v="3944"/>
    <n v="1302"/>
    <s v="Product 19"/>
    <x v="22"/>
    <s v="John Reyes"/>
    <x v="212"/>
    <n v="5"/>
    <x v="4"/>
    <x v="3"/>
    <x v="3"/>
    <x v="1"/>
    <x v="0"/>
  </r>
  <r>
    <s v="AX15138"/>
    <s v="ENX2023"/>
    <s v="A110"/>
    <s v="EMP1032"/>
    <s v="C1797"/>
    <x v="497"/>
    <n v="1"/>
    <n v="818"/>
    <n v="450"/>
    <n v="450"/>
    <n v="818"/>
    <n v="368"/>
    <s v="Product 24"/>
    <x v="63"/>
    <s v="Larry Castillo"/>
    <x v="407"/>
    <n v="5"/>
    <x v="4"/>
    <x v="3"/>
    <x v="3"/>
    <x v="1"/>
    <x v="0"/>
  </r>
  <r>
    <s v="AX15431"/>
    <s v="ENX2032"/>
    <s v="A120"/>
    <s v="EMP1011"/>
    <s v="C1670"/>
    <x v="497"/>
    <n v="4"/>
    <n v="1967"/>
    <n v="1397"/>
    <n v="5588"/>
    <n v="7868"/>
    <n v="2280"/>
    <s v="Product 33"/>
    <x v="20"/>
    <s v="Larry Marshall"/>
    <x v="663"/>
    <n v="5"/>
    <x v="4"/>
    <x v="3"/>
    <x v="3"/>
    <x v="1"/>
    <x v="0"/>
  </r>
  <r>
    <s v="AX15476"/>
    <s v="ENX2014"/>
    <s v="A122"/>
    <s v="EMP1002"/>
    <s v="C1763"/>
    <x v="497"/>
    <n v="1"/>
    <n v="1809"/>
    <n v="1067"/>
    <n v="1067"/>
    <n v="1809"/>
    <n v="742"/>
    <s v="Product 15"/>
    <x v="71"/>
    <s v="Andrew Bowman"/>
    <x v="409"/>
    <n v="5"/>
    <x v="4"/>
    <x v="3"/>
    <x v="3"/>
    <x v="1"/>
    <x v="0"/>
  </r>
  <r>
    <s v="AX15534"/>
    <s v="ENX2030"/>
    <s v="A143"/>
    <s v="EMP1012"/>
    <s v="C1185"/>
    <x v="497"/>
    <n v="1"/>
    <n v="1899"/>
    <n v="1044"/>
    <n v="1044"/>
    <n v="1899"/>
    <n v="855"/>
    <s v="Product 31"/>
    <x v="39"/>
    <s v="John Reyes"/>
    <x v="215"/>
    <n v="5"/>
    <x v="4"/>
    <x v="3"/>
    <x v="3"/>
    <x v="1"/>
    <x v="0"/>
  </r>
  <r>
    <s v="AX15835"/>
    <s v="ENX2098"/>
    <s v="A108"/>
    <s v="EMP1030"/>
    <s v="C1793"/>
    <x v="498"/>
    <n v="2"/>
    <n v="1178"/>
    <n v="683"/>
    <n v="1366"/>
    <n v="2356"/>
    <n v="990"/>
    <s v="Product 99"/>
    <x v="49"/>
    <s v="Bobby Russell"/>
    <x v="677"/>
    <n v="5"/>
    <x v="4"/>
    <x v="3"/>
    <x v="3"/>
    <x v="1"/>
    <x v="0"/>
  </r>
  <r>
    <s v="AX15884"/>
    <s v="ENX2020"/>
    <s v="A132"/>
    <s v="EMP1006"/>
    <s v="C1720"/>
    <x v="498"/>
    <n v="3"/>
    <n v="2005"/>
    <n v="1223"/>
    <n v="3669"/>
    <n v="6015"/>
    <n v="2346"/>
    <s v="Product 21"/>
    <x v="48"/>
    <s v="Sean Miller"/>
    <x v="152"/>
    <n v="5"/>
    <x v="4"/>
    <x v="3"/>
    <x v="3"/>
    <x v="1"/>
    <x v="0"/>
  </r>
  <r>
    <s v="AX16094"/>
    <s v="ENX2099"/>
    <s v="A137"/>
    <s v="EMP1025"/>
    <s v="C1326"/>
    <x v="500"/>
    <n v="3"/>
    <n v="1367"/>
    <n v="984"/>
    <n v="2952"/>
    <n v="4101"/>
    <n v="1149"/>
    <s v="Product 100"/>
    <x v="68"/>
    <s v="Ernest Wagner"/>
    <x v="98"/>
    <n v="5"/>
    <x v="4"/>
    <x v="3"/>
    <x v="3"/>
    <x v="1"/>
    <x v="0"/>
  </r>
  <r>
    <s v="AX16277"/>
    <s v="ENX2035"/>
    <s v="A122"/>
    <s v="EMP1009"/>
    <s v="C1657"/>
    <x v="500"/>
    <n v="1"/>
    <n v="458"/>
    <n v="376"/>
    <n v="376"/>
    <n v="458"/>
    <n v="82"/>
    <s v="Product 36"/>
    <x v="71"/>
    <s v="Kenneth Fields"/>
    <x v="361"/>
    <n v="5"/>
    <x v="4"/>
    <x v="3"/>
    <x v="3"/>
    <x v="1"/>
    <x v="0"/>
  </r>
  <r>
    <s v="AX17085"/>
    <s v="ENX2027"/>
    <s v="A111"/>
    <s v="EMP1012"/>
    <s v="C1012"/>
    <x v="497"/>
    <n v="3"/>
    <n v="2497"/>
    <n v="1473"/>
    <n v="4419"/>
    <n v="7491"/>
    <n v="3072"/>
    <s v="Product 28"/>
    <x v="54"/>
    <s v="John Reyes"/>
    <x v="738"/>
    <n v="5"/>
    <x v="4"/>
    <x v="3"/>
    <x v="3"/>
    <x v="1"/>
    <x v="0"/>
  </r>
  <r>
    <s v="AX17237"/>
    <s v="ENX2073"/>
    <s v="A156"/>
    <s v="EMP1005"/>
    <s v="C1155"/>
    <x v="498"/>
    <n v="2"/>
    <n v="95"/>
    <n v="61"/>
    <n v="122"/>
    <n v="190"/>
    <n v="68"/>
    <s v="Product 74"/>
    <x v="14"/>
    <s v="Ryan Welch"/>
    <x v="711"/>
    <n v="5"/>
    <x v="4"/>
    <x v="3"/>
    <x v="3"/>
    <x v="1"/>
    <x v="0"/>
  </r>
  <r>
    <s v="AX17360"/>
    <s v="ENX2001"/>
    <s v="A115"/>
    <s v="EMP1035"/>
    <s v="C1265"/>
    <x v="497"/>
    <n v="3"/>
    <n v="951"/>
    <n v="504"/>
    <n v="1512"/>
    <n v="2853"/>
    <n v="1341"/>
    <s v="Product 2"/>
    <x v="33"/>
    <s v="Roger Ramos"/>
    <x v="348"/>
    <n v="5"/>
    <x v="4"/>
    <x v="3"/>
    <x v="3"/>
    <x v="1"/>
    <x v="0"/>
  </r>
  <r>
    <s v="AX17405"/>
    <s v="ENX2089"/>
    <s v="A166"/>
    <s v="EMP1028"/>
    <s v="C1252"/>
    <x v="500"/>
    <n v="4"/>
    <n v="2294"/>
    <n v="1399"/>
    <n v="5596"/>
    <n v="9176"/>
    <n v="3580"/>
    <s v="Product 90"/>
    <x v="70"/>
    <s v="Howard Sims"/>
    <x v="358"/>
    <n v="5"/>
    <x v="4"/>
    <x v="3"/>
    <x v="3"/>
    <x v="1"/>
    <x v="0"/>
  </r>
  <r>
    <s v="AX17498"/>
    <s v="ENX2067"/>
    <s v="A105"/>
    <s v="EMP1010"/>
    <s v="C1704"/>
    <x v="498"/>
    <n v="1"/>
    <n v="1119"/>
    <n v="683"/>
    <n v="683"/>
    <n v="1119"/>
    <n v="436"/>
    <s v="Product 68"/>
    <x v="45"/>
    <s v="Joshua Cook"/>
    <x v="28"/>
    <n v="5"/>
    <x v="4"/>
    <x v="3"/>
    <x v="3"/>
    <x v="1"/>
    <x v="0"/>
  </r>
  <r>
    <s v="AX17995"/>
    <s v="ENX2098"/>
    <s v="A106"/>
    <s v="EMP1033"/>
    <s v="C1276"/>
    <x v="500"/>
    <n v="1"/>
    <n v="1178"/>
    <n v="683"/>
    <n v="683"/>
    <n v="1178"/>
    <n v="495"/>
    <s v="Product 99"/>
    <x v="11"/>
    <s v="Jerry Perry"/>
    <x v="773"/>
    <n v="5"/>
    <x v="4"/>
    <x v="3"/>
    <x v="3"/>
    <x v="1"/>
    <x v="0"/>
  </r>
  <r>
    <s v="AX18056"/>
    <s v="ENX2062"/>
    <s v="A142"/>
    <s v="EMP1034"/>
    <s v="C1000"/>
    <x v="500"/>
    <n v="2"/>
    <n v="2464"/>
    <n v="1774"/>
    <n v="3548"/>
    <n v="4928"/>
    <n v="1380"/>
    <s v="Product 63"/>
    <x v="56"/>
    <s v="Arthur Mccoy"/>
    <x v="57"/>
    <n v="5"/>
    <x v="4"/>
    <x v="3"/>
    <x v="3"/>
    <x v="1"/>
    <x v="0"/>
  </r>
  <r>
    <s v="AX18528"/>
    <s v="ENX2010"/>
    <s v="A168"/>
    <s v="EMP1021"/>
    <s v="C1195"/>
    <x v="498"/>
    <n v="1"/>
    <n v="1812"/>
    <n v="1305"/>
    <n v="1305"/>
    <n v="1812"/>
    <n v="507"/>
    <s v="Product 11"/>
    <x v="40"/>
    <s v="Clarence Fox"/>
    <x v="188"/>
    <n v="5"/>
    <x v="4"/>
    <x v="3"/>
    <x v="3"/>
    <x v="1"/>
    <x v="0"/>
  </r>
  <r>
    <s v="AX18586"/>
    <s v="ENX2063"/>
    <s v="A117"/>
    <s v="EMP1019"/>
    <s v="C1743"/>
    <x v="499"/>
    <n v="3"/>
    <n v="1708"/>
    <n v="871"/>
    <n v="2613"/>
    <n v="5124"/>
    <n v="2511"/>
    <s v="Product 64"/>
    <x v="29"/>
    <s v="Roger Robertson"/>
    <x v="276"/>
    <n v="5"/>
    <x v="4"/>
    <x v="3"/>
    <x v="3"/>
    <x v="1"/>
    <x v="0"/>
  </r>
  <r>
    <s v="AX18675"/>
    <s v="ENX2073"/>
    <s v="A100"/>
    <s v="EMP1005"/>
    <s v="C1580"/>
    <x v="497"/>
    <n v="2"/>
    <n v="95"/>
    <n v="61"/>
    <n v="122"/>
    <n v="190"/>
    <n v="68"/>
    <s v="Product 74"/>
    <x v="52"/>
    <s v="Ryan Welch"/>
    <x v="617"/>
    <n v="5"/>
    <x v="4"/>
    <x v="3"/>
    <x v="3"/>
    <x v="1"/>
    <x v="0"/>
  </r>
  <r>
    <s v="AX19164"/>
    <s v="ENX2046"/>
    <s v="A153"/>
    <s v="EMP1019"/>
    <s v="C1521"/>
    <x v="498"/>
    <n v="1"/>
    <n v="2410"/>
    <n v="1518"/>
    <n v="1518"/>
    <n v="2410"/>
    <n v="892"/>
    <s v="Product 47"/>
    <x v="8"/>
    <s v="Roger Robertson"/>
    <x v="697"/>
    <n v="5"/>
    <x v="4"/>
    <x v="3"/>
    <x v="3"/>
    <x v="1"/>
    <x v="0"/>
  </r>
  <r>
    <s v="AX19372"/>
    <s v="ENX2011"/>
    <s v="A142"/>
    <s v="EMP1022"/>
    <s v="C1436"/>
    <x v="497"/>
    <n v="1"/>
    <n v="530"/>
    <n v="435"/>
    <n v="435"/>
    <n v="530"/>
    <n v="95"/>
    <s v="Product 12"/>
    <x v="56"/>
    <s v="Walter Cook"/>
    <x v="283"/>
    <n v="5"/>
    <x v="4"/>
    <x v="3"/>
    <x v="3"/>
    <x v="1"/>
    <x v="0"/>
  </r>
  <r>
    <s v="AX19475"/>
    <s v="ENX2016"/>
    <s v="A140"/>
    <s v="EMP1022"/>
    <s v="C1003"/>
    <x v="498"/>
    <n v="3"/>
    <n v="1351"/>
    <n v="1108"/>
    <n v="3324"/>
    <n v="4053"/>
    <n v="729"/>
    <s v="Product 17"/>
    <x v="18"/>
    <s v="Walter Cook"/>
    <x v="494"/>
    <n v="5"/>
    <x v="4"/>
    <x v="3"/>
    <x v="3"/>
    <x v="1"/>
    <x v="0"/>
  </r>
  <r>
    <s v="AX19681"/>
    <s v="ENX2058"/>
    <s v="A126"/>
    <s v="EMP1000"/>
    <s v="C1601"/>
    <x v="499"/>
    <n v="1"/>
    <n v="2257"/>
    <n v="1535"/>
    <n v="1535"/>
    <n v="2257"/>
    <n v="722"/>
    <s v="Product 59"/>
    <x v="5"/>
    <s v="Fred Robertson"/>
    <x v="324"/>
    <n v="5"/>
    <x v="4"/>
    <x v="3"/>
    <x v="3"/>
    <x v="1"/>
    <x v="0"/>
  </r>
  <r>
    <s v="AX20169"/>
    <s v="ENX2018"/>
    <s v="A132"/>
    <s v="EMP1006"/>
    <s v="C1612"/>
    <x v="500"/>
    <n v="1"/>
    <n v="1972"/>
    <n v="1321"/>
    <n v="1321"/>
    <n v="1972"/>
    <n v="651"/>
    <s v="Product 19"/>
    <x v="48"/>
    <s v="Sean Miller"/>
    <x v="46"/>
    <n v="5"/>
    <x v="4"/>
    <x v="3"/>
    <x v="3"/>
    <x v="1"/>
    <x v="0"/>
  </r>
  <r>
    <s v="AX20241"/>
    <s v="ENX2030"/>
    <s v="A169"/>
    <s v="EMP1007"/>
    <s v="C1764"/>
    <x v="497"/>
    <n v="1"/>
    <n v="1899"/>
    <n v="1044"/>
    <n v="1044"/>
    <n v="1899"/>
    <n v="855"/>
    <s v="Product 31"/>
    <x v="17"/>
    <s v="Jeremy Mendoza"/>
    <x v="386"/>
    <n v="5"/>
    <x v="4"/>
    <x v="3"/>
    <x v="3"/>
    <x v="1"/>
    <x v="0"/>
  </r>
  <r>
    <s v="AX20591"/>
    <s v="ENX2096"/>
    <s v="A124"/>
    <s v="EMP1036"/>
    <s v="C1056"/>
    <x v="500"/>
    <n v="1"/>
    <n v="1587"/>
    <n v="1301"/>
    <n v="1301"/>
    <n v="1587"/>
    <n v="286"/>
    <s v="Product 97"/>
    <x v="67"/>
    <s v="Robert Reed"/>
    <x v="260"/>
    <n v="5"/>
    <x v="4"/>
    <x v="3"/>
    <x v="3"/>
    <x v="1"/>
    <x v="0"/>
  </r>
  <r>
    <s v="AX20619"/>
    <s v="ENX2003"/>
    <s v="A165"/>
    <s v="EMP1039"/>
    <s v="C1432"/>
    <x v="500"/>
    <n v="2"/>
    <n v="1783"/>
    <n v="1516"/>
    <n v="3032"/>
    <n v="3566"/>
    <n v="534"/>
    <s v="Product 4"/>
    <x v="55"/>
    <s v="Eugene Holmes"/>
    <x v="186"/>
    <n v="5"/>
    <x v="4"/>
    <x v="3"/>
    <x v="3"/>
    <x v="1"/>
    <x v="0"/>
  </r>
  <r>
    <s v="AX21482"/>
    <s v="ENX2021"/>
    <s v="A108"/>
    <s v="EMP1008"/>
    <s v="C1005"/>
    <x v="498"/>
    <n v="3"/>
    <n v="217"/>
    <n v="171"/>
    <n v="513"/>
    <n v="651"/>
    <n v="138"/>
    <s v="Product 22"/>
    <x v="49"/>
    <s v="Carl Elliott"/>
    <x v="304"/>
    <n v="5"/>
    <x v="4"/>
    <x v="3"/>
    <x v="3"/>
    <x v="1"/>
    <x v="0"/>
  </r>
  <r>
    <s v="AX21542"/>
    <s v="ENX2023"/>
    <s v="A152"/>
    <s v="EMP1001"/>
    <s v="C1558"/>
    <x v="500"/>
    <n v="2"/>
    <n v="818"/>
    <n v="450"/>
    <n v="900"/>
    <n v="1636"/>
    <n v="736"/>
    <s v="Product 24"/>
    <x v="26"/>
    <s v="Kevin Butler"/>
    <x v="170"/>
    <n v="5"/>
    <x v="4"/>
    <x v="3"/>
    <x v="3"/>
    <x v="1"/>
    <x v="0"/>
  </r>
  <r>
    <s v="AX21773"/>
    <s v="ENX2011"/>
    <s v="A169"/>
    <s v="EMP1044"/>
    <s v="C1214"/>
    <x v="499"/>
    <n v="2"/>
    <n v="530"/>
    <n v="435"/>
    <n v="870"/>
    <n v="1060"/>
    <n v="190"/>
    <s v="Product 12"/>
    <x v="17"/>
    <s v="Martin Carr"/>
    <x v="262"/>
    <n v="5"/>
    <x v="4"/>
    <x v="3"/>
    <x v="3"/>
    <x v="1"/>
    <x v="0"/>
  </r>
  <r>
    <s v="AX21975"/>
    <s v="ENX2002"/>
    <s v="A119"/>
    <s v="EMP1011"/>
    <s v="C1199"/>
    <x v="500"/>
    <n v="1"/>
    <n v="847"/>
    <n v="534"/>
    <n v="534"/>
    <n v="847"/>
    <n v="313"/>
    <s v="Product 3"/>
    <x v="16"/>
    <s v="Larry Marshall"/>
    <x v="245"/>
    <n v="5"/>
    <x v="4"/>
    <x v="3"/>
    <x v="3"/>
    <x v="1"/>
    <x v="0"/>
  </r>
  <r>
    <s v="AX22012"/>
    <s v="ENX2077"/>
    <s v="A106"/>
    <s v="EMP1013"/>
    <s v="C1409"/>
    <x v="499"/>
    <n v="1"/>
    <n v="530"/>
    <n v="424"/>
    <n v="424"/>
    <n v="530"/>
    <n v="106"/>
    <s v="Product 78"/>
    <x v="11"/>
    <s v="Charles Harper"/>
    <x v="44"/>
    <n v="5"/>
    <x v="4"/>
    <x v="3"/>
    <x v="3"/>
    <x v="1"/>
    <x v="0"/>
  </r>
  <r>
    <s v="AX22295"/>
    <s v="ENX2038"/>
    <s v="A119"/>
    <s v="EMP1021"/>
    <s v="C1379"/>
    <x v="500"/>
    <n v="4"/>
    <n v="392"/>
    <n v="255"/>
    <n v="1020"/>
    <n v="1568"/>
    <n v="548"/>
    <s v="Product 39"/>
    <x v="16"/>
    <s v="Clarence Fox"/>
    <x v="549"/>
    <n v="5"/>
    <x v="4"/>
    <x v="3"/>
    <x v="3"/>
    <x v="1"/>
    <x v="0"/>
  </r>
  <r>
    <s v="AX23019"/>
    <s v="ENX2072"/>
    <s v="A152"/>
    <s v="EMP1000"/>
    <s v="C1543"/>
    <x v="497"/>
    <n v="3"/>
    <n v="1887"/>
    <n v="1378"/>
    <n v="4134"/>
    <n v="5661"/>
    <n v="1527"/>
    <s v="Product 73"/>
    <x v="26"/>
    <s v="Fred Robertson"/>
    <x v="337"/>
    <n v="5"/>
    <x v="4"/>
    <x v="3"/>
    <x v="3"/>
    <x v="1"/>
    <x v="0"/>
  </r>
  <r>
    <s v="AX23310"/>
    <s v="ENX2056"/>
    <s v="A170"/>
    <s v="EMP1011"/>
    <s v="C1438"/>
    <x v="500"/>
    <n v="3"/>
    <n v="1635"/>
    <n v="1046"/>
    <n v="3138"/>
    <n v="4905"/>
    <n v="1767"/>
    <s v="Product 57"/>
    <x v="47"/>
    <s v="Larry Marshall"/>
    <x v="670"/>
    <n v="5"/>
    <x v="4"/>
    <x v="3"/>
    <x v="3"/>
    <x v="1"/>
    <x v="0"/>
  </r>
  <r>
    <s v="AX23480"/>
    <s v="ENX2078"/>
    <s v="A128"/>
    <s v="EMP1006"/>
    <s v="C1416"/>
    <x v="499"/>
    <n v="3"/>
    <n v="1798"/>
    <n v="971"/>
    <n v="2913"/>
    <n v="5394"/>
    <n v="2481"/>
    <s v="Product 79"/>
    <x v="12"/>
    <s v="Sean Miller"/>
    <x v="554"/>
    <n v="5"/>
    <x v="4"/>
    <x v="3"/>
    <x v="3"/>
    <x v="1"/>
    <x v="0"/>
  </r>
  <r>
    <s v="AX23482"/>
    <s v="ENX2060"/>
    <s v="A132"/>
    <s v="EMP1006"/>
    <s v="C1456"/>
    <x v="499"/>
    <n v="2"/>
    <n v="1467"/>
    <n v="807"/>
    <n v="1614"/>
    <n v="2934"/>
    <n v="1320"/>
    <s v="Product 61"/>
    <x v="48"/>
    <s v="Sean Miller"/>
    <x v="366"/>
    <n v="5"/>
    <x v="4"/>
    <x v="3"/>
    <x v="3"/>
    <x v="1"/>
    <x v="0"/>
  </r>
  <r>
    <s v="AX23811"/>
    <s v="ENX2099"/>
    <s v="A163"/>
    <s v="EMP1011"/>
    <s v="C1337"/>
    <x v="500"/>
    <n v="3"/>
    <n v="1367"/>
    <n v="984"/>
    <n v="2952"/>
    <n v="4101"/>
    <n v="1149"/>
    <s v="Product 100"/>
    <x v="51"/>
    <s v="Larry Marshall"/>
    <x v="417"/>
    <n v="5"/>
    <x v="4"/>
    <x v="3"/>
    <x v="3"/>
    <x v="1"/>
    <x v="0"/>
  </r>
  <r>
    <s v="AX24650"/>
    <s v="ENX2059"/>
    <s v="A108"/>
    <s v="EMP1026"/>
    <s v="C1612"/>
    <x v="498"/>
    <n v="1"/>
    <n v="1494"/>
    <n v="971"/>
    <n v="971"/>
    <n v="1494"/>
    <n v="523"/>
    <s v="Product 60"/>
    <x v="49"/>
    <s v="Martin Perry"/>
    <x v="46"/>
    <n v="5"/>
    <x v="4"/>
    <x v="3"/>
    <x v="3"/>
    <x v="1"/>
    <x v="0"/>
  </r>
  <r>
    <s v="AX24814"/>
    <s v="ENX2000"/>
    <s v="A117"/>
    <s v="EMP1002"/>
    <s v="C1302"/>
    <x v="497"/>
    <n v="1"/>
    <n v="2241"/>
    <n v="1367"/>
    <n v="1367"/>
    <n v="2241"/>
    <n v="874"/>
    <s v="Product 1"/>
    <x v="29"/>
    <s v="Andrew Bowman"/>
    <x v="451"/>
    <n v="5"/>
    <x v="4"/>
    <x v="3"/>
    <x v="3"/>
    <x v="1"/>
    <x v="0"/>
  </r>
  <r>
    <s v="AX24877"/>
    <s v="ENX2099"/>
    <s v="A149"/>
    <s v="EMP1005"/>
    <s v="C1230"/>
    <x v="499"/>
    <n v="3"/>
    <n v="1367"/>
    <n v="984"/>
    <n v="2952"/>
    <n v="4101"/>
    <n v="1149"/>
    <s v="Product 100"/>
    <x v="59"/>
    <s v="Ryan Welch"/>
    <x v="578"/>
    <n v="5"/>
    <x v="4"/>
    <x v="3"/>
    <x v="3"/>
    <x v="1"/>
    <x v="0"/>
  </r>
  <r>
    <s v="AX24979"/>
    <s v="ENX2093"/>
    <s v="A115"/>
    <s v="EMP1016"/>
    <s v="C1438"/>
    <x v="497"/>
    <n v="4"/>
    <n v="112"/>
    <n v="90"/>
    <n v="360"/>
    <n v="448"/>
    <n v="88"/>
    <s v="Product 94"/>
    <x v="33"/>
    <s v="Henry Nelson"/>
    <x v="670"/>
    <n v="5"/>
    <x v="4"/>
    <x v="3"/>
    <x v="3"/>
    <x v="1"/>
    <x v="0"/>
  </r>
  <r>
    <s v="AX10038"/>
    <s v="ENX2098"/>
    <s v="A143"/>
    <s v="EMP1039"/>
    <s v="C1674"/>
    <x v="501"/>
    <n v="1"/>
    <n v="1178"/>
    <n v="683"/>
    <n v="683"/>
    <n v="1178"/>
    <n v="495"/>
    <s v="Product 99"/>
    <x v="39"/>
    <s v="Eugene Holmes"/>
    <x v="774"/>
    <n v="5"/>
    <x v="4"/>
    <x v="3"/>
    <x v="3"/>
    <x v="1"/>
    <x v="2"/>
  </r>
  <r>
    <s v="AX10083"/>
    <s v="ENX2092"/>
    <s v="A112"/>
    <s v="EMP1002"/>
    <s v="C1257"/>
    <x v="502"/>
    <n v="3"/>
    <n v="1639"/>
    <n v="1295"/>
    <n v="3885"/>
    <n v="4917"/>
    <n v="1032"/>
    <s v="Product 93"/>
    <x v="66"/>
    <s v="Andrew Bowman"/>
    <x v="287"/>
    <n v="5"/>
    <x v="4"/>
    <x v="3"/>
    <x v="3"/>
    <x v="1"/>
    <x v="2"/>
  </r>
  <r>
    <s v="AX10238"/>
    <s v="ENX2038"/>
    <s v="A105"/>
    <s v="EMP1004"/>
    <s v="C1780"/>
    <x v="502"/>
    <n v="1"/>
    <n v="392"/>
    <n v="255"/>
    <n v="255"/>
    <n v="392"/>
    <n v="137"/>
    <s v="Product 39"/>
    <x v="45"/>
    <s v="Kenneth Bradley"/>
    <x v="320"/>
    <n v="5"/>
    <x v="4"/>
    <x v="3"/>
    <x v="3"/>
    <x v="1"/>
    <x v="2"/>
  </r>
  <r>
    <s v="AX10345"/>
    <s v="ENX2087"/>
    <s v="A152"/>
    <s v="EMP1034"/>
    <s v="C1288"/>
    <x v="502"/>
    <n v="1"/>
    <n v="1022"/>
    <n v="818"/>
    <n v="818"/>
    <n v="1022"/>
    <n v="204"/>
    <s v="Product 88"/>
    <x v="26"/>
    <s v="Arthur Mccoy"/>
    <x v="674"/>
    <n v="5"/>
    <x v="4"/>
    <x v="3"/>
    <x v="3"/>
    <x v="1"/>
    <x v="2"/>
  </r>
  <r>
    <s v="AX10426"/>
    <s v="ENX2088"/>
    <s v="A147"/>
    <s v="EMP1032"/>
    <s v="C1103"/>
    <x v="503"/>
    <n v="1"/>
    <n v="603"/>
    <n v="416"/>
    <n v="416"/>
    <n v="603"/>
    <n v="187"/>
    <s v="Product 89"/>
    <x v="42"/>
    <s v="Larry Castillo"/>
    <x v="336"/>
    <n v="5"/>
    <x v="4"/>
    <x v="3"/>
    <x v="3"/>
    <x v="1"/>
    <x v="2"/>
  </r>
  <r>
    <s v="AX10781"/>
    <s v="ENX2015"/>
    <s v="A113"/>
    <s v="EMP1043"/>
    <s v="C1232"/>
    <x v="501"/>
    <n v="1"/>
    <n v="637"/>
    <n v="389"/>
    <n v="389"/>
    <n v="637"/>
    <n v="248"/>
    <s v="Product 16"/>
    <x v="73"/>
    <s v="Joshua Taylor"/>
    <x v="584"/>
    <n v="5"/>
    <x v="4"/>
    <x v="3"/>
    <x v="3"/>
    <x v="1"/>
    <x v="2"/>
  </r>
  <r>
    <s v="AX10875"/>
    <s v="ENX2052"/>
    <s v="A144"/>
    <s v="EMP1024"/>
    <s v="C1414"/>
    <x v="502"/>
    <n v="1"/>
    <n v="1526"/>
    <n v="1251"/>
    <n v="1251"/>
    <n v="1526"/>
    <n v="275"/>
    <s v="Product 53"/>
    <x v="65"/>
    <s v="Ernest Wheeler"/>
    <x v="140"/>
    <n v="5"/>
    <x v="4"/>
    <x v="3"/>
    <x v="3"/>
    <x v="1"/>
    <x v="2"/>
  </r>
  <r>
    <s v="AX11019"/>
    <s v="ENX2023"/>
    <s v="A132"/>
    <s v="EMP1039"/>
    <s v="C1445"/>
    <x v="504"/>
    <n v="3"/>
    <n v="818"/>
    <n v="450"/>
    <n v="1350"/>
    <n v="2454"/>
    <n v="1104"/>
    <s v="Product 24"/>
    <x v="48"/>
    <s v="Eugene Holmes"/>
    <x v="239"/>
    <n v="5"/>
    <x v="4"/>
    <x v="3"/>
    <x v="3"/>
    <x v="1"/>
    <x v="2"/>
  </r>
  <r>
    <s v="AX11613"/>
    <s v="ENX2038"/>
    <s v="A165"/>
    <s v="EMP1019"/>
    <s v="C1356"/>
    <x v="503"/>
    <n v="1"/>
    <n v="392"/>
    <n v="255"/>
    <n v="255"/>
    <n v="392"/>
    <n v="137"/>
    <s v="Product 39"/>
    <x v="55"/>
    <s v="Roger Robertson"/>
    <x v="238"/>
    <n v="5"/>
    <x v="4"/>
    <x v="3"/>
    <x v="3"/>
    <x v="1"/>
    <x v="2"/>
  </r>
  <r>
    <s v="AX11768"/>
    <s v="ENX2083"/>
    <s v="A164"/>
    <s v="EMP1025"/>
    <s v="C1295"/>
    <x v="503"/>
    <n v="1"/>
    <n v="2141"/>
    <n v="1777"/>
    <n v="1777"/>
    <n v="2141"/>
    <n v="364"/>
    <s v="Product 84"/>
    <x v="3"/>
    <s v="Ernest Wagner"/>
    <x v="373"/>
    <n v="5"/>
    <x v="4"/>
    <x v="3"/>
    <x v="3"/>
    <x v="1"/>
    <x v="2"/>
  </r>
  <r>
    <s v="AX11997"/>
    <s v="ENX2091"/>
    <s v="A150"/>
    <s v="EMP1013"/>
    <s v="C1245"/>
    <x v="503"/>
    <n v="1"/>
    <n v="368"/>
    <n v="294"/>
    <n v="294"/>
    <n v="368"/>
    <n v="74"/>
    <s v="Product 92"/>
    <x v="30"/>
    <s v="Charles Harper"/>
    <x v="165"/>
    <n v="5"/>
    <x v="4"/>
    <x v="3"/>
    <x v="3"/>
    <x v="1"/>
    <x v="2"/>
  </r>
  <r>
    <s v="AX12202"/>
    <s v="ENX2090"/>
    <s v="A109"/>
    <s v="EMP1014"/>
    <s v="C1791"/>
    <x v="502"/>
    <n v="3"/>
    <n v="1338"/>
    <n v="682"/>
    <n v="2046"/>
    <n v="4014"/>
    <n v="1968"/>
    <s v="Product 91"/>
    <x v="57"/>
    <s v="Ronald Reed"/>
    <x v="193"/>
    <n v="5"/>
    <x v="4"/>
    <x v="3"/>
    <x v="3"/>
    <x v="1"/>
    <x v="2"/>
  </r>
  <r>
    <s v="AX12530"/>
    <s v="ENX2043"/>
    <s v="A135"/>
    <s v="EMP1029"/>
    <s v="C1364"/>
    <x v="501"/>
    <n v="1"/>
    <n v="545"/>
    <n v="425"/>
    <n v="425"/>
    <n v="545"/>
    <n v="120"/>
    <s v="Product 44"/>
    <x v="10"/>
    <s v="Howard Gardner"/>
    <x v="477"/>
    <n v="5"/>
    <x v="4"/>
    <x v="3"/>
    <x v="3"/>
    <x v="1"/>
    <x v="2"/>
  </r>
  <r>
    <s v="AX12741"/>
    <s v="ENX2044"/>
    <s v="A155"/>
    <s v="EMP1010"/>
    <s v="C1384"/>
    <x v="501"/>
    <n v="2"/>
    <n v="886"/>
    <n v="478"/>
    <n v="956"/>
    <n v="1772"/>
    <n v="816"/>
    <s v="Product 45"/>
    <x v="53"/>
    <s v="Joshua Cook"/>
    <x v="690"/>
    <n v="5"/>
    <x v="4"/>
    <x v="3"/>
    <x v="3"/>
    <x v="1"/>
    <x v="2"/>
  </r>
  <r>
    <s v="AX12873"/>
    <s v="ENX2068"/>
    <s v="A160"/>
    <s v="EMP1034"/>
    <s v="C1148"/>
    <x v="502"/>
    <n v="3"/>
    <n v="1500"/>
    <n v="900"/>
    <n v="2700"/>
    <n v="4500"/>
    <n v="1800"/>
    <s v="Product 69"/>
    <x v="9"/>
    <s v="Arthur Mccoy"/>
    <x v="55"/>
    <n v="5"/>
    <x v="4"/>
    <x v="3"/>
    <x v="3"/>
    <x v="1"/>
    <x v="2"/>
  </r>
  <r>
    <s v="AX13348"/>
    <s v="ENX2085"/>
    <s v="A170"/>
    <s v="EMP1021"/>
    <s v="C1567"/>
    <x v="503"/>
    <n v="3"/>
    <n v="1862"/>
    <n v="1173"/>
    <n v="3519"/>
    <n v="5586"/>
    <n v="2067"/>
    <s v="Product 86"/>
    <x v="47"/>
    <s v="Clarence Fox"/>
    <x v="251"/>
    <n v="5"/>
    <x v="4"/>
    <x v="3"/>
    <x v="3"/>
    <x v="1"/>
    <x v="2"/>
  </r>
  <r>
    <s v="AX13665"/>
    <s v="ENX2042"/>
    <s v="A127"/>
    <s v="EMP1029"/>
    <s v="C1476"/>
    <x v="502"/>
    <n v="2"/>
    <n v="203"/>
    <n v="154"/>
    <n v="308"/>
    <n v="406"/>
    <n v="98"/>
    <s v="Product 43"/>
    <x v="69"/>
    <s v="Howard Gardner"/>
    <x v="207"/>
    <n v="5"/>
    <x v="4"/>
    <x v="3"/>
    <x v="3"/>
    <x v="1"/>
    <x v="2"/>
  </r>
  <r>
    <s v="AX13924"/>
    <s v="ENX2017"/>
    <s v="A142"/>
    <s v="EMP1018"/>
    <s v="C1407"/>
    <x v="503"/>
    <n v="2"/>
    <n v="35"/>
    <n v="22"/>
    <n v="44"/>
    <n v="70"/>
    <n v="26"/>
    <s v="Product 18"/>
    <x v="56"/>
    <s v="Jimmy Young"/>
    <x v="294"/>
    <n v="5"/>
    <x v="4"/>
    <x v="3"/>
    <x v="3"/>
    <x v="1"/>
    <x v="2"/>
  </r>
  <r>
    <s v="AX14484"/>
    <s v="ENX2010"/>
    <s v="A156"/>
    <s v="EMP1027"/>
    <s v="C1601"/>
    <x v="502"/>
    <n v="1"/>
    <n v="1812"/>
    <n v="1305"/>
    <n v="1305"/>
    <n v="1812"/>
    <n v="507"/>
    <s v="Product 11"/>
    <x v="14"/>
    <s v="Gary Rodriguez"/>
    <x v="324"/>
    <n v="5"/>
    <x v="4"/>
    <x v="3"/>
    <x v="3"/>
    <x v="1"/>
    <x v="2"/>
  </r>
  <r>
    <s v="AX14846"/>
    <s v="ENX2068"/>
    <s v="A143"/>
    <s v="EMP1037"/>
    <s v="C1079"/>
    <x v="504"/>
    <n v="3"/>
    <n v="1500"/>
    <n v="900"/>
    <n v="2700"/>
    <n v="4500"/>
    <n v="1800"/>
    <s v="Product 69"/>
    <x v="39"/>
    <s v="Carl Hall"/>
    <x v="370"/>
    <n v="5"/>
    <x v="4"/>
    <x v="3"/>
    <x v="3"/>
    <x v="1"/>
    <x v="2"/>
  </r>
  <r>
    <s v="AX14965"/>
    <s v="ENX2070"/>
    <s v="A110"/>
    <s v="EMP1022"/>
    <s v="C1750"/>
    <x v="504"/>
    <n v="2"/>
    <n v="1671"/>
    <n v="1220"/>
    <n v="2440"/>
    <n v="3342"/>
    <n v="902"/>
    <s v="Product 71"/>
    <x v="63"/>
    <s v="Walter Cook"/>
    <x v="591"/>
    <n v="5"/>
    <x v="4"/>
    <x v="3"/>
    <x v="3"/>
    <x v="1"/>
    <x v="2"/>
  </r>
  <r>
    <s v="AX15050"/>
    <s v="ENX2021"/>
    <s v="A146"/>
    <s v="EMP1026"/>
    <s v="C1441"/>
    <x v="502"/>
    <n v="4"/>
    <n v="217"/>
    <n v="171"/>
    <n v="684"/>
    <n v="868"/>
    <n v="184"/>
    <s v="Product 22"/>
    <x v="27"/>
    <s v="Martin Perry"/>
    <x v="667"/>
    <n v="5"/>
    <x v="4"/>
    <x v="3"/>
    <x v="3"/>
    <x v="1"/>
    <x v="2"/>
  </r>
  <r>
    <s v="AX15153"/>
    <s v="ENX2042"/>
    <s v="A149"/>
    <s v="EMP1040"/>
    <s v="C1527"/>
    <x v="504"/>
    <n v="1"/>
    <n v="203"/>
    <n v="154"/>
    <n v="154"/>
    <n v="203"/>
    <n v="49"/>
    <s v="Product 43"/>
    <x v="59"/>
    <s v="Patrick Ruiz"/>
    <x v="375"/>
    <n v="5"/>
    <x v="4"/>
    <x v="3"/>
    <x v="3"/>
    <x v="1"/>
    <x v="2"/>
  </r>
  <r>
    <s v="AX15559"/>
    <s v="ENX2042"/>
    <s v="A166"/>
    <s v="EMP1021"/>
    <s v="C1304"/>
    <x v="503"/>
    <n v="4"/>
    <n v="203"/>
    <n v="154"/>
    <n v="616"/>
    <n v="812"/>
    <n v="196"/>
    <s v="Product 43"/>
    <x v="70"/>
    <s v="Clarence Fox"/>
    <x v="298"/>
    <n v="5"/>
    <x v="4"/>
    <x v="3"/>
    <x v="3"/>
    <x v="1"/>
    <x v="2"/>
  </r>
  <r>
    <s v="AX16243"/>
    <s v="ENX2012"/>
    <s v="A130"/>
    <s v="EMP1007"/>
    <s v="C1501"/>
    <x v="501"/>
    <n v="1"/>
    <n v="1353"/>
    <n v="947"/>
    <n v="947"/>
    <n v="1353"/>
    <n v="406"/>
    <s v="Product 13"/>
    <x v="4"/>
    <s v="Jeremy Mendoza"/>
    <x v="387"/>
    <n v="5"/>
    <x v="4"/>
    <x v="3"/>
    <x v="3"/>
    <x v="1"/>
    <x v="2"/>
  </r>
  <r>
    <s v="AX16516"/>
    <s v="ENX2017"/>
    <s v="A113"/>
    <s v="EMP1002"/>
    <s v="C1759"/>
    <x v="501"/>
    <n v="1"/>
    <n v="35"/>
    <n v="22"/>
    <n v="22"/>
    <n v="35"/>
    <n v="13"/>
    <s v="Product 18"/>
    <x v="73"/>
    <s v="Andrew Bowman"/>
    <x v="355"/>
    <n v="5"/>
    <x v="4"/>
    <x v="3"/>
    <x v="3"/>
    <x v="1"/>
    <x v="2"/>
  </r>
  <r>
    <s v="AX16896"/>
    <s v="ENX2070"/>
    <s v="A172"/>
    <s v="EMP1021"/>
    <s v="C1112"/>
    <x v="503"/>
    <n v="2"/>
    <n v="1671"/>
    <n v="1220"/>
    <n v="2440"/>
    <n v="3342"/>
    <n v="902"/>
    <s v="Product 71"/>
    <x v="36"/>
    <s v="Clarence Fox"/>
    <x v="590"/>
    <n v="5"/>
    <x v="4"/>
    <x v="3"/>
    <x v="3"/>
    <x v="1"/>
    <x v="2"/>
  </r>
  <r>
    <s v="AX16925"/>
    <s v="ENX2057"/>
    <s v="A101"/>
    <s v="EMP1002"/>
    <s v="C1047"/>
    <x v="501"/>
    <n v="1"/>
    <n v="181"/>
    <n v="130"/>
    <n v="130"/>
    <n v="181"/>
    <n v="51"/>
    <s v="Product 58"/>
    <x v="60"/>
    <s v="Andrew Bowman"/>
    <x v="486"/>
    <n v="5"/>
    <x v="4"/>
    <x v="3"/>
    <x v="3"/>
    <x v="1"/>
    <x v="2"/>
  </r>
  <r>
    <s v="AX17142"/>
    <s v="ENX2003"/>
    <s v="A120"/>
    <s v="EMP1033"/>
    <s v="C1310"/>
    <x v="501"/>
    <n v="3"/>
    <n v="1783"/>
    <n v="1516"/>
    <n v="4548"/>
    <n v="5349"/>
    <n v="801"/>
    <s v="Product 4"/>
    <x v="20"/>
    <s v="Jerry Perry"/>
    <x v="169"/>
    <n v="5"/>
    <x v="4"/>
    <x v="3"/>
    <x v="3"/>
    <x v="1"/>
    <x v="2"/>
  </r>
  <r>
    <s v="AX17146"/>
    <s v="ENX2096"/>
    <s v="A128"/>
    <s v="EMP1028"/>
    <s v="C1359"/>
    <x v="503"/>
    <n v="1"/>
    <n v="1587"/>
    <n v="1301"/>
    <n v="1301"/>
    <n v="1587"/>
    <n v="286"/>
    <s v="Product 97"/>
    <x v="12"/>
    <s v="Howard Sims"/>
    <x v="652"/>
    <n v="5"/>
    <x v="4"/>
    <x v="3"/>
    <x v="3"/>
    <x v="1"/>
    <x v="2"/>
  </r>
  <r>
    <s v="AX18043"/>
    <s v="ENX2056"/>
    <s v="A117"/>
    <s v="EMP1037"/>
    <s v="C1754"/>
    <x v="502"/>
    <n v="1"/>
    <n v="1635"/>
    <n v="1046"/>
    <n v="1046"/>
    <n v="1635"/>
    <n v="589"/>
    <s v="Product 57"/>
    <x v="29"/>
    <s v="Carl Hall"/>
    <x v="742"/>
    <n v="5"/>
    <x v="4"/>
    <x v="3"/>
    <x v="3"/>
    <x v="1"/>
    <x v="2"/>
  </r>
  <r>
    <s v="AX19001"/>
    <s v="ENX2033"/>
    <s v="A105"/>
    <s v="EMP1042"/>
    <s v="C1794"/>
    <x v="502"/>
    <n v="2"/>
    <n v="2182"/>
    <n v="1200"/>
    <n v="2400"/>
    <n v="4364"/>
    <n v="1964"/>
    <s v="Product 34"/>
    <x v="45"/>
    <s v="Scott Clark"/>
    <x v="411"/>
    <n v="5"/>
    <x v="4"/>
    <x v="3"/>
    <x v="3"/>
    <x v="1"/>
    <x v="2"/>
  </r>
  <r>
    <s v="AX19509"/>
    <s v="ENX2002"/>
    <s v="A162"/>
    <s v="EMP1015"/>
    <s v="C1095"/>
    <x v="502"/>
    <n v="1"/>
    <n v="847"/>
    <n v="534"/>
    <n v="534"/>
    <n v="847"/>
    <n v="313"/>
    <s v="Product 3"/>
    <x v="2"/>
    <s v="Justin Lynch"/>
    <x v="240"/>
    <n v="5"/>
    <x v="4"/>
    <x v="3"/>
    <x v="3"/>
    <x v="1"/>
    <x v="2"/>
  </r>
  <r>
    <s v="AX19526"/>
    <s v="ENX2012"/>
    <s v="A154"/>
    <s v="EMP1032"/>
    <s v="C1142"/>
    <x v="502"/>
    <n v="1"/>
    <n v="1353"/>
    <n v="947"/>
    <n v="947"/>
    <n v="1353"/>
    <n v="406"/>
    <s v="Product 13"/>
    <x v="24"/>
    <s v="Larry Castillo"/>
    <x v="731"/>
    <n v="5"/>
    <x v="4"/>
    <x v="3"/>
    <x v="3"/>
    <x v="1"/>
    <x v="2"/>
  </r>
  <r>
    <s v="AX19849"/>
    <s v="ENX2018"/>
    <s v="A133"/>
    <s v="EMP1037"/>
    <s v="C1057"/>
    <x v="501"/>
    <n v="2"/>
    <n v="1972"/>
    <n v="1321"/>
    <n v="2642"/>
    <n v="3944"/>
    <n v="1302"/>
    <s v="Product 19"/>
    <x v="46"/>
    <s v="Carl Hall"/>
    <x v="635"/>
    <n v="5"/>
    <x v="4"/>
    <x v="3"/>
    <x v="3"/>
    <x v="1"/>
    <x v="2"/>
  </r>
  <r>
    <s v="AX20181"/>
    <s v="ENX2023"/>
    <s v="A165"/>
    <s v="EMP1003"/>
    <s v="C1192"/>
    <x v="502"/>
    <n v="2"/>
    <n v="818"/>
    <n v="450"/>
    <n v="900"/>
    <n v="1636"/>
    <n v="736"/>
    <s v="Product 24"/>
    <x v="55"/>
    <s v="Christopher Tucker"/>
    <x v="746"/>
    <n v="5"/>
    <x v="4"/>
    <x v="3"/>
    <x v="3"/>
    <x v="1"/>
    <x v="2"/>
  </r>
  <r>
    <s v="AX20769"/>
    <s v="ENX2036"/>
    <s v="A162"/>
    <s v="EMP1023"/>
    <s v="C1320"/>
    <x v="502"/>
    <n v="1"/>
    <n v="1582"/>
    <n v="1234"/>
    <n v="1234"/>
    <n v="1582"/>
    <n v="348"/>
    <s v="Product 37"/>
    <x v="2"/>
    <s v="Brian Davis"/>
    <x v="480"/>
    <n v="5"/>
    <x v="4"/>
    <x v="3"/>
    <x v="3"/>
    <x v="1"/>
    <x v="2"/>
  </r>
  <r>
    <s v="AX20872"/>
    <s v="ENX2094"/>
    <s v="A123"/>
    <s v="EMP1000"/>
    <s v="C1325"/>
    <x v="504"/>
    <n v="2"/>
    <n v="771"/>
    <n v="648"/>
    <n v="1296"/>
    <n v="1542"/>
    <n v="246"/>
    <s v="Product 95"/>
    <x v="34"/>
    <s v="Fred Robertson"/>
    <x v="67"/>
    <n v="5"/>
    <x v="4"/>
    <x v="3"/>
    <x v="3"/>
    <x v="1"/>
    <x v="2"/>
  </r>
  <r>
    <s v="AX20971"/>
    <s v="ENX2000"/>
    <s v="A100"/>
    <s v="EMP1026"/>
    <s v="C1767"/>
    <x v="504"/>
    <n v="2"/>
    <n v="2241"/>
    <n v="1367"/>
    <n v="2734"/>
    <n v="4482"/>
    <n v="1748"/>
    <s v="Product 1"/>
    <x v="52"/>
    <s v="Martin Perry"/>
    <x v="4"/>
    <n v="5"/>
    <x v="4"/>
    <x v="3"/>
    <x v="3"/>
    <x v="1"/>
    <x v="2"/>
  </r>
  <r>
    <s v="AX21371"/>
    <s v="ENX2097"/>
    <s v="A110"/>
    <s v="EMP1008"/>
    <s v="C1306"/>
    <x v="501"/>
    <n v="3"/>
    <n v="1052"/>
    <n v="589"/>
    <n v="1767"/>
    <n v="3156"/>
    <n v="1389"/>
    <s v="Product 98"/>
    <x v="63"/>
    <s v="Carl Elliott"/>
    <x v="692"/>
    <n v="5"/>
    <x v="4"/>
    <x v="3"/>
    <x v="3"/>
    <x v="1"/>
    <x v="2"/>
  </r>
  <r>
    <s v="AX21612"/>
    <s v="ENX2051"/>
    <s v="A145"/>
    <s v="EMP1025"/>
    <s v="C1235"/>
    <x v="502"/>
    <n v="1"/>
    <n v="1077"/>
    <n v="732"/>
    <n v="732"/>
    <n v="1077"/>
    <n v="345"/>
    <s v="Product 52"/>
    <x v="35"/>
    <s v="Ernest Wagner"/>
    <x v="353"/>
    <n v="5"/>
    <x v="4"/>
    <x v="3"/>
    <x v="3"/>
    <x v="1"/>
    <x v="2"/>
  </r>
  <r>
    <s v="AX21649"/>
    <s v="ENX2073"/>
    <s v="A129"/>
    <s v="EMP1035"/>
    <s v="C1600"/>
    <x v="504"/>
    <n v="3"/>
    <n v="95"/>
    <n v="61"/>
    <n v="183"/>
    <n v="285"/>
    <n v="102"/>
    <s v="Product 74"/>
    <x v="22"/>
    <s v="Roger Ramos"/>
    <x v="266"/>
    <n v="5"/>
    <x v="4"/>
    <x v="3"/>
    <x v="3"/>
    <x v="1"/>
    <x v="2"/>
  </r>
  <r>
    <s v="AX21894"/>
    <s v="ENX2003"/>
    <s v="A141"/>
    <s v="EMP1006"/>
    <s v="C1405"/>
    <x v="503"/>
    <n v="1"/>
    <n v="1783"/>
    <n v="1516"/>
    <n v="1516"/>
    <n v="1783"/>
    <n v="267"/>
    <s v="Product 4"/>
    <x v="23"/>
    <s v="Sean Miller"/>
    <x v="544"/>
    <n v="5"/>
    <x v="4"/>
    <x v="3"/>
    <x v="3"/>
    <x v="1"/>
    <x v="2"/>
  </r>
  <r>
    <s v="AX22813"/>
    <s v="ENX2012"/>
    <s v="A140"/>
    <s v="EMP1025"/>
    <s v="C1794"/>
    <x v="504"/>
    <n v="3"/>
    <n v="1353"/>
    <n v="947"/>
    <n v="2841"/>
    <n v="4059"/>
    <n v="1218"/>
    <s v="Product 13"/>
    <x v="18"/>
    <s v="Ernest Wagner"/>
    <x v="411"/>
    <n v="5"/>
    <x v="4"/>
    <x v="3"/>
    <x v="3"/>
    <x v="1"/>
    <x v="2"/>
  </r>
  <r>
    <s v="AX23069"/>
    <s v="ENX2099"/>
    <s v="A104"/>
    <s v="EMP1007"/>
    <s v="C1663"/>
    <x v="501"/>
    <n v="1"/>
    <n v="1367"/>
    <n v="984"/>
    <n v="984"/>
    <n v="1367"/>
    <n v="383"/>
    <s v="Product 100"/>
    <x v="50"/>
    <s v="Jeremy Mendoza"/>
    <x v="602"/>
    <n v="5"/>
    <x v="4"/>
    <x v="3"/>
    <x v="3"/>
    <x v="1"/>
    <x v="2"/>
  </r>
  <r>
    <s v="AX23341"/>
    <s v="ENX2044"/>
    <s v="A121"/>
    <s v="EMP1023"/>
    <s v="C1372"/>
    <x v="501"/>
    <n v="1"/>
    <n v="886"/>
    <n v="478"/>
    <n v="478"/>
    <n v="886"/>
    <n v="408"/>
    <s v="Product 45"/>
    <x v="72"/>
    <s v="Brian Davis"/>
    <x v="60"/>
    <n v="5"/>
    <x v="4"/>
    <x v="3"/>
    <x v="3"/>
    <x v="1"/>
    <x v="2"/>
  </r>
  <r>
    <s v="AX23590"/>
    <s v="ENX2024"/>
    <s v="A150"/>
    <s v="EMP1004"/>
    <s v="C1383"/>
    <x v="501"/>
    <n v="1"/>
    <n v="356"/>
    <n v="292"/>
    <n v="292"/>
    <n v="356"/>
    <n v="64"/>
    <s v="Product 25"/>
    <x v="30"/>
    <s v="Kenneth Bradley"/>
    <x v="508"/>
    <n v="5"/>
    <x v="4"/>
    <x v="3"/>
    <x v="3"/>
    <x v="1"/>
    <x v="2"/>
  </r>
  <r>
    <s v="AX23605"/>
    <s v="ENX2011"/>
    <s v="A166"/>
    <s v="EMP1033"/>
    <s v="C1424"/>
    <x v="504"/>
    <n v="1"/>
    <n v="530"/>
    <n v="435"/>
    <n v="435"/>
    <n v="530"/>
    <n v="95"/>
    <s v="Product 12"/>
    <x v="70"/>
    <s v="Jerry Perry"/>
    <x v="791"/>
    <n v="5"/>
    <x v="4"/>
    <x v="3"/>
    <x v="3"/>
    <x v="1"/>
    <x v="2"/>
  </r>
  <r>
    <s v="AX23704"/>
    <s v="ENX2075"/>
    <s v="A107"/>
    <s v="EMP1029"/>
    <s v="C1274"/>
    <x v="502"/>
    <n v="1"/>
    <n v="400"/>
    <n v="208"/>
    <n v="208"/>
    <n v="400"/>
    <n v="192"/>
    <s v="Product 76"/>
    <x v="21"/>
    <s v="Howard Gardner"/>
    <x v="173"/>
    <n v="5"/>
    <x v="4"/>
    <x v="3"/>
    <x v="3"/>
    <x v="1"/>
    <x v="2"/>
  </r>
  <r>
    <s v="AX23932"/>
    <s v="ENX2040"/>
    <s v="A100"/>
    <s v="EMP1017"/>
    <s v="C1138"/>
    <x v="502"/>
    <n v="1"/>
    <n v="1889"/>
    <n v="945"/>
    <n v="945"/>
    <n v="1889"/>
    <n v="944"/>
    <s v="Product 41"/>
    <x v="52"/>
    <s v="Brian Hansen"/>
    <x v="325"/>
    <n v="5"/>
    <x v="4"/>
    <x v="3"/>
    <x v="3"/>
    <x v="1"/>
    <x v="2"/>
  </r>
  <r>
    <s v="AX24488"/>
    <s v="ENX2008"/>
    <s v="A129"/>
    <s v="EMP1009"/>
    <s v="C1545"/>
    <x v="504"/>
    <n v="1"/>
    <n v="315"/>
    <n v="208"/>
    <n v="208"/>
    <n v="315"/>
    <n v="107"/>
    <s v="Product 9"/>
    <x v="22"/>
    <s v="Kenneth Fields"/>
    <x v="646"/>
    <n v="5"/>
    <x v="4"/>
    <x v="3"/>
    <x v="3"/>
    <x v="1"/>
    <x v="2"/>
  </r>
  <r>
    <s v="AX24638"/>
    <s v="ENX2045"/>
    <s v="A131"/>
    <s v="EMP1039"/>
    <s v="C1211"/>
    <x v="504"/>
    <n v="3"/>
    <n v="556"/>
    <n v="395"/>
    <n v="1185"/>
    <n v="1668"/>
    <n v="483"/>
    <s v="Product 46"/>
    <x v="32"/>
    <s v="Eugene Holmes"/>
    <x v="137"/>
    <n v="5"/>
    <x v="4"/>
    <x v="3"/>
    <x v="3"/>
    <x v="1"/>
    <x v="2"/>
  </r>
  <r>
    <s v="AX24760"/>
    <s v="ENX2039"/>
    <s v="A107"/>
    <s v="EMP1028"/>
    <s v="C1501"/>
    <x v="504"/>
    <n v="3"/>
    <n v="817"/>
    <n v="409"/>
    <n v="1227"/>
    <n v="2451"/>
    <n v="1224"/>
    <s v="Product 40"/>
    <x v="21"/>
    <s v="Howard Sims"/>
    <x v="387"/>
    <n v="5"/>
    <x v="4"/>
    <x v="3"/>
    <x v="3"/>
    <x v="1"/>
    <x v="2"/>
  </r>
  <r>
    <s v="AX24781"/>
    <s v="ENX2043"/>
    <s v="A127"/>
    <s v="EMP1019"/>
    <s v="C1460"/>
    <x v="501"/>
    <n v="1"/>
    <n v="545"/>
    <n v="425"/>
    <n v="425"/>
    <n v="545"/>
    <n v="120"/>
    <s v="Product 44"/>
    <x v="69"/>
    <s v="Roger Robertson"/>
    <x v="613"/>
    <n v="5"/>
    <x v="4"/>
    <x v="3"/>
    <x v="3"/>
    <x v="1"/>
    <x v="2"/>
  </r>
  <r>
    <s v="AX24988"/>
    <s v="ENX2079"/>
    <s v="A142"/>
    <s v="EMP1010"/>
    <s v="C1305"/>
    <x v="501"/>
    <n v="1"/>
    <n v="1725"/>
    <n v="1363"/>
    <n v="1363"/>
    <n v="1725"/>
    <n v="362"/>
    <s v="Product 80"/>
    <x v="56"/>
    <s v="Joshua Cook"/>
    <x v="344"/>
    <n v="5"/>
    <x v="4"/>
    <x v="3"/>
    <x v="3"/>
    <x v="1"/>
    <x v="2"/>
  </r>
  <r>
    <s v="AX10107"/>
    <s v="ENX2054"/>
    <s v="A146"/>
    <s v="EMP1005"/>
    <s v="C1052"/>
    <x v="505"/>
    <n v="1"/>
    <n v="127"/>
    <n v="79"/>
    <n v="79"/>
    <n v="127"/>
    <n v="48"/>
    <s v="Product 55"/>
    <x v="27"/>
    <s v="Ryan Welch"/>
    <x v="638"/>
    <n v="5"/>
    <x v="4"/>
    <x v="4"/>
    <x v="4"/>
    <x v="1"/>
    <x v="0"/>
  </r>
  <r>
    <s v="AX10152"/>
    <s v="ENX2027"/>
    <s v="A146"/>
    <s v="EMP1043"/>
    <s v="C1314"/>
    <x v="506"/>
    <n v="4"/>
    <n v="2497"/>
    <n v="1473"/>
    <n v="5892"/>
    <n v="9988"/>
    <n v="4096"/>
    <s v="Product 28"/>
    <x v="27"/>
    <s v="Joshua Taylor"/>
    <x v="421"/>
    <n v="5"/>
    <x v="4"/>
    <x v="4"/>
    <x v="4"/>
    <x v="1"/>
    <x v="0"/>
  </r>
  <r>
    <s v="AX10332"/>
    <s v="ENX2077"/>
    <s v="A116"/>
    <s v="EMP1032"/>
    <s v="C1325"/>
    <x v="507"/>
    <n v="3"/>
    <n v="530"/>
    <n v="424"/>
    <n v="1272"/>
    <n v="1590"/>
    <n v="318"/>
    <s v="Product 78"/>
    <x v="15"/>
    <s v="Larry Castillo"/>
    <x v="67"/>
    <n v="5"/>
    <x v="4"/>
    <x v="4"/>
    <x v="4"/>
    <x v="1"/>
    <x v="0"/>
  </r>
  <r>
    <s v="AX10582"/>
    <s v="ENX2070"/>
    <s v="A126"/>
    <s v="EMP1024"/>
    <s v="C1239"/>
    <x v="506"/>
    <n v="2"/>
    <n v="1671"/>
    <n v="1220"/>
    <n v="2440"/>
    <n v="3342"/>
    <n v="902"/>
    <s v="Product 71"/>
    <x v="5"/>
    <s v="Ernest Wheeler"/>
    <x v="479"/>
    <n v="5"/>
    <x v="4"/>
    <x v="4"/>
    <x v="4"/>
    <x v="1"/>
    <x v="0"/>
  </r>
  <r>
    <s v="AX10889"/>
    <s v="ENX2073"/>
    <s v="A156"/>
    <s v="EMP1026"/>
    <s v="C1164"/>
    <x v="507"/>
    <n v="1"/>
    <n v="95"/>
    <n v="61"/>
    <n v="61"/>
    <n v="95"/>
    <n v="34"/>
    <s v="Product 74"/>
    <x v="14"/>
    <s v="Martin Perry"/>
    <x v="149"/>
    <n v="5"/>
    <x v="4"/>
    <x v="4"/>
    <x v="4"/>
    <x v="1"/>
    <x v="0"/>
  </r>
  <r>
    <s v="AX11111"/>
    <s v="ENX2016"/>
    <s v="A131"/>
    <s v="EMP1039"/>
    <s v="C1032"/>
    <x v="508"/>
    <n v="1"/>
    <n v="1351"/>
    <n v="1108"/>
    <n v="1108"/>
    <n v="1351"/>
    <n v="243"/>
    <s v="Product 17"/>
    <x v="32"/>
    <s v="Eugene Holmes"/>
    <x v="270"/>
    <n v="5"/>
    <x v="4"/>
    <x v="4"/>
    <x v="4"/>
    <x v="1"/>
    <x v="0"/>
  </r>
  <r>
    <s v="AX11324"/>
    <s v="ENX2085"/>
    <s v="A154"/>
    <s v="EMP1030"/>
    <s v="C1489"/>
    <x v="505"/>
    <n v="2"/>
    <n v="1862"/>
    <n v="1173"/>
    <n v="2346"/>
    <n v="3724"/>
    <n v="1378"/>
    <s v="Product 86"/>
    <x v="24"/>
    <s v="Bobby Russell"/>
    <x v="19"/>
    <n v="5"/>
    <x v="4"/>
    <x v="4"/>
    <x v="4"/>
    <x v="1"/>
    <x v="0"/>
  </r>
  <r>
    <s v="AX11409"/>
    <s v="ENX2070"/>
    <s v="A104"/>
    <s v="EMP1017"/>
    <s v="C1785"/>
    <x v="509"/>
    <n v="1"/>
    <n v="1671"/>
    <n v="1220"/>
    <n v="1220"/>
    <n v="1671"/>
    <n v="451"/>
    <s v="Product 71"/>
    <x v="50"/>
    <s v="Brian Hansen"/>
    <x v="107"/>
    <n v="5"/>
    <x v="4"/>
    <x v="4"/>
    <x v="4"/>
    <x v="1"/>
    <x v="0"/>
  </r>
  <r>
    <s v="AX11965"/>
    <s v="ENX2078"/>
    <s v="A114"/>
    <s v="EMP1024"/>
    <s v="C1644"/>
    <x v="505"/>
    <n v="1"/>
    <n v="1798"/>
    <n v="971"/>
    <n v="971"/>
    <n v="1798"/>
    <n v="827"/>
    <s v="Product 79"/>
    <x v="28"/>
    <s v="Ernest Wheeler"/>
    <x v="109"/>
    <n v="5"/>
    <x v="4"/>
    <x v="4"/>
    <x v="4"/>
    <x v="1"/>
    <x v="0"/>
  </r>
  <r>
    <s v="AX12081"/>
    <s v="ENX2078"/>
    <s v="A163"/>
    <s v="EMP1014"/>
    <s v="C1189"/>
    <x v="509"/>
    <n v="3"/>
    <n v="1798"/>
    <n v="971"/>
    <n v="2913"/>
    <n v="5394"/>
    <n v="2481"/>
    <s v="Product 79"/>
    <x v="51"/>
    <s v="Ronald Reed"/>
    <x v="752"/>
    <n v="5"/>
    <x v="4"/>
    <x v="4"/>
    <x v="4"/>
    <x v="1"/>
    <x v="0"/>
  </r>
  <r>
    <s v="AX12106"/>
    <s v="ENX2019"/>
    <s v="A114"/>
    <s v="EMP1003"/>
    <s v="C1421"/>
    <x v="509"/>
    <n v="2"/>
    <n v="800"/>
    <n v="536"/>
    <n v="1072"/>
    <n v="1600"/>
    <n v="528"/>
    <s v="Product 20"/>
    <x v="28"/>
    <s v="Christopher Tucker"/>
    <x v="564"/>
    <n v="5"/>
    <x v="4"/>
    <x v="4"/>
    <x v="4"/>
    <x v="1"/>
    <x v="0"/>
  </r>
  <r>
    <s v="AX12128"/>
    <s v="ENX2053"/>
    <s v="A169"/>
    <s v="EMP1037"/>
    <s v="C1735"/>
    <x v="507"/>
    <n v="2"/>
    <n v="596"/>
    <n v="358"/>
    <n v="716"/>
    <n v="1192"/>
    <n v="476"/>
    <s v="Product 54"/>
    <x v="17"/>
    <s v="Carl Hall"/>
    <x v="8"/>
    <n v="5"/>
    <x v="4"/>
    <x v="4"/>
    <x v="4"/>
    <x v="1"/>
    <x v="0"/>
  </r>
  <r>
    <s v="AX12224"/>
    <s v="ENX2024"/>
    <s v="A122"/>
    <s v="EMP1028"/>
    <s v="C1742"/>
    <x v="509"/>
    <n v="3"/>
    <n v="356"/>
    <n v="292"/>
    <n v="876"/>
    <n v="1068"/>
    <n v="192"/>
    <s v="Product 25"/>
    <x v="71"/>
    <s v="Howard Sims"/>
    <x v="434"/>
    <n v="5"/>
    <x v="4"/>
    <x v="4"/>
    <x v="4"/>
    <x v="1"/>
    <x v="0"/>
  </r>
  <r>
    <s v="AX12411"/>
    <s v="ENX2054"/>
    <s v="A161"/>
    <s v="EMP1021"/>
    <s v="C1777"/>
    <x v="508"/>
    <n v="1"/>
    <n v="127"/>
    <n v="79"/>
    <n v="79"/>
    <n v="127"/>
    <n v="48"/>
    <s v="Product 55"/>
    <x v="6"/>
    <s v="Clarence Fox"/>
    <x v="682"/>
    <n v="5"/>
    <x v="4"/>
    <x v="4"/>
    <x v="4"/>
    <x v="1"/>
    <x v="0"/>
  </r>
  <r>
    <s v="AX12698"/>
    <s v="ENX2037"/>
    <s v="A167"/>
    <s v="EMP1016"/>
    <s v="C1745"/>
    <x v="505"/>
    <n v="1"/>
    <n v="880"/>
    <n v="634"/>
    <n v="634"/>
    <n v="880"/>
    <n v="246"/>
    <s v="Product 38"/>
    <x v="64"/>
    <s v="Henry Nelson"/>
    <x v="784"/>
    <n v="5"/>
    <x v="4"/>
    <x v="4"/>
    <x v="4"/>
    <x v="1"/>
    <x v="0"/>
  </r>
  <r>
    <s v="AX12795"/>
    <s v="ENX2030"/>
    <s v="A166"/>
    <s v="EMP1026"/>
    <s v="C1725"/>
    <x v="506"/>
    <n v="1"/>
    <n v="1899"/>
    <n v="1044"/>
    <n v="1044"/>
    <n v="1899"/>
    <n v="855"/>
    <s v="Product 31"/>
    <x v="70"/>
    <s v="Martin Perry"/>
    <x v="81"/>
    <n v="5"/>
    <x v="4"/>
    <x v="4"/>
    <x v="4"/>
    <x v="1"/>
    <x v="0"/>
  </r>
  <r>
    <s v="AX12820"/>
    <s v="ENX2068"/>
    <s v="A173"/>
    <s v="EMP1019"/>
    <s v="C1365"/>
    <x v="507"/>
    <n v="1"/>
    <n v="1500"/>
    <n v="900"/>
    <n v="900"/>
    <n v="1500"/>
    <n v="600"/>
    <s v="Product 69"/>
    <x v="25"/>
    <s v="Roger Robertson"/>
    <x v="450"/>
    <n v="5"/>
    <x v="4"/>
    <x v="4"/>
    <x v="4"/>
    <x v="1"/>
    <x v="0"/>
  </r>
  <r>
    <s v="AX13177"/>
    <s v="ENX2078"/>
    <s v="A146"/>
    <s v="EMP1017"/>
    <s v="C1387"/>
    <x v="507"/>
    <n v="1"/>
    <n v="1798"/>
    <n v="971"/>
    <n v="971"/>
    <n v="1798"/>
    <n v="827"/>
    <s v="Product 79"/>
    <x v="27"/>
    <s v="Brian Hansen"/>
    <x v="346"/>
    <n v="5"/>
    <x v="4"/>
    <x v="4"/>
    <x v="4"/>
    <x v="1"/>
    <x v="0"/>
  </r>
  <r>
    <s v="AX13234"/>
    <s v="ENX2100"/>
    <s v="A165"/>
    <s v="EMP1014"/>
    <s v="C1431"/>
    <x v="507"/>
    <n v="1"/>
    <n v="799"/>
    <n v="455"/>
    <n v="455"/>
    <n v="799"/>
    <n v="344"/>
    <s v="Product 101"/>
    <x v="55"/>
    <s v="Ronald Reed"/>
    <x v="587"/>
    <n v="5"/>
    <x v="4"/>
    <x v="4"/>
    <x v="4"/>
    <x v="1"/>
    <x v="0"/>
  </r>
  <r>
    <s v="AX13498"/>
    <s v="ENX2081"/>
    <s v="A121"/>
    <s v="EMP1002"/>
    <s v="C1750"/>
    <x v="507"/>
    <n v="2"/>
    <n v="1566"/>
    <n v="1190"/>
    <n v="2380"/>
    <n v="3132"/>
    <n v="752"/>
    <s v="Product 82"/>
    <x v="72"/>
    <s v="Andrew Bowman"/>
    <x v="591"/>
    <n v="5"/>
    <x v="4"/>
    <x v="4"/>
    <x v="4"/>
    <x v="1"/>
    <x v="0"/>
  </r>
  <r>
    <s v="AX13579"/>
    <s v="ENX2055"/>
    <s v="A114"/>
    <s v="EMP1003"/>
    <s v="C1406"/>
    <x v="505"/>
    <n v="1"/>
    <n v="2495"/>
    <n v="1896"/>
    <n v="1896"/>
    <n v="2495"/>
    <n v="599"/>
    <s v="Product 56"/>
    <x v="28"/>
    <s v="Christopher Tucker"/>
    <x v="783"/>
    <n v="5"/>
    <x v="4"/>
    <x v="4"/>
    <x v="4"/>
    <x v="1"/>
    <x v="0"/>
  </r>
  <r>
    <s v="AX13885"/>
    <s v="ENX2035"/>
    <s v="A105"/>
    <s v="EMP1026"/>
    <s v="C1071"/>
    <x v="507"/>
    <n v="1"/>
    <n v="458"/>
    <n v="376"/>
    <n v="376"/>
    <n v="458"/>
    <n v="82"/>
    <s v="Product 36"/>
    <x v="45"/>
    <s v="Martin Perry"/>
    <x v="264"/>
    <n v="5"/>
    <x v="4"/>
    <x v="4"/>
    <x v="4"/>
    <x v="1"/>
    <x v="0"/>
  </r>
  <r>
    <s v="AX13912"/>
    <s v="ENX2036"/>
    <s v="A124"/>
    <s v="EMP1012"/>
    <s v="C1595"/>
    <x v="506"/>
    <n v="3"/>
    <n v="1582"/>
    <n v="1234"/>
    <n v="3702"/>
    <n v="4746"/>
    <n v="1044"/>
    <s v="Product 37"/>
    <x v="67"/>
    <s v="John Reyes"/>
    <x v="372"/>
    <n v="5"/>
    <x v="4"/>
    <x v="4"/>
    <x v="4"/>
    <x v="1"/>
    <x v="0"/>
  </r>
  <r>
    <s v="AX14077"/>
    <s v="ENX2075"/>
    <s v="A140"/>
    <s v="EMP1012"/>
    <s v="C1470"/>
    <x v="508"/>
    <n v="2"/>
    <n v="400"/>
    <n v="208"/>
    <n v="416"/>
    <n v="800"/>
    <n v="384"/>
    <s v="Product 76"/>
    <x v="18"/>
    <s v="John Reyes"/>
    <x v="621"/>
    <n v="5"/>
    <x v="4"/>
    <x v="4"/>
    <x v="4"/>
    <x v="1"/>
    <x v="0"/>
  </r>
  <r>
    <s v="AX14356"/>
    <s v="ENX2067"/>
    <s v="A165"/>
    <s v="EMP1017"/>
    <s v="C1527"/>
    <x v="508"/>
    <n v="3"/>
    <n v="1119"/>
    <n v="683"/>
    <n v="2049"/>
    <n v="3357"/>
    <n v="1308"/>
    <s v="Product 68"/>
    <x v="55"/>
    <s v="Brian Hansen"/>
    <x v="375"/>
    <n v="5"/>
    <x v="4"/>
    <x v="4"/>
    <x v="4"/>
    <x v="1"/>
    <x v="0"/>
  </r>
  <r>
    <s v="AX14519"/>
    <s v="ENX2083"/>
    <s v="A141"/>
    <s v="EMP1043"/>
    <s v="C1708"/>
    <x v="507"/>
    <n v="2"/>
    <n v="2141"/>
    <n v="1777"/>
    <n v="3554"/>
    <n v="4282"/>
    <n v="728"/>
    <s v="Product 84"/>
    <x v="23"/>
    <s v="Joshua Taylor"/>
    <x v="579"/>
    <n v="5"/>
    <x v="4"/>
    <x v="4"/>
    <x v="4"/>
    <x v="1"/>
    <x v="0"/>
  </r>
  <r>
    <s v="AX14589"/>
    <s v="ENX2068"/>
    <s v="A123"/>
    <s v="EMP1042"/>
    <s v="C1268"/>
    <x v="506"/>
    <n v="1"/>
    <n v="1500"/>
    <n v="900"/>
    <n v="900"/>
    <n v="1500"/>
    <n v="600"/>
    <s v="Product 69"/>
    <x v="34"/>
    <s v="Scott Clark"/>
    <x v="526"/>
    <n v="5"/>
    <x v="4"/>
    <x v="4"/>
    <x v="4"/>
    <x v="1"/>
    <x v="0"/>
  </r>
  <r>
    <s v="AX14743"/>
    <s v="ENX2021"/>
    <s v="A148"/>
    <s v="EMP1044"/>
    <s v="C1591"/>
    <x v="506"/>
    <n v="1"/>
    <n v="217"/>
    <n v="171"/>
    <n v="171"/>
    <n v="217"/>
    <n v="46"/>
    <s v="Product 22"/>
    <x v="62"/>
    <s v="Martin Carr"/>
    <x v="289"/>
    <n v="5"/>
    <x v="4"/>
    <x v="4"/>
    <x v="4"/>
    <x v="1"/>
    <x v="0"/>
  </r>
  <r>
    <s v="AX14829"/>
    <s v="ENX2064"/>
    <s v="A146"/>
    <s v="EMP1022"/>
    <s v="C1700"/>
    <x v="508"/>
    <n v="4"/>
    <n v="1414"/>
    <n v="962"/>
    <n v="3848"/>
    <n v="5656"/>
    <n v="1808"/>
    <s v="Product 65"/>
    <x v="27"/>
    <s v="Walter Cook"/>
    <x v="271"/>
    <n v="5"/>
    <x v="4"/>
    <x v="4"/>
    <x v="4"/>
    <x v="1"/>
    <x v="0"/>
  </r>
  <r>
    <s v="AX15016"/>
    <s v="ENX2061"/>
    <s v="A161"/>
    <s v="EMP1037"/>
    <s v="C1338"/>
    <x v="508"/>
    <n v="3"/>
    <n v="913"/>
    <n v="584"/>
    <n v="1752"/>
    <n v="2739"/>
    <n v="987"/>
    <s v="Product 62"/>
    <x v="6"/>
    <s v="Carl Hall"/>
    <x v="542"/>
    <n v="5"/>
    <x v="4"/>
    <x v="4"/>
    <x v="4"/>
    <x v="1"/>
    <x v="0"/>
  </r>
  <r>
    <s v="AX15064"/>
    <s v="ENX2054"/>
    <s v="A128"/>
    <s v="EMP1031"/>
    <s v="C1445"/>
    <x v="509"/>
    <n v="3"/>
    <n v="127"/>
    <n v="79"/>
    <n v="237"/>
    <n v="381"/>
    <n v="144"/>
    <s v="Product 55"/>
    <x v="12"/>
    <s v="Brian Thomas"/>
    <x v="239"/>
    <n v="5"/>
    <x v="4"/>
    <x v="4"/>
    <x v="4"/>
    <x v="1"/>
    <x v="0"/>
  </r>
  <r>
    <s v="AX15596"/>
    <s v="ENX2092"/>
    <s v="A123"/>
    <s v="EMP1007"/>
    <s v="C1031"/>
    <x v="509"/>
    <n v="1"/>
    <n v="1639"/>
    <n v="1295"/>
    <n v="1295"/>
    <n v="1639"/>
    <n v="344"/>
    <s v="Product 93"/>
    <x v="34"/>
    <s v="Jeremy Mendoza"/>
    <x v="782"/>
    <n v="5"/>
    <x v="4"/>
    <x v="4"/>
    <x v="4"/>
    <x v="1"/>
    <x v="0"/>
  </r>
  <r>
    <s v="AX15803"/>
    <s v="ENX2016"/>
    <s v="A167"/>
    <s v="EMP1008"/>
    <s v="C1554"/>
    <x v="506"/>
    <n v="3"/>
    <n v="1351"/>
    <n v="1108"/>
    <n v="3324"/>
    <n v="4053"/>
    <n v="729"/>
    <s v="Product 17"/>
    <x v="64"/>
    <s v="Carl Elliott"/>
    <x v="516"/>
    <n v="5"/>
    <x v="4"/>
    <x v="4"/>
    <x v="4"/>
    <x v="1"/>
    <x v="0"/>
  </r>
  <r>
    <s v="AX15868"/>
    <s v="ENX2060"/>
    <s v="A142"/>
    <s v="EMP1000"/>
    <s v="C1502"/>
    <x v="506"/>
    <n v="1"/>
    <n v="1467"/>
    <n v="807"/>
    <n v="807"/>
    <n v="1467"/>
    <n v="660"/>
    <s v="Product 61"/>
    <x v="56"/>
    <s v="Fred Robertson"/>
    <x v="364"/>
    <n v="5"/>
    <x v="4"/>
    <x v="4"/>
    <x v="4"/>
    <x v="1"/>
    <x v="0"/>
  </r>
  <r>
    <s v="AX15945"/>
    <s v="ENX2041"/>
    <s v="A165"/>
    <s v="EMP1012"/>
    <s v="C1400"/>
    <x v="506"/>
    <n v="2"/>
    <n v="1380"/>
    <n v="1090"/>
    <n v="2180"/>
    <n v="2760"/>
    <n v="580"/>
    <s v="Product 42"/>
    <x v="55"/>
    <s v="John Reyes"/>
    <x v="437"/>
    <n v="5"/>
    <x v="4"/>
    <x v="4"/>
    <x v="4"/>
    <x v="1"/>
    <x v="0"/>
  </r>
  <r>
    <s v="AX16013"/>
    <s v="ENX2060"/>
    <s v="A118"/>
    <s v="EMP1016"/>
    <s v="C1250"/>
    <x v="505"/>
    <n v="3"/>
    <n v="1467"/>
    <n v="807"/>
    <n v="2421"/>
    <n v="4401"/>
    <n v="1980"/>
    <s v="Product 61"/>
    <x v="19"/>
    <s v="Henry Nelson"/>
    <x v="705"/>
    <n v="5"/>
    <x v="4"/>
    <x v="4"/>
    <x v="4"/>
    <x v="1"/>
    <x v="0"/>
  </r>
  <r>
    <s v="AX16030"/>
    <s v="ENX2068"/>
    <s v="A171"/>
    <s v="EMP1020"/>
    <s v="C1649"/>
    <x v="506"/>
    <n v="3"/>
    <n v="1500"/>
    <n v="900"/>
    <n v="2700"/>
    <n v="4500"/>
    <n v="1800"/>
    <s v="Product 69"/>
    <x v="0"/>
    <s v="Ryan Butler"/>
    <x v="790"/>
    <n v="5"/>
    <x v="4"/>
    <x v="4"/>
    <x v="4"/>
    <x v="1"/>
    <x v="0"/>
  </r>
  <r>
    <s v="AX16085"/>
    <s v="ENX2049"/>
    <s v="A100"/>
    <s v="EMP1002"/>
    <s v="C1138"/>
    <x v="508"/>
    <n v="3"/>
    <n v="826"/>
    <n v="562"/>
    <n v="1686"/>
    <n v="2478"/>
    <n v="792"/>
    <s v="Product 50"/>
    <x v="52"/>
    <s v="Andrew Bowman"/>
    <x v="325"/>
    <n v="5"/>
    <x v="4"/>
    <x v="4"/>
    <x v="4"/>
    <x v="1"/>
    <x v="0"/>
  </r>
  <r>
    <s v="AX16088"/>
    <s v="ENX2081"/>
    <s v="A132"/>
    <s v="EMP1043"/>
    <s v="C1530"/>
    <x v="507"/>
    <n v="3"/>
    <n v="1566"/>
    <n v="1190"/>
    <n v="3570"/>
    <n v="4698"/>
    <n v="1128"/>
    <s v="Product 82"/>
    <x v="48"/>
    <s v="Joshua Taylor"/>
    <x v="224"/>
    <n v="5"/>
    <x v="4"/>
    <x v="4"/>
    <x v="4"/>
    <x v="1"/>
    <x v="0"/>
  </r>
  <r>
    <s v="AX16293"/>
    <s v="ENX2086"/>
    <s v="A150"/>
    <s v="EMP1001"/>
    <s v="C1791"/>
    <x v="507"/>
    <n v="4"/>
    <n v="123"/>
    <n v="84"/>
    <n v="336"/>
    <n v="492"/>
    <n v="156"/>
    <s v="Product 87"/>
    <x v="30"/>
    <s v="Kevin Butler"/>
    <x v="193"/>
    <n v="5"/>
    <x v="4"/>
    <x v="4"/>
    <x v="4"/>
    <x v="1"/>
    <x v="0"/>
  </r>
  <r>
    <s v="AX16350"/>
    <s v="ENX2071"/>
    <s v="A155"/>
    <s v="EMP1014"/>
    <s v="C1465"/>
    <x v="506"/>
    <n v="1"/>
    <n v="136"/>
    <n v="72"/>
    <n v="72"/>
    <n v="136"/>
    <n v="64"/>
    <s v="Product 72"/>
    <x v="53"/>
    <s v="Ronald Reed"/>
    <x v="88"/>
    <n v="5"/>
    <x v="4"/>
    <x v="4"/>
    <x v="4"/>
    <x v="1"/>
    <x v="0"/>
  </r>
  <r>
    <s v="AX16355"/>
    <s v="ENX2014"/>
    <s v="A165"/>
    <s v="EMP1041"/>
    <s v="C1322"/>
    <x v="505"/>
    <n v="1"/>
    <n v="1809"/>
    <n v="1067"/>
    <n v="1067"/>
    <n v="1809"/>
    <n v="742"/>
    <s v="Product 15"/>
    <x v="55"/>
    <s v="Joe Sims"/>
    <x v="604"/>
    <n v="5"/>
    <x v="4"/>
    <x v="4"/>
    <x v="4"/>
    <x v="1"/>
    <x v="0"/>
  </r>
  <r>
    <s v="AX16493"/>
    <s v="ENX2088"/>
    <s v="A116"/>
    <s v="EMP1028"/>
    <s v="C1265"/>
    <x v="507"/>
    <n v="3"/>
    <n v="603"/>
    <n v="416"/>
    <n v="1248"/>
    <n v="1809"/>
    <n v="561"/>
    <s v="Product 89"/>
    <x v="15"/>
    <s v="Howard Sims"/>
    <x v="348"/>
    <n v="5"/>
    <x v="4"/>
    <x v="4"/>
    <x v="4"/>
    <x v="1"/>
    <x v="0"/>
  </r>
  <r>
    <s v="AX16532"/>
    <s v="ENX2011"/>
    <s v="A115"/>
    <s v="EMP1010"/>
    <s v="C1299"/>
    <x v="508"/>
    <n v="1"/>
    <n v="530"/>
    <n v="435"/>
    <n v="435"/>
    <n v="530"/>
    <n v="95"/>
    <s v="Product 12"/>
    <x v="33"/>
    <s v="Joshua Cook"/>
    <x v="655"/>
    <n v="5"/>
    <x v="4"/>
    <x v="4"/>
    <x v="4"/>
    <x v="1"/>
    <x v="0"/>
  </r>
  <r>
    <s v="AX16599"/>
    <s v="ENX2050"/>
    <s v="A101"/>
    <s v="EMP1043"/>
    <s v="C1755"/>
    <x v="506"/>
    <n v="1"/>
    <n v="2391"/>
    <n v="1291"/>
    <n v="1291"/>
    <n v="2391"/>
    <n v="1100"/>
    <s v="Product 51"/>
    <x v="60"/>
    <s v="Joshua Taylor"/>
    <x v="178"/>
    <n v="5"/>
    <x v="4"/>
    <x v="4"/>
    <x v="4"/>
    <x v="1"/>
    <x v="0"/>
  </r>
  <r>
    <s v="AX16669"/>
    <s v="ENX2008"/>
    <s v="A144"/>
    <s v="EMP1037"/>
    <s v="C1478"/>
    <x v="507"/>
    <n v="1"/>
    <n v="315"/>
    <n v="208"/>
    <n v="208"/>
    <n v="315"/>
    <n v="107"/>
    <s v="Product 9"/>
    <x v="65"/>
    <s v="Carl Hall"/>
    <x v="483"/>
    <n v="5"/>
    <x v="4"/>
    <x v="4"/>
    <x v="4"/>
    <x v="1"/>
    <x v="0"/>
  </r>
  <r>
    <s v="AX17086"/>
    <s v="ENX2090"/>
    <s v="A111"/>
    <s v="EMP1029"/>
    <s v="C1346"/>
    <x v="505"/>
    <n v="3"/>
    <n v="1338"/>
    <n v="682"/>
    <n v="2046"/>
    <n v="4014"/>
    <n v="1968"/>
    <s v="Product 91"/>
    <x v="54"/>
    <s v="Howard Gardner"/>
    <x v="340"/>
    <n v="5"/>
    <x v="4"/>
    <x v="4"/>
    <x v="4"/>
    <x v="1"/>
    <x v="0"/>
  </r>
  <r>
    <s v="AX17106"/>
    <s v="ENX2030"/>
    <s v="A150"/>
    <s v="EMP1033"/>
    <s v="C1720"/>
    <x v="506"/>
    <n v="3"/>
    <n v="1899"/>
    <n v="1044"/>
    <n v="3132"/>
    <n v="5697"/>
    <n v="2565"/>
    <s v="Product 31"/>
    <x v="30"/>
    <s v="Jerry Perry"/>
    <x v="152"/>
    <n v="5"/>
    <x v="4"/>
    <x v="4"/>
    <x v="4"/>
    <x v="1"/>
    <x v="0"/>
  </r>
  <r>
    <s v="AX17404"/>
    <s v="ENX2068"/>
    <s v="A167"/>
    <s v="EMP1016"/>
    <s v="C1704"/>
    <x v="508"/>
    <n v="1"/>
    <n v="1500"/>
    <n v="900"/>
    <n v="900"/>
    <n v="1500"/>
    <n v="600"/>
    <s v="Product 69"/>
    <x v="64"/>
    <s v="Henry Nelson"/>
    <x v="28"/>
    <n v="5"/>
    <x v="4"/>
    <x v="4"/>
    <x v="4"/>
    <x v="1"/>
    <x v="0"/>
  </r>
  <r>
    <s v="AX17415"/>
    <s v="ENX2092"/>
    <s v="A109"/>
    <s v="EMP1001"/>
    <s v="C1399"/>
    <x v="508"/>
    <n v="1"/>
    <n v="1639"/>
    <n v="1295"/>
    <n v="1295"/>
    <n v="1639"/>
    <n v="344"/>
    <s v="Product 93"/>
    <x v="57"/>
    <s v="Kevin Butler"/>
    <x v="776"/>
    <n v="5"/>
    <x v="4"/>
    <x v="4"/>
    <x v="4"/>
    <x v="1"/>
    <x v="0"/>
  </r>
  <r>
    <s v="AX17424"/>
    <s v="ENX2085"/>
    <s v="A103"/>
    <s v="EMP1006"/>
    <s v="C1762"/>
    <x v="508"/>
    <n v="3"/>
    <n v="1862"/>
    <n v="1173"/>
    <n v="3519"/>
    <n v="5586"/>
    <n v="2067"/>
    <s v="Product 86"/>
    <x v="61"/>
    <s v="Sean Miller"/>
    <x v="164"/>
    <n v="5"/>
    <x v="4"/>
    <x v="4"/>
    <x v="4"/>
    <x v="1"/>
    <x v="0"/>
  </r>
  <r>
    <s v="AX17537"/>
    <s v="ENX2009"/>
    <s v="A150"/>
    <s v="EMP1008"/>
    <s v="C1545"/>
    <x v="507"/>
    <n v="1"/>
    <n v="584"/>
    <n v="420"/>
    <n v="420"/>
    <n v="584"/>
    <n v="164"/>
    <s v="Product 10"/>
    <x v="30"/>
    <s v="Carl Elliott"/>
    <x v="646"/>
    <n v="5"/>
    <x v="4"/>
    <x v="4"/>
    <x v="4"/>
    <x v="1"/>
    <x v="0"/>
  </r>
  <r>
    <s v="AX17998"/>
    <s v="ENX2032"/>
    <s v="A163"/>
    <s v="EMP1029"/>
    <s v="C1494"/>
    <x v="506"/>
    <n v="2"/>
    <n v="1967"/>
    <n v="1397"/>
    <n v="2794"/>
    <n v="3934"/>
    <n v="1140"/>
    <s v="Product 33"/>
    <x v="51"/>
    <s v="Howard Gardner"/>
    <x v="698"/>
    <n v="5"/>
    <x v="4"/>
    <x v="4"/>
    <x v="4"/>
    <x v="1"/>
    <x v="0"/>
  </r>
  <r>
    <s v="AX18285"/>
    <s v="ENX2090"/>
    <s v="A156"/>
    <s v="EMP1005"/>
    <s v="C1503"/>
    <x v="507"/>
    <n v="3"/>
    <n v="1338"/>
    <n v="682"/>
    <n v="2046"/>
    <n v="4014"/>
    <n v="1968"/>
    <s v="Product 91"/>
    <x v="14"/>
    <s v="Ryan Welch"/>
    <x v="569"/>
    <n v="5"/>
    <x v="4"/>
    <x v="4"/>
    <x v="4"/>
    <x v="1"/>
    <x v="0"/>
  </r>
  <r>
    <s v="AX18338"/>
    <s v="ENX2023"/>
    <s v="A141"/>
    <s v="EMP1012"/>
    <s v="C1602"/>
    <x v="507"/>
    <n v="3"/>
    <n v="818"/>
    <n v="450"/>
    <n v="1350"/>
    <n v="2454"/>
    <n v="1104"/>
    <s v="Product 24"/>
    <x v="23"/>
    <s v="John Reyes"/>
    <x v="749"/>
    <n v="5"/>
    <x v="4"/>
    <x v="4"/>
    <x v="4"/>
    <x v="1"/>
    <x v="0"/>
  </r>
  <r>
    <s v="AX18351"/>
    <s v="ENX2002"/>
    <s v="A166"/>
    <s v="EMP1006"/>
    <s v="C1298"/>
    <x v="507"/>
    <n v="1"/>
    <n v="847"/>
    <n v="534"/>
    <n v="534"/>
    <n v="847"/>
    <n v="313"/>
    <s v="Product 3"/>
    <x v="70"/>
    <s v="Sean Miller"/>
    <x v="623"/>
    <n v="5"/>
    <x v="4"/>
    <x v="4"/>
    <x v="4"/>
    <x v="1"/>
    <x v="0"/>
  </r>
  <r>
    <s v="AX18819"/>
    <s v="ENX2044"/>
    <s v="A168"/>
    <s v="EMP1011"/>
    <s v="C1134"/>
    <x v="506"/>
    <n v="2"/>
    <n v="886"/>
    <n v="478"/>
    <n v="956"/>
    <n v="1772"/>
    <n v="816"/>
    <s v="Product 45"/>
    <x v="40"/>
    <s v="Larry Marshall"/>
    <x v="495"/>
    <n v="5"/>
    <x v="4"/>
    <x v="4"/>
    <x v="4"/>
    <x v="1"/>
    <x v="0"/>
  </r>
  <r>
    <s v="AX18981"/>
    <s v="ENX2053"/>
    <s v="A166"/>
    <s v="EMP1039"/>
    <s v="C1309"/>
    <x v="508"/>
    <n v="1"/>
    <n v="596"/>
    <n v="358"/>
    <n v="358"/>
    <n v="596"/>
    <n v="238"/>
    <s v="Product 54"/>
    <x v="70"/>
    <s v="Eugene Holmes"/>
    <x v="139"/>
    <n v="5"/>
    <x v="4"/>
    <x v="4"/>
    <x v="4"/>
    <x v="1"/>
    <x v="0"/>
  </r>
  <r>
    <s v="AX19358"/>
    <s v="ENX2000"/>
    <s v="A170"/>
    <s v="EMP1024"/>
    <s v="C1348"/>
    <x v="506"/>
    <n v="1"/>
    <n v="2241"/>
    <n v="1367"/>
    <n v="1367"/>
    <n v="2241"/>
    <n v="874"/>
    <s v="Product 1"/>
    <x v="47"/>
    <s v="Ernest Wheeler"/>
    <x v="236"/>
    <n v="5"/>
    <x v="4"/>
    <x v="4"/>
    <x v="4"/>
    <x v="1"/>
    <x v="0"/>
  </r>
  <r>
    <s v="AX19673"/>
    <s v="ENX2069"/>
    <s v="A100"/>
    <s v="EMP1027"/>
    <s v="C1020"/>
    <x v="506"/>
    <n v="4"/>
    <n v="378"/>
    <n v="291"/>
    <n v="1164"/>
    <n v="1512"/>
    <n v="348"/>
    <s v="Product 70"/>
    <x v="52"/>
    <s v="Gary Rodriguez"/>
    <x v="423"/>
    <n v="5"/>
    <x v="4"/>
    <x v="4"/>
    <x v="4"/>
    <x v="1"/>
    <x v="0"/>
  </r>
  <r>
    <s v="AX19807"/>
    <s v="ENX2098"/>
    <s v="A120"/>
    <s v="EMP1033"/>
    <s v="C1708"/>
    <x v="508"/>
    <n v="2"/>
    <n v="1178"/>
    <n v="683"/>
    <n v="1366"/>
    <n v="2356"/>
    <n v="990"/>
    <s v="Product 99"/>
    <x v="20"/>
    <s v="Jerry Perry"/>
    <x v="579"/>
    <n v="5"/>
    <x v="4"/>
    <x v="4"/>
    <x v="4"/>
    <x v="1"/>
    <x v="0"/>
  </r>
  <r>
    <s v="AX19925"/>
    <s v="ENX2032"/>
    <s v="A126"/>
    <s v="EMP1040"/>
    <s v="C1645"/>
    <x v="505"/>
    <n v="1"/>
    <n v="1967"/>
    <n v="1397"/>
    <n v="1397"/>
    <n v="1967"/>
    <n v="570"/>
    <s v="Product 33"/>
    <x v="5"/>
    <s v="Patrick Ruiz"/>
    <x v="128"/>
    <n v="5"/>
    <x v="4"/>
    <x v="4"/>
    <x v="4"/>
    <x v="1"/>
    <x v="0"/>
  </r>
  <r>
    <s v="AX20705"/>
    <s v="ENX2021"/>
    <s v="A119"/>
    <s v="EMP1023"/>
    <s v="C1148"/>
    <x v="507"/>
    <n v="1"/>
    <n v="217"/>
    <n v="171"/>
    <n v="171"/>
    <n v="217"/>
    <n v="46"/>
    <s v="Product 22"/>
    <x v="16"/>
    <s v="Brian Davis"/>
    <x v="55"/>
    <n v="5"/>
    <x v="4"/>
    <x v="4"/>
    <x v="4"/>
    <x v="1"/>
    <x v="0"/>
  </r>
  <r>
    <s v="AX21785"/>
    <s v="ENX2056"/>
    <s v="A125"/>
    <s v="EMP1023"/>
    <s v="C1431"/>
    <x v="507"/>
    <n v="2"/>
    <n v="1635"/>
    <n v="1046"/>
    <n v="2092"/>
    <n v="3270"/>
    <n v="1178"/>
    <s v="Product 57"/>
    <x v="31"/>
    <s v="Brian Davis"/>
    <x v="587"/>
    <n v="5"/>
    <x v="4"/>
    <x v="4"/>
    <x v="4"/>
    <x v="1"/>
    <x v="0"/>
  </r>
  <r>
    <s v="AX21891"/>
    <s v="ENX2089"/>
    <s v="A170"/>
    <s v="EMP1006"/>
    <s v="C1751"/>
    <x v="508"/>
    <n v="1"/>
    <n v="2294"/>
    <n v="1399"/>
    <n v="1399"/>
    <n v="2294"/>
    <n v="895"/>
    <s v="Product 90"/>
    <x v="47"/>
    <s v="Sean Miller"/>
    <x v="332"/>
    <n v="5"/>
    <x v="4"/>
    <x v="4"/>
    <x v="4"/>
    <x v="1"/>
    <x v="0"/>
  </r>
  <r>
    <s v="AX22273"/>
    <s v="ENX2013"/>
    <s v="A160"/>
    <s v="EMP1012"/>
    <s v="C1203"/>
    <x v="509"/>
    <n v="2"/>
    <n v="368"/>
    <n v="269"/>
    <n v="538"/>
    <n v="736"/>
    <n v="198"/>
    <s v="Product 14"/>
    <x v="9"/>
    <s v="John Reyes"/>
    <x v="792"/>
    <n v="5"/>
    <x v="4"/>
    <x v="4"/>
    <x v="4"/>
    <x v="1"/>
    <x v="0"/>
  </r>
  <r>
    <s v="AX22283"/>
    <s v="ENX2063"/>
    <s v="A133"/>
    <s v="EMP1008"/>
    <s v="C1584"/>
    <x v="508"/>
    <n v="3"/>
    <n v="1708"/>
    <n v="871"/>
    <n v="2613"/>
    <n v="5124"/>
    <n v="2511"/>
    <s v="Product 64"/>
    <x v="46"/>
    <s v="Carl Elliott"/>
    <x v="72"/>
    <n v="5"/>
    <x v="4"/>
    <x v="4"/>
    <x v="4"/>
    <x v="1"/>
    <x v="0"/>
  </r>
  <r>
    <s v="AX22299"/>
    <s v="ENX2061"/>
    <s v="A149"/>
    <s v="EMP1000"/>
    <s v="C1418"/>
    <x v="509"/>
    <n v="1"/>
    <n v="913"/>
    <n v="584"/>
    <n v="584"/>
    <n v="913"/>
    <n v="329"/>
    <s v="Product 62"/>
    <x v="59"/>
    <s v="Fred Robertson"/>
    <x v="441"/>
    <n v="5"/>
    <x v="4"/>
    <x v="4"/>
    <x v="4"/>
    <x v="1"/>
    <x v="0"/>
  </r>
  <r>
    <s v="AX22675"/>
    <s v="ENX2044"/>
    <s v="A115"/>
    <s v="EMP1016"/>
    <s v="C1532"/>
    <x v="509"/>
    <n v="3"/>
    <n v="886"/>
    <n v="478"/>
    <n v="1434"/>
    <n v="2658"/>
    <n v="1224"/>
    <s v="Product 45"/>
    <x v="33"/>
    <s v="Henry Nelson"/>
    <x v="103"/>
    <n v="5"/>
    <x v="4"/>
    <x v="4"/>
    <x v="4"/>
    <x v="1"/>
    <x v="0"/>
  </r>
  <r>
    <s v="AX22798"/>
    <s v="ENX2056"/>
    <s v="A173"/>
    <s v="EMP1002"/>
    <s v="C1762"/>
    <x v="505"/>
    <n v="1"/>
    <n v="1635"/>
    <n v="1046"/>
    <n v="1046"/>
    <n v="1635"/>
    <n v="589"/>
    <s v="Product 57"/>
    <x v="25"/>
    <s v="Andrew Bowman"/>
    <x v="164"/>
    <n v="5"/>
    <x v="4"/>
    <x v="4"/>
    <x v="4"/>
    <x v="1"/>
    <x v="0"/>
  </r>
  <r>
    <s v="AX23012"/>
    <s v="ENX2006"/>
    <s v="A112"/>
    <s v="EMP1037"/>
    <s v="C1434"/>
    <x v="505"/>
    <n v="1"/>
    <n v="1826"/>
    <n v="1443"/>
    <n v="1443"/>
    <n v="1826"/>
    <n v="383"/>
    <s v="Product 7"/>
    <x v="66"/>
    <s v="Carl Hall"/>
    <x v="722"/>
    <n v="5"/>
    <x v="4"/>
    <x v="4"/>
    <x v="4"/>
    <x v="1"/>
    <x v="0"/>
  </r>
  <r>
    <s v="AX23104"/>
    <s v="ENX2078"/>
    <s v="A101"/>
    <s v="EMP1041"/>
    <s v="C1392"/>
    <x v="508"/>
    <n v="4"/>
    <n v="1798"/>
    <n v="971"/>
    <n v="3884"/>
    <n v="7192"/>
    <n v="3308"/>
    <s v="Product 79"/>
    <x v="60"/>
    <s v="Joe Sims"/>
    <x v="78"/>
    <n v="5"/>
    <x v="4"/>
    <x v="4"/>
    <x v="4"/>
    <x v="1"/>
    <x v="0"/>
  </r>
  <r>
    <s v="AX23218"/>
    <s v="ENX2004"/>
    <s v="A120"/>
    <s v="EMP1010"/>
    <s v="C1045"/>
    <x v="506"/>
    <n v="2"/>
    <n v="1278"/>
    <n v="665"/>
    <n v="1330"/>
    <n v="2556"/>
    <n v="1226"/>
    <s v="Product 5"/>
    <x v="20"/>
    <s v="Joshua Cook"/>
    <x v="444"/>
    <n v="5"/>
    <x v="4"/>
    <x v="4"/>
    <x v="4"/>
    <x v="1"/>
    <x v="0"/>
  </r>
  <r>
    <s v="AX23250"/>
    <s v="ENX2019"/>
    <s v="A145"/>
    <s v="EMP1007"/>
    <s v="C1528"/>
    <x v="505"/>
    <n v="2"/>
    <n v="800"/>
    <n v="536"/>
    <n v="1072"/>
    <n v="1600"/>
    <n v="528"/>
    <s v="Product 20"/>
    <x v="35"/>
    <s v="Jeremy Mendoza"/>
    <x v="158"/>
    <n v="5"/>
    <x v="4"/>
    <x v="4"/>
    <x v="4"/>
    <x v="1"/>
    <x v="0"/>
  </r>
  <r>
    <s v="AX23441"/>
    <s v="ENX2008"/>
    <s v="A143"/>
    <s v="EMP1028"/>
    <s v="C1023"/>
    <x v="508"/>
    <n v="3"/>
    <n v="315"/>
    <n v="208"/>
    <n v="624"/>
    <n v="945"/>
    <n v="321"/>
    <s v="Product 9"/>
    <x v="39"/>
    <s v="Howard Sims"/>
    <x v="799"/>
    <n v="5"/>
    <x v="4"/>
    <x v="4"/>
    <x v="4"/>
    <x v="1"/>
    <x v="0"/>
  </r>
  <r>
    <s v="AX24383"/>
    <s v="ENX2091"/>
    <s v="A156"/>
    <s v="EMP1011"/>
    <s v="C1699"/>
    <x v="506"/>
    <n v="2"/>
    <n v="368"/>
    <n v="294"/>
    <n v="588"/>
    <n v="736"/>
    <n v="148"/>
    <s v="Product 92"/>
    <x v="14"/>
    <s v="Larry Marshall"/>
    <x v="672"/>
    <n v="5"/>
    <x v="4"/>
    <x v="4"/>
    <x v="4"/>
    <x v="1"/>
    <x v="0"/>
  </r>
  <r>
    <s v="AX24575"/>
    <s v="ENX2017"/>
    <s v="A123"/>
    <s v="EMP1044"/>
    <s v="C1567"/>
    <x v="508"/>
    <n v="4"/>
    <n v="35"/>
    <n v="22"/>
    <n v="88"/>
    <n v="140"/>
    <n v="52"/>
    <s v="Product 18"/>
    <x v="34"/>
    <s v="Martin Carr"/>
    <x v="251"/>
    <n v="5"/>
    <x v="4"/>
    <x v="4"/>
    <x v="4"/>
    <x v="1"/>
    <x v="0"/>
  </r>
  <r>
    <s v="AX24649"/>
    <s v="ENX2037"/>
    <s v="A147"/>
    <s v="EMP1043"/>
    <s v="C1223"/>
    <x v="505"/>
    <n v="1"/>
    <n v="880"/>
    <n v="634"/>
    <n v="634"/>
    <n v="880"/>
    <n v="246"/>
    <s v="Product 38"/>
    <x v="42"/>
    <s v="Joshua Taylor"/>
    <x v="310"/>
    <n v="5"/>
    <x v="4"/>
    <x v="4"/>
    <x v="4"/>
    <x v="1"/>
    <x v="0"/>
  </r>
  <r>
    <s v="AX24886"/>
    <s v="ENX2090"/>
    <s v="A171"/>
    <s v="EMP1013"/>
    <s v="C1520"/>
    <x v="509"/>
    <n v="2"/>
    <n v="1338"/>
    <n v="682"/>
    <n v="1364"/>
    <n v="2676"/>
    <n v="1312"/>
    <s v="Product 91"/>
    <x v="0"/>
    <s v="Charles Harper"/>
    <x v="576"/>
    <n v="5"/>
    <x v="4"/>
    <x v="4"/>
    <x v="4"/>
    <x v="1"/>
    <x v="0"/>
  </r>
  <r>
    <s v="AX10117"/>
    <s v="ENX2060"/>
    <s v="A140"/>
    <s v="EMP1031"/>
    <s v="C1436"/>
    <x v="510"/>
    <n v="3"/>
    <n v="1467"/>
    <n v="807"/>
    <n v="2421"/>
    <n v="4401"/>
    <n v="1980"/>
    <s v="Product 61"/>
    <x v="18"/>
    <s v="Brian Thomas"/>
    <x v="283"/>
    <n v="5"/>
    <x v="4"/>
    <x v="4"/>
    <x v="4"/>
    <x v="1"/>
    <x v="2"/>
  </r>
  <r>
    <s v="AX10680"/>
    <s v="ENX2098"/>
    <s v="A172"/>
    <s v="EMP1028"/>
    <s v="C1296"/>
    <x v="511"/>
    <n v="3"/>
    <n v="1178"/>
    <n v="683"/>
    <n v="2049"/>
    <n v="3534"/>
    <n v="1485"/>
    <s v="Product 99"/>
    <x v="36"/>
    <s v="Howard Sims"/>
    <x v="105"/>
    <n v="5"/>
    <x v="4"/>
    <x v="4"/>
    <x v="4"/>
    <x v="1"/>
    <x v="2"/>
  </r>
  <r>
    <s v="AX10909"/>
    <s v="ENX2072"/>
    <s v="A148"/>
    <s v="EMP1023"/>
    <s v="C1221"/>
    <x v="512"/>
    <n v="1"/>
    <n v="1887"/>
    <n v="1378"/>
    <n v="1378"/>
    <n v="1887"/>
    <n v="509"/>
    <s v="Product 73"/>
    <x v="62"/>
    <s v="Brian Davis"/>
    <x v="429"/>
    <n v="5"/>
    <x v="4"/>
    <x v="4"/>
    <x v="4"/>
    <x v="1"/>
    <x v="2"/>
  </r>
  <r>
    <s v="AX11002"/>
    <s v="ENX2087"/>
    <s v="A142"/>
    <s v="EMP1034"/>
    <s v="C1492"/>
    <x v="511"/>
    <n v="4"/>
    <n v="1022"/>
    <n v="818"/>
    <n v="3272"/>
    <n v="4088"/>
    <n v="816"/>
    <s v="Product 88"/>
    <x v="56"/>
    <s v="Arthur Mccoy"/>
    <x v="533"/>
    <n v="5"/>
    <x v="4"/>
    <x v="4"/>
    <x v="4"/>
    <x v="1"/>
    <x v="2"/>
  </r>
  <r>
    <s v="AX11020"/>
    <s v="ENX2027"/>
    <s v="A161"/>
    <s v="EMP1034"/>
    <s v="C1646"/>
    <x v="513"/>
    <n v="1"/>
    <n v="2497"/>
    <n v="1473"/>
    <n v="1473"/>
    <n v="2497"/>
    <n v="1024"/>
    <s v="Product 28"/>
    <x v="6"/>
    <s v="Arthur Mccoy"/>
    <x v="789"/>
    <n v="5"/>
    <x v="4"/>
    <x v="4"/>
    <x v="4"/>
    <x v="1"/>
    <x v="2"/>
  </r>
  <r>
    <s v="AX11345"/>
    <s v="ENX2067"/>
    <s v="A133"/>
    <s v="EMP1011"/>
    <s v="C1292"/>
    <x v="511"/>
    <n v="1"/>
    <n v="1119"/>
    <n v="683"/>
    <n v="683"/>
    <n v="1119"/>
    <n v="436"/>
    <s v="Product 68"/>
    <x v="46"/>
    <s v="Larry Marshall"/>
    <x v="333"/>
    <n v="5"/>
    <x v="4"/>
    <x v="4"/>
    <x v="4"/>
    <x v="1"/>
    <x v="2"/>
  </r>
  <r>
    <s v="AX12052"/>
    <s v="ENX2036"/>
    <s v="A171"/>
    <s v="EMP1005"/>
    <s v="C1628"/>
    <x v="511"/>
    <n v="3"/>
    <n v="1582"/>
    <n v="1234"/>
    <n v="3702"/>
    <n v="4746"/>
    <n v="1044"/>
    <s v="Product 37"/>
    <x v="0"/>
    <s v="Ryan Welch"/>
    <x v="161"/>
    <n v="5"/>
    <x v="4"/>
    <x v="4"/>
    <x v="4"/>
    <x v="1"/>
    <x v="2"/>
  </r>
  <r>
    <s v="AX12322"/>
    <s v="ENX2053"/>
    <s v="A103"/>
    <s v="EMP1037"/>
    <s v="C1006"/>
    <x v="510"/>
    <n v="1"/>
    <n v="596"/>
    <n v="358"/>
    <n v="358"/>
    <n v="596"/>
    <n v="238"/>
    <s v="Product 54"/>
    <x v="61"/>
    <s v="Carl Hall"/>
    <x v="687"/>
    <n v="5"/>
    <x v="4"/>
    <x v="4"/>
    <x v="4"/>
    <x v="1"/>
    <x v="2"/>
  </r>
  <r>
    <s v="AX13164"/>
    <s v="ENX2071"/>
    <s v="A151"/>
    <s v="EMP1041"/>
    <s v="C1229"/>
    <x v="513"/>
    <n v="2"/>
    <n v="136"/>
    <n v="72"/>
    <n v="144"/>
    <n v="272"/>
    <n v="128"/>
    <s v="Product 72"/>
    <x v="1"/>
    <s v="Joe Sims"/>
    <x v="562"/>
    <n v="5"/>
    <x v="4"/>
    <x v="4"/>
    <x v="4"/>
    <x v="1"/>
    <x v="2"/>
  </r>
  <r>
    <s v="AX13257"/>
    <s v="ENX2075"/>
    <s v="A123"/>
    <s v="EMP1007"/>
    <s v="C1206"/>
    <x v="510"/>
    <n v="4"/>
    <n v="400"/>
    <n v="208"/>
    <n v="832"/>
    <n v="1600"/>
    <n v="768"/>
    <s v="Product 76"/>
    <x v="34"/>
    <s v="Jeremy Mendoza"/>
    <x v="518"/>
    <n v="5"/>
    <x v="4"/>
    <x v="4"/>
    <x v="4"/>
    <x v="1"/>
    <x v="2"/>
  </r>
  <r>
    <s v="AX13267"/>
    <s v="ENX2001"/>
    <s v="A139"/>
    <s v="EMP1018"/>
    <s v="C1581"/>
    <x v="513"/>
    <n v="1"/>
    <n v="951"/>
    <n v="504"/>
    <n v="504"/>
    <n v="951"/>
    <n v="447"/>
    <s v="Product 2"/>
    <x v="38"/>
    <s v="Jimmy Young"/>
    <x v="510"/>
    <n v="5"/>
    <x v="4"/>
    <x v="4"/>
    <x v="4"/>
    <x v="1"/>
    <x v="2"/>
  </r>
  <r>
    <s v="AX13316"/>
    <s v="ENX2090"/>
    <s v="A140"/>
    <s v="EMP1040"/>
    <s v="C1078"/>
    <x v="512"/>
    <n v="3"/>
    <n v="1338"/>
    <n v="682"/>
    <n v="2046"/>
    <n v="4014"/>
    <n v="1968"/>
    <s v="Product 91"/>
    <x v="18"/>
    <s v="Patrick Ruiz"/>
    <x v="565"/>
    <n v="5"/>
    <x v="4"/>
    <x v="4"/>
    <x v="4"/>
    <x v="1"/>
    <x v="2"/>
  </r>
  <r>
    <s v="AX13500"/>
    <s v="ENX2001"/>
    <s v="A167"/>
    <s v="EMP1010"/>
    <s v="C1326"/>
    <x v="513"/>
    <n v="3"/>
    <n v="951"/>
    <n v="504"/>
    <n v="1512"/>
    <n v="2853"/>
    <n v="1341"/>
    <s v="Product 2"/>
    <x v="64"/>
    <s v="Joshua Cook"/>
    <x v="98"/>
    <n v="5"/>
    <x v="4"/>
    <x v="4"/>
    <x v="4"/>
    <x v="1"/>
    <x v="2"/>
  </r>
  <r>
    <s v="AX13790"/>
    <s v="ENX2042"/>
    <s v="A130"/>
    <s v="EMP1029"/>
    <s v="C1191"/>
    <x v="511"/>
    <n v="2"/>
    <n v="203"/>
    <n v="154"/>
    <n v="308"/>
    <n v="406"/>
    <n v="98"/>
    <s v="Product 43"/>
    <x v="4"/>
    <s v="Howard Gardner"/>
    <x v="739"/>
    <n v="5"/>
    <x v="4"/>
    <x v="4"/>
    <x v="4"/>
    <x v="1"/>
    <x v="2"/>
  </r>
  <r>
    <s v="AX13846"/>
    <s v="ENX2077"/>
    <s v="A162"/>
    <s v="EMP1041"/>
    <s v="C1101"/>
    <x v="514"/>
    <n v="2"/>
    <n v="530"/>
    <n v="424"/>
    <n v="848"/>
    <n v="1060"/>
    <n v="212"/>
    <s v="Product 78"/>
    <x v="2"/>
    <s v="Joe Sims"/>
    <x v="347"/>
    <n v="5"/>
    <x v="4"/>
    <x v="4"/>
    <x v="4"/>
    <x v="1"/>
    <x v="2"/>
  </r>
  <r>
    <s v="AX13914"/>
    <s v="ENX2011"/>
    <s v="A104"/>
    <s v="EMP1013"/>
    <s v="C1344"/>
    <x v="510"/>
    <n v="3"/>
    <n v="530"/>
    <n v="435"/>
    <n v="1305"/>
    <n v="1590"/>
    <n v="285"/>
    <s v="Product 12"/>
    <x v="50"/>
    <s v="Charles Harper"/>
    <x v="22"/>
    <n v="5"/>
    <x v="4"/>
    <x v="4"/>
    <x v="4"/>
    <x v="1"/>
    <x v="2"/>
  </r>
  <r>
    <s v="AX14603"/>
    <s v="ENX2041"/>
    <s v="A134"/>
    <s v="EMP1013"/>
    <s v="C1501"/>
    <x v="513"/>
    <n v="3"/>
    <n v="1380"/>
    <n v="1090"/>
    <n v="3270"/>
    <n v="4140"/>
    <n v="870"/>
    <s v="Product 42"/>
    <x v="41"/>
    <s v="Charles Harper"/>
    <x v="387"/>
    <n v="5"/>
    <x v="4"/>
    <x v="4"/>
    <x v="4"/>
    <x v="1"/>
    <x v="2"/>
  </r>
  <r>
    <s v="AX14608"/>
    <s v="ENX2096"/>
    <s v="A168"/>
    <s v="EMP1013"/>
    <s v="C1540"/>
    <x v="511"/>
    <n v="3"/>
    <n v="1587"/>
    <n v="1301"/>
    <n v="3903"/>
    <n v="4761"/>
    <n v="858"/>
    <s v="Product 97"/>
    <x v="40"/>
    <s v="Charles Harper"/>
    <x v="493"/>
    <n v="5"/>
    <x v="4"/>
    <x v="4"/>
    <x v="4"/>
    <x v="1"/>
    <x v="2"/>
  </r>
  <r>
    <s v="AX14954"/>
    <s v="ENX2011"/>
    <s v="A139"/>
    <s v="EMP1013"/>
    <s v="C1081"/>
    <x v="513"/>
    <n v="1"/>
    <n v="530"/>
    <n v="435"/>
    <n v="435"/>
    <n v="530"/>
    <n v="95"/>
    <s v="Product 12"/>
    <x v="38"/>
    <s v="Charles Harper"/>
    <x v="168"/>
    <n v="5"/>
    <x v="4"/>
    <x v="4"/>
    <x v="4"/>
    <x v="1"/>
    <x v="2"/>
  </r>
  <r>
    <s v="AX15139"/>
    <s v="ENX2073"/>
    <s v="A167"/>
    <s v="EMP1013"/>
    <s v="C1071"/>
    <x v="510"/>
    <n v="3"/>
    <n v="95"/>
    <n v="61"/>
    <n v="183"/>
    <n v="285"/>
    <n v="102"/>
    <s v="Product 74"/>
    <x v="64"/>
    <s v="Charles Harper"/>
    <x v="264"/>
    <n v="5"/>
    <x v="4"/>
    <x v="4"/>
    <x v="4"/>
    <x v="1"/>
    <x v="2"/>
  </r>
  <r>
    <s v="AX15330"/>
    <s v="ENX2074"/>
    <s v="A139"/>
    <s v="EMP1025"/>
    <s v="C1174"/>
    <x v="512"/>
    <n v="2"/>
    <n v="504"/>
    <n v="408"/>
    <n v="816"/>
    <n v="1008"/>
    <n v="192"/>
    <s v="Product 75"/>
    <x v="38"/>
    <s v="Ernest Wagner"/>
    <x v="715"/>
    <n v="5"/>
    <x v="4"/>
    <x v="4"/>
    <x v="4"/>
    <x v="1"/>
    <x v="2"/>
  </r>
  <r>
    <s v="AX15342"/>
    <s v="ENX2016"/>
    <s v="A153"/>
    <s v="EMP1016"/>
    <s v="C1420"/>
    <x v="510"/>
    <n v="2"/>
    <n v="1351"/>
    <n v="1108"/>
    <n v="2216"/>
    <n v="2702"/>
    <n v="486"/>
    <s v="Product 17"/>
    <x v="8"/>
    <s v="Henry Nelson"/>
    <x v="33"/>
    <n v="5"/>
    <x v="4"/>
    <x v="4"/>
    <x v="4"/>
    <x v="1"/>
    <x v="2"/>
  </r>
  <r>
    <s v="AX15393"/>
    <s v="ENX2055"/>
    <s v="A139"/>
    <s v="EMP1024"/>
    <s v="C1614"/>
    <x v="511"/>
    <n v="1"/>
    <n v="2495"/>
    <n v="1896"/>
    <n v="1896"/>
    <n v="2495"/>
    <n v="599"/>
    <s v="Product 56"/>
    <x v="38"/>
    <s v="Ernest Wheeler"/>
    <x v="11"/>
    <n v="5"/>
    <x v="4"/>
    <x v="4"/>
    <x v="4"/>
    <x v="1"/>
    <x v="2"/>
  </r>
  <r>
    <s v="AX15470"/>
    <s v="ENX2011"/>
    <s v="A145"/>
    <s v="EMP1036"/>
    <s v="C1524"/>
    <x v="514"/>
    <n v="1"/>
    <n v="530"/>
    <n v="435"/>
    <n v="435"/>
    <n v="530"/>
    <n v="95"/>
    <s v="Product 12"/>
    <x v="35"/>
    <s v="Robert Reed"/>
    <x v="263"/>
    <n v="5"/>
    <x v="4"/>
    <x v="4"/>
    <x v="4"/>
    <x v="1"/>
    <x v="2"/>
  </r>
  <r>
    <s v="AX15685"/>
    <s v="ENX2064"/>
    <s v="A160"/>
    <s v="EMP1004"/>
    <s v="C1634"/>
    <x v="510"/>
    <n v="1"/>
    <n v="1414"/>
    <n v="962"/>
    <n v="962"/>
    <n v="1414"/>
    <n v="452"/>
    <s v="Product 65"/>
    <x v="9"/>
    <s v="Kenneth Bradley"/>
    <x v="71"/>
    <n v="5"/>
    <x v="4"/>
    <x v="4"/>
    <x v="4"/>
    <x v="1"/>
    <x v="2"/>
  </r>
  <r>
    <s v="AX15692"/>
    <s v="ENX2054"/>
    <s v="A153"/>
    <s v="EMP1022"/>
    <s v="C1309"/>
    <x v="514"/>
    <n v="2"/>
    <n v="127"/>
    <n v="79"/>
    <n v="158"/>
    <n v="254"/>
    <n v="96"/>
    <s v="Product 55"/>
    <x v="8"/>
    <s v="Walter Cook"/>
    <x v="139"/>
    <n v="5"/>
    <x v="4"/>
    <x v="4"/>
    <x v="4"/>
    <x v="1"/>
    <x v="2"/>
  </r>
  <r>
    <s v="AX15750"/>
    <s v="ENX2004"/>
    <s v="A103"/>
    <s v="EMP1044"/>
    <s v="C1567"/>
    <x v="512"/>
    <n v="1"/>
    <n v="1278"/>
    <n v="665"/>
    <n v="665"/>
    <n v="1278"/>
    <n v="613"/>
    <s v="Product 5"/>
    <x v="61"/>
    <s v="Martin Carr"/>
    <x v="251"/>
    <n v="5"/>
    <x v="4"/>
    <x v="4"/>
    <x v="4"/>
    <x v="1"/>
    <x v="2"/>
  </r>
  <r>
    <s v="AX15932"/>
    <s v="ENX2017"/>
    <s v="A136"/>
    <s v="EMP1014"/>
    <s v="C1576"/>
    <x v="514"/>
    <n v="3"/>
    <n v="35"/>
    <n v="22"/>
    <n v="66"/>
    <n v="105"/>
    <n v="39"/>
    <s v="Product 18"/>
    <x v="43"/>
    <s v="Ronald Reed"/>
    <x v="398"/>
    <n v="5"/>
    <x v="4"/>
    <x v="4"/>
    <x v="4"/>
    <x v="1"/>
    <x v="2"/>
  </r>
  <r>
    <s v="AX16087"/>
    <s v="ENX2056"/>
    <s v="A123"/>
    <s v="EMP1008"/>
    <s v="C1118"/>
    <x v="513"/>
    <n v="1"/>
    <n v="1635"/>
    <n v="1046"/>
    <n v="1046"/>
    <n v="1635"/>
    <n v="589"/>
    <s v="Product 57"/>
    <x v="34"/>
    <s v="Carl Elliott"/>
    <x v="633"/>
    <n v="5"/>
    <x v="4"/>
    <x v="4"/>
    <x v="4"/>
    <x v="1"/>
    <x v="2"/>
  </r>
  <r>
    <s v="AX16423"/>
    <s v="ENX2026"/>
    <s v="A158"/>
    <s v="EMP1013"/>
    <s v="C1308"/>
    <x v="510"/>
    <n v="4"/>
    <n v="947"/>
    <n v="786"/>
    <n v="3144"/>
    <n v="3788"/>
    <n v="644"/>
    <s v="Product 27"/>
    <x v="58"/>
    <s v="Charles Harper"/>
    <x v="226"/>
    <n v="5"/>
    <x v="4"/>
    <x v="4"/>
    <x v="4"/>
    <x v="1"/>
    <x v="2"/>
  </r>
  <r>
    <s v="AX16583"/>
    <s v="ENX2095"/>
    <s v="A108"/>
    <s v="EMP1041"/>
    <s v="C1798"/>
    <x v="510"/>
    <n v="1"/>
    <n v="1743"/>
    <n v="872"/>
    <n v="872"/>
    <n v="1743"/>
    <n v="871"/>
    <s v="Product 96"/>
    <x v="49"/>
    <s v="Joe Sims"/>
    <x v="608"/>
    <n v="5"/>
    <x v="4"/>
    <x v="4"/>
    <x v="4"/>
    <x v="1"/>
    <x v="2"/>
  </r>
  <r>
    <s v="AX17160"/>
    <s v="ENX2089"/>
    <s v="A121"/>
    <s v="EMP1014"/>
    <s v="C1015"/>
    <x v="511"/>
    <n v="3"/>
    <n v="2294"/>
    <n v="1399"/>
    <n v="4197"/>
    <n v="6882"/>
    <n v="2685"/>
    <s v="Product 90"/>
    <x v="72"/>
    <s v="Ronald Reed"/>
    <x v="583"/>
    <n v="5"/>
    <x v="4"/>
    <x v="4"/>
    <x v="4"/>
    <x v="1"/>
    <x v="2"/>
  </r>
  <r>
    <s v="AX17222"/>
    <s v="ENX2001"/>
    <s v="A136"/>
    <s v="EMP1024"/>
    <s v="C1513"/>
    <x v="514"/>
    <n v="1"/>
    <n v="951"/>
    <n v="504"/>
    <n v="504"/>
    <n v="951"/>
    <n v="447"/>
    <s v="Product 2"/>
    <x v="43"/>
    <s v="Ernest Wheeler"/>
    <x v="414"/>
    <n v="5"/>
    <x v="4"/>
    <x v="4"/>
    <x v="4"/>
    <x v="1"/>
    <x v="2"/>
  </r>
  <r>
    <s v="AX17259"/>
    <s v="ENX2005"/>
    <s v="A150"/>
    <s v="EMP1041"/>
    <s v="C1349"/>
    <x v="512"/>
    <n v="4"/>
    <n v="684"/>
    <n v="561"/>
    <n v="2244"/>
    <n v="2736"/>
    <n v="492"/>
    <s v="Product 6"/>
    <x v="30"/>
    <s v="Joe Sims"/>
    <x v="501"/>
    <n v="5"/>
    <x v="4"/>
    <x v="4"/>
    <x v="4"/>
    <x v="1"/>
    <x v="2"/>
  </r>
  <r>
    <s v="AX18018"/>
    <s v="ENX2022"/>
    <s v="A121"/>
    <s v="EMP1025"/>
    <s v="C1286"/>
    <x v="514"/>
    <n v="3"/>
    <n v="561"/>
    <n v="421"/>
    <n v="1263"/>
    <n v="1683"/>
    <n v="420"/>
    <s v="Product 23"/>
    <x v="72"/>
    <s v="Ernest Wagner"/>
    <x v="308"/>
    <n v="5"/>
    <x v="4"/>
    <x v="4"/>
    <x v="4"/>
    <x v="1"/>
    <x v="2"/>
  </r>
  <r>
    <s v="AX18198"/>
    <s v="ENX2042"/>
    <s v="A129"/>
    <s v="EMP1028"/>
    <s v="C1701"/>
    <x v="510"/>
    <n v="2"/>
    <n v="203"/>
    <n v="154"/>
    <n v="308"/>
    <n v="406"/>
    <n v="98"/>
    <s v="Product 43"/>
    <x v="22"/>
    <s v="Howard Sims"/>
    <x v="736"/>
    <n v="5"/>
    <x v="4"/>
    <x v="4"/>
    <x v="4"/>
    <x v="1"/>
    <x v="2"/>
  </r>
  <r>
    <s v="AX18497"/>
    <s v="ENX2057"/>
    <s v="A172"/>
    <s v="EMP1036"/>
    <s v="C1222"/>
    <x v="513"/>
    <n v="1"/>
    <n v="181"/>
    <n v="130"/>
    <n v="130"/>
    <n v="181"/>
    <n v="51"/>
    <s v="Product 58"/>
    <x v="36"/>
    <s v="Robert Reed"/>
    <x v="691"/>
    <n v="5"/>
    <x v="4"/>
    <x v="4"/>
    <x v="4"/>
    <x v="1"/>
    <x v="2"/>
  </r>
  <r>
    <s v="AX18834"/>
    <s v="ENX2001"/>
    <s v="A141"/>
    <s v="EMP1015"/>
    <s v="C1142"/>
    <x v="510"/>
    <n v="3"/>
    <n v="951"/>
    <n v="504"/>
    <n v="1512"/>
    <n v="2853"/>
    <n v="1341"/>
    <s v="Product 2"/>
    <x v="23"/>
    <s v="Justin Lynch"/>
    <x v="731"/>
    <n v="5"/>
    <x v="4"/>
    <x v="4"/>
    <x v="4"/>
    <x v="1"/>
    <x v="2"/>
  </r>
  <r>
    <s v="AX19053"/>
    <s v="ENX2042"/>
    <s v="A150"/>
    <s v="EMP1018"/>
    <s v="C1736"/>
    <x v="514"/>
    <n v="1"/>
    <n v="203"/>
    <n v="154"/>
    <n v="154"/>
    <n v="203"/>
    <n v="49"/>
    <s v="Product 43"/>
    <x v="30"/>
    <s v="Jimmy Young"/>
    <x v="472"/>
    <n v="5"/>
    <x v="4"/>
    <x v="4"/>
    <x v="4"/>
    <x v="1"/>
    <x v="2"/>
  </r>
  <r>
    <s v="AX19575"/>
    <s v="ENX2094"/>
    <s v="A160"/>
    <s v="EMP1039"/>
    <s v="C1422"/>
    <x v="512"/>
    <n v="1"/>
    <n v="771"/>
    <n v="648"/>
    <n v="648"/>
    <n v="771"/>
    <n v="123"/>
    <s v="Product 95"/>
    <x v="9"/>
    <s v="Eugene Holmes"/>
    <x v="176"/>
    <n v="5"/>
    <x v="4"/>
    <x v="4"/>
    <x v="4"/>
    <x v="1"/>
    <x v="2"/>
  </r>
  <r>
    <s v="AX19640"/>
    <s v="ENX2063"/>
    <s v="A109"/>
    <s v="EMP1017"/>
    <s v="C1734"/>
    <x v="514"/>
    <n v="1"/>
    <n v="1708"/>
    <n v="871"/>
    <n v="871"/>
    <n v="1708"/>
    <n v="837"/>
    <s v="Product 64"/>
    <x v="57"/>
    <s v="Brian Hansen"/>
    <x v="658"/>
    <n v="5"/>
    <x v="4"/>
    <x v="4"/>
    <x v="4"/>
    <x v="1"/>
    <x v="2"/>
  </r>
  <r>
    <s v="AX19756"/>
    <s v="ENX2040"/>
    <s v="A169"/>
    <s v="EMP1003"/>
    <s v="C1065"/>
    <x v="510"/>
    <n v="1"/>
    <n v="1889"/>
    <n v="945"/>
    <n v="945"/>
    <n v="1889"/>
    <n v="944"/>
    <s v="Product 41"/>
    <x v="17"/>
    <s v="Christopher Tucker"/>
    <x v="637"/>
    <n v="5"/>
    <x v="4"/>
    <x v="4"/>
    <x v="4"/>
    <x v="1"/>
    <x v="2"/>
  </r>
  <r>
    <s v="AX19920"/>
    <s v="ENX2017"/>
    <s v="A149"/>
    <s v="EMP1022"/>
    <s v="C1145"/>
    <x v="513"/>
    <n v="1"/>
    <n v="35"/>
    <n v="22"/>
    <n v="22"/>
    <n v="35"/>
    <n v="13"/>
    <s v="Product 18"/>
    <x v="59"/>
    <s v="Walter Cook"/>
    <x v="489"/>
    <n v="5"/>
    <x v="4"/>
    <x v="4"/>
    <x v="4"/>
    <x v="1"/>
    <x v="2"/>
  </r>
  <r>
    <s v="AX19940"/>
    <s v="ENX2050"/>
    <s v="A143"/>
    <s v="EMP1004"/>
    <s v="C1551"/>
    <x v="512"/>
    <n v="4"/>
    <n v="2391"/>
    <n v="1291"/>
    <n v="5164"/>
    <n v="9564"/>
    <n v="4400"/>
    <s v="Product 51"/>
    <x v="39"/>
    <s v="Kenneth Bradley"/>
    <x v="596"/>
    <n v="5"/>
    <x v="4"/>
    <x v="4"/>
    <x v="4"/>
    <x v="1"/>
    <x v="2"/>
  </r>
  <r>
    <s v="AX20407"/>
    <s v="ENX2003"/>
    <s v="A104"/>
    <s v="EMP1028"/>
    <s v="C1040"/>
    <x v="513"/>
    <n v="2"/>
    <n v="1783"/>
    <n v="1516"/>
    <n v="3032"/>
    <n v="3566"/>
    <n v="534"/>
    <s v="Product 4"/>
    <x v="50"/>
    <s v="Howard Sims"/>
    <x v="221"/>
    <n v="5"/>
    <x v="4"/>
    <x v="4"/>
    <x v="4"/>
    <x v="1"/>
    <x v="2"/>
  </r>
  <r>
    <s v="AX21052"/>
    <s v="ENX2066"/>
    <s v="A160"/>
    <s v="EMP1032"/>
    <s v="C1244"/>
    <x v="510"/>
    <n v="1"/>
    <n v="2091"/>
    <n v="1485"/>
    <n v="1485"/>
    <n v="2091"/>
    <n v="606"/>
    <s v="Product 67"/>
    <x v="9"/>
    <s v="Larry Castillo"/>
    <x v="381"/>
    <n v="5"/>
    <x v="4"/>
    <x v="4"/>
    <x v="4"/>
    <x v="1"/>
    <x v="2"/>
  </r>
  <r>
    <s v="AX21187"/>
    <s v="ENX2070"/>
    <s v="A150"/>
    <s v="EMP1032"/>
    <s v="C1723"/>
    <x v="510"/>
    <n v="2"/>
    <n v="1671"/>
    <n v="1220"/>
    <n v="2440"/>
    <n v="3342"/>
    <n v="902"/>
    <s v="Product 71"/>
    <x v="30"/>
    <s v="Larry Castillo"/>
    <x v="118"/>
    <n v="5"/>
    <x v="4"/>
    <x v="4"/>
    <x v="4"/>
    <x v="1"/>
    <x v="2"/>
  </r>
  <r>
    <s v="AX21298"/>
    <s v="ENX2076"/>
    <s v="A114"/>
    <s v="EMP1018"/>
    <s v="C1529"/>
    <x v="514"/>
    <n v="2"/>
    <n v="1522"/>
    <n v="791"/>
    <n v="1582"/>
    <n v="3044"/>
    <n v="1462"/>
    <s v="Product 77"/>
    <x v="28"/>
    <s v="Jimmy Young"/>
    <x v="247"/>
    <n v="5"/>
    <x v="4"/>
    <x v="4"/>
    <x v="4"/>
    <x v="1"/>
    <x v="2"/>
  </r>
  <r>
    <s v="AX21461"/>
    <s v="ENX2054"/>
    <s v="A162"/>
    <s v="EMP1033"/>
    <s v="C1516"/>
    <x v="514"/>
    <n v="3"/>
    <n v="127"/>
    <n v="79"/>
    <n v="237"/>
    <n v="381"/>
    <n v="144"/>
    <s v="Product 55"/>
    <x v="2"/>
    <s v="Jerry Perry"/>
    <x v="568"/>
    <n v="5"/>
    <x v="4"/>
    <x v="4"/>
    <x v="4"/>
    <x v="1"/>
    <x v="2"/>
  </r>
  <r>
    <s v="AX21879"/>
    <s v="ENX2063"/>
    <s v="A146"/>
    <s v="EMP1030"/>
    <s v="C1723"/>
    <x v="514"/>
    <n v="1"/>
    <n v="1708"/>
    <n v="871"/>
    <n v="871"/>
    <n v="1708"/>
    <n v="837"/>
    <s v="Product 64"/>
    <x v="27"/>
    <s v="Bobby Russell"/>
    <x v="118"/>
    <n v="5"/>
    <x v="4"/>
    <x v="4"/>
    <x v="4"/>
    <x v="1"/>
    <x v="2"/>
  </r>
  <r>
    <s v="AX22097"/>
    <s v="ENX2098"/>
    <s v="A166"/>
    <s v="EMP1044"/>
    <s v="C1392"/>
    <x v="510"/>
    <n v="3"/>
    <n v="1178"/>
    <n v="683"/>
    <n v="2049"/>
    <n v="3534"/>
    <n v="1485"/>
    <s v="Product 99"/>
    <x v="70"/>
    <s v="Martin Carr"/>
    <x v="78"/>
    <n v="5"/>
    <x v="4"/>
    <x v="4"/>
    <x v="4"/>
    <x v="1"/>
    <x v="2"/>
  </r>
  <r>
    <s v="AX22759"/>
    <s v="ENX2041"/>
    <s v="A112"/>
    <s v="EMP1028"/>
    <s v="C1623"/>
    <x v="513"/>
    <n v="1"/>
    <n v="1380"/>
    <n v="1090"/>
    <n v="1090"/>
    <n v="1380"/>
    <n v="290"/>
    <s v="Product 42"/>
    <x v="66"/>
    <s v="Howard Sims"/>
    <x v="282"/>
    <n v="5"/>
    <x v="4"/>
    <x v="4"/>
    <x v="4"/>
    <x v="1"/>
    <x v="2"/>
  </r>
  <r>
    <s v="AX22868"/>
    <s v="ENX2068"/>
    <s v="A136"/>
    <s v="EMP1010"/>
    <s v="C1306"/>
    <x v="510"/>
    <n v="3"/>
    <n v="1500"/>
    <n v="900"/>
    <n v="2700"/>
    <n v="4500"/>
    <n v="1800"/>
    <s v="Product 69"/>
    <x v="43"/>
    <s v="Joshua Cook"/>
    <x v="692"/>
    <n v="5"/>
    <x v="4"/>
    <x v="4"/>
    <x v="4"/>
    <x v="1"/>
    <x v="2"/>
  </r>
  <r>
    <s v="AX22994"/>
    <s v="ENX2024"/>
    <s v="A160"/>
    <s v="EMP1036"/>
    <s v="C1267"/>
    <x v="512"/>
    <n v="1"/>
    <n v="356"/>
    <n v="292"/>
    <n v="292"/>
    <n v="356"/>
    <n v="64"/>
    <s v="Product 25"/>
    <x v="9"/>
    <s v="Robert Reed"/>
    <x v="657"/>
    <n v="5"/>
    <x v="4"/>
    <x v="4"/>
    <x v="4"/>
    <x v="1"/>
    <x v="2"/>
  </r>
  <r>
    <s v="AX23221"/>
    <s v="ENX2021"/>
    <s v="A115"/>
    <s v="EMP1028"/>
    <s v="C1107"/>
    <x v="511"/>
    <n v="1"/>
    <n v="217"/>
    <n v="171"/>
    <n v="171"/>
    <n v="217"/>
    <n v="46"/>
    <s v="Product 22"/>
    <x v="33"/>
    <s v="Howard Sims"/>
    <x v="278"/>
    <n v="5"/>
    <x v="4"/>
    <x v="4"/>
    <x v="4"/>
    <x v="1"/>
    <x v="2"/>
  </r>
  <r>
    <s v="AX23272"/>
    <s v="ENX2088"/>
    <s v="A100"/>
    <s v="EMP1037"/>
    <s v="C1302"/>
    <x v="512"/>
    <n v="2"/>
    <n v="603"/>
    <n v="416"/>
    <n v="832"/>
    <n v="1206"/>
    <n v="374"/>
    <s v="Product 89"/>
    <x v="52"/>
    <s v="Carl Hall"/>
    <x v="451"/>
    <n v="5"/>
    <x v="4"/>
    <x v="4"/>
    <x v="4"/>
    <x v="1"/>
    <x v="2"/>
  </r>
  <r>
    <s v="AX23513"/>
    <s v="ENX2041"/>
    <s v="A123"/>
    <s v="EMP1028"/>
    <s v="C1461"/>
    <x v="512"/>
    <n v="3"/>
    <n v="1380"/>
    <n v="1090"/>
    <n v="3270"/>
    <n v="4140"/>
    <n v="870"/>
    <s v="Product 42"/>
    <x v="34"/>
    <s v="Howard Sims"/>
    <x v="634"/>
    <n v="5"/>
    <x v="4"/>
    <x v="4"/>
    <x v="4"/>
    <x v="1"/>
    <x v="2"/>
  </r>
  <r>
    <s v="AX23585"/>
    <s v="ENX2025"/>
    <s v="A171"/>
    <s v="EMP1015"/>
    <s v="C1691"/>
    <x v="514"/>
    <n v="1"/>
    <n v="667"/>
    <n v="387"/>
    <n v="387"/>
    <n v="667"/>
    <n v="280"/>
    <s v="Product 26"/>
    <x v="0"/>
    <s v="Justin Lynch"/>
    <x v="157"/>
    <n v="5"/>
    <x v="4"/>
    <x v="4"/>
    <x v="4"/>
    <x v="1"/>
    <x v="2"/>
  </r>
  <r>
    <s v="AX23616"/>
    <s v="ENX2023"/>
    <s v="A139"/>
    <s v="EMP1014"/>
    <s v="C1022"/>
    <x v="512"/>
    <n v="3"/>
    <n v="818"/>
    <n v="450"/>
    <n v="1350"/>
    <n v="2454"/>
    <n v="1104"/>
    <s v="Product 24"/>
    <x v="38"/>
    <s v="Ronald Reed"/>
    <x v="249"/>
    <n v="5"/>
    <x v="4"/>
    <x v="4"/>
    <x v="4"/>
    <x v="1"/>
    <x v="2"/>
  </r>
  <r>
    <s v="AX23717"/>
    <s v="ENX2014"/>
    <s v="A101"/>
    <s v="EMP1002"/>
    <s v="C1614"/>
    <x v="510"/>
    <n v="1"/>
    <n v="1809"/>
    <n v="1067"/>
    <n v="1067"/>
    <n v="1809"/>
    <n v="742"/>
    <s v="Product 15"/>
    <x v="60"/>
    <s v="Andrew Bowman"/>
    <x v="11"/>
    <n v="5"/>
    <x v="4"/>
    <x v="4"/>
    <x v="4"/>
    <x v="1"/>
    <x v="2"/>
  </r>
  <r>
    <s v="AX23792"/>
    <s v="ENX2047"/>
    <s v="A118"/>
    <s v="EMP1044"/>
    <s v="C1496"/>
    <x v="513"/>
    <n v="1"/>
    <n v="290"/>
    <n v="200"/>
    <n v="200"/>
    <n v="290"/>
    <n v="90"/>
    <s v="Product 48"/>
    <x v="19"/>
    <s v="Martin Carr"/>
    <x v="54"/>
    <n v="5"/>
    <x v="4"/>
    <x v="4"/>
    <x v="4"/>
    <x v="1"/>
    <x v="2"/>
  </r>
  <r>
    <s v="AX23828"/>
    <s v="ENX2057"/>
    <s v="A111"/>
    <s v="EMP1017"/>
    <s v="C1211"/>
    <x v="512"/>
    <n v="4"/>
    <n v="181"/>
    <n v="130"/>
    <n v="520"/>
    <n v="724"/>
    <n v="204"/>
    <s v="Product 58"/>
    <x v="54"/>
    <s v="Brian Hansen"/>
    <x v="137"/>
    <n v="5"/>
    <x v="4"/>
    <x v="4"/>
    <x v="4"/>
    <x v="1"/>
    <x v="2"/>
  </r>
  <r>
    <s v="AX24045"/>
    <s v="ENX2065"/>
    <s v="A129"/>
    <s v="EMP1036"/>
    <s v="C1038"/>
    <x v="512"/>
    <n v="3"/>
    <n v="2396"/>
    <n v="1965"/>
    <n v="5895"/>
    <n v="7188"/>
    <n v="1293"/>
    <s v="Product 66"/>
    <x v="22"/>
    <s v="Robert Reed"/>
    <x v="545"/>
    <n v="5"/>
    <x v="4"/>
    <x v="4"/>
    <x v="4"/>
    <x v="1"/>
    <x v="2"/>
  </r>
  <r>
    <s v="AX24048"/>
    <s v="ENX2018"/>
    <s v="A112"/>
    <s v="EMP1010"/>
    <s v="C1173"/>
    <x v="514"/>
    <n v="1"/>
    <n v="1972"/>
    <n v="1321"/>
    <n v="1321"/>
    <n v="1972"/>
    <n v="651"/>
    <s v="Product 19"/>
    <x v="66"/>
    <s v="Joshua Cook"/>
    <x v="167"/>
    <n v="5"/>
    <x v="4"/>
    <x v="4"/>
    <x v="4"/>
    <x v="1"/>
    <x v="2"/>
  </r>
  <r>
    <s v="AX24079"/>
    <s v="ENX2064"/>
    <s v="A151"/>
    <s v="EMP1023"/>
    <s v="C1595"/>
    <x v="514"/>
    <n v="1"/>
    <n v="1414"/>
    <n v="962"/>
    <n v="962"/>
    <n v="1414"/>
    <n v="452"/>
    <s v="Product 65"/>
    <x v="1"/>
    <s v="Brian Davis"/>
    <x v="372"/>
    <n v="5"/>
    <x v="4"/>
    <x v="4"/>
    <x v="4"/>
    <x v="1"/>
    <x v="2"/>
  </r>
  <r>
    <s v="AX24436"/>
    <s v="ENX2029"/>
    <s v="A145"/>
    <s v="EMP1001"/>
    <s v="C1380"/>
    <x v="514"/>
    <n v="4"/>
    <n v="1848"/>
    <n v="1294"/>
    <n v="5176"/>
    <n v="7392"/>
    <n v="2216"/>
    <s v="Product 30"/>
    <x v="35"/>
    <s v="Kevin Butler"/>
    <x v="540"/>
    <n v="5"/>
    <x v="4"/>
    <x v="4"/>
    <x v="4"/>
    <x v="1"/>
    <x v="2"/>
  </r>
  <r>
    <s v="AX24479"/>
    <s v="ENX2024"/>
    <s v="A146"/>
    <s v="EMP1006"/>
    <s v="C1434"/>
    <x v="514"/>
    <n v="2"/>
    <n v="356"/>
    <n v="292"/>
    <n v="584"/>
    <n v="712"/>
    <n v="128"/>
    <s v="Product 25"/>
    <x v="27"/>
    <s v="Sean Miller"/>
    <x v="722"/>
    <n v="5"/>
    <x v="4"/>
    <x v="4"/>
    <x v="4"/>
    <x v="1"/>
    <x v="2"/>
  </r>
  <r>
    <s v="AX24647"/>
    <s v="ENX2049"/>
    <s v="A132"/>
    <s v="EMP1030"/>
    <s v="C1687"/>
    <x v="513"/>
    <n v="2"/>
    <n v="826"/>
    <n v="562"/>
    <n v="1124"/>
    <n v="1652"/>
    <n v="528"/>
    <s v="Product 50"/>
    <x v="48"/>
    <s v="Bobby Russell"/>
    <x v="389"/>
    <n v="5"/>
    <x v="4"/>
    <x v="4"/>
    <x v="4"/>
    <x v="1"/>
    <x v="2"/>
  </r>
  <r>
    <s v="AX24752"/>
    <s v="ENX2051"/>
    <s v="A159"/>
    <s v="EMP1044"/>
    <s v="C1132"/>
    <x v="510"/>
    <n v="2"/>
    <n v="1077"/>
    <n v="732"/>
    <n v="1464"/>
    <n v="2154"/>
    <n v="690"/>
    <s v="Product 52"/>
    <x v="13"/>
    <s v="Martin Carr"/>
    <x v="751"/>
    <n v="5"/>
    <x v="4"/>
    <x v="4"/>
    <x v="4"/>
    <x v="1"/>
    <x v="2"/>
  </r>
  <r>
    <s v="AX24913"/>
    <s v="ENX2055"/>
    <s v="A138"/>
    <s v="EMP1042"/>
    <s v="C1638"/>
    <x v="511"/>
    <n v="2"/>
    <n v="2495"/>
    <n v="1896"/>
    <n v="3792"/>
    <n v="4990"/>
    <n v="1198"/>
    <s v="Product 56"/>
    <x v="37"/>
    <s v="Scott Clark"/>
    <x v="395"/>
    <n v="5"/>
    <x v="4"/>
    <x v="4"/>
    <x v="4"/>
    <x v="1"/>
    <x v="2"/>
  </r>
  <r>
    <s v="AX24952"/>
    <s v="ENX2092"/>
    <s v="A110"/>
    <s v="EMP1006"/>
    <s v="C1216"/>
    <x v="510"/>
    <n v="1"/>
    <n v="1639"/>
    <n v="1295"/>
    <n v="1295"/>
    <n v="1639"/>
    <n v="344"/>
    <s v="Product 93"/>
    <x v="63"/>
    <s v="Sean Miller"/>
    <x v="580"/>
    <n v="5"/>
    <x v="4"/>
    <x v="4"/>
    <x v="4"/>
    <x v="1"/>
    <x v="2"/>
  </r>
  <r>
    <s v="AX10186"/>
    <s v="ENX2022"/>
    <s v="A133"/>
    <s v="EMP1025"/>
    <s v="C1064"/>
    <x v="515"/>
    <n v="2"/>
    <n v="561"/>
    <n v="421"/>
    <n v="842"/>
    <n v="1122"/>
    <n v="280"/>
    <s v="Product 23"/>
    <x v="46"/>
    <s v="Ernest Wagner"/>
    <x v="597"/>
    <n v="5"/>
    <x v="4"/>
    <x v="5"/>
    <x v="5"/>
    <x v="1"/>
    <x v="0"/>
  </r>
  <r>
    <s v="AX10361"/>
    <s v="ENX2034"/>
    <s v="A132"/>
    <s v="EMP1024"/>
    <s v="C1020"/>
    <x v="516"/>
    <n v="1"/>
    <n v="871"/>
    <n v="540"/>
    <n v="540"/>
    <n v="871"/>
    <n v="331"/>
    <s v="Product 35"/>
    <x v="48"/>
    <s v="Ernest Wheeler"/>
    <x v="423"/>
    <n v="5"/>
    <x v="4"/>
    <x v="5"/>
    <x v="5"/>
    <x v="1"/>
    <x v="0"/>
  </r>
  <r>
    <s v="AX10827"/>
    <s v="ENX2074"/>
    <s v="A166"/>
    <s v="EMP1001"/>
    <s v="C1678"/>
    <x v="517"/>
    <n v="3"/>
    <n v="504"/>
    <n v="408"/>
    <n v="1224"/>
    <n v="1512"/>
    <n v="288"/>
    <s v="Product 75"/>
    <x v="70"/>
    <s v="Kevin Butler"/>
    <x v="191"/>
    <n v="5"/>
    <x v="4"/>
    <x v="5"/>
    <x v="5"/>
    <x v="1"/>
    <x v="0"/>
  </r>
  <r>
    <s v="AX11017"/>
    <s v="ENX2005"/>
    <s v="A129"/>
    <s v="EMP1036"/>
    <s v="C1708"/>
    <x v="517"/>
    <n v="1"/>
    <n v="684"/>
    <n v="561"/>
    <n v="561"/>
    <n v="684"/>
    <n v="123"/>
    <s v="Product 6"/>
    <x v="22"/>
    <s v="Robert Reed"/>
    <x v="579"/>
    <n v="5"/>
    <x v="4"/>
    <x v="5"/>
    <x v="5"/>
    <x v="1"/>
    <x v="0"/>
  </r>
  <r>
    <s v="AX12049"/>
    <s v="ENX2063"/>
    <s v="A150"/>
    <s v="EMP1018"/>
    <s v="C1712"/>
    <x v="518"/>
    <n v="4"/>
    <n v="1708"/>
    <n v="871"/>
    <n v="3484"/>
    <n v="6832"/>
    <n v="3348"/>
    <s v="Product 64"/>
    <x v="30"/>
    <s v="Jimmy Young"/>
    <x v="21"/>
    <n v="5"/>
    <x v="4"/>
    <x v="5"/>
    <x v="5"/>
    <x v="1"/>
    <x v="0"/>
  </r>
  <r>
    <s v="AX12385"/>
    <s v="ENX2057"/>
    <s v="A157"/>
    <s v="EMP1019"/>
    <s v="C1792"/>
    <x v="515"/>
    <n v="1"/>
    <n v="181"/>
    <n v="130"/>
    <n v="130"/>
    <n v="181"/>
    <n v="51"/>
    <s v="Product 58"/>
    <x v="7"/>
    <s v="Roger Robertson"/>
    <x v="536"/>
    <n v="5"/>
    <x v="4"/>
    <x v="5"/>
    <x v="5"/>
    <x v="1"/>
    <x v="0"/>
  </r>
  <r>
    <s v="AX12828"/>
    <s v="ENX2068"/>
    <s v="A163"/>
    <s v="EMP1000"/>
    <s v="C1255"/>
    <x v="517"/>
    <n v="2"/>
    <n v="1500"/>
    <n v="900"/>
    <n v="1800"/>
    <n v="3000"/>
    <n v="1200"/>
    <s v="Product 69"/>
    <x v="51"/>
    <s v="Fred Robertson"/>
    <x v="111"/>
    <n v="5"/>
    <x v="4"/>
    <x v="5"/>
    <x v="5"/>
    <x v="1"/>
    <x v="0"/>
  </r>
  <r>
    <s v="AX12862"/>
    <s v="ENX2098"/>
    <s v="A163"/>
    <s v="EMP1040"/>
    <s v="C1566"/>
    <x v="518"/>
    <n v="3"/>
    <n v="1178"/>
    <n v="683"/>
    <n v="2049"/>
    <n v="3534"/>
    <n v="1485"/>
    <s v="Product 99"/>
    <x v="51"/>
    <s v="Patrick Ruiz"/>
    <x v="45"/>
    <n v="5"/>
    <x v="4"/>
    <x v="5"/>
    <x v="5"/>
    <x v="1"/>
    <x v="0"/>
  </r>
  <r>
    <s v="AX12895"/>
    <s v="ENX2004"/>
    <s v="A133"/>
    <s v="EMP1018"/>
    <s v="C1485"/>
    <x v="518"/>
    <n v="3"/>
    <n v="1278"/>
    <n v="665"/>
    <n v="1995"/>
    <n v="3834"/>
    <n v="1839"/>
    <s v="Product 5"/>
    <x v="46"/>
    <s v="Jimmy Young"/>
    <x v="679"/>
    <n v="5"/>
    <x v="4"/>
    <x v="5"/>
    <x v="5"/>
    <x v="1"/>
    <x v="0"/>
  </r>
  <r>
    <s v="AX13381"/>
    <s v="ENX2038"/>
    <s v="A162"/>
    <s v="EMP1038"/>
    <s v="C1010"/>
    <x v="515"/>
    <n v="1"/>
    <n v="392"/>
    <n v="255"/>
    <n v="255"/>
    <n v="392"/>
    <n v="137"/>
    <s v="Product 39"/>
    <x v="2"/>
    <s v="Scott Mason"/>
    <x v="399"/>
    <n v="5"/>
    <x v="4"/>
    <x v="5"/>
    <x v="5"/>
    <x v="1"/>
    <x v="0"/>
  </r>
  <r>
    <s v="AX13553"/>
    <s v="ENX2037"/>
    <s v="A167"/>
    <s v="EMP1008"/>
    <s v="C1395"/>
    <x v="517"/>
    <n v="1"/>
    <n v="880"/>
    <n v="634"/>
    <n v="634"/>
    <n v="880"/>
    <n v="246"/>
    <s v="Product 38"/>
    <x v="64"/>
    <s v="Carl Elliott"/>
    <x v="202"/>
    <n v="5"/>
    <x v="4"/>
    <x v="5"/>
    <x v="5"/>
    <x v="1"/>
    <x v="0"/>
  </r>
  <r>
    <s v="AX13800"/>
    <s v="ENX2063"/>
    <s v="A173"/>
    <s v="EMP1042"/>
    <s v="C1179"/>
    <x v="517"/>
    <n v="3"/>
    <n v="1708"/>
    <n v="871"/>
    <n v="2613"/>
    <n v="5124"/>
    <n v="2511"/>
    <s v="Product 64"/>
    <x v="25"/>
    <s v="Scott Clark"/>
    <x v="788"/>
    <n v="5"/>
    <x v="4"/>
    <x v="5"/>
    <x v="5"/>
    <x v="1"/>
    <x v="0"/>
  </r>
  <r>
    <s v="AX13853"/>
    <s v="ENX2074"/>
    <s v="A160"/>
    <s v="EMP1017"/>
    <s v="C1440"/>
    <x v="517"/>
    <n v="1"/>
    <n v="504"/>
    <n v="408"/>
    <n v="408"/>
    <n v="504"/>
    <n v="96"/>
    <s v="Product 75"/>
    <x v="9"/>
    <s v="Brian Hansen"/>
    <x v="52"/>
    <n v="5"/>
    <x v="4"/>
    <x v="5"/>
    <x v="5"/>
    <x v="1"/>
    <x v="0"/>
  </r>
  <r>
    <s v="AX14409"/>
    <s v="ENX2077"/>
    <s v="A116"/>
    <s v="EMP1033"/>
    <s v="C1049"/>
    <x v="516"/>
    <n v="4"/>
    <n v="530"/>
    <n v="424"/>
    <n v="1696"/>
    <n v="2120"/>
    <n v="424"/>
    <s v="Product 78"/>
    <x v="15"/>
    <s v="Jerry Perry"/>
    <x v="305"/>
    <n v="5"/>
    <x v="4"/>
    <x v="5"/>
    <x v="5"/>
    <x v="1"/>
    <x v="0"/>
  </r>
  <r>
    <s v="AX14575"/>
    <s v="ENX2022"/>
    <s v="A128"/>
    <s v="EMP1004"/>
    <s v="C1570"/>
    <x v="515"/>
    <n v="4"/>
    <n v="561"/>
    <n v="421"/>
    <n v="1684"/>
    <n v="2244"/>
    <n v="560"/>
    <s v="Product 23"/>
    <x v="12"/>
    <s v="Kenneth Bradley"/>
    <x v="695"/>
    <n v="5"/>
    <x v="4"/>
    <x v="5"/>
    <x v="5"/>
    <x v="1"/>
    <x v="0"/>
  </r>
  <r>
    <s v="AX14664"/>
    <s v="ENX2063"/>
    <s v="A130"/>
    <s v="EMP1022"/>
    <s v="C1509"/>
    <x v="517"/>
    <n v="1"/>
    <n v="1708"/>
    <n v="871"/>
    <n v="871"/>
    <n v="1708"/>
    <n v="837"/>
    <s v="Product 64"/>
    <x v="4"/>
    <s v="Walter Cook"/>
    <x v="442"/>
    <n v="5"/>
    <x v="4"/>
    <x v="5"/>
    <x v="5"/>
    <x v="1"/>
    <x v="0"/>
  </r>
  <r>
    <s v="AX14843"/>
    <s v="ENX2021"/>
    <s v="A147"/>
    <s v="EMP1031"/>
    <s v="C1057"/>
    <x v="515"/>
    <n v="2"/>
    <n v="217"/>
    <n v="171"/>
    <n v="342"/>
    <n v="434"/>
    <n v="92"/>
    <s v="Product 22"/>
    <x v="42"/>
    <s v="Brian Thomas"/>
    <x v="635"/>
    <n v="5"/>
    <x v="4"/>
    <x v="5"/>
    <x v="5"/>
    <x v="1"/>
    <x v="0"/>
  </r>
  <r>
    <s v="AX14988"/>
    <s v="ENX2024"/>
    <s v="A127"/>
    <s v="EMP1021"/>
    <s v="C1526"/>
    <x v="518"/>
    <n v="3"/>
    <n v="356"/>
    <n v="292"/>
    <n v="876"/>
    <n v="1068"/>
    <n v="192"/>
    <s v="Product 25"/>
    <x v="69"/>
    <s v="Clarence Fox"/>
    <x v="6"/>
    <n v="5"/>
    <x v="4"/>
    <x v="5"/>
    <x v="5"/>
    <x v="1"/>
    <x v="0"/>
  </r>
  <r>
    <s v="AX15101"/>
    <s v="ENX2067"/>
    <s v="A149"/>
    <s v="EMP1029"/>
    <s v="C1116"/>
    <x v="518"/>
    <n v="4"/>
    <n v="1119"/>
    <n v="683"/>
    <n v="2732"/>
    <n v="4476"/>
    <n v="1744"/>
    <s v="Product 68"/>
    <x v="59"/>
    <s v="Howard Gardner"/>
    <x v="747"/>
    <n v="5"/>
    <x v="4"/>
    <x v="5"/>
    <x v="5"/>
    <x v="1"/>
    <x v="0"/>
  </r>
  <r>
    <s v="AX15579"/>
    <s v="ENX2079"/>
    <s v="A111"/>
    <s v="EMP1032"/>
    <s v="C1171"/>
    <x v="518"/>
    <n v="1"/>
    <n v="1725"/>
    <n v="1363"/>
    <n v="1363"/>
    <n v="1725"/>
    <n v="362"/>
    <s v="Product 80"/>
    <x v="54"/>
    <s v="Larry Castillo"/>
    <x v="150"/>
    <n v="5"/>
    <x v="4"/>
    <x v="5"/>
    <x v="5"/>
    <x v="1"/>
    <x v="0"/>
  </r>
  <r>
    <s v="AX16110"/>
    <s v="ENX2043"/>
    <s v="A139"/>
    <s v="EMP1036"/>
    <s v="C1604"/>
    <x v="518"/>
    <n v="4"/>
    <n v="545"/>
    <n v="425"/>
    <n v="1700"/>
    <n v="2180"/>
    <n v="480"/>
    <s v="Product 44"/>
    <x v="38"/>
    <s v="Robert Reed"/>
    <x v="700"/>
    <n v="5"/>
    <x v="4"/>
    <x v="5"/>
    <x v="5"/>
    <x v="1"/>
    <x v="0"/>
  </r>
  <r>
    <s v="AX16187"/>
    <s v="ENX2063"/>
    <s v="A162"/>
    <s v="EMP1006"/>
    <s v="C1413"/>
    <x v="516"/>
    <n v="4"/>
    <n v="1708"/>
    <n v="871"/>
    <n v="3484"/>
    <n v="6832"/>
    <n v="3348"/>
    <s v="Product 64"/>
    <x v="2"/>
    <s v="Sean Miller"/>
    <x v="571"/>
    <n v="5"/>
    <x v="4"/>
    <x v="5"/>
    <x v="5"/>
    <x v="1"/>
    <x v="0"/>
  </r>
  <r>
    <s v="AX16614"/>
    <s v="ENX2099"/>
    <s v="A166"/>
    <s v="EMP1015"/>
    <s v="C1343"/>
    <x v="515"/>
    <n v="3"/>
    <n v="1367"/>
    <n v="984"/>
    <n v="2952"/>
    <n v="4101"/>
    <n v="1149"/>
    <s v="Product 100"/>
    <x v="70"/>
    <s v="Justin Lynch"/>
    <x v="175"/>
    <n v="5"/>
    <x v="4"/>
    <x v="5"/>
    <x v="5"/>
    <x v="1"/>
    <x v="0"/>
  </r>
  <r>
    <s v="AX16762"/>
    <s v="ENX2027"/>
    <s v="A124"/>
    <s v="EMP1018"/>
    <s v="C1125"/>
    <x v="518"/>
    <n v="1"/>
    <n v="2497"/>
    <n v="1473"/>
    <n v="1473"/>
    <n v="2497"/>
    <n v="1024"/>
    <s v="Product 28"/>
    <x v="67"/>
    <s v="Jimmy Young"/>
    <x v="539"/>
    <n v="5"/>
    <x v="4"/>
    <x v="5"/>
    <x v="5"/>
    <x v="1"/>
    <x v="0"/>
  </r>
  <r>
    <s v="AX17094"/>
    <s v="ENX2061"/>
    <s v="A127"/>
    <s v="EMP1011"/>
    <s v="C1277"/>
    <x v="516"/>
    <n v="1"/>
    <n v="913"/>
    <n v="584"/>
    <n v="584"/>
    <n v="913"/>
    <n v="329"/>
    <s v="Product 62"/>
    <x v="69"/>
    <s v="Larry Marshall"/>
    <x v="151"/>
    <n v="5"/>
    <x v="4"/>
    <x v="5"/>
    <x v="5"/>
    <x v="1"/>
    <x v="0"/>
  </r>
  <r>
    <s v="AX17097"/>
    <s v="ENX2086"/>
    <s v="A112"/>
    <s v="EMP1001"/>
    <s v="C1684"/>
    <x v="516"/>
    <n v="3"/>
    <n v="123"/>
    <n v="84"/>
    <n v="252"/>
    <n v="369"/>
    <n v="117"/>
    <s v="Product 87"/>
    <x v="66"/>
    <s v="Kevin Butler"/>
    <x v="258"/>
    <n v="5"/>
    <x v="4"/>
    <x v="5"/>
    <x v="5"/>
    <x v="1"/>
    <x v="0"/>
  </r>
  <r>
    <s v="AX17659"/>
    <s v="ENX2091"/>
    <s v="A139"/>
    <s v="EMP1025"/>
    <s v="C1195"/>
    <x v="516"/>
    <n v="4"/>
    <n v="368"/>
    <n v="294"/>
    <n v="1176"/>
    <n v="1472"/>
    <n v="296"/>
    <s v="Product 92"/>
    <x v="38"/>
    <s v="Ernest Wagner"/>
    <x v="188"/>
    <n v="5"/>
    <x v="4"/>
    <x v="5"/>
    <x v="5"/>
    <x v="1"/>
    <x v="0"/>
  </r>
  <r>
    <s v="AX17763"/>
    <s v="ENX2011"/>
    <s v="A154"/>
    <s v="EMP1027"/>
    <s v="C1350"/>
    <x v="515"/>
    <n v="1"/>
    <n v="530"/>
    <n v="435"/>
    <n v="435"/>
    <n v="530"/>
    <n v="95"/>
    <s v="Product 12"/>
    <x v="24"/>
    <s v="Gary Rodriguez"/>
    <x v="625"/>
    <n v="5"/>
    <x v="4"/>
    <x v="5"/>
    <x v="5"/>
    <x v="1"/>
    <x v="0"/>
  </r>
  <r>
    <s v="AX17870"/>
    <s v="ENX2036"/>
    <s v="A169"/>
    <s v="EMP1039"/>
    <s v="C1400"/>
    <x v="518"/>
    <n v="1"/>
    <n v="1582"/>
    <n v="1234"/>
    <n v="1234"/>
    <n v="1582"/>
    <n v="348"/>
    <s v="Product 37"/>
    <x v="17"/>
    <s v="Eugene Holmes"/>
    <x v="437"/>
    <n v="5"/>
    <x v="4"/>
    <x v="5"/>
    <x v="5"/>
    <x v="1"/>
    <x v="0"/>
  </r>
  <r>
    <s v="AX17880"/>
    <s v="ENX2029"/>
    <s v="A150"/>
    <s v="EMP1030"/>
    <s v="C1284"/>
    <x v="518"/>
    <n v="3"/>
    <n v="1848"/>
    <n v="1294"/>
    <n v="3882"/>
    <n v="5544"/>
    <n v="1662"/>
    <s v="Product 30"/>
    <x v="30"/>
    <s v="Bobby Russell"/>
    <x v="713"/>
    <n v="5"/>
    <x v="4"/>
    <x v="5"/>
    <x v="5"/>
    <x v="1"/>
    <x v="0"/>
  </r>
  <r>
    <s v="AX18317"/>
    <s v="ENX2061"/>
    <s v="A133"/>
    <s v="EMP1025"/>
    <s v="C1337"/>
    <x v="515"/>
    <n v="2"/>
    <n v="913"/>
    <n v="584"/>
    <n v="1168"/>
    <n v="1826"/>
    <n v="658"/>
    <s v="Product 62"/>
    <x v="46"/>
    <s v="Ernest Wagner"/>
    <x v="417"/>
    <n v="5"/>
    <x v="4"/>
    <x v="5"/>
    <x v="5"/>
    <x v="1"/>
    <x v="0"/>
  </r>
  <r>
    <s v="AX19153"/>
    <s v="ENX2092"/>
    <s v="A112"/>
    <s v="EMP1007"/>
    <s v="C1195"/>
    <x v="517"/>
    <n v="1"/>
    <n v="1639"/>
    <n v="1295"/>
    <n v="1295"/>
    <n v="1639"/>
    <n v="344"/>
    <s v="Product 93"/>
    <x v="66"/>
    <s v="Jeremy Mendoza"/>
    <x v="188"/>
    <n v="5"/>
    <x v="4"/>
    <x v="5"/>
    <x v="5"/>
    <x v="1"/>
    <x v="0"/>
  </r>
  <r>
    <s v="AX19423"/>
    <s v="ENX2001"/>
    <s v="A100"/>
    <s v="EMP1014"/>
    <s v="C1027"/>
    <x v="515"/>
    <n v="2"/>
    <n v="951"/>
    <n v="504"/>
    <n v="1008"/>
    <n v="1902"/>
    <n v="894"/>
    <s v="Product 2"/>
    <x v="52"/>
    <s v="Ronald Reed"/>
    <x v="528"/>
    <n v="5"/>
    <x v="4"/>
    <x v="5"/>
    <x v="5"/>
    <x v="1"/>
    <x v="0"/>
  </r>
  <r>
    <s v="AX19469"/>
    <s v="ENX2071"/>
    <s v="A145"/>
    <s v="EMP1039"/>
    <s v="C1009"/>
    <x v="518"/>
    <n v="3"/>
    <n v="136"/>
    <n v="72"/>
    <n v="216"/>
    <n v="408"/>
    <n v="192"/>
    <s v="Product 72"/>
    <x v="35"/>
    <s v="Eugene Holmes"/>
    <x v="458"/>
    <n v="5"/>
    <x v="4"/>
    <x v="5"/>
    <x v="5"/>
    <x v="1"/>
    <x v="0"/>
  </r>
  <r>
    <s v="AX19801"/>
    <s v="ENX2025"/>
    <s v="A110"/>
    <s v="EMP1030"/>
    <s v="C1472"/>
    <x v="518"/>
    <n v="2"/>
    <n v="667"/>
    <n v="387"/>
    <n v="774"/>
    <n v="1334"/>
    <n v="560"/>
    <s v="Product 26"/>
    <x v="63"/>
    <s v="Bobby Russell"/>
    <x v="626"/>
    <n v="5"/>
    <x v="4"/>
    <x v="5"/>
    <x v="5"/>
    <x v="1"/>
    <x v="0"/>
  </r>
  <r>
    <s v="AX21053"/>
    <s v="ENX2069"/>
    <s v="A142"/>
    <s v="EMP1002"/>
    <s v="C1333"/>
    <x v="517"/>
    <n v="3"/>
    <n v="378"/>
    <n v="291"/>
    <n v="873"/>
    <n v="1134"/>
    <n v="261"/>
    <s v="Product 70"/>
    <x v="56"/>
    <s v="Andrew Bowman"/>
    <x v="673"/>
    <n v="5"/>
    <x v="4"/>
    <x v="5"/>
    <x v="5"/>
    <x v="1"/>
    <x v="0"/>
  </r>
  <r>
    <s v="AX21141"/>
    <s v="ENX2003"/>
    <s v="A117"/>
    <s v="EMP1033"/>
    <s v="C1005"/>
    <x v="517"/>
    <n v="4"/>
    <n v="1783"/>
    <n v="1516"/>
    <n v="6064"/>
    <n v="7132"/>
    <n v="1068"/>
    <s v="Product 4"/>
    <x v="29"/>
    <s v="Jerry Perry"/>
    <x v="304"/>
    <n v="5"/>
    <x v="4"/>
    <x v="5"/>
    <x v="5"/>
    <x v="1"/>
    <x v="0"/>
  </r>
  <r>
    <s v="AX21822"/>
    <s v="ENX2029"/>
    <s v="A160"/>
    <s v="EMP1042"/>
    <s v="C1428"/>
    <x v="515"/>
    <n v="3"/>
    <n v="1848"/>
    <n v="1294"/>
    <n v="3882"/>
    <n v="5544"/>
    <n v="1662"/>
    <s v="Product 30"/>
    <x v="9"/>
    <s v="Scott Clark"/>
    <x v="509"/>
    <n v="5"/>
    <x v="4"/>
    <x v="5"/>
    <x v="5"/>
    <x v="1"/>
    <x v="0"/>
  </r>
  <r>
    <s v="AX22236"/>
    <s v="ENX2011"/>
    <s v="A167"/>
    <s v="EMP1005"/>
    <s v="C1731"/>
    <x v="515"/>
    <n v="2"/>
    <n v="530"/>
    <n v="435"/>
    <n v="870"/>
    <n v="1060"/>
    <n v="190"/>
    <s v="Product 12"/>
    <x v="64"/>
    <s v="Ryan Welch"/>
    <x v="762"/>
    <n v="5"/>
    <x v="4"/>
    <x v="5"/>
    <x v="5"/>
    <x v="1"/>
    <x v="0"/>
  </r>
  <r>
    <s v="AX22737"/>
    <s v="ENX2037"/>
    <s v="A135"/>
    <s v="EMP1004"/>
    <s v="C1649"/>
    <x v="516"/>
    <n v="1"/>
    <n v="880"/>
    <n v="634"/>
    <n v="634"/>
    <n v="880"/>
    <n v="246"/>
    <s v="Product 38"/>
    <x v="10"/>
    <s v="Kenneth Bradley"/>
    <x v="790"/>
    <n v="5"/>
    <x v="4"/>
    <x v="5"/>
    <x v="5"/>
    <x v="1"/>
    <x v="0"/>
  </r>
  <r>
    <s v="AX22823"/>
    <s v="ENX2087"/>
    <s v="A141"/>
    <s v="EMP1023"/>
    <s v="C1617"/>
    <x v="516"/>
    <n v="3"/>
    <n v="1022"/>
    <n v="818"/>
    <n v="2454"/>
    <n v="3066"/>
    <n v="612"/>
    <s v="Product 88"/>
    <x v="23"/>
    <s v="Brian Davis"/>
    <x v="195"/>
    <n v="5"/>
    <x v="4"/>
    <x v="5"/>
    <x v="5"/>
    <x v="1"/>
    <x v="0"/>
  </r>
  <r>
    <s v="AX22844"/>
    <s v="ENX2049"/>
    <s v="A143"/>
    <s v="EMP1005"/>
    <s v="C1775"/>
    <x v="517"/>
    <n v="3"/>
    <n v="826"/>
    <n v="562"/>
    <n v="1686"/>
    <n v="2478"/>
    <n v="792"/>
    <s v="Product 50"/>
    <x v="39"/>
    <s v="Ryan Welch"/>
    <x v="69"/>
    <n v="5"/>
    <x v="4"/>
    <x v="5"/>
    <x v="5"/>
    <x v="1"/>
    <x v="0"/>
  </r>
  <r>
    <s v="AX22900"/>
    <s v="ENX2091"/>
    <s v="A157"/>
    <s v="EMP1042"/>
    <s v="C1603"/>
    <x v="517"/>
    <n v="1"/>
    <n v="368"/>
    <n v="294"/>
    <n v="294"/>
    <n v="368"/>
    <n v="74"/>
    <s v="Product 92"/>
    <x v="7"/>
    <s v="Scott Clark"/>
    <x v="229"/>
    <n v="5"/>
    <x v="4"/>
    <x v="5"/>
    <x v="5"/>
    <x v="1"/>
    <x v="0"/>
  </r>
  <r>
    <s v="AX23197"/>
    <s v="ENX2093"/>
    <s v="A168"/>
    <s v="EMP1004"/>
    <s v="C1152"/>
    <x v="515"/>
    <n v="3"/>
    <n v="112"/>
    <n v="90"/>
    <n v="270"/>
    <n v="336"/>
    <n v="66"/>
    <s v="Product 94"/>
    <x v="40"/>
    <s v="Kenneth Bradley"/>
    <x v="198"/>
    <n v="5"/>
    <x v="4"/>
    <x v="5"/>
    <x v="5"/>
    <x v="1"/>
    <x v="0"/>
  </r>
  <r>
    <s v="AX23478"/>
    <s v="ENX2036"/>
    <s v="A164"/>
    <s v="EMP1006"/>
    <s v="C1480"/>
    <x v="516"/>
    <n v="1"/>
    <n v="1582"/>
    <n v="1234"/>
    <n v="1234"/>
    <n v="1582"/>
    <n v="348"/>
    <s v="Product 37"/>
    <x v="3"/>
    <s v="Sean Miller"/>
    <x v="64"/>
    <n v="5"/>
    <x v="4"/>
    <x v="5"/>
    <x v="5"/>
    <x v="1"/>
    <x v="0"/>
  </r>
  <r>
    <s v="AX23782"/>
    <s v="ENX2067"/>
    <s v="A168"/>
    <s v="EMP1031"/>
    <s v="C1243"/>
    <x v="516"/>
    <n v="1"/>
    <n v="1119"/>
    <n v="683"/>
    <n v="683"/>
    <n v="1119"/>
    <n v="436"/>
    <s v="Product 68"/>
    <x v="40"/>
    <s v="Brian Thomas"/>
    <x v="129"/>
    <n v="5"/>
    <x v="4"/>
    <x v="5"/>
    <x v="5"/>
    <x v="1"/>
    <x v="0"/>
  </r>
  <r>
    <s v="AX23882"/>
    <s v="ENX2019"/>
    <s v="A130"/>
    <s v="EMP1024"/>
    <s v="C1245"/>
    <x v="515"/>
    <n v="3"/>
    <n v="800"/>
    <n v="536"/>
    <n v="1608"/>
    <n v="2400"/>
    <n v="792"/>
    <s v="Product 20"/>
    <x v="4"/>
    <s v="Ernest Wheeler"/>
    <x v="165"/>
    <n v="5"/>
    <x v="4"/>
    <x v="5"/>
    <x v="5"/>
    <x v="1"/>
    <x v="0"/>
  </r>
  <r>
    <s v="AX24227"/>
    <s v="ENX2096"/>
    <s v="A148"/>
    <s v="EMP1010"/>
    <s v="C1198"/>
    <x v="518"/>
    <n v="1"/>
    <n v="1587"/>
    <n v="1301"/>
    <n v="1301"/>
    <n v="1587"/>
    <n v="286"/>
    <s v="Product 97"/>
    <x v="62"/>
    <s v="Joshua Cook"/>
    <x v="42"/>
    <n v="5"/>
    <x v="4"/>
    <x v="5"/>
    <x v="5"/>
    <x v="1"/>
    <x v="0"/>
  </r>
  <r>
    <s v="AX24319"/>
    <s v="ENX2092"/>
    <s v="A144"/>
    <s v="EMP1044"/>
    <s v="C1406"/>
    <x v="516"/>
    <n v="1"/>
    <n v="1639"/>
    <n v="1295"/>
    <n v="1295"/>
    <n v="1639"/>
    <n v="344"/>
    <s v="Product 93"/>
    <x v="65"/>
    <s v="Martin Carr"/>
    <x v="783"/>
    <n v="5"/>
    <x v="4"/>
    <x v="5"/>
    <x v="5"/>
    <x v="1"/>
    <x v="0"/>
  </r>
  <r>
    <s v="AX24457"/>
    <s v="ENX2016"/>
    <s v="A117"/>
    <s v="EMP1044"/>
    <s v="C1543"/>
    <x v="515"/>
    <n v="1"/>
    <n v="1351"/>
    <n v="1108"/>
    <n v="1108"/>
    <n v="1351"/>
    <n v="243"/>
    <s v="Product 17"/>
    <x v="29"/>
    <s v="Martin Carr"/>
    <x v="337"/>
    <n v="5"/>
    <x v="4"/>
    <x v="5"/>
    <x v="5"/>
    <x v="1"/>
    <x v="0"/>
  </r>
  <r>
    <s v="AX24508"/>
    <s v="ENX2064"/>
    <s v="A105"/>
    <s v="EMP1025"/>
    <s v="C1148"/>
    <x v="515"/>
    <n v="3"/>
    <n v="1414"/>
    <n v="962"/>
    <n v="2886"/>
    <n v="4242"/>
    <n v="1356"/>
    <s v="Product 65"/>
    <x v="45"/>
    <s v="Ernest Wagner"/>
    <x v="55"/>
    <n v="5"/>
    <x v="4"/>
    <x v="5"/>
    <x v="5"/>
    <x v="1"/>
    <x v="0"/>
  </r>
  <r>
    <s v="AX24742"/>
    <s v="ENX2037"/>
    <s v="A171"/>
    <s v="EMP1008"/>
    <s v="C1580"/>
    <x v="517"/>
    <n v="1"/>
    <n v="880"/>
    <n v="634"/>
    <n v="634"/>
    <n v="880"/>
    <n v="246"/>
    <s v="Product 38"/>
    <x v="0"/>
    <s v="Carl Elliott"/>
    <x v="617"/>
    <n v="5"/>
    <x v="4"/>
    <x v="5"/>
    <x v="5"/>
    <x v="1"/>
    <x v="0"/>
  </r>
  <r>
    <s v="AX10482"/>
    <s v="ENX2052"/>
    <s v="A152"/>
    <s v="EMP1025"/>
    <s v="C1065"/>
    <x v="519"/>
    <n v="2"/>
    <n v="1526"/>
    <n v="1251"/>
    <n v="2502"/>
    <n v="3052"/>
    <n v="550"/>
    <s v="Product 53"/>
    <x v="26"/>
    <s v="Ernest Wagner"/>
    <x v="637"/>
    <n v="5"/>
    <x v="4"/>
    <x v="5"/>
    <x v="5"/>
    <x v="1"/>
    <x v="2"/>
  </r>
  <r>
    <s v="AX10660"/>
    <s v="ENX2097"/>
    <s v="A156"/>
    <s v="EMP1036"/>
    <s v="C1651"/>
    <x v="520"/>
    <n v="1"/>
    <n v="1052"/>
    <n v="589"/>
    <n v="589"/>
    <n v="1052"/>
    <n v="463"/>
    <s v="Product 98"/>
    <x v="14"/>
    <s v="Robert Reed"/>
    <x v="660"/>
    <n v="5"/>
    <x v="4"/>
    <x v="5"/>
    <x v="5"/>
    <x v="1"/>
    <x v="2"/>
  </r>
  <r>
    <s v="AX10790"/>
    <s v="ENX2045"/>
    <s v="A156"/>
    <s v="EMP1031"/>
    <s v="C1301"/>
    <x v="521"/>
    <n v="2"/>
    <n v="556"/>
    <n v="395"/>
    <n v="790"/>
    <n v="1112"/>
    <n v="322"/>
    <s v="Product 46"/>
    <x v="14"/>
    <s v="Brian Thomas"/>
    <x v="231"/>
    <n v="5"/>
    <x v="4"/>
    <x v="5"/>
    <x v="5"/>
    <x v="1"/>
    <x v="2"/>
  </r>
  <r>
    <s v="AX11290"/>
    <s v="ENX2058"/>
    <s v="A171"/>
    <s v="EMP1034"/>
    <s v="C1420"/>
    <x v="520"/>
    <n v="2"/>
    <n v="2257"/>
    <n v="1535"/>
    <n v="3070"/>
    <n v="4514"/>
    <n v="1444"/>
    <s v="Product 59"/>
    <x v="0"/>
    <s v="Arthur Mccoy"/>
    <x v="33"/>
    <n v="5"/>
    <x v="4"/>
    <x v="5"/>
    <x v="5"/>
    <x v="1"/>
    <x v="2"/>
  </r>
  <r>
    <s v="AX11634"/>
    <s v="ENX2037"/>
    <s v="A101"/>
    <s v="EMP1023"/>
    <s v="C1454"/>
    <x v="519"/>
    <n v="3"/>
    <n v="880"/>
    <n v="634"/>
    <n v="1902"/>
    <n v="2640"/>
    <n v="738"/>
    <s v="Product 38"/>
    <x v="60"/>
    <s v="Brian Davis"/>
    <x v="68"/>
    <n v="5"/>
    <x v="4"/>
    <x v="5"/>
    <x v="5"/>
    <x v="1"/>
    <x v="2"/>
  </r>
  <r>
    <s v="AX11984"/>
    <s v="ENX2096"/>
    <s v="A117"/>
    <s v="EMP1021"/>
    <s v="C1461"/>
    <x v="521"/>
    <n v="1"/>
    <n v="1587"/>
    <n v="1301"/>
    <n v="1301"/>
    <n v="1587"/>
    <n v="286"/>
    <s v="Product 97"/>
    <x v="29"/>
    <s v="Clarence Fox"/>
    <x v="634"/>
    <n v="5"/>
    <x v="4"/>
    <x v="5"/>
    <x v="5"/>
    <x v="1"/>
    <x v="2"/>
  </r>
  <r>
    <s v="AX12043"/>
    <s v="ENX2047"/>
    <s v="A121"/>
    <s v="EMP1020"/>
    <s v="C1039"/>
    <x v="519"/>
    <n v="1"/>
    <n v="290"/>
    <n v="200"/>
    <n v="200"/>
    <n v="290"/>
    <n v="90"/>
    <s v="Product 48"/>
    <x v="72"/>
    <s v="Ryan Butler"/>
    <x v="574"/>
    <n v="5"/>
    <x v="4"/>
    <x v="5"/>
    <x v="5"/>
    <x v="1"/>
    <x v="2"/>
  </r>
  <r>
    <s v="AX12187"/>
    <s v="ENX2008"/>
    <s v="A162"/>
    <s v="EMP1036"/>
    <s v="C1016"/>
    <x v="519"/>
    <n v="3"/>
    <n v="315"/>
    <n v="208"/>
    <n v="624"/>
    <n v="945"/>
    <n v="321"/>
    <s v="Product 9"/>
    <x v="2"/>
    <s v="Robert Reed"/>
    <x v="335"/>
    <n v="5"/>
    <x v="4"/>
    <x v="5"/>
    <x v="5"/>
    <x v="1"/>
    <x v="2"/>
  </r>
  <r>
    <s v="AX12483"/>
    <s v="ENX2037"/>
    <s v="A105"/>
    <s v="EMP1036"/>
    <s v="C1471"/>
    <x v="522"/>
    <n v="2"/>
    <n v="880"/>
    <n v="634"/>
    <n v="1268"/>
    <n v="1760"/>
    <n v="492"/>
    <s v="Product 38"/>
    <x v="45"/>
    <s v="Robert Reed"/>
    <x v="586"/>
    <n v="5"/>
    <x v="4"/>
    <x v="5"/>
    <x v="5"/>
    <x v="1"/>
    <x v="2"/>
  </r>
  <r>
    <s v="AX12595"/>
    <s v="ENX2096"/>
    <s v="A158"/>
    <s v="EMP1032"/>
    <s v="C1301"/>
    <x v="522"/>
    <n v="2"/>
    <n v="1587"/>
    <n v="1301"/>
    <n v="2602"/>
    <n v="3174"/>
    <n v="572"/>
    <s v="Product 97"/>
    <x v="58"/>
    <s v="Larry Castillo"/>
    <x v="231"/>
    <n v="5"/>
    <x v="4"/>
    <x v="5"/>
    <x v="5"/>
    <x v="1"/>
    <x v="2"/>
  </r>
  <r>
    <s v="AX12677"/>
    <s v="ENX2083"/>
    <s v="A168"/>
    <s v="EMP1033"/>
    <s v="C1531"/>
    <x v="521"/>
    <n v="1"/>
    <n v="2141"/>
    <n v="1777"/>
    <n v="1777"/>
    <n v="2141"/>
    <n v="364"/>
    <s v="Product 84"/>
    <x v="40"/>
    <s v="Jerry Perry"/>
    <x v="743"/>
    <n v="5"/>
    <x v="4"/>
    <x v="5"/>
    <x v="5"/>
    <x v="1"/>
    <x v="2"/>
  </r>
  <r>
    <s v="AX12748"/>
    <s v="ENX2003"/>
    <s v="A113"/>
    <s v="EMP1014"/>
    <s v="C1746"/>
    <x v="522"/>
    <n v="1"/>
    <n v="1783"/>
    <n v="1516"/>
    <n v="1516"/>
    <n v="1783"/>
    <n v="267"/>
    <s v="Product 4"/>
    <x v="73"/>
    <s v="Ronald Reed"/>
    <x v="693"/>
    <n v="5"/>
    <x v="4"/>
    <x v="5"/>
    <x v="5"/>
    <x v="1"/>
    <x v="2"/>
  </r>
  <r>
    <s v="AX12967"/>
    <s v="ENX2005"/>
    <s v="A127"/>
    <s v="EMP1036"/>
    <s v="C1206"/>
    <x v="519"/>
    <n v="3"/>
    <n v="684"/>
    <n v="561"/>
    <n v="1683"/>
    <n v="2052"/>
    <n v="369"/>
    <s v="Product 6"/>
    <x v="69"/>
    <s v="Robert Reed"/>
    <x v="518"/>
    <n v="5"/>
    <x v="4"/>
    <x v="5"/>
    <x v="5"/>
    <x v="1"/>
    <x v="2"/>
  </r>
  <r>
    <s v="AX12973"/>
    <s v="ENX2034"/>
    <s v="A134"/>
    <s v="EMP1020"/>
    <s v="C1046"/>
    <x v="522"/>
    <n v="3"/>
    <n v="871"/>
    <n v="540"/>
    <n v="1620"/>
    <n v="2613"/>
    <n v="993"/>
    <s v="Product 35"/>
    <x v="41"/>
    <s v="Ryan Butler"/>
    <x v="719"/>
    <n v="5"/>
    <x v="4"/>
    <x v="5"/>
    <x v="5"/>
    <x v="1"/>
    <x v="2"/>
  </r>
  <r>
    <s v="AX13243"/>
    <s v="ENX2028"/>
    <s v="A121"/>
    <s v="EMP1013"/>
    <s v="C1394"/>
    <x v="519"/>
    <n v="1"/>
    <n v="2283"/>
    <n v="1484"/>
    <n v="1484"/>
    <n v="2283"/>
    <n v="799"/>
    <s v="Product 29"/>
    <x v="72"/>
    <s v="Charles Harper"/>
    <x v="116"/>
    <n v="5"/>
    <x v="4"/>
    <x v="5"/>
    <x v="5"/>
    <x v="1"/>
    <x v="2"/>
  </r>
  <r>
    <s v="AX13489"/>
    <s v="ENX2083"/>
    <s v="A161"/>
    <s v="EMP1017"/>
    <s v="C1696"/>
    <x v="522"/>
    <n v="4"/>
    <n v="2141"/>
    <n v="1777"/>
    <n v="7108"/>
    <n v="8564"/>
    <n v="1456"/>
    <s v="Product 84"/>
    <x v="6"/>
    <s v="Brian Hansen"/>
    <x v="436"/>
    <n v="5"/>
    <x v="4"/>
    <x v="5"/>
    <x v="5"/>
    <x v="1"/>
    <x v="2"/>
  </r>
  <r>
    <s v="AX13555"/>
    <s v="ENX2016"/>
    <s v="A102"/>
    <s v="EMP1040"/>
    <s v="C1068"/>
    <x v="522"/>
    <n v="3"/>
    <n v="1351"/>
    <n v="1108"/>
    <n v="3324"/>
    <n v="4053"/>
    <n v="729"/>
    <s v="Product 17"/>
    <x v="44"/>
    <s v="Patrick Ruiz"/>
    <x v="288"/>
    <n v="5"/>
    <x v="4"/>
    <x v="5"/>
    <x v="5"/>
    <x v="1"/>
    <x v="2"/>
  </r>
  <r>
    <s v="AX13636"/>
    <s v="ENX2065"/>
    <s v="A105"/>
    <s v="EMP1002"/>
    <s v="C1621"/>
    <x v="522"/>
    <n v="3"/>
    <n v="2396"/>
    <n v="1965"/>
    <n v="5895"/>
    <n v="7188"/>
    <n v="1293"/>
    <s v="Product 66"/>
    <x v="45"/>
    <s v="Andrew Bowman"/>
    <x v="159"/>
    <n v="5"/>
    <x v="4"/>
    <x v="5"/>
    <x v="5"/>
    <x v="1"/>
    <x v="2"/>
  </r>
  <r>
    <s v="AX14068"/>
    <s v="ENX2023"/>
    <s v="A108"/>
    <s v="EMP1035"/>
    <s v="C1571"/>
    <x v="521"/>
    <n v="1"/>
    <n v="818"/>
    <n v="450"/>
    <n v="450"/>
    <n v="818"/>
    <n v="368"/>
    <s v="Product 24"/>
    <x v="49"/>
    <s v="Roger Ramos"/>
    <x v="316"/>
    <n v="5"/>
    <x v="4"/>
    <x v="5"/>
    <x v="5"/>
    <x v="1"/>
    <x v="2"/>
  </r>
  <r>
    <s v="AX14204"/>
    <s v="ENX2081"/>
    <s v="A133"/>
    <s v="EMP1002"/>
    <s v="C1765"/>
    <x v="522"/>
    <n v="3"/>
    <n v="1566"/>
    <n v="1190"/>
    <n v="3570"/>
    <n v="4698"/>
    <n v="1128"/>
    <s v="Product 82"/>
    <x v="46"/>
    <s v="Andrew Bowman"/>
    <x v="470"/>
    <n v="5"/>
    <x v="4"/>
    <x v="5"/>
    <x v="5"/>
    <x v="1"/>
    <x v="2"/>
  </r>
  <r>
    <s v="AX14653"/>
    <s v="ENX2074"/>
    <s v="A157"/>
    <s v="EMP1036"/>
    <s v="C1259"/>
    <x v="522"/>
    <n v="4"/>
    <n v="504"/>
    <n v="408"/>
    <n v="1632"/>
    <n v="2016"/>
    <n v="384"/>
    <s v="Product 75"/>
    <x v="7"/>
    <s v="Robert Reed"/>
    <x v="475"/>
    <n v="5"/>
    <x v="4"/>
    <x v="5"/>
    <x v="5"/>
    <x v="1"/>
    <x v="2"/>
  </r>
  <r>
    <s v="AX14693"/>
    <s v="ENX2005"/>
    <s v="A139"/>
    <s v="EMP1038"/>
    <s v="C1206"/>
    <x v="521"/>
    <n v="3"/>
    <n v="684"/>
    <n v="561"/>
    <n v="1683"/>
    <n v="2052"/>
    <n v="369"/>
    <s v="Product 6"/>
    <x v="38"/>
    <s v="Scott Mason"/>
    <x v="518"/>
    <n v="5"/>
    <x v="4"/>
    <x v="5"/>
    <x v="5"/>
    <x v="1"/>
    <x v="2"/>
  </r>
  <r>
    <s v="AX15124"/>
    <s v="ENX2035"/>
    <s v="A117"/>
    <s v="EMP1001"/>
    <s v="C1151"/>
    <x v="520"/>
    <n v="1"/>
    <n v="458"/>
    <n v="376"/>
    <n v="376"/>
    <n v="458"/>
    <n v="82"/>
    <s v="Product 36"/>
    <x v="29"/>
    <s v="Kevin Butler"/>
    <x v="56"/>
    <n v="5"/>
    <x v="4"/>
    <x v="5"/>
    <x v="5"/>
    <x v="1"/>
    <x v="2"/>
  </r>
  <r>
    <s v="AX15373"/>
    <s v="ENX2078"/>
    <s v="A172"/>
    <s v="EMP1007"/>
    <s v="C1011"/>
    <x v="522"/>
    <n v="1"/>
    <n v="1798"/>
    <n v="971"/>
    <n v="971"/>
    <n v="1798"/>
    <n v="827"/>
    <s v="Product 79"/>
    <x v="36"/>
    <s v="Jeremy Mendoza"/>
    <x v="275"/>
    <n v="5"/>
    <x v="4"/>
    <x v="5"/>
    <x v="5"/>
    <x v="1"/>
    <x v="2"/>
  </r>
  <r>
    <s v="AX15721"/>
    <s v="ENX2073"/>
    <s v="A159"/>
    <s v="EMP1005"/>
    <s v="C1644"/>
    <x v="520"/>
    <n v="3"/>
    <n v="95"/>
    <n v="61"/>
    <n v="183"/>
    <n v="285"/>
    <n v="102"/>
    <s v="Product 74"/>
    <x v="13"/>
    <s v="Ryan Welch"/>
    <x v="109"/>
    <n v="5"/>
    <x v="4"/>
    <x v="5"/>
    <x v="5"/>
    <x v="1"/>
    <x v="2"/>
  </r>
  <r>
    <s v="AX15859"/>
    <s v="ENX2078"/>
    <s v="A129"/>
    <s v="EMP1030"/>
    <s v="C1029"/>
    <x v="520"/>
    <n v="1"/>
    <n v="1798"/>
    <n v="971"/>
    <n v="971"/>
    <n v="1798"/>
    <n v="827"/>
    <s v="Product 79"/>
    <x v="22"/>
    <s v="Bobby Russell"/>
    <x v="601"/>
    <n v="5"/>
    <x v="4"/>
    <x v="5"/>
    <x v="5"/>
    <x v="1"/>
    <x v="2"/>
  </r>
  <r>
    <s v="AX16402"/>
    <s v="ENX2092"/>
    <s v="A150"/>
    <s v="EMP1010"/>
    <s v="C1556"/>
    <x v="522"/>
    <n v="1"/>
    <n v="1639"/>
    <n v="1295"/>
    <n v="1295"/>
    <n v="1639"/>
    <n v="344"/>
    <s v="Product 93"/>
    <x v="30"/>
    <s v="Joshua Cook"/>
    <x v="223"/>
    <n v="5"/>
    <x v="4"/>
    <x v="5"/>
    <x v="5"/>
    <x v="1"/>
    <x v="2"/>
  </r>
  <r>
    <s v="AX16618"/>
    <s v="ENX2094"/>
    <s v="A144"/>
    <s v="EMP1035"/>
    <s v="C1455"/>
    <x v="521"/>
    <n v="1"/>
    <n v="771"/>
    <n v="648"/>
    <n v="648"/>
    <n v="771"/>
    <n v="123"/>
    <s v="Product 95"/>
    <x v="65"/>
    <s v="Roger Ramos"/>
    <x v="47"/>
    <n v="5"/>
    <x v="4"/>
    <x v="5"/>
    <x v="5"/>
    <x v="1"/>
    <x v="2"/>
  </r>
  <r>
    <s v="AX17284"/>
    <s v="ENX2040"/>
    <s v="A152"/>
    <s v="EMP1009"/>
    <s v="C1753"/>
    <x v="520"/>
    <n v="2"/>
    <n v="1889"/>
    <n v="945"/>
    <n v="1890"/>
    <n v="3778"/>
    <n v="1888"/>
    <s v="Product 41"/>
    <x v="26"/>
    <s v="Kenneth Fields"/>
    <x v="696"/>
    <n v="5"/>
    <x v="4"/>
    <x v="5"/>
    <x v="5"/>
    <x v="1"/>
    <x v="2"/>
  </r>
  <r>
    <s v="AX18265"/>
    <s v="ENX2010"/>
    <s v="A109"/>
    <s v="EMP1000"/>
    <s v="C1566"/>
    <x v="520"/>
    <n v="1"/>
    <n v="1812"/>
    <n v="1305"/>
    <n v="1305"/>
    <n v="1812"/>
    <n v="507"/>
    <s v="Product 11"/>
    <x v="57"/>
    <s v="Fred Robertson"/>
    <x v="45"/>
    <n v="5"/>
    <x v="4"/>
    <x v="5"/>
    <x v="5"/>
    <x v="1"/>
    <x v="2"/>
  </r>
  <r>
    <s v="AX18404"/>
    <s v="ENX2044"/>
    <s v="A101"/>
    <s v="EMP1020"/>
    <s v="C1384"/>
    <x v="522"/>
    <n v="1"/>
    <n v="886"/>
    <n v="478"/>
    <n v="478"/>
    <n v="886"/>
    <n v="408"/>
    <s v="Product 45"/>
    <x v="60"/>
    <s v="Ryan Butler"/>
    <x v="690"/>
    <n v="5"/>
    <x v="4"/>
    <x v="5"/>
    <x v="5"/>
    <x v="1"/>
    <x v="2"/>
  </r>
  <r>
    <s v="AX18459"/>
    <s v="ENX2057"/>
    <s v="A156"/>
    <s v="EMP1003"/>
    <s v="C1152"/>
    <x v="522"/>
    <n v="2"/>
    <n v="181"/>
    <n v="130"/>
    <n v="260"/>
    <n v="362"/>
    <n v="102"/>
    <s v="Product 58"/>
    <x v="14"/>
    <s v="Christopher Tucker"/>
    <x v="198"/>
    <n v="5"/>
    <x v="4"/>
    <x v="5"/>
    <x v="5"/>
    <x v="1"/>
    <x v="2"/>
  </r>
  <r>
    <s v="AX18562"/>
    <s v="ENX2094"/>
    <s v="A160"/>
    <s v="EMP1041"/>
    <s v="C1137"/>
    <x v="521"/>
    <n v="1"/>
    <n v="771"/>
    <n v="648"/>
    <n v="648"/>
    <n v="771"/>
    <n v="123"/>
    <s v="Product 95"/>
    <x v="9"/>
    <s v="Joe Sims"/>
    <x v="131"/>
    <n v="5"/>
    <x v="4"/>
    <x v="5"/>
    <x v="5"/>
    <x v="1"/>
    <x v="2"/>
  </r>
  <r>
    <s v="AX18621"/>
    <s v="ENX2034"/>
    <s v="A137"/>
    <s v="EMP1001"/>
    <s v="C1639"/>
    <x v="520"/>
    <n v="1"/>
    <n v="871"/>
    <n v="540"/>
    <n v="540"/>
    <n v="871"/>
    <n v="331"/>
    <s v="Product 35"/>
    <x v="68"/>
    <s v="Kevin Butler"/>
    <x v="30"/>
    <n v="5"/>
    <x v="4"/>
    <x v="5"/>
    <x v="5"/>
    <x v="1"/>
    <x v="2"/>
  </r>
  <r>
    <s v="AX19040"/>
    <s v="ENX2040"/>
    <s v="A163"/>
    <s v="EMP1020"/>
    <s v="C1592"/>
    <x v="521"/>
    <n v="2"/>
    <n v="1889"/>
    <n v="945"/>
    <n v="1890"/>
    <n v="3778"/>
    <n v="1888"/>
    <s v="Product 41"/>
    <x v="51"/>
    <s v="Ryan Butler"/>
    <x v="499"/>
    <n v="5"/>
    <x v="4"/>
    <x v="5"/>
    <x v="5"/>
    <x v="1"/>
    <x v="2"/>
  </r>
  <r>
    <s v="AX20089"/>
    <s v="ENX2079"/>
    <s v="A163"/>
    <s v="EMP1038"/>
    <s v="C1775"/>
    <x v="520"/>
    <n v="2"/>
    <n v="1725"/>
    <n v="1363"/>
    <n v="2726"/>
    <n v="3450"/>
    <n v="724"/>
    <s v="Product 80"/>
    <x v="51"/>
    <s v="Scott Mason"/>
    <x v="69"/>
    <n v="5"/>
    <x v="4"/>
    <x v="5"/>
    <x v="5"/>
    <x v="1"/>
    <x v="2"/>
  </r>
  <r>
    <s v="AX20103"/>
    <s v="ENX2041"/>
    <s v="A138"/>
    <s v="EMP1003"/>
    <s v="C1498"/>
    <x v="522"/>
    <n v="1"/>
    <n v="1380"/>
    <n v="1090"/>
    <n v="1090"/>
    <n v="1380"/>
    <n v="290"/>
    <s v="Product 42"/>
    <x v="37"/>
    <s v="Christopher Tucker"/>
    <x v="10"/>
    <n v="5"/>
    <x v="4"/>
    <x v="5"/>
    <x v="5"/>
    <x v="1"/>
    <x v="2"/>
  </r>
  <r>
    <s v="AX20269"/>
    <s v="ENX2003"/>
    <s v="A111"/>
    <s v="EMP1000"/>
    <s v="C1404"/>
    <x v="520"/>
    <n v="1"/>
    <n v="1783"/>
    <n v="1516"/>
    <n v="1516"/>
    <n v="1783"/>
    <n v="267"/>
    <s v="Product 4"/>
    <x v="54"/>
    <s v="Fred Robertson"/>
    <x v="75"/>
    <n v="5"/>
    <x v="4"/>
    <x v="5"/>
    <x v="5"/>
    <x v="1"/>
    <x v="2"/>
  </r>
  <r>
    <s v="AX20537"/>
    <s v="ENX2094"/>
    <s v="A122"/>
    <s v="EMP1037"/>
    <s v="C1365"/>
    <x v="519"/>
    <n v="1"/>
    <n v="771"/>
    <n v="648"/>
    <n v="648"/>
    <n v="771"/>
    <n v="123"/>
    <s v="Product 95"/>
    <x v="71"/>
    <s v="Carl Hall"/>
    <x v="450"/>
    <n v="5"/>
    <x v="4"/>
    <x v="5"/>
    <x v="5"/>
    <x v="1"/>
    <x v="2"/>
  </r>
  <r>
    <s v="AX20656"/>
    <s v="ENX2000"/>
    <s v="A109"/>
    <s v="EMP1000"/>
    <s v="C1449"/>
    <x v="522"/>
    <n v="1"/>
    <n v="2241"/>
    <n v="1367"/>
    <n v="1367"/>
    <n v="2241"/>
    <n v="874"/>
    <s v="Product 1"/>
    <x v="57"/>
    <s v="Fred Robertson"/>
    <x v="230"/>
    <n v="5"/>
    <x v="4"/>
    <x v="5"/>
    <x v="5"/>
    <x v="1"/>
    <x v="2"/>
  </r>
  <r>
    <s v="AX20698"/>
    <s v="ENX2064"/>
    <s v="A170"/>
    <s v="EMP1015"/>
    <s v="C1481"/>
    <x v="522"/>
    <n v="1"/>
    <n v="1414"/>
    <n v="962"/>
    <n v="962"/>
    <n v="1414"/>
    <n v="452"/>
    <s v="Product 65"/>
    <x v="47"/>
    <s v="Justin Lynch"/>
    <x v="764"/>
    <n v="5"/>
    <x v="4"/>
    <x v="5"/>
    <x v="5"/>
    <x v="1"/>
    <x v="2"/>
  </r>
  <r>
    <s v="AX21010"/>
    <s v="ENX2056"/>
    <s v="A125"/>
    <s v="EMP1023"/>
    <s v="C1594"/>
    <x v="519"/>
    <n v="1"/>
    <n v="1635"/>
    <n v="1046"/>
    <n v="1046"/>
    <n v="1635"/>
    <n v="589"/>
    <s v="Product 57"/>
    <x v="31"/>
    <s v="Brian Davis"/>
    <x v="770"/>
    <n v="5"/>
    <x v="4"/>
    <x v="5"/>
    <x v="5"/>
    <x v="1"/>
    <x v="2"/>
  </r>
  <r>
    <s v="AX21496"/>
    <s v="ENX2063"/>
    <s v="A147"/>
    <s v="EMP1002"/>
    <s v="C1398"/>
    <x v="520"/>
    <n v="1"/>
    <n v="1708"/>
    <n v="871"/>
    <n v="871"/>
    <n v="1708"/>
    <n v="837"/>
    <s v="Product 64"/>
    <x v="42"/>
    <s v="Andrew Bowman"/>
    <x v="680"/>
    <n v="5"/>
    <x v="4"/>
    <x v="5"/>
    <x v="5"/>
    <x v="1"/>
    <x v="2"/>
  </r>
  <r>
    <s v="AX21827"/>
    <s v="ENX2073"/>
    <s v="A119"/>
    <s v="EMP1024"/>
    <s v="C1066"/>
    <x v="519"/>
    <n v="1"/>
    <n v="95"/>
    <n v="61"/>
    <n v="61"/>
    <n v="95"/>
    <n v="34"/>
    <s v="Product 74"/>
    <x v="16"/>
    <s v="Ernest Wheeler"/>
    <x v="124"/>
    <n v="5"/>
    <x v="4"/>
    <x v="5"/>
    <x v="5"/>
    <x v="1"/>
    <x v="2"/>
  </r>
  <r>
    <s v="AX22265"/>
    <s v="ENX2070"/>
    <s v="A109"/>
    <s v="EMP1043"/>
    <s v="C1702"/>
    <x v="522"/>
    <n v="1"/>
    <n v="1671"/>
    <n v="1220"/>
    <n v="1220"/>
    <n v="1671"/>
    <n v="451"/>
    <s v="Product 71"/>
    <x v="57"/>
    <s v="Joshua Taylor"/>
    <x v="70"/>
    <n v="5"/>
    <x v="4"/>
    <x v="5"/>
    <x v="5"/>
    <x v="1"/>
    <x v="2"/>
  </r>
  <r>
    <s v="AX22775"/>
    <s v="ENX2093"/>
    <s v="A129"/>
    <s v="EMP1017"/>
    <s v="C1389"/>
    <x v="519"/>
    <n v="1"/>
    <n v="112"/>
    <n v="90"/>
    <n v="90"/>
    <n v="112"/>
    <n v="22"/>
    <s v="Product 94"/>
    <x v="22"/>
    <s v="Brian Hansen"/>
    <x v="38"/>
    <n v="5"/>
    <x v="4"/>
    <x v="5"/>
    <x v="5"/>
    <x v="1"/>
    <x v="2"/>
  </r>
  <r>
    <s v="AX22828"/>
    <s v="ENX2028"/>
    <s v="A133"/>
    <s v="EMP1011"/>
    <s v="C1360"/>
    <x v="521"/>
    <n v="1"/>
    <n v="2283"/>
    <n v="1484"/>
    <n v="1484"/>
    <n v="2283"/>
    <n v="799"/>
    <s v="Product 29"/>
    <x v="46"/>
    <s v="Larry Marshall"/>
    <x v="573"/>
    <n v="5"/>
    <x v="4"/>
    <x v="5"/>
    <x v="5"/>
    <x v="1"/>
    <x v="2"/>
  </r>
  <r>
    <s v="AX22905"/>
    <s v="ENX2025"/>
    <s v="A122"/>
    <s v="EMP1032"/>
    <s v="C1367"/>
    <x v="520"/>
    <n v="2"/>
    <n v="667"/>
    <n v="387"/>
    <n v="774"/>
    <n v="1334"/>
    <n v="560"/>
    <s v="Product 26"/>
    <x v="71"/>
    <s v="Larry Castillo"/>
    <x v="490"/>
    <n v="5"/>
    <x v="4"/>
    <x v="5"/>
    <x v="5"/>
    <x v="1"/>
    <x v="2"/>
  </r>
  <r>
    <s v="AX23032"/>
    <s v="ENX2027"/>
    <s v="A167"/>
    <s v="EMP1020"/>
    <s v="C1622"/>
    <x v="521"/>
    <n v="1"/>
    <n v="2497"/>
    <n v="1473"/>
    <n v="1473"/>
    <n v="2497"/>
    <n v="1024"/>
    <s v="Product 28"/>
    <x v="64"/>
    <s v="Ryan Butler"/>
    <x v="548"/>
    <n v="5"/>
    <x v="4"/>
    <x v="5"/>
    <x v="5"/>
    <x v="1"/>
    <x v="2"/>
  </r>
  <r>
    <s v="AX23066"/>
    <s v="ENX2016"/>
    <s v="A139"/>
    <s v="EMP1042"/>
    <s v="C1467"/>
    <x v="520"/>
    <n v="1"/>
    <n v="1351"/>
    <n v="1108"/>
    <n v="1108"/>
    <n v="1351"/>
    <n v="243"/>
    <s v="Product 17"/>
    <x v="38"/>
    <s v="Scott Clark"/>
    <x v="5"/>
    <n v="5"/>
    <x v="4"/>
    <x v="5"/>
    <x v="5"/>
    <x v="1"/>
    <x v="2"/>
  </r>
  <r>
    <s v="AX23101"/>
    <s v="ENX2017"/>
    <s v="A132"/>
    <s v="EMP1020"/>
    <s v="C1150"/>
    <x v="521"/>
    <n v="1"/>
    <n v="35"/>
    <n v="22"/>
    <n v="22"/>
    <n v="35"/>
    <n v="13"/>
    <s v="Product 18"/>
    <x v="48"/>
    <s v="Ryan Butler"/>
    <x v="456"/>
    <n v="5"/>
    <x v="4"/>
    <x v="5"/>
    <x v="5"/>
    <x v="1"/>
    <x v="2"/>
  </r>
  <r>
    <s v="AX23126"/>
    <s v="ENX2014"/>
    <s v="A170"/>
    <s v="EMP1000"/>
    <s v="C1442"/>
    <x v="519"/>
    <n v="1"/>
    <n v="1809"/>
    <n v="1067"/>
    <n v="1067"/>
    <n v="1809"/>
    <n v="742"/>
    <s v="Product 15"/>
    <x v="47"/>
    <s v="Fred Robertson"/>
    <x v="299"/>
    <n v="5"/>
    <x v="4"/>
    <x v="5"/>
    <x v="5"/>
    <x v="1"/>
    <x v="2"/>
  </r>
  <r>
    <s v="AX23172"/>
    <s v="ENX2046"/>
    <s v="A117"/>
    <s v="EMP1043"/>
    <s v="C1530"/>
    <x v="520"/>
    <n v="2"/>
    <n v="2410"/>
    <n v="1518"/>
    <n v="3036"/>
    <n v="4820"/>
    <n v="1784"/>
    <s v="Product 47"/>
    <x v="29"/>
    <s v="Joshua Taylor"/>
    <x v="224"/>
    <n v="5"/>
    <x v="4"/>
    <x v="5"/>
    <x v="5"/>
    <x v="1"/>
    <x v="2"/>
  </r>
  <r>
    <s v="AX23303"/>
    <s v="ENX2071"/>
    <s v="A172"/>
    <s v="EMP1005"/>
    <s v="C1378"/>
    <x v="522"/>
    <n v="3"/>
    <n v="136"/>
    <n v="72"/>
    <n v="216"/>
    <n v="408"/>
    <n v="192"/>
    <s v="Product 72"/>
    <x v="36"/>
    <s v="Ryan Welch"/>
    <x v="787"/>
    <n v="5"/>
    <x v="4"/>
    <x v="5"/>
    <x v="5"/>
    <x v="1"/>
    <x v="2"/>
  </r>
  <r>
    <s v="AX23448"/>
    <s v="ENX2049"/>
    <s v="A137"/>
    <s v="EMP1017"/>
    <s v="C1601"/>
    <x v="522"/>
    <n v="1"/>
    <n v="826"/>
    <n v="562"/>
    <n v="562"/>
    <n v="826"/>
    <n v="264"/>
    <s v="Product 50"/>
    <x v="68"/>
    <s v="Brian Hansen"/>
    <x v="324"/>
    <n v="5"/>
    <x v="4"/>
    <x v="5"/>
    <x v="5"/>
    <x v="1"/>
    <x v="2"/>
  </r>
  <r>
    <s v="AX23662"/>
    <s v="ENX2049"/>
    <s v="A137"/>
    <s v="EMP1018"/>
    <s v="C1487"/>
    <x v="521"/>
    <n v="3"/>
    <n v="826"/>
    <n v="562"/>
    <n v="1686"/>
    <n v="2478"/>
    <n v="792"/>
    <s v="Product 50"/>
    <x v="68"/>
    <s v="Jimmy Young"/>
    <x v="461"/>
    <n v="5"/>
    <x v="4"/>
    <x v="5"/>
    <x v="5"/>
    <x v="1"/>
    <x v="2"/>
  </r>
  <r>
    <s v="AX23818"/>
    <s v="ENX2068"/>
    <s v="A134"/>
    <s v="EMP1027"/>
    <s v="C1322"/>
    <x v="522"/>
    <n v="1"/>
    <n v="1500"/>
    <n v="900"/>
    <n v="900"/>
    <n v="1500"/>
    <n v="600"/>
    <s v="Product 69"/>
    <x v="41"/>
    <s v="Gary Rodriguez"/>
    <x v="604"/>
    <n v="5"/>
    <x v="4"/>
    <x v="5"/>
    <x v="5"/>
    <x v="1"/>
    <x v="2"/>
  </r>
  <r>
    <s v="AX23923"/>
    <s v="ENX2062"/>
    <s v="A104"/>
    <s v="EMP1005"/>
    <s v="C1180"/>
    <x v="520"/>
    <n v="2"/>
    <n v="2464"/>
    <n v="1774"/>
    <n v="3548"/>
    <n v="4928"/>
    <n v="1380"/>
    <s v="Product 63"/>
    <x v="50"/>
    <s v="Ryan Welch"/>
    <x v="212"/>
    <n v="5"/>
    <x v="4"/>
    <x v="5"/>
    <x v="5"/>
    <x v="1"/>
    <x v="2"/>
  </r>
  <r>
    <s v="AX23981"/>
    <s v="ENX2098"/>
    <s v="A135"/>
    <s v="EMP1005"/>
    <s v="C1007"/>
    <x v="522"/>
    <n v="2"/>
    <n v="1178"/>
    <n v="683"/>
    <n v="1366"/>
    <n v="2356"/>
    <n v="990"/>
    <s v="Product 99"/>
    <x v="10"/>
    <s v="Ryan Welch"/>
    <x v="413"/>
    <n v="5"/>
    <x v="4"/>
    <x v="5"/>
    <x v="5"/>
    <x v="1"/>
    <x v="2"/>
  </r>
  <r>
    <s v="AX24004"/>
    <s v="ENX2032"/>
    <s v="A107"/>
    <s v="EMP1017"/>
    <s v="C1478"/>
    <x v="519"/>
    <n v="2"/>
    <n v="1967"/>
    <n v="1397"/>
    <n v="2794"/>
    <n v="3934"/>
    <n v="1140"/>
    <s v="Product 33"/>
    <x v="21"/>
    <s v="Brian Hansen"/>
    <x v="483"/>
    <n v="5"/>
    <x v="4"/>
    <x v="5"/>
    <x v="5"/>
    <x v="1"/>
    <x v="2"/>
  </r>
  <r>
    <s v="AX24906"/>
    <s v="ENX2046"/>
    <s v="A148"/>
    <s v="EMP1001"/>
    <s v="C1793"/>
    <x v="520"/>
    <n v="3"/>
    <n v="2410"/>
    <n v="1518"/>
    <n v="4554"/>
    <n v="7230"/>
    <n v="2676"/>
    <s v="Product 47"/>
    <x v="62"/>
    <s v="Kevin Butler"/>
    <x v="677"/>
    <n v="5"/>
    <x v="4"/>
    <x v="5"/>
    <x v="5"/>
    <x v="1"/>
    <x v="2"/>
  </r>
  <r>
    <s v="AX10051"/>
    <s v="ENX2029"/>
    <s v="A167"/>
    <s v="EMP1003"/>
    <s v="C1274"/>
    <x v="523"/>
    <n v="3"/>
    <n v="1848"/>
    <n v="1294"/>
    <n v="3882"/>
    <n v="5544"/>
    <n v="1662"/>
    <s v="Product 30"/>
    <x v="64"/>
    <s v="Christopher Tucker"/>
    <x v="173"/>
    <n v="5"/>
    <x v="4"/>
    <x v="6"/>
    <x v="6"/>
    <x v="2"/>
    <x v="0"/>
  </r>
  <r>
    <s v="AX10111"/>
    <s v="ENX2051"/>
    <s v="A141"/>
    <s v="EMP1021"/>
    <s v="C1233"/>
    <x v="524"/>
    <n v="3"/>
    <n v="1077"/>
    <n v="732"/>
    <n v="2196"/>
    <n v="3231"/>
    <n v="1035"/>
    <s v="Product 52"/>
    <x v="23"/>
    <s v="Clarence Fox"/>
    <x v="396"/>
    <n v="5"/>
    <x v="4"/>
    <x v="6"/>
    <x v="6"/>
    <x v="2"/>
    <x v="0"/>
  </r>
  <r>
    <s v="AX10116"/>
    <s v="ENX2076"/>
    <s v="A101"/>
    <s v="EMP1029"/>
    <s v="C1415"/>
    <x v="525"/>
    <n v="1"/>
    <n v="1522"/>
    <n v="791"/>
    <n v="791"/>
    <n v="1522"/>
    <n v="731"/>
    <s v="Product 77"/>
    <x v="60"/>
    <s v="Howard Gardner"/>
    <x v="352"/>
    <n v="5"/>
    <x v="4"/>
    <x v="6"/>
    <x v="6"/>
    <x v="2"/>
    <x v="0"/>
  </r>
  <r>
    <s v="AX10357"/>
    <s v="ENX2074"/>
    <s v="A154"/>
    <s v="EMP1043"/>
    <s v="C1798"/>
    <x v="523"/>
    <n v="4"/>
    <n v="504"/>
    <n v="408"/>
    <n v="1632"/>
    <n v="2016"/>
    <n v="384"/>
    <s v="Product 75"/>
    <x v="24"/>
    <s v="Joshua Taylor"/>
    <x v="608"/>
    <n v="5"/>
    <x v="4"/>
    <x v="6"/>
    <x v="6"/>
    <x v="2"/>
    <x v="0"/>
  </r>
  <r>
    <s v="AX10612"/>
    <s v="ENX2006"/>
    <s v="A101"/>
    <s v="EMP1017"/>
    <s v="C1181"/>
    <x v="525"/>
    <n v="1"/>
    <n v="1826"/>
    <n v="1443"/>
    <n v="1443"/>
    <n v="1826"/>
    <n v="383"/>
    <s v="Product 7"/>
    <x v="60"/>
    <s v="Brian Hansen"/>
    <x v="449"/>
    <n v="5"/>
    <x v="4"/>
    <x v="6"/>
    <x v="6"/>
    <x v="2"/>
    <x v="0"/>
  </r>
  <r>
    <s v="AX10932"/>
    <s v="ENX2085"/>
    <s v="A155"/>
    <s v="EMP1009"/>
    <s v="C1414"/>
    <x v="525"/>
    <n v="1"/>
    <n v="1862"/>
    <n v="1173"/>
    <n v="1173"/>
    <n v="1862"/>
    <n v="689"/>
    <s v="Product 86"/>
    <x v="53"/>
    <s v="Kenneth Fields"/>
    <x v="140"/>
    <n v="5"/>
    <x v="4"/>
    <x v="6"/>
    <x v="6"/>
    <x v="2"/>
    <x v="0"/>
  </r>
  <r>
    <s v="AX11072"/>
    <s v="ENX2010"/>
    <s v="A121"/>
    <s v="EMP1011"/>
    <s v="C1240"/>
    <x v="526"/>
    <n v="1"/>
    <n v="1812"/>
    <n v="1305"/>
    <n v="1305"/>
    <n v="1812"/>
    <n v="507"/>
    <s v="Product 11"/>
    <x v="72"/>
    <s v="Larry Marshall"/>
    <x v="455"/>
    <n v="5"/>
    <x v="4"/>
    <x v="6"/>
    <x v="6"/>
    <x v="2"/>
    <x v="0"/>
  </r>
  <r>
    <s v="AX11350"/>
    <s v="ENX2095"/>
    <s v="A165"/>
    <s v="EMP1039"/>
    <s v="C1096"/>
    <x v="523"/>
    <n v="1"/>
    <n v="1743"/>
    <n v="872"/>
    <n v="872"/>
    <n v="1743"/>
    <n v="871"/>
    <s v="Product 96"/>
    <x v="55"/>
    <s v="Eugene Holmes"/>
    <x v="91"/>
    <n v="5"/>
    <x v="4"/>
    <x v="6"/>
    <x v="6"/>
    <x v="2"/>
    <x v="0"/>
  </r>
  <r>
    <s v="AX11741"/>
    <s v="ENX2022"/>
    <s v="A161"/>
    <s v="EMP1028"/>
    <s v="C1616"/>
    <x v="523"/>
    <n v="2"/>
    <n v="561"/>
    <n v="421"/>
    <n v="842"/>
    <n v="1122"/>
    <n v="280"/>
    <s v="Product 23"/>
    <x v="6"/>
    <s v="Howard Sims"/>
    <x v="253"/>
    <n v="5"/>
    <x v="4"/>
    <x v="6"/>
    <x v="6"/>
    <x v="2"/>
    <x v="0"/>
  </r>
  <r>
    <s v="AX11917"/>
    <s v="ENX2004"/>
    <s v="A151"/>
    <s v="EMP1000"/>
    <s v="C1553"/>
    <x v="523"/>
    <n v="2"/>
    <n v="1278"/>
    <n v="665"/>
    <n v="1330"/>
    <n v="2556"/>
    <n v="1226"/>
    <s v="Product 5"/>
    <x v="1"/>
    <s v="Fred Robertson"/>
    <x v="726"/>
    <n v="5"/>
    <x v="4"/>
    <x v="6"/>
    <x v="6"/>
    <x v="2"/>
    <x v="0"/>
  </r>
  <r>
    <s v="AX12010"/>
    <s v="ENX2082"/>
    <s v="A131"/>
    <s v="EMP1042"/>
    <s v="C1763"/>
    <x v="524"/>
    <n v="3"/>
    <n v="1103"/>
    <n v="838"/>
    <n v="2514"/>
    <n v="3309"/>
    <n v="795"/>
    <s v="Product 83"/>
    <x v="32"/>
    <s v="Scott Clark"/>
    <x v="409"/>
    <n v="5"/>
    <x v="4"/>
    <x v="6"/>
    <x v="6"/>
    <x v="2"/>
    <x v="0"/>
  </r>
  <r>
    <s v="AX12092"/>
    <s v="ENX2069"/>
    <s v="A160"/>
    <s v="EMP1040"/>
    <s v="C1531"/>
    <x v="524"/>
    <n v="1"/>
    <n v="378"/>
    <n v="291"/>
    <n v="291"/>
    <n v="378"/>
    <n v="87"/>
    <s v="Product 70"/>
    <x v="9"/>
    <s v="Patrick Ruiz"/>
    <x v="743"/>
    <n v="5"/>
    <x v="4"/>
    <x v="6"/>
    <x v="6"/>
    <x v="2"/>
    <x v="0"/>
  </r>
  <r>
    <s v="AX12258"/>
    <s v="ENX2045"/>
    <s v="A136"/>
    <s v="EMP1011"/>
    <s v="C1098"/>
    <x v="525"/>
    <n v="1"/>
    <n v="556"/>
    <n v="395"/>
    <n v="395"/>
    <n v="556"/>
    <n v="161"/>
    <s v="Product 46"/>
    <x v="43"/>
    <s v="Larry Marshall"/>
    <x v="622"/>
    <n v="5"/>
    <x v="4"/>
    <x v="6"/>
    <x v="6"/>
    <x v="2"/>
    <x v="0"/>
  </r>
  <r>
    <s v="AX12564"/>
    <s v="ENX2041"/>
    <s v="A147"/>
    <s v="EMP1037"/>
    <s v="C1190"/>
    <x v="526"/>
    <n v="1"/>
    <n v="1380"/>
    <n v="1090"/>
    <n v="1090"/>
    <n v="1380"/>
    <n v="290"/>
    <s v="Product 42"/>
    <x v="42"/>
    <s v="Carl Hall"/>
    <x v="1"/>
    <n v="5"/>
    <x v="4"/>
    <x v="6"/>
    <x v="6"/>
    <x v="2"/>
    <x v="0"/>
  </r>
  <r>
    <s v="AX13038"/>
    <s v="ENX2083"/>
    <s v="A157"/>
    <s v="EMP1022"/>
    <s v="C1243"/>
    <x v="527"/>
    <n v="1"/>
    <n v="2141"/>
    <n v="1777"/>
    <n v="1777"/>
    <n v="2141"/>
    <n v="364"/>
    <s v="Product 84"/>
    <x v="7"/>
    <s v="Walter Cook"/>
    <x v="129"/>
    <n v="5"/>
    <x v="4"/>
    <x v="6"/>
    <x v="6"/>
    <x v="2"/>
    <x v="0"/>
  </r>
  <r>
    <s v="AX13142"/>
    <s v="ENX2005"/>
    <s v="A139"/>
    <s v="EMP1037"/>
    <s v="C1050"/>
    <x v="524"/>
    <n v="3"/>
    <n v="684"/>
    <n v="561"/>
    <n v="1683"/>
    <n v="2052"/>
    <n v="369"/>
    <s v="Product 6"/>
    <x v="38"/>
    <s v="Carl Hall"/>
    <x v="684"/>
    <n v="5"/>
    <x v="4"/>
    <x v="6"/>
    <x v="6"/>
    <x v="2"/>
    <x v="0"/>
  </r>
  <r>
    <s v="AX13455"/>
    <s v="ENX2025"/>
    <s v="A112"/>
    <s v="EMP1034"/>
    <s v="C1146"/>
    <x v="526"/>
    <n v="1"/>
    <n v="667"/>
    <n v="387"/>
    <n v="387"/>
    <n v="667"/>
    <n v="280"/>
    <s v="Product 26"/>
    <x v="66"/>
    <s v="Arthur Mccoy"/>
    <x v="274"/>
    <n v="5"/>
    <x v="4"/>
    <x v="6"/>
    <x v="6"/>
    <x v="2"/>
    <x v="0"/>
  </r>
  <r>
    <s v="AX13631"/>
    <s v="ENX2071"/>
    <s v="A121"/>
    <s v="EMP1027"/>
    <s v="C1163"/>
    <x v="525"/>
    <n v="1"/>
    <n v="136"/>
    <n v="72"/>
    <n v="72"/>
    <n v="136"/>
    <n v="64"/>
    <s v="Product 72"/>
    <x v="72"/>
    <s v="Gary Rodriguez"/>
    <x v="23"/>
    <n v="5"/>
    <x v="4"/>
    <x v="6"/>
    <x v="6"/>
    <x v="2"/>
    <x v="0"/>
  </r>
  <r>
    <s v="AX13927"/>
    <s v="ENX2019"/>
    <s v="A146"/>
    <s v="EMP1013"/>
    <s v="C1620"/>
    <x v="524"/>
    <n v="2"/>
    <n v="800"/>
    <n v="536"/>
    <n v="1072"/>
    <n v="1600"/>
    <n v="528"/>
    <s v="Product 20"/>
    <x v="27"/>
    <s v="Charles Harper"/>
    <x v="445"/>
    <n v="5"/>
    <x v="4"/>
    <x v="6"/>
    <x v="6"/>
    <x v="2"/>
    <x v="0"/>
  </r>
  <r>
    <s v="AX14217"/>
    <s v="ENX2053"/>
    <s v="A108"/>
    <s v="EMP1033"/>
    <s v="C1343"/>
    <x v="527"/>
    <n v="2"/>
    <n v="596"/>
    <n v="358"/>
    <n v="716"/>
    <n v="1192"/>
    <n v="476"/>
    <s v="Product 54"/>
    <x v="49"/>
    <s v="Jerry Perry"/>
    <x v="175"/>
    <n v="5"/>
    <x v="4"/>
    <x v="6"/>
    <x v="6"/>
    <x v="2"/>
    <x v="0"/>
  </r>
  <r>
    <s v="AX14329"/>
    <s v="ENX2052"/>
    <s v="A172"/>
    <s v="EMP1014"/>
    <s v="C1594"/>
    <x v="526"/>
    <n v="1"/>
    <n v="1526"/>
    <n v="1251"/>
    <n v="1251"/>
    <n v="1526"/>
    <n v="275"/>
    <s v="Product 53"/>
    <x v="36"/>
    <s v="Ronald Reed"/>
    <x v="770"/>
    <n v="5"/>
    <x v="4"/>
    <x v="6"/>
    <x v="6"/>
    <x v="2"/>
    <x v="0"/>
  </r>
  <r>
    <s v="AX14388"/>
    <s v="ENX2049"/>
    <s v="A123"/>
    <s v="EMP1031"/>
    <s v="C1333"/>
    <x v="523"/>
    <n v="3"/>
    <n v="826"/>
    <n v="562"/>
    <n v="1686"/>
    <n v="2478"/>
    <n v="792"/>
    <s v="Product 50"/>
    <x v="34"/>
    <s v="Brian Thomas"/>
    <x v="673"/>
    <n v="5"/>
    <x v="4"/>
    <x v="6"/>
    <x v="6"/>
    <x v="2"/>
    <x v="0"/>
  </r>
  <r>
    <s v="AX14890"/>
    <s v="ENX2006"/>
    <s v="A143"/>
    <s v="EMP1010"/>
    <s v="C1025"/>
    <x v="527"/>
    <n v="1"/>
    <n v="1826"/>
    <n v="1443"/>
    <n v="1443"/>
    <n v="1826"/>
    <n v="383"/>
    <s v="Product 7"/>
    <x v="39"/>
    <s v="Joshua Cook"/>
    <x v="350"/>
    <n v="5"/>
    <x v="4"/>
    <x v="6"/>
    <x v="6"/>
    <x v="2"/>
    <x v="0"/>
  </r>
  <r>
    <s v="AX15389"/>
    <s v="ENX2088"/>
    <s v="A129"/>
    <s v="EMP1042"/>
    <s v="C1018"/>
    <x v="523"/>
    <n v="3"/>
    <n v="603"/>
    <n v="416"/>
    <n v="1248"/>
    <n v="1809"/>
    <n v="561"/>
    <s v="Product 89"/>
    <x v="22"/>
    <s v="Scott Clark"/>
    <x v="138"/>
    <n v="5"/>
    <x v="4"/>
    <x v="6"/>
    <x v="6"/>
    <x v="2"/>
    <x v="0"/>
  </r>
  <r>
    <s v="AX15497"/>
    <s v="ENX2036"/>
    <s v="A158"/>
    <s v="EMP1018"/>
    <s v="C1374"/>
    <x v="523"/>
    <n v="2"/>
    <n v="1582"/>
    <n v="1234"/>
    <n v="2468"/>
    <n v="3164"/>
    <n v="696"/>
    <s v="Product 37"/>
    <x v="58"/>
    <s v="Jimmy Young"/>
    <x v="189"/>
    <n v="5"/>
    <x v="4"/>
    <x v="6"/>
    <x v="6"/>
    <x v="2"/>
    <x v="0"/>
  </r>
  <r>
    <s v="AX15864"/>
    <s v="ENX2031"/>
    <s v="A132"/>
    <s v="EMP1000"/>
    <s v="C1159"/>
    <x v="526"/>
    <n v="4"/>
    <n v="1638"/>
    <n v="1261"/>
    <n v="5044"/>
    <n v="6552"/>
    <n v="1508"/>
    <s v="Product 32"/>
    <x v="48"/>
    <s v="Fred Robertson"/>
    <x v="793"/>
    <n v="5"/>
    <x v="4"/>
    <x v="6"/>
    <x v="6"/>
    <x v="2"/>
    <x v="0"/>
  </r>
  <r>
    <s v="AX16581"/>
    <s v="ENX2040"/>
    <s v="A157"/>
    <s v="EMP1029"/>
    <s v="C1316"/>
    <x v="525"/>
    <n v="1"/>
    <n v="1889"/>
    <n v="945"/>
    <n v="945"/>
    <n v="1889"/>
    <n v="944"/>
    <s v="Product 41"/>
    <x v="7"/>
    <s v="Howard Gardner"/>
    <x v="771"/>
    <n v="5"/>
    <x v="4"/>
    <x v="6"/>
    <x v="6"/>
    <x v="2"/>
    <x v="0"/>
  </r>
  <r>
    <s v="AX16699"/>
    <s v="ENX2036"/>
    <s v="A132"/>
    <s v="EMP1030"/>
    <s v="C1653"/>
    <x v="524"/>
    <n v="1"/>
    <n v="1582"/>
    <n v="1234"/>
    <n v="1234"/>
    <n v="1582"/>
    <n v="348"/>
    <s v="Product 37"/>
    <x v="48"/>
    <s v="Bobby Russell"/>
    <x v="187"/>
    <n v="5"/>
    <x v="4"/>
    <x v="6"/>
    <x v="6"/>
    <x v="2"/>
    <x v="0"/>
  </r>
  <r>
    <s v="AX16920"/>
    <s v="ENX2092"/>
    <s v="A112"/>
    <s v="EMP1043"/>
    <s v="C1072"/>
    <x v="524"/>
    <n v="1"/>
    <n v="1639"/>
    <n v="1295"/>
    <n v="1295"/>
    <n v="1639"/>
    <n v="344"/>
    <s v="Product 93"/>
    <x v="66"/>
    <s v="Joshua Taylor"/>
    <x v="529"/>
    <n v="5"/>
    <x v="4"/>
    <x v="6"/>
    <x v="6"/>
    <x v="2"/>
    <x v="0"/>
  </r>
  <r>
    <s v="AX17119"/>
    <s v="ENX2088"/>
    <s v="A102"/>
    <s v="EMP1009"/>
    <s v="C1559"/>
    <x v="527"/>
    <n v="4"/>
    <n v="603"/>
    <n v="416"/>
    <n v="1664"/>
    <n v="2412"/>
    <n v="748"/>
    <s v="Product 89"/>
    <x v="44"/>
    <s v="Kenneth Fields"/>
    <x v="43"/>
    <n v="5"/>
    <x v="4"/>
    <x v="6"/>
    <x v="6"/>
    <x v="2"/>
    <x v="0"/>
  </r>
  <r>
    <s v="AX17544"/>
    <s v="ENX2094"/>
    <s v="A156"/>
    <s v="EMP1021"/>
    <s v="C1573"/>
    <x v="527"/>
    <n v="2"/>
    <n v="771"/>
    <n v="648"/>
    <n v="1296"/>
    <n v="1542"/>
    <n v="246"/>
    <s v="Product 95"/>
    <x v="14"/>
    <s v="Clarence Fox"/>
    <x v="383"/>
    <n v="5"/>
    <x v="4"/>
    <x v="6"/>
    <x v="6"/>
    <x v="2"/>
    <x v="0"/>
  </r>
  <r>
    <s v="AX17742"/>
    <s v="ENX2012"/>
    <s v="A158"/>
    <s v="EMP1026"/>
    <s v="C1196"/>
    <x v="523"/>
    <n v="1"/>
    <n v="1353"/>
    <n v="947"/>
    <n v="947"/>
    <n v="1353"/>
    <n v="406"/>
    <s v="Product 13"/>
    <x v="58"/>
    <s v="Martin Perry"/>
    <x v="65"/>
    <n v="5"/>
    <x v="4"/>
    <x v="6"/>
    <x v="6"/>
    <x v="2"/>
    <x v="0"/>
  </r>
  <r>
    <s v="AX18208"/>
    <s v="ENX2006"/>
    <s v="A126"/>
    <s v="EMP1026"/>
    <s v="C1374"/>
    <x v="526"/>
    <n v="1"/>
    <n v="1826"/>
    <n v="1443"/>
    <n v="1443"/>
    <n v="1826"/>
    <n v="383"/>
    <s v="Product 7"/>
    <x v="5"/>
    <s v="Martin Perry"/>
    <x v="189"/>
    <n v="5"/>
    <x v="4"/>
    <x v="6"/>
    <x v="6"/>
    <x v="2"/>
    <x v="0"/>
  </r>
  <r>
    <s v="AX18276"/>
    <s v="ENX2041"/>
    <s v="A135"/>
    <s v="EMP1006"/>
    <s v="C1263"/>
    <x v="524"/>
    <n v="3"/>
    <n v="1380"/>
    <n v="1090"/>
    <n v="3270"/>
    <n v="4140"/>
    <n v="870"/>
    <s v="Product 42"/>
    <x v="10"/>
    <s v="Sean Miller"/>
    <x v="368"/>
    <n v="5"/>
    <x v="4"/>
    <x v="6"/>
    <x v="6"/>
    <x v="2"/>
    <x v="0"/>
  </r>
  <r>
    <s v="AX18283"/>
    <s v="ENX2013"/>
    <s v="A147"/>
    <s v="EMP1038"/>
    <s v="C1412"/>
    <x v="523"/>
    <n v="3"/>
    <n v="368"/>
    <n v="269"/>
    <n v="807"/>
    <n v="1104"/>
    <n v="297"/>
    <s v="Product 14"/>
    <x v="42"/>
    <s v="Scott Mason"/>
    <x v="460"/>
    <n v="5"/>
    <x v="4"/>
    <x v="6"/>
    <x v="6"/>
    <x v="2"/>
    <x v="0"/>
  </r>
  <r>
    <s v="AX18331"/>
    <s v="ENX2004"/>
    <s v="A136"/>
    <s v="EMP1018"/>
    <s v="C1201"/>
    <x v="524"/>
    <n v="1"/>
    <n v="1278"/>
    <n v="665"/>
    <n v="665"/>
    <n v="1278"/>
    <n v="613"/>
    <s v="Product 5"/>
    <x v="43"/>
    <s v="Jimmy Young"/>
    <x v="760"/>
    <n v="5"/>
    <x v="4"/>
    <x v="6"/>
    <x v="6"/>
    <x v="2"/>
    <x v="0"/>
  </r>
  <r>
    <s v="AX18340"/>
    <s v="ENX2037"/>
    <s v="A103"/>
    <s v="EMP1029"/>
    <s v="C1165"/>
    <x v="527"/>
    <n v="1"/>
    <n v="880"/>
    <n v="634"/>
    <n v="634"/>
    <n v="880"/>
    <n v="246"/>
    <s v="Product 38"/>
    <x v="61"/>
    <s v="Howard Gardner"/>
    <x v="82"/>
    <n v="5"/>
    <x v="4"/>
    <x v="6"/>
    <x v="6"/>
    <x v="2"/>
    <x v="0"/>
  </r>
  <r>
    <s v="AX18344"/>
    <s v="ENX2045"/>
    <s v="A102"/>
    <s v="EMP1004"/>
    <s v="C1217"/>
    <x v="526"/>
    <n v="3"/>
    <n v="556"/>
    <n v="395"/>
    <n v="1185"/>
    <n v="1668"/>
    <n v="483"/>
    <s v="Product 46"/>
    <x v="44"/>
    <s v="Kenneth Bradley"/>
    <x v="619"/>
    <n v="5"/>
    <x v="4"/>
    <x v="6"/>
    <x v="6"/>
    <x v="2"/>
    <x v="0"/>
  </r>
  <r>
    <s v="AX18697"/>
    <s v="ENX2007"/>
    <s v="A149"/>
    <s v="EMP1036"/>
    <s v="C1094"/>
    <x v="524"/>
    <n v="2"/>
    <n v="1405"/>
    <n v="1054"/>
    <n v="2108"/>
    <n v="2810"/>
    <n v="702"/>
    <s v="Product 8"/>
    <x v="59"/>
    <s v="Robert Reed"/>
    <x v="261"/>
    <n v="5"/>
    <x v="4"/>
    <x v="6"/>
    <x v="6"/>
    <x v="2"/>
    <x v="0"/>
  </r>
  <r>
    <s v="AX18733"/>
    <s v="ENX2017"/>
    <s v="A170"/>
    <s v="EMP1004"/>
    <s v="C1296"/>
    <x v="525"/>
    <n v="1"/>
    <n v="35"/>
    <n v="22"/>
    <n v="22"/>
    <n v="35"/>
    <n v="13"/>
    <s v="Product 18"/>
    <x v="47"/>
    <s v="Kenneth Bradley"/>
    <x v="105"/>
    <n v="5"/>
    <x v="4"/>
    <x v="6"/>
    <x v="6"/>
    <x v="2"/>
    <x v="0"/>
  </r>
  <r>
    <s v="AX19207"/>
    <s v="ENX2006"/>
    <s v="A123"/>
    <s v="EMP1035"/>
    <s v="C1354"/>
    <x v="527"/>
    <n v="1"/>
    <n v="1826"/>
    <n v="1443"/>
    <n v="1443"/>
    <n v="1826"/>
    <n v="383"/>
    <s v="Product 7"/>
    <x v="34"/>
    <s v="Roger Ramos"/>
    <x v="133"/>
    <n v="5"/>
    <x v="4"/>
    <x v="6"/>
    <x v="6"/>
    <x v="2"/>
    <x v="0"/>
  </r>
  <r>
    <s v="AX19827"/>
    <s v="ENX2074"/>
    <s v="A127"/>
    <s v="EMP1014"/>
    <s v="C1071"/>
    <x v="523"/>
    <n v="2"/>
    <n v="504"/>
    <n v="408"/>
    <n v="816"/>
    <n v="1008"/>
    <n v="192"/>
    <s v="Product 75"/>
    <x v="69"/>
    <s v="Ronald Reed"/>
    <x v="264"/>
    <n v="5"/>
    <x v="4"/>
    <x v="6"/>
    <x v="6"/>
    <x v="2"/>
    <x v="0"/>
  </r>
  <r>
    <s v="AX20997"/>
    <s v="ENX2043"/>
    <s v="A153"/>
    <s v="EMP1004"/>
    <s v="C1371"/>
    <x v="523"/>
    <n v="1"/>
    <n v="545"/>
    <n v="425"/>
    <n v="425"/>
    <n v="545"/>
    <n v="120"/>
    <s v="Product 44"/>
    <x v="8"/>
    <s v="Kenneth Bradley"/>
    <x v="180"/>
    <n v="5"/>
    <x v="4"/>
    <x v="6"/>
    <x v="6"/>
    <x v="2"/>
    <x v="0"/>
  </r>
  <r>
    <s v="AX21389"/>
    <s v="ENX2058"/>
    <s v="A108"/>
    <s v="EMP1006"/>
    <s v="C1160"/>
    <x v="523"/>
    <n v="2"/>
    <n v="2257"/>
    <n v="1535"/>
    <n v="3070"/>
    <n v="4514"/>
    <n v="1444"/>
    <s v="Product 59"/>
    <x v="49"/>
    <s v="Sean Miller"/>
    <x v="566"/>
    <n v="5"/>
    <x v="4"/>
    <x v="6"/>
    <x v="6"/>
    <x v="2"/>
    <x v="0"/>
  </r>
  <r>
    <s v="AX21607"/>
    <s v="ENX2018"/>
    <s v="A122"/>
    <s v="EMP1041"/>
    <s v="C1281"/>
    <x v="526"/>
    <n v="4"/>
    <n v="1972"/>
    <n v="1321"/>
    <n v="5284"/>
    <n v="7888"/>
    <n v="2604"/>
    <s v="Product 19"/>
    <x v="71"/>
    <s v="Joe Sims"/>
    <x v="216"/>
    <n v="5"/>
    <x v="4"/>
    <x v="6"/>
    <x v="6"/>
    <x v="2"/>
    <x v="0"/>
  </r>
  <r>
    <s v="AX21775"/>
    <s v="ENX2083"/>
    <s v="A128"/>
    <s v="EMP1018"/>
    <s v="C1612"/>
    <x v="526"/>
    <n v="1"/>
    <n v="2141"/>
    <n v="1777"/>
    <n v="1777"/>
    <n v="2141"/>
    <n v="364"/>
    <s v="Product 84"/>
    <x v="12"/>
    <s v="Jimmy Young"/>
    <x v="46"/>
    <n v="5"/>
    <x v="4"/>
    <x v="6"/>
    <x v="6"/>
    <x v="2"/>
    <x v="0"/>
  </r>
  <r>
    <s v="AX22323"/>
    <s v="ENX2036"/>
    <s v="A158"/>
    <s v="EMP1025"/>
    <s v="C1616"/>
    <x v="524"/>
    <n v="1"/>
    <n v="1582"/>
    <n v="1234"/>
    <n v="1234"/>
    <n v="1582"/>
    <n v="348"/>
    <s v="Product 37"/>
    <x v="58"/>
    <s v="Ernest Wagner"/>
    <x v="253"/>
    <n v="5"/>
    <x v="4"/>
    <x v="6"/>
    <x v="6"/>
    <x v="2"/>
    <x v="0"/>
  </r>
  <r>
    <s v="AX22353"/>
    <s v="ENX2033"/>
    <s v="A117"/>
    <s v="EMP1017"/>
    <s v="C1115"/>
    <x v="525"/>
    <n v="3"/>
    <n v="2182"/>
    <n v="1200"/>
    <n v="3600"/>
    <n v="6546"/>
    <n v="2946"/>
    <s v="Product 34"/>
    <x v="29"/>
    <s v="Brian Hansen"/>
    <x v="338"/>
    <n v="5"/>
    <x v="4"/>
    <x v="6"/>
    <x v="6"/>
    <x v="2"/>
    <x v="0"/>
  </r>
  <r>
    <s v="AX22355"/>
    <s v="ENX2098"/>
    <s v="A144"/>
    <s v="EMP1007"/>
    <s v="C1009"/>
    <x v="524"/>
    <n v="4"/>
    <n v="1178"/>
    <n v="683"/>
    <n v="2732"/>
    <n v="4712"/>
    <n v="1980"/>
    <s v="Product 99"/>
    <x v="65"/>
    <s v="Jeremy Mendoza"/>
    <x v="458"/>
    <n v="5"/>
    <x v="4"/>
    <x v="6"/>
    <x v="6"/>
    <x v="2"/>
    <x v="0"/>
  </r>
  <r>
    <s v="AX22545"/>
    <s v="ENX2027"/>
    <s v="A145"/>
    <s v="EMP1031"/>
    <s v="C1360"/>
    <x v="526"/>
    <n v="1"/>
    <n v="2497"/>
    <n v="1473"/>
    <n v="1473"/>
    <n v="2497"/>
    <n v="1024"/>
    <s v="Product 28"/>
    <x v="35"/>
    <s v="Brian Thomas"/>
    <x v="573"/>
    <n v="5"/>
    <x v="4"/>
    <x v="6"/>
    <x v="6"/>
    <x v="2"/>
    <x v="0"/>
  </r>
  <r>
    <s v="AX22617"/>
    <s v="ENX2062"/>
    <s v="A101"/>
    <s v="EMP1036"/>
    <s v="C1034"/>
    <x v="523"/>
    <n v="1"/>
    <n v="2464"/>
    <n v="1774"/>
    <n v="1774"/>
    <n v="2464"/>
    <n v="690"/>
    <s v="Product 63"/>
    <x v="60"/>
    <s v="Robert Reed"/>
    <x v="704"/>
    <n v="5"/>
    <x v="4"/>
    <x v="6"/>
    <x v="6"/>
    <x v="2"/>
    <x v="0"/>
  </r>
  <r>
    <s v="AX22760"/>
    <s v="ENX2026"/>
    <s v="A102"/>
    <s v="EMP1015"/>
    <s v="C1627"/>
    <x v="523"/>
    <n v="2"/>
    <n v="947"/>
    <n v="786"/>
    <n v="1572"/>
    <n v="1894"/>
    <n v="322"/>
    <s v="Product 27"/>
    <x v="44"/>
    <s v="Justin Lynch"/>
    <x v="785"/>
    <n v="5"/>
    <x v="4"/>
    <x v="6"/>
    <x v="6"/>
    <x v="2"/>
    <x v="0"/>
  </r>
  <r>
    <s v="AX22763"/>
    <s v="ENX2039"/>
    <s v="A111"/>
    <s v="EMP1043"/>
    <s v="C1677"/>
    <x v="526"/>
    <n v="1"/>
    <n v="817"/>
    <n v="409"/>
    <n v="409"/>
    <n v="817"/>
    <n v="408"/>
    <s v="Product 40"/>
    <x v="54"/>
    <s v="Joshua Taylor"/>
    <x v="641"/>
    <n v="5"/>
    <x v="4"/>
    <x v="6"/>
    <x v="6"/>
    <x v="2"/>
    <x v="0"/>
  </r>
  <r>
    <s v="AX22778"/>
    <s v="ENX2057"/>
    <s v="A112"/>
    <s v="EMP1036"/>
    <s v="C1730"/>
    <x v="527"/>
    <n v="1"/>
    <n v="181"/>
    <n v="130"/>
    <n v="130"/>
    <n v="181"/>
    <n v="51"/>
    <s v="Product 58"/>
    <x v="66"/>
    <s v="Robert Reed"/>
    <x v="777"/>
    <n v="5"/>
    <x v="4"/>
    <x v="6"/>
    <x v="6"/>
    <x v="2"/>
    <x v="0"/>
  </r>
  <r>
    <s v="AX22848"/>
    <s v="ENX2091"/>
    <s v="A166"/>
    <s v="EMP1026"/>
    <s v="C1671"/>
    <x v="524"/>
    <n v="1"/>
    <n v="368"/>
    <n v="294"/>
    <n v="294"/>
    <n v="368"/>
    <n v="74"/>
    <s v="Product 92"/>
    <x v="70"/>
    <s v="Martin Perry"/>
    <x v="248"/>
    <n v="5"/>
    <x v="4"/>
    <x v="6"/>
    <x v="6"/>
    <x v="2"/>
    <x v="0"/>
  </r>
  <r>
    <s v="AX22962"/>
    <s v="ENX2036"/>
    <s v="A112"/>
    <s v="EMP1024"/>
    <s v="C1055"/>
    <x v="523"/>
    <n v="1"/>
    <n v="1582"/>
    <n v="1234"/>
    <n v="1234"/>
    <n v="1582"/>
    <n v="348"/>
    <s v="Product 37"/>
    <x v="66"/>
    <s v="Ernest Wheeler"/>
    <x v="593"/>
    <n v="5"/>
    <x v="4"/>
    <x v="6"/>
    <x v="6"/>
    <x v="2"/>
    <x v="0"/>
  </r>
  <r>
    <s v="AX23331"/>
    <s v="ENX2058"/>
    <s v="A144"/>
    <s v="EMP1044"/>
    <s v="C1364"/>
    <x v="527"/>
    <n v="3"/>
    <n v="2257"/>
    <n v="1535"/>
    <n v="4605"/>
    <n v="6771"/>
    <n v="2166"/>
    <s v="Product 59"/>
    <x v="65"/>
    <s v="Martin Carr"/>
    <x v="477"/>
    <n v="5"/>
    <x v="4"/>
    <x v="6"/>
    <x v="6"/>
    <x v="2"/>
    <x v="0"/>
  </r>
  <r>
    <s v="AX23373"/>
    <s v="ENX2069"/>
    <s v="A101"/>
    <s v="EMP1035"/>
    <s v="C1373"/>
    <x v="523"/>
    <n v="3"/>
    <n v="378"/>
    <n v="291"/>
    <n v="873"/>
    <n v="1134"/>
    <n v="261"/>
    <s v="Product 70"/>
    <x v="60"/>
    <s v="Roger Ramos"/>
    <x v="471"/>
    <n v="5"/>
    <x v="4"/>
    <x v="6"/>
    <x v="6"/>
    <x v="2"/>
    <x v="0"/>
  </r>
  <r>
    <s v="AX23627"/>
    <s v="ENX2007"/>
    <s v="A112"/>
    <s v="EMP1013"/>
    <s v="C1464"/>
    <x v="524"/>
    <n v="3"/>
    <n v="1405"/>
    <n v="1054"/>
    <n v="3162"/>
    <n v="4215"/>
    <n v="1053"/>
    <s v="Product 8"/>
    <x v="66"/>
    <s v="Charles Harper"/>
    <x v="322"/>
    <n v="5"/>
    <x v="4"/>
    <x v="6"/>
    <x v="6"/>
    <x v="2"/>
    <x v="0"/>
  </r>
  <r>
    <s v="AX23657"/>
    <s v="ENX2081"/>
    <s v="A104"/>
    <s v="EMP1027"/>
    <s v="C1596"/>
    <x v="527"/>
    <n v="1"/>
    <n v="1566"/>
    <n v="1190"/>
    <n v="1190"/>
    <n v="1566"/>
    <n v="376"/>
    <s v="Product 82"/>
    <x v="50"/>
    <s v="Gary Rodriguez"/>
    <x v="217"/>
    <n v="5"/>
    <x v="4"/>
    <x v="6"/>
    <x v="6"/>
    <x v="2"/>
    <x v="0"/>
  </r>
  <r>
    <s v="AX23734"/>
    <s v="ENX2073"/>
    <s v="A146"/>
    <s v="EMP1014"/>
    <s v="C1681"/>
    <x v="524"/>
    <n v="2"/>
    <n v="95"/>
    <n v="61"/>
    <n v="122"/>
    <n v="190"/>
    <n v="68"/>
    <s v="Product 74"/>
    <x v="27"/>
    <s v="Ronald Reed"/>
    <x v="235"/>
    <n v="5"/>
    <x v="4"/>
    <x v="6"/>
    <x v="6"/>
    <x v="2"/>
    <x v="0"/>
  </r>
  <r>
    <s v="AX23787"/>
    <s v="ENX2006"/>
    <s v="A123"/>
    <s v="EMP1022"/>
    <s v="C1415"/>
    <x v="524"/>
    <n v="2"/>
    <n v="1826"/>
    <n v="1443"/>
    <n v="2886"/>
    <n v="3652"/>
    <n v="766"/>
    <s v="Product 7"/>
    <x v="34"/>
    <s v="Walter Cook"/>
    <x v="352"/>
    <n v="5"/>
    <x v="4"/>
    <x v="6"/>
    <x v="6"/>
    <x v="2"/>
    <x v="0"/>
  </r>
  <r>
    <s v="AX23834"/>
    <s v="ENX2056"/>
    <s v="A109"/>
    <s v="EMP1036"/>
    <s v="C1205"/>
    <x v="526"/>
    <n v="2"/>
    <n v="1635"/>
    <n v="1046"/>
    <n v="2092"/>
    <n v="3270"/>
    <n v="1178"/>
    <s v="Product 57"/>
    <x v="57"/>
    <s v="Robert Reed"/>
    <x v="285"/>
    <n v="5"/>
    <x v="4"/>
    <x v="6"/>
    <x v="6"/>
    <x v="2"/>
    <x v="0"/>
  </r>
  <r>
    <s v="AX24184"/>
    <s v="ENX2098"/>
    <s v="A118"/>
    <s v="EMP1015"/>
    <s v="C1016"/>
    <x v="523"/>
    <n v="2"/>
    <n v="1178"/>
    <n v="683"/>
    <n v="1366"/>
    <n v="2356"/>
    <n v="990"/>
    <s v="Product 99"/>
    <x v="19"/>
    <s v="Justin Lynch"/>
    <x v="335"/>
    <n v="5"/>
    <x v="4"/>
    <x v="6"/>
    <x v="6"/>
    <x v="2"/>
    <x v="0"/>
  </r>
  <r>
    <s v="AX24605"/>
    <s v="ENX2049"/>
    <s v="A164"/>
    <s v="EMP1004"/>
    <s v="C1542"/>
    <x v="523"/>
    <n v="2"/>
    <n v="826"/>
    <n v="562"/>
    <n v="1124"/>
    <n v="1652"/>
    <n v="528"/>
    <s v="Product 50"/>
    <x v="3"/>
    <s v="Kenneth Bradley"/>
    <x v="712"/>
    <n v="5"/>
    <x v="4"/>
    <x v="6"/>
    <x v="6"/>
    <x v="2"/>
    <x v="0"/>
  </r>
  <r>
    <s v="AX24688"/>
    <s v="ENX2050"/>
    <s v="A157"/>
    <s v="EMP1000"/>
    <s v="C1739"/>
    <x v="524"/>
    <n v="1"/>
    <n v="2391"/>
    <n v="1291"/>
    <n v="1291"/>
    <n v="2391"/>
    <n v="1100"/>
    <s v="Product 51"/>
    <x v="7"/>
    <s v="Fred Robertson"/>
    <x v="286"/>
    <n v="5"/>
    <x v="4"/>
    <x v="6"/>
    <x v="6"/>
    <x v="2"/>
    <x v="0"/>
  </r>
  <r>
    <s v="AX10367"/>
    <s v="ENX2096"/>
    <s v="A113"/>
    <s v="EMP1008"/>
    <s v="C1751"/>
    <x v="528"/>
    <n v="1"/>
    <n v="1587"/>
    <n v="1301"/>
    <n v="1301"/>
    <n v="1587"/>
    <n v="286"/>
    <s v="Product 97"/>
    <x v="73"/>
    <s v="Carl Elliott"/>
    <x v="332"/>
    <n v="5"/>
    <x v="4"/>
    <x v="6"/>
    <x v="6"/>
    <x v="2"/>
    <x v="2"/>
  </r>
  <r>
    <s v="AX10974"/>
    <s v="ENX2079"/>
    <s v="A117"/>
    <s v="EMP1027"/>
    <s v="C1077"/>
    <x v="529"/>
    <n v="4"/>
    <n v="1725"/>
    <n v="1363"/>
    <n v="5452"/>
    <n v="6900"/>
    <n v="1448"/>
    <s v="Product 80"/>
    <x v="29"/>
    <s v="Gary Rodriguez"/>
    <x v="315"/>
    <n v="5"/>
    <x v="4"/>
    <x v="6"/>
    <x v="6"/>
    <x v="2"/>
    <x v="2"/>
  </r>
  <r>
    <s v="AX11405"/>
    <s v="ENX2038"/>
    <s v="A143"/>
    <s v="EMP1033"/>
    <s v="C1315"/>
    <x v="530"/>
    <n v="2"/>
    <n v="392"/>
    <n v="255"/>
    <n v="510"/>
    <n v="784"/>
    <n v="274"/>
    <s v="Product 39"/>
    <x v="39"/>
    <s v="Jerry Perry"/>
    <x v="388"/>
    <n v="5"/>
    <x v="4"/>
    <x v="6"/>
    <x v="6"/>
    <x v="2"/>
    <x v="2"/>
  </r>
  <r>
    <s v="AX11758"/>
    <s v="ENX2033"/>
    <s v="A151"/>
    <s v="EMP1016"/>
    <s v="C1299"/>
    <x v="528"/>
    <n v="2"/>
    <n v="2182"/>
    <n v="1200"/>
    <n v="2400"/>
    <n v="4364"/>
    <n v="1964"/>
    <s v="Product 34"/>
    <x v="1"/>
    <s v="Henry Nelson"/>
    <x v="655"/>
    <n v="5"/>
    <x v="4"/>
    <x v="6"/>
    <x v="6"/>
    <x v="2"/>
    <x v="2"/>
  </r>
  <r>
    <s v="AX12208"/>
    <s v="ENX2095"/>
    <s v="A150"/>
    <s v="EMP1008"/>
    <s v="C1034"/>
    <x v="530"/>
    <n v="3"/>
    <n v="1743"/>
    <n v="872"/>
    <n v="2616"/>
    <n v="5229"/>
    <n v="2613"/>
    <s v="Product 96"/>
    <x v="30"/>
    <s v="Carl Elliott"/>
    <x v="704"/>
    <n v="5"/>
    <x v="4"/>
    <x v="6"/>
    <x v="6"/>
    <x v="2"/>
    <x v="2"/>
  </r>
  <r>
    <s v="AX12211"/>
    <s v="ENX2071"/>
    <s v="A121"/>
    <s v="EMP1043"/>
    <s v="C1660"/>
    <x v="529"/>
    <n v="2"/>
    <n v="136"/>
    <n v="72"/>
    <n v="144"/>
    <n v="272"/>
    <n v="128"/>
    <s v="Product 72"/>
    <x v="72"/>
    <s v="Joshua Taylor"/>
    <x v="146"/>
    <n v="5"/>
    <x v="4"/>
    <x v="6"/>
    <x v="6"/>
    <x v="2"/>
    <x v="2"/>
  </r>
  <r>
    <s v="AX13333"/>
    <s v="ENX2040"/>
    <s v="A170"/>
    <s v="EMP1018"/>
    <s v="C1612"/>
    <x v="531"/>
    <n v="3"/>
    <n v="1889"/>
    <n v="945"/>
    <n v="2835"/>
    <n v="5667"/>
    <n v="2832"/>
    <s v="Product 41"/>
    <x v="47"/>
    <s v="Jimmy Young"/>
    <x v="46"/>
    <n v="5"/>
    <x v="4"/>
    <x v="6"/>
    <x v="6"/>
    <x v="2"/>
    <x v="2"/>
  </r>
  <r>
    <s v="AX13481"/>
    <s v="ENX2081"/>
    <s v="A102"/>
    <s v="EMP1022"/>
    <s v="C1724"/>
    <x v="528"/>
    <n v="1"/>
    <n v="1566"/>
    <n v="1190"/>
    <n v="1190"/>
    <n v="1566"/>
    <n v="376"/>
    <s v="Product 82"/>
    <x v="44"/>
    <s v="Walter Cook"/>
    <x v="378"/>
    <n v="5"/>
    <x v="4"/>
    <x v="6"/>
    <x v="6"/>
    <x v="2"/>
    <x v="2"/>
  </r>
  <r>
    <s v="AX14220"/>
    <s v="ENX2061"/>
    <s v="A133"/>
    <s v="EMP1029"/>
    <s v="C1075"/>
    <x v="529"/>
    <n v="1"/>
    <n v="913"/>
    <n v="584"/>
    <n v="584"/>
    <n v="913"/>
    <n v="329"/>
    <s v="Product 62"/>
    <x v="46"/>
    <s v="Howard Gardner"/>
    <x v="594"/>
    <n v="5"/>
    <x v="4"/>
    <x v="6"/>
    <x v="6"/>
    <x v="2"/>
    <x v="2"/>
  </r>
  <r>
    <s v="AX14689"/>
    <s v="ENX2009"/>
    <s v="A142"/>
    <s v="EMP1009"/>
    <s v="C1047"/>
    <x v="528"/>
    <n v="3"/>
    <n v="584"/>
    <n v="420"/>
    <n v="1260"/>
    <n v="1752"/>
    <n v="492"/>
    <s v="Product 10"/>
    <x v="56"/>
    <s v="Kenneth Fields"/>
    <x v="486"/>
    <n v="5"/>
    <x v="4"/>
    <x v="6"/>
    <x v="6"/>
    <x v="2"/>
    <x v="2"/>
  </r>
  <r>
    <s v="AX14797"/>
    <s v="ENX2041"/>
    <s v="A170"/>
    <s v="EMP1043"/>
    <s v="C1056"/>
    <x v="529"/>
    <n v="1"/>
    <n v="1380"/>
    <n v="1090"/>
    <n v="1090"/>
    <n v="1380"/>
    <n v="290"/>
    <s v="Product 42"/>
    <x v="47"/>
    <s v="Joshua Taylor"/>
    <x v="260"/>
    <n v="5"/>
    <x v="4"/>
    <x v="6"/>
    <x v="6"/>
    <x v="2"/>
    <x v="2"/>
  </r>
  <r>
    <s v="AX14869"/>
    <s v="ENX2046"/>
    <s v="A150"/>
    <s v="EMP1026"/>
    <s v="C1150"/>
    <x v="529"/>
    <n v="3"/>
    <n v="2410"/>
    <n v="1518"/>
    <n v="4554"/>
    <n v="7230"/>
    <n v="2676"/>
    <s v="Product 47"/>
    <x v="30"/>
    <s v="Martin Perry"/>
    <x v="456"/>
    <n v="5"/>
    <x v="4"/>
    <x v="6"/>
    <x v="6"/>
    <x v="2"/>
    <x v="2"/>
  </r>
  <r>
    <s v="AX15219"/>
    <s v="ENX2016"/>
    <s v="A133"/>
    <s v="EMP1020"/>
    <s v="C1674"/>
    <x v="529"/>
    <n v="1"/>
    <n v="1351"/>
    <n v="1108"/>
    <n v="1108"/>
    <n v="1351"/>
    <n v="243"/>
    <s v="Product 17"/>
    <x v="46"/>
    <s v="Ryan Butler"/>
    <x v="774"/>
    <n v="5"/>
    <x v="4"/>
    <x v="6"/>
    <x v="6"/>
    <x v="2"/>
    <x v="2"/>
  </r>
  <r>
    <s v="AX15303"/>
    <s v="ENX2039"/>
    <s v="A173"/>
    <s v="EMP1043"/>
    <s v="C1062"/>
    <x v="529"/>
    <n v="1"/>
    <n v="817"/>
    <n v="409"/>
    <n v="409"/>
    <n v="817"/>
    <n v="408"/>
    <s v="Product 40"/>
    <x v="25"/>
    <s v="Joshua Taylor"/>
    <x v="595"/>
    <n v="5"/>
    <x v="4"/>
    <x v="6"/>
    <x v="6"/>
    <x v="2"/>
    <x v="2"/>
  </r>
  <r>
    <s v="AX15564"/>
    <s v="ENX2053"/>
    <s v="A134"/>
    <s v="EMP1005"/>
    <s v="C1176"/>
    <x v="530"/>
    <n v="4"/>
    <n v="596"/>
    <n v="358"/>
    <n v="1432"/>
    <n v="2384"/>
    <n v="952"/>
    <s v="Product 54"/>
    <x v="41"/>
    <s v="Ryan Welch"/>
    <x v="117"/>
    <n v="5"/>
    <x v="4"/>
    <x v="6"/>
    <x v="6"/>
    <x v="2"/>
    <x v="2"/>
  </r>
  <r>
    <s v="AX15573"/>
    <s v="ENX2068"/>
    <s v="A140"/>
    <s v="EMP1031"/>
    <s v="C1657"/>
    <x v="530"/>
    <n v="4"/>
    <n v="1500"/>
    <n v="900"/>
    <n v="3600"/>
    <n v="6000"/>
    <n v="2400"/>
    <s v="Product 69"/>
    <x v="18"/>
    <s v="Brian Thomas"/>
    <x v="361"/>
    <n v="5"/>
    <x v="4"/>
    <x v="6"/>
    <x v="6"/>
    <x v="2"/>
    <x v="2"/>
  </r>
  <r>
    <s v="AX15690"/>
    <s v="ENX2004"/>
    <s v="A122"/>
    <s v="EMP1030"/>
    <s v="C1663"/>
    <x v="528"/>
    <n v="3"/>
    <n v="1278"/>
    <n v="665"/>
    <n v="1995"/>
    <n v="3834"/>
    <n v="1839"/>
    <s v="Product 5"/>
    <x v="71"/>
    <s v="Bobby Russell"/>
    <x v="602"/>
    <n v="5"/>
    <x v="4"/>
    <x v="6"/>
    <x v="6"/>
    <x v="2"/>
    <x v="2"/>
  </r>
  <r>
    <s v="AX16802"/>
    <s v="ENX2011"/>
    <s v="A125"/>
    <s v="EMP1006"/>
    <s v="C1382"/>
    <x v="529"/>
    <n v="4"/>
    <n v="530"/>
    <n v="435"/>
    <n v="1740"/>
    <n v="2120"/>
    <n v="380"/>
    <s v="Product 12"/>
    <x v="31"/>
    <s v="Sean Miller"/>
    <x v="334"/>
    <n v="5"/>
    <x v="4"/>
    <x v="6"/>
    <x v="6"/>
    <x v="2"/>
    <x v="2"/>
  </r>
  <r>
    <s v="AX17591"/>
    <s v="ENX2078"/>
    <s v="A167"/>
    <s v="EMP1018"/>
    <s v="C1204"/>
    <x v="528"/>
    <n v="1"/>
    <n v="1798"/>
    <n v="971"/>
    <n v="971"/>
    <n v="1798"/>
    <n v="827"/>
    <s v="Product 79"/>
    <x v="64"/>
    <s v="Jimmy Young"/>
    <x v="654"/>
    <n v="5"/>
    <x v="4"/>
    <x v="6"/>
    <x v="6"/>
    <x v="2"/>
    <x v="2"/>
  </r>
  <r>
    <s v="AX17816"/>
    <s v="ENX2057"/>
    <s v="A100"/>
    <s v="EMP1022"/>
    <s v="C1778"/>
    <x v="528"/>
    <n v="1"/>
    <n v="181"/>
    <n v="130"/>
    <n v="130"/>
    <n v="181"/>
    <n v="51"/>
    <s v="Product 58"/>
    <x v="52"/>
    <s v="Walter Cook"/>
    <x v="420"/>
    <n v="5"/>
    <x v="4"/>
    <x v="6"/>
    <x v="6"/>
    <x v="2"/>
    <x v="2"/>
  </r>
  <r>
    <s v="AX17844"/>
    <s v="ENX2056"/>
    <s v="A100"/>
    <s v="EMP1017"/>
    <s v="C1692"/>
    <x v="530"/>
    <n v="1"/>
    <n v="1635"/>
    <n v="1046"/>
    <n v="1046"/>
    <n v="1635"/>
    <n v="589"/>
    <s v="Product 57"/>
    <x v="52"/>
    <s v="Brian Hansen"/>
    <x v="555"/>
    <n v="5"/>
    <x v="4"/>
    <x v="6"/>
    <x v="6"/>
    <x v="2"/>
    <x v="2"/>
  </r>
  <r>
    <s v="AX17856"/>
    <s v="ENX2099"/>
    <s v="A113"/>
    <s v="EMP1029"/>
    <s v="C1792"/>
    <x v="529"/>
    <n v="4"/>
    <n v="1367"/>
    <n v="984"/>
    <n v="3936"/>
    <n v="5468"/>
    <n v="1532"/>
    <s v="Product 100"/>
    <x v="73"/>
    <s v="Howard Gardner"/>
    <x v="536"/>
    <n v="5"/>
    <x v="4"/>
    <x v="6"/>
    <x v="6"/>
    <x v="2"/>
    <x v="2"/>
  </r>
  <r>
    <s v="AX18366"/>
    <s v="ENX2074"/>
    <s v="A127"/>
    <s v="EMP1036"/>
    <s v="C1187"/>
    <x v="530"/>
    <n v="1"/>
    <n v="504"/>
    <n v="408"/>
    <n v="408"/>
    <n v="504"/>
    <n v="96"/>
    <s v="Product 75"/>
    <x v="69"/>
    <s v="Robert Reed"/>
    <x v="303"/>
    <n v="5"/>
    <x v="4"/>
    <x v="6"/>
    <x v="6"/>
    <x v="2"/>
    <x v="2"/>
  </r>
  <r>
    <s v="AX18750"/>
    <s v="ENX2011"/>
    <s v="A131"/>
    <s v="EMP1035"/>
    <s v="C1507"/>
    <x v="528"/>
    <n v="4"/>
    <n v="530"/>
    <n v="435"/>
    <n v="1740"/>
    <n v="2120"/>
    <n v="380"/>
    <s v="Product 12"/>
    <x v="32"/>
    <s v="Roger Ramos"/>
    <x v="227"/>
    <n v="5"/>
    <x v="4"/>
    <x v="6"/>
    <x v="6"/>
    <x v="2"/>
    <x v="2"/>
  </r>
  <r>
    <s v="AX19748"/>
    <s v="ENX2014"/>
    <s v="A145"/>
    <s v="EMP1028"/>
    <s v="C1263"/>
    <x v="531"/>
    <n v="1"/>
    <n v="1809"/>
    <n v="1067"/>
    <n v="1067"/>
    <n v="1809"/>
    <n v="742"/>
    <s v="Product 15"/>
    <x v="35"/>
    <s v="Howard Sims"/>
    <x v="368"/>
    <n v="5"/>
    <x v="4"/>
    <x v="6"/>
    <x v="6"/>
    <x v="2"/>
    <x v="2"/>
  </r>
  <r>
    <s v="AX19891"/>
    <s v="ENX2063"/>
    <s v="A145"/>
    <s v="EMP1038"/>
    <s v="C1483"/>
    <x v="530"/>
    <n v="4"/>
    <n v="1708"/>
    <n v="871"/>
    <n v="3484"/>
    <n v="6832"/>
    <n v="3348"/>
    <s v="Product 64"/>
    <x v="35"/>
    <s v="Scott Mason"/>
    <x v="255"/>
    <n v="5"/>
    <x v="4"/>
    <x v="6"/>
    <x v="6"/>
    <x v="2"/>
    <x v="2"/>
  </r>
  <r>
    <s v="AX20334"/>
    <s v="ENX2075"/>
    <s v="A167"/>
    <s v="EMP1032"/>
    <s v="C1634"/>
    <x v="528"/>
    <n v="3"/>
    <n v="400"/>
    <n v="208"/>
    <n v="624"/>
    <n v="1200"/>
    <n v="576"/>
    <s v="Product 76"/>
    <x v="64"/>
    <s v="Larry Castillo"/>
    <x v="71"/>
    <n v="5"/>
    <x v="4"/>
    <x v="6"/>
    <x v="6"/>
    <x v="2"/>
    <x v="2"/>
  </r>
  <r>
    <s v="AX20748"/>
    <s v="ENX2059"/>
    <s v="A104"/>
    <s v="EMP1042"/>
    <s v="C1757"/>
    <x v="528"/>
    <n v="2"/>
    <n v="1494"/>
    <n v="971"/>
    <n v="1942"/>
    <n v="2988"/>
    <n v="1046"/>
    <s v="Product 60"/>
    <x v="50"/>
    <s v="Scott Clark"/>
    <x v="376"/>
    <n v="5"/>
    <x v="4"/>
    <x v="6"/>
    <x v="6"/>
    <x v="2"/>
    <x v="2"/>
  </r>
  <r>
    <s v="AX21136"/>
    <s v="ENX2084"/>
    <s v="A101"/>
    <s v="EMP1017"/>
    <s v="C1053"/>
    <x v="528"/>
    <n v="1"/>
    <n v="1783"/>
    <n v="1230"/>
    <n v="1230"/>
    <n v="1783"/>
    <n v="553"/>
    <s v="Product 85"/>
    <x v="60"/>
    <s v="Brian Hansen"/>
    <x v="435"/>
    <n v="5"/>
    <x v="4"/>
    <x v="6"/>
    <x v="6"/>
    <x v="2"/>
    <x v="2"/>
  </r>
  <r>
    <s v="AX21155"/>
    <s v="ENX2073"/>
    <s v="A105"/>
    <s v="EMP1002"/>
    <s v="C1764"/>
    <x v="528"/>
    <n v="1"/>
    <n v="95"/>
    <n v="61"/>
    <n v="61"/>
    <n v="95"/>
    <n v="34"/>
    <s v="Product 74"/>
    <x v="45"/>
    <s v="Andrew Bowman"/>
    <x v="386"/>
    <n v="5"/>
    <x v="4"/>
    <x v="6"/>
    <x v="6"/>
    <x v="2"/>
    <x v="2"/>
  </r>
  <r>
    <s v="AX21405"/>
    <s v="ENX2015"/>
    <s v="A146"/>
    <s v="EMP1030"/>
    <s v="C1285"/>
    <x v="530"/>
    <n v="4"/>
    <n v="637"/>
    <n v="389"/>
    <n v="1556"/>
    <n v="2548"/>
    <n v="992"/>
    <s v="Product 16"/>
    <x v="27"/>
    <s v="Bobby Russell"/>
    <x v="440"/>
    <n v="5"/>
    <x v="4"/>
    <x v="6"/>
    <x v="6"/>
    <x v="2"/>
    <x v="2"/>
  </r>
  <r>
    <s v="AX22670"/>
    <s v="ENX2066"/>
    <s v="A173"/>
    <s v="EMP1009"/>
    <s v="C1169"/>
    <x v="531"/>
    <n v="1"/>
    <n v="2091"/>
    <n v="1485"/>
    <n v="1485"/>
    <n v="2091"/>
    <n v="606"/>
    <s v="Product 67"/>
    <x v="25"/>
    <s v="Kenneth Fields"/>
    <x v="293"/>
    <n v="5"/>
    <x v="4"/>
    <x v="6"/>
    <x v="6"/>
    <x v="2"/>
    <x v="2"/>
  </r>
  <r>
    <s v="AX23157"/>
    <s v="ENX2000"/>
    <s v="A137"/>
    <s v="EMP1018"/>
    <s v="C1708"/>
    <x v="531"/>
    <n v="2"/>
    <n v="2241"/>
    <n v="1367"/>
    <n v="2734"/>
    <n v="4482"/>
    <n v="1748"/>
    <s v="Product 1"/>
    <x v="68"/>
    <s v="Jimmy Young"/>
    <x v="579"/>
    <n v="5"/>
    <x v="4"/>
    <x v="6"/>
    <x v="6"/>
    <x v="2"/>
    <x v="2"/>
  </r>
  <r>
    <s v="AX23343"/>
    <s v="ENX2004"/>
    <s v="A131"/>
    <s v="EMP1009"/>
    <s v="C1328"/>
    <x v="530"/>
    <n v="1"/>
    <n v="1278"/>
    <n v="665"/>
    <n v="665"/>
    <n v="1278"/>
    <n v="613"/>
    <s v="Product 5"/>
    <x v="32"/>
    <s v="Kenneth Fields"/>
    <x v="488"/>
    <n v="5"/>
    <x v="4"/>
    <x v="6"/>
    <x v="6"/>
    <x v="2"/>
    <x v="2"/>
  </r>
  <r>
    <s v="AX23593"/>
    <s v="ENX2020"/>
    <s v="A153"/>
    <s v="EMP1041"/>
    <s v="C1420"/>
    <x v="531"/>
    <n v="3"/>
    <n v="2005"/>
    <n v="1223"/>
    <n v="3669"/>
    <n v="6015"/>
    <n v="2346"/>
    <s v="Product 21"/>
    <x v="8"/>
    <s v="Joe Sims"/>
    <x v="33"/>
    <n v="5"/>
    <x v="4"/>
    <x v="6"/>
    <x v="6"/>
    <x v="2"/>
    <x v="2"/>
  </r>
  <r>
    <s v="AX23692"/>
    <s v="ENX2077"/>
    <s v="A109"/>
    <s v="EMP1042"/>
    <s v="C1206"/>
    <x v="529"/>
    <n v="3"/>
    <n v="530"/>
    <n v="424"/>
    <n v="1272"/>
    <n v="1590"/>
    <n v="318"/>
    <s v="Product 78"/>
    <x v="57"/>
    <s v="Scott Clark"/>
    <x v="518"/>
    <n v="5"/>
    <x v="4"/>
    <x v="6"/>
    <x v="6"/>
    <x v="2"/>
    <x v="2"/>
  </r>
  <r>
    <s v="AX24095"/>
    <s v="ENX2018"/>
    <s v="A109"/>
    <s v="EMP1000"/>
    <s v="C1524"/>
    <x v="530"/>
    <n v="1"/>
    <n v="1972"/>
    <n v="1321"/>
    <n v="1321"/>
    <n v="1972"/>
    <n v="651"/>
    <s v="Product 19"/>
    <x v="57"/>
    <s v="Fred Robertson"/>
    <x v="263"/>
    <n v="5"/>
    <x v="4"/>
    <x v="6"/>
    <x v="6"/>
    <x v="2"/>
    <x v="2"/>
  </r>
  <r>
    <s v="AX24101"/>
    <s v="ENX2012"/>
    <s v="A124"/>
    <s v="EMP1026"/>
    <s v="C1004"/>
    <x v="531"/>
    <n v="1"/>
    <n v="1353"/>
    <n v="947"/>
    <n v="947"/>
    <n v="1353"/>
    <n v="406"/>
    <s v="Product 13"/>
    <x v="67"/>
    <s v="Martin Perry"/>
    <x v="708"/>
    <n v="5"/>
    <x v="4"/>
    <x v="6"/>
    <x v="6"/>
    <x v="2"/>
    <x v="2"/>
  </r>
  <r>
    <s v="AX24189"/>
    <s v="ENX2087"/>
    <s v="A159"/>
    <s v="EMP1026"/>
    <s v="C1192"/>
    <x v="531"/>
    <n v="1"/>
    <n v="1022"/>
    <n v="818"/>
    <n v="818"/>
    <n v="1022"/>
    <n v="204"/>
    <s v="Product 88"/>
    <x v="13"/>
    <s v="Martin Perry"/>
    <x v="746"/>
    <n v="5"/>
    <x v="4"/>
    <x v="6"/>
    <x v="6"/>
    <x v="2"/>
    <x v="2"/>
  </r>
  <r>
    <s v="AX24278"/>
    <s v="ENX2008"/>
    <s v="A115"/>
    <s v="EMP1008"/>
    <s v="C1232"/>
    <x v="528"/>
    <n v="1"/>
    <n v="315"/>
    <n v="208"/>
    <n v="208"/>
    <n v="315"/>
    <n v="107"/>
    <s v="Product 9"/>
    <x v="33"/>
    <s v="Carl Elliott"/>
    <x v="584"/>
    <n v="5"/>
    <x v="4"/>
    <x v="6"/>
    <x v="6"/>
    <x v="2"/>
    <x v="2"/>
  </r>
  <r>
    <s v="AX24696"/>
    <s v="ENX2052"/>
    <s v="A139"/>
    <s v="EMP1006"/>
    <s v="C1487"/>
    <x v="530"/>
    <n v="1"/>
    <n v="1526"/>
    <n v="1251"/>
    <n v="1251"/>
    <n v="1526"/>
    <n v="275"/>
    <s v="Product 53"/>
    <x v="38"/>
    <s v="Sean Miller"/>
    <x v="461"/>
    <n v="5"/>
    <x v="4"/>
    <x v="6"/>
    <x v="6"/>
    <x v="2"/>
    <x v="2"/>
  </r>
  <r>
    <s v="AX10084"/>
    <s v="ENX2084"/>
    <s v="A147"/>
    <s v="EMP1005"/>
    <s v="C1241"/>
    <x v="532"/>
    <n v="3"/>
    <n v="1783"/>
    <n v="1230"/>
    <n v="3690"/>
    <n v="5349"/>
    <n v="1659"/>
    <s v="Product 85"/>
    <x v="42"/>
    <s v="Ryan Welch"/>
    <x v="190"/>
    <n v="5"/>
    <x v="4"/>
    <x v="7"/>
    <x v="7"/>
    <x v="2"/>
    <x v="0"/>
  </r>
  <r>
    <s v="AX10424"/>
    <s v="ENX2019"/>
    <s v="A107"/>
    <s v="EMP1021"/>
    <s v="C1151"/>
    <x v="533"/>
    <n v="2"/>
    <n v="800"/>
    <n v="536"/>
    <n v="1072"/>
    <n v="1600"/>
    <n v="528"/>
    <s v="Product 20"/>
    <x v="21"/>
    <s v="Clarence Fox"/>
    <x v="56"/>
    <n v="5"/>
    <x v="4"/>
    <x v="7"/>
    <x v="7"/>
    <x v="2"/>
    <x v="0"/>
  </r>
  <r>
    <s v="AX10652"/>
    <s v="ENX2045"/>
    <s v="A165"/>
    <s v="EMP1015"/>
    <s v="C1701"/>
    <x v="534"/>
    <n v="3"/>
    <n v="556"/>
    <n v="395"/>
    <n v="1185"/>
    <n v="1668"/>
    <n v="483"/>
    <s v="Product 46"/>
    <x v="55"/>
    <s v="Justin Lynch"/>
    <x v="736"/>
    <n v="5"/>
    <x v="4"/>
    <x v="7"/>
    <x v="7"/>
    <x v="2"/>
    <x v="0"/>
  </r>
  <r>
    <s v="AX10691"/>
    <s v="ENX2009"/>
    <s v="A101"/>
    <s v="EMP1019"/>
    <s v="C1333"/>
    <x v="534"/>
    <n v="2"/>
    <n v="584"/>
    <n v="420"/>
    <n v="840"/>
    <n v="1168"/>
    <n v="328"/>
    <s v="Product 10"/>
    <x v="60"/>
    <s v="Roger Robertson"/>
    <x v="673"/>
    <n v="5"/>
    <x v="4"/>
    <x v="7"/>
    <x v="7"/>
    <x v="2"/>
    <x v="0"/>
  </r>
  <r>
    <s v="AX10852"/>
    <s v="ENX2040"/>
    <s v="A145"/>
    <s v="EMP1021"/>
    <s v="C1349"/>
    <x v="535"/>
    <n v="1"/>
    <n v="1889"/>
    <n v="945"/>
    <n v="945"/>
    <n v="1889"/>
    <n v="944"/>
    <s v="Product 41"/>
    <x v="35"/>
    <s v="Clarence Fox"/>
    <x v="501"/>
    <n v="5"/>
    <x v="4"/>
    <x v="7"/>
    <x v="7"/>
    <x v="2"/>
    <x v="0"/>
  </r>
  <r>
    <s v="AX10931"/>
    <s v="ENX2023"/>
    <s v="A154"/>
    <s v="EMP1036"/>
    <s v="C1767"/>
    <x v="535"/>
    <n v="1"/>
    <n v="818"/>
    <n v="450"/>
    <n v="450"/>
    <n v="818"/>
    <n v="368"/>
    <s v="Product 24"/>
    <x v="24"/>
    <s v="Robert Reed"/>
    <x v="4"/>
    <n v="5"/>
    <x v="4"/>
    <x v="7"/>
    <x v="7"/>
    <x v="2"/>
    <x v="0"/>
  </r>
  <r>
    <s v="AX11298"/>
    <s v="ENX2074"/>
    <s v="A158"/>
    <s v="EMP1031"/>
    <s v="C1085"/>
    <x v="534"/>
    <n v="2"/>
    <n v="504"/>
    <n v="408"/>
    <n v="816"/>
    <n v="1008"/>
    <n v="192"/>
    <s v="Product 75"/>
    <x v="58"/>
    <s v="Brian Thomas"/>
    <x v="412"/>
    <n v="5"/>
    <x v="4"/>
    <x v="7"/>
    <x v="7"/>
    <x v="2"/>
    <x v="0"/>
  </r>
  <r>
    <s v="AX11500"/>
    <s v="ENX2021"/>
    <s v="A162"/>
    <s v="EMP1032"/>
    <s v="C1289"/>
    <x v="534"/>
    <n v="1"/>
    <n v="217"/>
    <n v="171"/>
    <n v="171"/>
    <n v="217"/>
    <n v="46"/>
    <s v="Product 22"/>
    <x v="2"/>
    <s v="Larry Castillo"/>
    <x v="328"/>
    <n v="5"/>
    <x v="4"/>
    <x v="7"/>
    <x v="7"/>
    <x v="2"/>
    <x v="0"/>
  </r>
  <r>
    <s v="AX11605"/>
    <s v="ENX2019"/>
    <s v="A116"/>
    <s v="EMP1030"/>
    <s v="C1168"/>
    <x v="535"/>
    <n v="1"/>
    <n v="800"/>
    <n v="536"/>
    <n v="536"/>
    <n v="800"/>
    <n v="264"/>
    <s v="Product 20"/>
    <x v="15"/>
    <s v="Bobby Russell"/>
    <x v="532"/>
    <n v="5"/>
    <x v="4"/>
    <x v="7"/>
    <x v="7"/>
    <x v="2"/>
    <x v="0"/>
  </r>
  <r>
    <s v="AX11847"/>
    <s v="ENX2071"/>
    <s v="A124"/>
    <s v="EMP1041"/>
    <s v="C1304"/>
    <x v="534"/>
    <n v="2"/>
    <n v="136"/>
    <n v="72"/>
    <n v="144"/>
    <n v="272"/>
    <n v="128"/>
    <s v="Product 72"/>
    <x v="67"/>
    <s v="Joe Sims"/>
    <x v="298"/>
    <n v="5"/>
    <x v="4"/>
    <x v="7"/>
    <x v="7"/>
    <x v="2"/>
    <x v="0"/>
  </r>
  <r>
    <s v="AX12623"/>
    <s v="ENX2059"/>
    <s v="A132"/>
    <s v="EMP1036"/>
    <s v="C1668"/>
    <x v="533"/>
    <n v="1"/>
    <n v="1494"/>
    <n v="971"/>
    <n v="971"/>
    <n v="1494"/>
    <n v="523"/>
    <s v="Product 60"/>
    <x v="48"/>
    <s v="Robert Reed"/>
    <x v="727"/>
    <n v="5"/>
    <x v="4"/>
    <x v="7"/>
    <x v="7"/>
    <x v="2"/>
    <x v="0"/>
  </r>
  <r>
    <s v="AX12706"/>
    <s v="ENX2054"/>
    <s v="A104"/>
    <s v="EMP1009"/>
    <s v="C1398"/>
    <x v="533"/>
    <n v="1"/>
    <n v="127"/>
    <n v="79"/>
    <n v="79"/>
    <n v="127"/>
    <n v="48"/>
    <s v="Product 55"/>
    <x v="50"/>
    <s v="Kenneth Fields"/>
    <x v="680"/>
    <n v="5"/>
    <x v="4"/>
    <x v="7"/>
    <x v="7"/>
    <x v="2"/>
    <x v="0"/>
  </r>
  <r>
    <s v="AX12851"/>
    <s v="ENX2061"/>
    <s v="A168"/>
    <s v="EMP1036"/>
    <s v="C1286"/>
    <x v="534"/>
    <n v="3"/>
    <n v="913"/>
    <n v="584"/>
    <n v="1752"/>
    <n v="2739"/>
    <n v="987"/>
    <s v="Product 62"/>
    <x v="40"/>
    <s v="Robert Reed"/>
    <x v="308"/>
    <n v="5"/>
    <x v="4"/>
    <x v="7"/>
    <x v="7"/>
    <x v="2"/>
    <x v="0"/>
  </r>
  <r>
    <s v="AX12902"/>
    <s v="ENX2074"/>
    <s v="A111"/>
    <s v="EMP1041"/>
    <s v="C1626"/>
    <x v="532"/>
    <n v="3"/>
    <n v="504"/>
    <n v="408"/>
    <n v="1224"/>
    <n v="1512"/>
    <n v="288"/>
    <s v="Product 75"/>
    <x v="54"/>
    <s v="Joe Sims"/>
    <x v="153"/>
    <n v="5"/>
    <x v="4"/>
    <x v="7"/>
    <x v="7"/>
    <x v="2"/>
    <x v="0"/>
  </r>
  <r>
    <s v="AX13704"/>
    <s v="ENX2081"/>
    <s v="A129"/>
    <s v="EMP1007"/>
    <s v="C1629"/>
    <x v="535"/>
    <n v="2"/>
    <n v="1566"/>
    <n v="1190"/>
    <n v="2380"/>
    <n v="3132"/>
    <n v="752"/>
    <s v="Product 82"/>
    <x v="22"/>
    <s v="Jeremy Mendoza"/>
    <x v="734"/>
    <n v="5"/>
    <x v="4"/>
    <x v="7"/>
    <x v="7"/>
    <x v="2"/>
    <x v="0"/>
  </r>
  <r>
    <s v="AX13905"/>
    <s v="ENX2067"/>
    <s v="A146"/>
    <s v="EMP1027"/>
    <s v="C1640"/>
    <x v="535"/>
    <n v="4"/>
    <n v="1119"/>
    <n v="683"/>
    <n v="2732"/>
    <n v="4476"/>
    <n v="1744"/>
    <s v="Product 68"/>
    <x v="27"/>
    <s v="Gary Rodriguez"/>
    <x v="59"/>
    <n v="5"/>
    <x v="4"/>
    <x v="7"/>
    <x v="7"/>
    <x v="2"/>
    <x v="0"/>
  </r>
  <r>
    <s v="AX13945"/>
    <s v="ENX2088"/>
    <s v="A142"/>
    <s v="EMP1039"/>
    <s v="C1514"/>
    <x v="532"/>
    <n v="1"/>
    <n v="603"/>
    <n v="416"/>
    <n v="416"/>
    <n v="603"/>
    <n v="187"/>
    <s v="Product 89"/>
    <x v="56"/>
    <s v="Eugene Holmes"/>
    <x v="307"/>
    <n v="5"/>
    <x v="4"/>
    <x v="7"/>
    <x v="7"/>
    <x v="2"/>
    <x v="0"/>
  </r>
  <r>
    <s v="AX14200"/>
    <s v="ENX2083"/>
    <s v="A154"/>
    <s v="EMP1038"/>
    <s v="C1210"/>
    <x v="532"/>
    <n v="1"/>
    <n v="2141"/>
    <n v="1777"/>
    <n v="1777"/>
    <n v="2141"/>
    <n v="364"/>
    <s v="Product 84"/>
    <x v="24"/>
    <s v="Scott Mason"/>
    <x v="629"/>
    <n v="5"/>
    <x v="4"/>
    <x v="7"/>
    <x v="7"/>
    <x v="2"/>
    <x v="0"/>
  </r>
  <r>
    <s v="AX14453"/>
    <s v="ENX2090"/>
    <s v="A173"/>
    <s v="EMP1018"/>
    <s v="C1377"/>
    <x v="534"/>
    <n v="1"/>
    <n v="1338"/>
    <n v="682"/>
    <n v="682"/>
    <n v="1338"/>
    <n v="656"/>
    <s v="Product 91"/>
    <x v="25"/>
    <s v="Jimmy Young"/>
    <x v="214"/>
    <n v="5"/>
    <x v="4"/>
    <x v="7"/>
    <x v="7"/>
    <x v="2"/>
    <x v="0"/>
  </r>
  <r>
    <s v="AX14493"/>
    <s v="ENX2006"/>
    <s v="A137"/>
    <s v="EMP1007"/>
    <s v="C1193"/>
    <x v="533"/>
    <n v="1"/>
    <n v="1826"/>
    <n v="1443"/>
    <n v="1443"/>
    <n v="1826"/>
    <n v="383"/>
    <s v="Product 7"/>
    <x v="68"/>
    <s v="Jeremy Mendoza"/>
    <x v="219"/>
    <n v="5"/>
    <x v="4"/>
    <x v="7"/>
    <x v="7"/>
    <x v="2"/>
    <x v="0"/>
  </r>
  <r>
    <s v="AX14931"/>
    <s v="ENX2046"/>
    <s v="A152"/>
    <s v="EMP1033"/>
    <s v="C1727"/>
    <x v="534"/>
    <n v="2"/>
    <n v="2410"/>
    <n v="1518"/>
    <n v="3036"/>
    <n v="4820"/>
    <n v="1784"/>
    <s v="Product 47"/>
    <x v="26"/>
    <s v="Jerry Perry"/>
    <x v="581"/>
    <n v="5"/>
    <x v="4"/>
    <x v="7"/>
    <x v="7"/>
    <x v="2"/>
    <x v="0"/>
  </r>
  <r>
    <s v="AX15454"/>
    <s v="ENX2100"/>
    <s v="A158"/>
    <s v="EMP1026"/>
    <s v="C1366"/>
    <x v="533"/>
    <n v="3"/>
    <n v="799"/>
    <n v="455"/>
    <n v="1365"/>
    <n v="2397"/>
    <n v="1032"/>
    <s v="Product 101"/>
    <x v="58"/>
    <s v="Martin Perry"/>
    <x v="205"/>
    <n v="5"/>
    <x v="4"/>
    <x v="7"/>
    <x v="7"/>
    <x v="2"/>
    <x v="0"/>
  </r>
  <r>
    <s v="AX16154"/>
    <s v="ENX2041"/>
    <s v="A172"/>
    <s v="EMP1041"/>
    <s v="C1636"/>
    <x v="535"/>
    <n v="1"/>
    <n v="1380"/>
    <n v="1090"/>
    <n v="1090"/>
    <n v="1380"/>
    <n v="290"/>
    <s v="Product 42"/>
    <x v="36"/>
    <s v="Joe Sims"/>
    <x v="668"/>
    <n v="5"/>
    <x v="4"/>
    <x v="7"/>
    <x v="7"/>
    <x v="2"/>
    <x v="0"/>
  </r>
  <r>
    <s v="AX16232"/>
    <s v="ENX2059"/>
    <s v="A161"/>
    <s v="EMP1019"/>
    <s v="C1532"/>
    <x v="535"/>
    <n v="1"/>
    <n v="1494"/>
    <n v="971"/>
    <n v="971"/>
    <n v="1494"/>
    <n v="523"/>
    <s v="Product 60"/>
    <x v="6"/>
    <s v="Roger Robertson"/>
    <x v="103"/>
    <n v="5"/>
    <x v="4"/>
    <x v="7"/>
    <x v="7"/>
    <x v="2"/>
    <x v="0"/>
  </r>
  <r>
    <s v="AX16268"/>
    <s v="ENX2086"/>
    <s v="A142"/>
    <s v="EMP1033"/>
    <s v="C1659"/>
    <x v="532"/>
    <n v="2"/>
    <n v="123"/>
    <n v="84"/>
    <n v="168"/>
    <n v="246"/>
    <n v="78"/>
    <s v="Product 87"/>
    <x v="56"/>
    <s v="Jerry Perry"/>
    <x v="51"/>
    <n v="5"/>
    <x v="4"/>
    <x v="7"/>
    <x v="7"/>
    <x v="2"/>
    <x v="0"/>
  </r>
  <r>
    <s v="AX16450"/>
    <s v="ENX2098"/>
    <s v="A119"/>
    <s v="EMP1011"/>
    <s v="C1121"/>
    <x v="533"/>
    <n v="1"/>
    <n v="1178"/>
    <n v="683"/>
    <n v="683"/>
    <n v="1178"/>
    <n v="495"/>
    <s v="Product 99"/>
    <x v="16"/>
    <s v="Larry Marshall"/>
    <x v="681"/>
    <n v="5"/>
    <x v="4"/>
    <x v="7"/>
    <x v="7"/>
    <x v="2"/>
    <x v="0"/>
  </r>
  <r>
    <s v="AX16509"/>
    <s v="ENX2096"/>
    <s v="A113"/>
    <s v="EMP1036"/>
    <s v="C1407"/>
    <x v="532"/>
    <n v="1"/>
    <n v="1587"/>
    <n v="1301"/>
    <n v="1301"/>
    <n v="1587"/>
    <n v="286"/>
    <s v="Product 97"/>
    <x v="73"/>
    <s v="Robert Reed"/>
    <x v="294"/>
    <n v="5"/>
    <x v="4"/>
    <x v="7"/>
    <x v="7"/>
    <x v="2"/>
    <x v="0"/>
  </r>
  <r>
    <s v="AX16829"/>
    <s v="ENX2065"/>
    <s v="A108"/>
    <s v="EMP1024"/>
    <s v="C1686"/>
    <x v="535"/>
    <n v="1"/>
    <n v="2396"/>
    <n v="1965"/>
    <n v="1965"/>
    <n v="2396"/>
    <n v="431"/>
    <s v="Product 66"/>
    <x v="49"/>
    <s v="Ernest Wheeler"/>
    <x v="748"/>
    <n v="5"/>
    <x v="4"/>
    <x v="7"/>
    <x v="7"/>
    <x v="2"/>
    <x v="0"/>
  </r>
  <r>
    <s v="AX16891"/>
    <s v="ENX2012"/>
    <s v="A142"/>
    <s v="EMP1037"/>
    <s v="C1189"/>
    <x v="532"/>
    <n v="1"/>
    <n v="1353"/>
    <n v="947"/>
    <n v="947"/>
    <n v="1353"/>
    <n v="406"/>
    <s v="Product 13"/>
    <x v="56"/>
    <s v="Carl Hall"/>
    <x v="752"/>
    <n v="5"/>
    <x v="4"/>
    <x v="7"/>
    <x v="7"/>
    <x v="2"/>
    <x v="0"/>
  </r>
  <r>
    <s v="AX16971"/>
    <s v="ENX2091"/>
    <s v="A113"/>
    <s v="EMP1014"/>
    <s v="C1419"/>
    <x v="535"/>
    <n v="2"/>
    <n v="368"/>
    <n v="294"/>
    <n v="588"/>
    <n v="736"/>
    <n v="148"/>
    <s v="Product 92"/>
    <x v="73"/>
    <s v="Ronald Reed"/>
    <x v="163"/>
    <n v="5"/>
    <x v="4"/>
    <x v="7"/>
    <x v="7"/>
    <x v="2"/>
    <x v="0"/>
  </r>
  <r>
    <s v="AX17100"/>
    <s v="ENX2007"/>
    <s v="A138"/>
    <s v="EMP1025"/>
    <s v="C1708"/>
    <x v="533"/>
    <n v="4"/>
    <n v="1405"/>
    <n v="1054"/>
    <n v="4216"/>
    <n v="5620"/>
    <n v="1404"/>
    <s v="Product 8"/>
    <x v="37"/>
    <s v="Ernest Wagner"/>
    <x v="579"/>
    <n v="5"/>
    <x v="4"/>
    <x v="7"/>
    <x v="7"/>
    <x v="2"/>
    <x v="0"/>
  </r>
  <r>
    <s v="AX18062"/>
    <s v="ENX2084"/>
    <s v="A157"/>
    <s v="EMP1026"/>
    <s v="C1400"/>
    <x v="533"/>
    <n v="1"/>
    <n v="1783"/>
    <n v="1230"/>
    <n v="1230"/>
    <n v="1783"/>
    <n v="553"/>
    <s v="Product 85"/>
    <x v="7"/>
    <s v="Martin Perry"/>
    <x v="437"/>
    <n v="5"/>
    <x v="4"/>
    <x v="7"/>
    <x v="7"/>
    <x v="2"/>
    <x v="0"/>
  </r>
  <r>
    <s v="AX18708"/>
    <s v="ENX2038"/>
    <s v="A156"/>
    <s v="EMP1029"/>
    <s v="C1037"/>
    <x v="534"/>
    <n v="2"/>
    <n v="392"/>
    <n v="255"/>
    <n v="510"/>
    <n v="784"/>
    <n v="274"/>
    <s v="Product 39"/>
    <x v="14"/>
    <s v="Howard Gardner"/>
    <x v="779"/>
    <n v="5"/>
    <x v="4"/>
    <x v="7"/>
    <x v="7"/>
    <x v="2"/>
    <x v="0"/>
  </r>
  <r>
    <s v="AX18777"/>
    <s v="ENX2008"/>
    <s v="A134"/>
    <s v="EMP1022"/>
    <s v="C1752"/>
    <x v="532"/>
    <n v="4"/>
    <n v="315"/>
    <n v="208"/>
    <n v="832"/>
    <n v="1260"/>
    <n v="428"/>
    <s v="Product 9"/>
    <x v="41"/>
    <s v="Walter Cook"/>
    <x v="233"/>
    <n v="5"/>
    <x v="4"/>
    <x v="7"/>
    <x v="7"/>
    <x v="2"/>
    <x v="0"/>
  </r>
  <r>
    <s v="AX18830"/>
    <s v="ENX2087"/>
    <s v="A124"/>
    <s v="EMP1018"/>
    <s v="C1338"/>
    <x v="535"/>
    <n v="1"/>
    <n v="1022"/>
    <n v="818"/>
    <n v="818"/>
    <n v="1022"/>
    <n v="204"/>
    <s v="Product 88"/>
    <x v="67"/>
    <s v="Jimmy Young"/>
    <x v="542"/>
    <n v="5"/>
    <x v="4"/>
    <x v="7"/>
    <x v="7"/>
    <x v="2"/>
    <x v="0"/>
  </r>
  <r>
    <s v="AX19125"/>
    <s v="ENX2050"/>
    <s v="A154"/>
    <s v="EMP1027"/>
    <s v="C1078"/>
    <x v="532"/>
    <n v="1"/>
    <n v="2391"/>
    <n v="1291"/>
    <n v="1291"/>
    <n v="2391"/>
    <n v="1100"/>
    <s v="Product 51"/>
    <x v="24"/>
    <s v="Gary Rodriguez"/>
    <x v="565"/>
    <n v="5"/>
    <x v="4"/>
    <x v="7"/>
    <x v="7"/>
    <x v="2"/>
    <x v="0"/>
  </r>
  <r>
    <s v="AX19215"/>
    <s v="ENX2017"/>
    <s v="A155"/>
    <s v="EMP1035"/>
    <s v="C1073"/>
    <x v="534"/>
    <n v="1"/>
    <n v="35"/>
    <n v="22"/>
    <n v="22"/>
    <n v="35"/>
    <n v="13"/>
    <s v="Product 18"/>
    <x v="53"/>
    <s v="Roger Ramos"/>
    <x v="237"/>
    <n v="5"/>
    <x v="4"/>
    <x v="7"/>
    <x v="7"/>
    <x v="2"/>
    <x v="0"/>
  </r>
  <r>
    <s v="AX19299"/>
    <s v="ENX2013"/>
    <s v="A155"/>
    <s v="EMP1004"/>
    <s v="C1199"/>
    <x v="534"/>
    <n v="1"/>
    <n v="368"/>
    <n v="269"/>
    <n v="269"/>
    <n v="368"/>
    <n v="99"/>
    <s v="Product 14"/>
    <x v="53"/>
    <s v="Kenneth Bradley"/>
    <x v="245"/>
    <n v="5"/>
    <x v="4"/>
    <x v="7"/>
    <x v="7"/>
    <x v="2"/>
    <x v="0"/>
  </r>
  <r>
    <s v="AX19395"/>
    <s v="ENX2046"/>
    <s v="A137"/>
    <s v="EMP1017"/>
    <s v="C1610"/>
    <x v="535"/>
    <n v="2"/>
    <n v="2410"/>
    <n v="1518"/>
    <n v="3036"/>
    <n v="4820"/>
    <n v="1784"/>
    <s v="Product 47"/>
    <x v="68"/>
    <s v="Brian Hansen"/>
    <x v="362"/>
    <n v="5"/>
    <x v="4"/>
    <x v="7"/>
    <x v="7"/>
    <x v="2"/>
    <x v="0"/>
  </r>
  <r>
    <s v="AX19684"/>
    <s v="ENX2093"/>
    <s v="A142"/>
    <s v="EMP1033"/>
    <s v="C1800"/>
    <x v="534"/>
    <n v="1"/>
    <n v="112"/>
    <n v="90"/>
    <n v="90"/>
    <n v="112"/>
    <n v="22"/>
    <s v="Product 94"/>
    <x v="56"/>
    <s v="Jerry Perry"/>
    <x v="319"/>
    <n v="5"/>
    <x v="4"/>
    <x v="7"/>
    <x v="7"/>
    <x v="2"/>
    <x v="0"/>
  </r>
  <r>
    <s v="AX19757"/>
    <s v="ENX2035"/>
    <s v="A119"/>
    <s v="EMP1044"/>
    <s v="C1051"/>
    <x v="533"/>
    <n v="2"/>
    <n v="458"/>
    <n v="376"/>
    <n v="752"/>
    <n v="916"/>
    <n v="164"/>
    <s v="Product 36"/>
    <x v="16"/>
    <s v="Martin Carr"/>
    <x v="432"/>
    <n v="5"/>
    <x v="4"/>
    <x v="7"/>
    <x v="7"/>
    <x v="2"/>
    <x v="0"/>
  </r>
  <r>
    <s v="AX19896"/>
    <s v="ENX2022"/>
    <s v="A140"/>
    <s v="EMP1015"/>
    <s v="C1728"/>
    <x v="532"/>
    <n v="1"/>
    <n v="561"/>
    <n v="421"/>
    <n v="421"/>
    <n v="561"/>
    <n v="140"/>
    <s v="Product 23"/>
    <x v="18"/>
    <s v="Justin Lynch"/>
    <x v="446"/>
    <n v="5"/>
    <x v="4"/>
    <x v="7"/>
    <x v="7"/>
    <x v="2"/>
    <x v="0"/>
  </r>
  <r>
    <s v="AX20084"/>
    <s v="ENX2046"/>
    <s v="A137"/>
    <s v="EMP1023"/>
    <s v="C1221"/>
    <x v="533"/>
    <n v="1"/>
    <n v="2410"/>
    <n v="1518"/>
    <n v="1518"/>
    <n v="2410"/>
    <n v="892"/>
    <s v="Product 47"/>
    <x v="68"/>
    <s v="Brian Davis"/>
    <x v="429"/>
    <n v="5"/>
    <x v="4"/>
    <x v="7"/>
    <x v="7"/>
    <x v="2"/>
    <x v="0"/>
  </r>
  <r>
    <s v="AX20134"/>
    <s v="ENX2093"/>
    <s v="A171"/>
    <s v="EMP1016"/>
    <s v="C1436"/>
    <x v="532"/>
    <n v="3"/>
    <n v="112"/>
    <n v="90"/>
    <n v="270"/>
    <n v="336"/>
    <n v="66"/>
    <s v="Product 94"/>
    <x v="0"/>
    <s v="Henry Nelson"/>
    <x v="283"/>
    <n v="5"/>
    <x v="4"/>
    <x v="7"/>
    <x v="7"/>
    <x v="2"/>
    <x v="0"/>
  </r>
  <r>
    <s v="AX20757"/>
    <s v="ENX2096"/>
    <s v="A162"/>
    <s v="EMP1022"/>
    <s v="C1419"/>
    <x v="532"/>
    <n v="3"/>
    <n v="1587"/>
    <n v="1301"/>
    <n v="3903"/>
    <n v="4761"/>
    <n v="858"/>
    <s v="Product 97"/>
    <x v="2"/>
    <s v="Walter Cook"/>
    <x v="163"/>
    <n v="5"/>
    <x v="4"/>
    <x v="7"/>
    <x v="7"/>
    <x v="2"/>
    <x v="0"/>
  </r>
  <r>
    <s v="AX20951"/>
    <s v="ENX2091"/>
    <s v="A145"/>
    <s v="EMP1020"/>
    <s v="C1328"/>
    <x v="534"/>
    <n v="1"/>
    <n v="368"/>
    <n v="294"/>
    <n v="294"/>
    <n v="368"/>
    <n v="74"/>
    <s v="Product 92"/>
    <x v="35"/>
    <s v="Ryan Butler"/>
    <x v="488"/>
    <n v="5"/>
    <x v="4"/>
    <x v="7"/>
    <x v="7"/>
    <x v="2"/>
    <x v="0"/>
  </r>
  <r>
    <s v="AX21161"/>
    <s v="ENX2040"/>
    <s v="A120"/>
    <s v="EMP1014"/>
    <s v="C1470"/>
    <x v="533"/>
    <n v="4"/>
    <n v="1889"/>
    <n v="945"/>
    <n v="3780"/>
    <n v="7556"/>
    <n v="3776"/>
    <s v="Product 41"/>
    <x v="20"/>
    <s v="Ronald Reed"/>
    <x v="621"/>
    <n v="5"/>
    <x v="4"/>
    <x v="7"/>
    <x v="7"/>
    <x v="2"/>
    <x v="0"/>
  </r>
  <r>
    <s v="AX21499"/>
    <s v="ENX2008"/>
    <s v="A145"/>
    <s v="EMP1023"/>
    <s v="C1012"/>
    <x v="535"/>
    <n v="4"/>
    <n v="315"/>
    <n v="208"/>
    <n v="832"/>
    <n v="1260"/>
    <n v="428"/>
    <s v="Product 9"/>
    <x v="35"/>
    <s v="Brian Davis"/>
    <x v="738"/>
    <n v="5"/>
    <x v="4"/>
    <x v="7"/>
    <x v="7"/>
    <x v="2"/>
    <x v="0"/>
  </r>
  <r>
    <s v="AX22826"/>
    <s v="ENX2067"/>
    <s v="A100"/>
    <s v="EMP1017"/>
    <s v="C1134"/>
    <x v="532"/>
    <n v="1"/>
    <n v="1119"/>
    <n v="683"/>
    <n v="683"/>
    <n v="1119"/>
    <n v="436"/>
    <s v="Product 68"/>
    <x v="52"/>
    <s v="Brian Hansen"/>
    <x v="495"/>
    <n v="5"/>
    <x v="4"/>
    <x v="7"/>
    <x v="7"/>
    <x v="2"/>
    <x v="0"/>
  </r>
  <r>
    <s v="AX23190"/>
    <s v="ENX2057"/>
    <s v="A105"/>
    <s v="EMP1036"/>
    <s v="C1184"/>
    <x v="533"/>
    <n v="1"/>
    <n v="181"/>
    <n v="130"/>
    <n v="130"/>
    <n v="181"/>
    <n v="51"/>
    <s v="Product 58"/>
    <x v="45"/>
    <s v="Robert Reed"/>
    <x v="707"/>
    <n v="5"/>
    <x v="4"/>
    <x v="7"/>
    <x v="7"/>
    <x v="2"/>
    <x v="0"/>
  </r>
  <r>
    <s v="AX23456"/>
    <s v="ENX2090"/>
    <s v="A144"/>
    <s v="EMP1020"/>
    <s v="C1286"/>
    <x v="535"/>
    <n v="3"/>
    <n v="1338"/>
    <n v="682"/>
    <n v="2046"/>
    <n v="4014"/>
    <n v="1968"/>
    <s v="Product 91"/>
    <x v="65"/>
    <s v="Ryan Butler"/>
    <x v="308"/>
    <n v="5"/>
    <x v="4"/>
    <x v="7"/>
    <x v="7"/>
    <x v="2"/>
    <x v="0"/>
  </r>
  <r>
    <s v="AX23878"/>
    <s v="ENX2002"/>
    <s v="A161"/>
    <s v="EMP1032"/>
    <s v="C1222"/>
    <x v="533"/>
    <n v="2"/>
    <n v="847"/>
    <n v="534"/>
    <n v="1068"/>
    <n v="1694"/>
    <n v="626"/>
    <s v="Product 3"/>
    <x v="6"/>
    <s v="Larry Castillo"/>
    <x v="691"/>
    <n v="5"/>
    <x v="4"/>
    <x v="7"/>
    <x v="7"/>
    <x v="2"/>
    <x v="0"/>
  </r>
  <r>
    <s v="AX10795"/>
    <s v="ENX2062"/>
    <s v="A116"/>
    <s v="EMP1018"/>
    <s v="C1150"/>
    <x v="536"/>
    <n v="3"/>
    <n v="2464"/>
    <n v="1774"/>
    <n v="5322"/>
    <n v="7392"/>
    <n v="2070"/>
    <s v="Product 63"/>
    <x v="15"/>
    <s v="Jimmy Young"/>
    <x v="456"/>
    <n v="5"/>
    <x v="4"/>
    <x v="7"/>
    <x v="7"/>
    <x v="2"/>
    <x v="2"/>
  </r>
  <r>
    <s v="AX11242"/>
    <s v="ENX2095"/>
    <s v="A135"/>
    <s v="EMP1035"/>
    <s v="C1065"/>
    <x v="537"/>
    <n v="2"/>
    <n v="1743"/>
    <n v="872"/>
    <n v="1744"/>
    <n v="3486"/>
    <n v="1742"/>
    <s v="Product 96"/>
    <x v="10"/>
    <s v="Roger Ramos"/>
    <x v="637"/>
    <n v="5"/>
    <x v="4"/>
    <x v="7"/>
    <x v="7"/>
    <x v="2"/>
    <x v="2"/>
  </r>
  <r>
    <s v="AX11496"/>
    <s v="ENX2085"/>
    <s v="A136"/>
    <s v="EMP1032"/>
    <s v="C1622"/>
    <x v="537"/>
    <n v="1"/>
    <n v="1862"/>
    <n v="1173"/>
    <n v="1173"/>
    <n v="1862"/>
    <n v="689"/>
    <s v="Product 86"/>
    <x v="43"/>
    <s v="Larry Castillo"/>
    <x v="548"/>
    <n v="5"/>
    <x v="4"/>
    <x v="7"/>
    <x v="7"/>
    <x v="2"/>
    <x v="2"/>
  </r>
  <r>
    <s v="AX11648"/>
    <s v="ENX2018"/>
    <s v="A103"/>
    <s v="EMP1038"/>
    <s v="C1783"/>
    <x v="538"/>
    <n v="2"/>
    <n v="1972"/>
    <n v="1321"/>
    <n v="2642"/>
    <n v="3944"/>
    <n v="1302"/>
    <s v="Product 19"/>
    <x v="61"/>
    <s v="Scott Mason"/>
    <x v="272"/>
    <n v="5"/>
    <x v="4"/>
    <x v="7"/>
    <x v="7"/>
    <x v="2"/>
    <x v="2"/>
  </r>
  <r>
    <s v="AX12080"/>
    <s v="ENX2013"/>
    <s v="A143"/>
    <s v="EMP1005"/>
    <s v="C1633"/>
    <x v="537"/>
    <n v="1"/>
    <n v="368"/>
    <n v="269"/>
    <n v="269"/>
    <n v="368"/>
    <n v="99"/>
    <s v="Product 14"/>
    <x v="39"/>
    <s v="Ryan Welch"/>
    <x v="558"/>
    <n v="5"/>
    <x v="4"/>
    <x v="7"/>
    <x v="7"/>
    <x v="2"/>
    <x v="2"/>
  </r>
  <r>
    <s v="AX12141"/>
    <s v="ENX2074"/>
    <s v="A135"/>
    <s v="EMP1034"/>
    <s v="C1294"/>
    <x v="537"/>
    <n v="1"/>
    <n v="504"/>
    <n v="408"/>
    <n v="408"/>
    <n v="504"/>
    <n v="96"/>
    <s v="Product 75"/>
    <x v="10"/>
    <s v="Arthur Mccoy"/>
    <x v="419"/>
    <n v="5"/>
    <x v="4"/>
    <x v="7"/>
    <x v="7"/>
    <x v="2"/>
    <x v="2"/>
  </r>
  <r>
    <s v="AX12295"/>
    <s v="ENX2016"/>
    <s v="A128"/>
    <s v="EMP1031"/>
    <s v="C1619"/>
    <x v="539"/>
    <n v="2"/>
    <n v="1351"/>
    <n v="1108"/>
    <n v="2216"/>
    <n v="2702"/>
    <n v="486"/>
    <s v="Product 17"/>
    <x v="12"/>
    <s v="Brian Thomas"/>
    <x v="77"/>
    <n v="5"/>
    <x v="4"/>
    <x v="7"/>
    <x v="7"/>
    <x v="2"/>
    <x v="2"/>
  </r>
  <r>
    <s v="AX12427"/>
    <s v="ENX2036"/>
    <s v="A101"/>
    <s v="EMP1016"/>
    <s v="C1677"/>
    <x v="538"/>
    <n v="1"/>
    <n v="1582"/>
    <n v="1234"/>
    <n v="1234"/>
    <n v="1582"/>
    <n v="348"/>
    <s v="Product 37"/>
    <x v="60"/>
    <s v="Henry Nelson"/>
    <x v="641"/>
    <n v="5"/>
    <x v="4"/>
    <x v="7"/>
    <x v="7"/>
    <x v="2"/>
    <x v="2"/>
  </r>
  <r>
    <s v="AX12441"/>
    <s v="ENX2021"/>
    <s v="A124"/>
    <s v="EMP1020"/>
    <s v="C1509"/>
    <x v="536"/>
    <n v="1"/>
    <n v="217"/>
    <n v="171"/>
    <n v="171"/>
    <n v="217"/>
    <n v="46"/>
    <s v="Product 22"/>
    <x v="67"/>
    <s v="Ryan Butler"/>
    <x v="442"/>
    <n v="5"/>
    <x v="4"/>
    <x v="7"/>
    <x v="7"/>
    <x v="2"/>
    <x v="2"/>
  </r>
  <r>
    <s v="AX12802"/>
    <s v="ENX2063"/>
    <s v="A162"/>
    <s v="EMP1006"/>
    <s v="C1406"/>
    <x v="538"/>
    <n v="2"/>
    <n v="1708"/>
    <n v="871"/>
    <n v="1742"/>
    <n v="3416"/>
    <n v="1674"/>
    <s v="Product 64"/>
    <x v="2"/>
    <s v="Sean Miller"/>
    <x v="783"/>
    <n v="5"/>
    <x v="4"/>
    <x v="7"/>
    <x v="7"/>
    <x v="2"/>
    <x v="2"/>
  </r>
  <r>
    <s v="AX12905"/>
    <s v="ENX2089"/>
    <s v="A147"/>
    <s v="EMP1030"/>
    <s v="C1122"/>
    <x v="536"/>
    <n v="1"/>
    <n v="2294"/>
    <n v="1399"/>
    <n v="1399"/>
    <n v="2294"/>
    <n v="895"/>
    <s v="Product 90"/>
    <x v="42"/>
    <s v="Bobby Russell"/>
    <x v="84"/>
    <n v="5"/>
    <x v="4"/>
    <x v="7"/>
    <x v="7"/>
    <x v="2"/>
    <x v="2"/>
  </r>
  <r>
    <s v="AX12983"/>
    <s v="ENX2094"/>
    <s v="A138"/>
    <s v="EMP1036"/>
    <s v="C1235"/>
    <x v="540"/>
    <n v="1"/>
    <n v="771"/>
    <n v="648"/>
    <n v="648"/>
    <n v="771"/>
    <n v="123"/>
    <s v="Product 95"/>
    <x v="37"/>
    <s v="Robert Reed"/>
    <x v="353"/>
    <n v="5"/>
    <x v="4"/>
    <x v="7"/>
    <x v="7"/>
    <x v="2"/>
    <x v="2"/>
  </r>
  <r>
    <s v="AX13086"/>
    <s v="ENX2067"/>
    <s v="A128"/>
    <s v="EMP1012"/>
    <s v="C1751"/>
    <x v="538"/>
    <n v="1"/>
    <n v="1119"/>
    <n v="683"/>
    <n v="683"/>
    <n v="1119"/>
    <n v="436"/>
    <s v="Product 68"/>
    <x v="12"/>
    <s v="John Reyes"/>
    <x v="332"/>
    <n v="5"/>
    <x v="4"/>
    <x v="7"/>
    <x v="7"/>
    <x v="2"/>
    <x v="2"/>
  </r>
  <r>
    <s v="AX13103"/>
    <s v="ENX2036"/>
    <s v="A139"/>
    <s v="EMP1027"/>
    <s v="C1114"/>
    <x v="540"/>
    <n v="1"/>
    <n v="1582"/>
    <n v="1234"/>
    <n v="1234"/>
    <n v="1582"/>
    <n v="348"/>
    <s v="Product 37"/>
    <x v="38"/>
    <s v="Gary Rodriguez"/>
    <x v="405"/>
    <n v="5"/>
    <x v="4"/>
    <x v="7"/>
    <x v="7"/>
    <x v="2"/>
    <x v="2"/>
  </r>
  <r>
    <s v="AX13611"/>
    <s v="ENX2049"/>
    <s v="A105"/>
    <s v="EMP1018"/>
    <s v="C1358"/>
    <x v="536"/>
    <n v="1"/>
    <n v="826"/>
    <n v="562"/>
    <n v="562"/>
    <n v="826"/>
    <n v="264"/>
    <s v="Product 50"/>
    <x v="45"/>
    <s v="Jimmy Young"/>
    <x v="242"/>
    <n v="5"/>
    <x v="4"/>
    <x v="7"/>
    <x v="7"/>
    <x v="2"/>
    <x v="2"/>
  </r>
  <r>
    <s v="AX14110"/>
    <s v="ENX2046"/>
    <s v="A154"/>
    <s v="EMP1009"/>
    <s v="C1042"/>
    <x v="538"/>
    <n v="2"/>
    <n v="2410"/>
    <n v="1518"/>
    <n v="3036"/>
    <n v="4820"/>
    <n v="1784"/>
    <s v="Product 47"/>
    <x v="24"/>
    <s v="Kenneth Fields"/>
    <x v="459"/>
    <n v="5"/>
    <x v="4"/>
    <x v="7"/>
    <x v="7"/>
    <x v="2"/>
    <x v="2"/>
  </r>
  <r>
    <s v="AX14951"/>
    <s v="ENX2089"/>
    <s v="A119"/>
    <s v="EMP1018"/>
    <s v="C1645"/>
    <x v="539"/>
    <n v="1"/>
    <n v="2294"/>
    <n v="1399"/>
    <n v="1399"/>
    <n v="2294"/>
    <n v="895"/>
    <s v="Product 90"/>
    <x v="16"/>
    <s v="Jimmy Young"/>
    <x v="128"/>
    <n v="5"/>
    <x v="4"/>
    <x v="7"/>
    <x v="7"/>
    <x v="2"/>
    <x v="2"/>
  </r>
  <r>
    <s v="AX14957"/>
    <s v="ENX2091"/>
    <s v="A131"/>
    <s v="EMP1004"/>
    <s v="C1263"/>
    <x v="538"/>
    <n v="1"/>
    <n v="368"/>
    <n v="294"/>
    <n v="294"/>
    <n v="368"/>
    <n v="74"/>
    <s v="Product 92"/>
    <x v="32"/>
    <s v="Kenneth Bradley"/>
    <x v="368"/>
    <n v="5"/>
    <x v="4"/>
    <x v="7"/>
    <x v="7"/>
    <x v="2"/>
    <x v="2"/>
  </r>
  <r>
    <s v="AX15075"/>
    <s v="ENX2027"/>
    <s v="A109"/>
    <s v="EMP1014"/>
    <s v="C1436"/>
    <x v="538"/>
    <n v="2"/>
    <n v="2497"/>
    <n v="1473"/>
    <n v="2946"/>
    <n v="4994"/>
    <n v="2048"/>
    <s v="Product 28"/>
    <x v="57"/>
    <s v="Ronald Reed"/>
    <x v="283"/>
    <n v="5"/>
    <x v="4"/>
    <x v="7"/>
    <x v="7"/>
    <x v="2"/>
    <x v="2"/>
  </r>
  <r>
    <s v="AX15157"/>
    <s v="ENX2062"/>
    <s v="A173"/>
    <s v="EMP1034"/>
    <s v="C1352"/>
    <x v="540"/>
    <n v="4"/>
    <n v="2464"/>
    <n v="1774"/>
    <n v="7096"/>
    <n v="9856"/>
    <n v="2760"/>
    <s v="Product 63"/>
    <x v="25"/>
    <s v="Arthur Mccoy"/>
    <x v="20"/>
    <n v="5"/>
    <x v="4"/>
    <x v="7"/>
    <x v="7"/>
    <x v="2"/>
    <x v="2"/>
  </r>
  <r>
    <s v="AX15206"/>
    <s v="ENX2040"/>
    <s v="A137"/>
    <s v="EMP1001"/>
    <s v="C1751"/>
    <x v="540"/>
    <n v="1"/>
    <n v="1889"/>
    <n v="945"/>
    <n v="945"/>
    <n v="1889"/>
    <n v="944"/>
    <s v="Product 41"/>
    <x v="68"/>
    <s v="Kevin Butler"/>
    <x v="332"/>
    <n v="5"/>
    <x v="4"/>
    <x v="7"/>
    <x v="7"/>
    <x v="2"/>
    <x v="2"/>
  </r>
  <r>
    <s v="AX15210"/>
    <s v="ENX2023"/>
    <s v="A104"/>
    <s v="EMP1015"/>
    <s v="C1508"/>
    <x v="537"/>
    <n v="1"/>
    <n v="818"/>
    <n v="450"/>
    <n v="450"/>
    <n v="818"/>
    <n v="368"/>
    <s v="Product 24"/>
    <x v="50"/>
    <s v="Justin Lynch"/>
    <x v="37"/>
    <n v="5"/>
    <x v="4"/>
    <x v="7"/>
    <x v="7"/>
    <x v="2"/>
    <x v="2"/>
  </r>
  <r>
    <s v="AX15691"/>
    <s v="ENX2086"/>
    <s v="A132"/>
    <s v="EMP1026"/>
    <s v="C1630"/>
    <x v="537"/>
    <n v="1"/>
    <n v="123"/>
    <n v="84"/>
    <n v="84"/>
    <n v="123"/>
    <n v="39"/>
    <s v="Product 87"/>
    <x v="48"/>
    <s v="Martin Perry"/>
    <x v="154"/>
    <n v="5"/>
    <x v="4"/>
    <x v="7"/>
    <x v="7"/>
    <x v="2"/>
    <x v="2"/>
  </r>
  <r>
    <s v="AX16363"/>
    <s v="ENX2055"/>
    <s v="A144"/>
    <s v="EMP1012"/>
    <s v="C1795"/>
    <x v="536"/>
    <n v="1"/>
    <n v="2495"/>
    <n v="1896"/>
    <n v="1896"/>
    <n v="2495"/>
    <n v="599"/>
    <s v="Product 56"/>
    <x v="65"/>
    <s v="John Reyes"/>
    <x v="592"/>
    <n v="5"/>
    <x v="4"/>
    <x v="7"/>
    <x v="7"/>
    <x v="2"/>
    <x v="2"/>
  </r>
  <r>
    <s v="AX16535"/>
    <s v="ENX2090"/>
    <s v="A148"/>
    <s v="EMP1015"/>
    <s v="C1250"/>
    <x v="539"/>
    <n v="4"/>
    <n v="1338"/>
    <n v="682"/>
    <n v="2728"/>
    <n v="5352"/>
    <n v="2624"/>
    <s v="Product 91"/>
    <x v="62"/>
    <s v="Justin Lynch"/>
    <x v="705"/>
    <n v="5"/>
    <x v="4"/>
    <x v="7"/>
    <x v="7"/>
    <x v="2"/>
    <x v="2"/>
  </r>
  <r>
    <s v="AX16569"/>
    <s v="ENX2023"/>
    <s v="A123"/>
    <s v="EMP1017"/>
    <s v="C1417"/>
    <x v="536"/>
    <n v="3"/>
    <n v="818"/>
    <n v="450"/>
    <n v="1350"/>
    <n v="2454"/>
    <n v="1104"/>
    <s v="Product 24"/>
    <x v="34"/>
    <s v="Brian Hansen"/>
    <x v="147"/>
    <n v="5"/>
    <x v="4"/>
    <x v="7"/>
    <x v="7"/>
    <x v="2"/>
    <x v="2"/>
  </r>
  <r>
    <s v="AX16803"/>
    <s v="ENX2096"/>
    <s v="A109"/>
    <s v="EMP1016"/>
    <s v="C1596"/>
    <x v="538"/>
    <n v="3"/>
    <n v="1587"/>
    <n v="1301"/>
    <n v="3903"/>
    <n v="4761"/>
    <n v="858"/>
    <s v="Product 97"/>
    <x v="57"/>
    <s v="Henry Nelson"/>
    <x v="217"/>
    <n v="5"/>
    <x v="4"/>
    <x v="7"/>
    <x v="7"/>
    <x v="2"/>
    <x v="2"/>
  </r>
  <r>
    <s v="AX16861"/>
    <s v="ENX2095"/>
    <s v="A128"/>
    <s v="EMP1004"/>
    <s v="C1366"/>
    <x v="537"/>
    <n v="3"/>
    <n v="1743"/>
    <n v="872"/>
    <n v="2616"/>
    <n v="5229"/>
    <n v="2613"/>
    <s v="Product 96"/>
    <x v="12"/>
    <s v="Kenneth Bradley"/>
    <x v="205"/>
    <n v="5"/>
    <x v="4"/>
    <x v="7"/>
    <x v="7"/>
    <x v="2"/>
    <x v="2"/>
  </r>
  <r>
    <s v="AX17118"/>
    <s v="ENX2058"/>
    <s v="A113"/>
    <s v="EMP1013"/>
    <s v="C1657"/>
    <x v="537"/>
    <n v="1"/>
    <n v="2257"/>
    <n v="1535"/>
    <n v="1535"/>
    <n v="2257"/>
    <n v="722"/>
    <s v="Product 59"/>
    <x v="73"/>
    <s v="Charles Harper"/>
    <x v="361"/>
    <n v="5"/>
    <x v="4"/>
    <x v="7"/>
    <x v="7"/>
    <x v="2"/>
    <x v="2"/>
  </r>
  <r>
    <s v="AX17281"/>
    <s v="ENX2083"/>
    <s v="A130"/>
    <s v="EMP1026"/>
    <s v="C1520"/>
    <x v="538"/>
    <n v="1"/>
    <n v="2141"/>
    <n v="1777"/>
    <n v="1777"/>
    <n v="2141"/>
    <n v="364"/>
    <s v="Product 84"/>
    <x v="4"/>
    <s v="Martin Perry"/>
    <x v="576"/>
    <n v="5"/>
    <x v="4"/>
    <x v="7"/>
    <x v="7"/>
    <x v="2"/>
    <x v="2"/>
  </r>
  <r>
    <s v="AX17327"/>
    <s v="ENX2040"/>
    <s v="A162"/>
    <s v="EMP1010"/>
    <s v="C1071"/>
    <x v="536"/>
    <n v="1"/>
    <n v="1889"/>
    <n v="945"/>
    <n v="945"/>
    <n v="1889"/>
    <n v="944"/>
    <s v="Product 41"/>
    <x v="2"/>
    <s v="Joshua Cook"/>
    <x v="264"/>
    <n v="5"/>
    <x v="4"/>
    <x v="7"/>
    <x v="7"/>
    <x v="2"/>
    <x v="2"/>
  </r>
  <r>
    <s v="AX17435"/>
    <s v="ENX2067"/>
    <s v="A161"/>
    <s v="EMP1002"/>
    <s v="C1330"/>
    <x v="540"/>
    <n v="2"/>
    <n v="1119"/>
    <n v="683"/>
    <n v="1366"/>
    <n v="2238"/>
    <n v="872"/>
    <s v="Product 68"/>
    <x v="6"/>
    <s v="Andrew Bowman"/>
    <x v="511"/>
    <n v="5"/>
    <x v="4"/>
    <x v="7"/>
    <x v="7"/>
    <x v="2"/>
    <x v="2"/>
  </r>
  <r>
    <s v="AX17467"/>
    <s v="ENX2015"/>
    <s v="A125"/>
    <s v="EMP1030"/>
    <s v="C1155"/>
    <x v="537"/>
    <n v="3"/>
    <n v="637"/>
    <n v="389"/>
    <n v="1167"/>
    <n v="1911"/>
    <n v="744"/>
    <s v="Product 16"/>
    <x v="31"/>
    <s v="Bobby Russell"/>
    <x v="711"/>
    <n v="5"/>
    <x v="4"/>
    <x v="7"/>
    <x v="7"/>
    <x v="2"/>
    <x v="2"/>
  </r>
  <r>
    <s v="AX18048"/>
    <s v="ENX2065"/>
    <s v="A119"/>
    <s v="EMP1035"/>
    <s v="C1213"/>
    <x v="536"/>
    <n v="4"/>
    <n v="2396"/>
    <n v="1965"/>
    <n v="7860"/>
    <n v="9584"/>
    <n v="1724"/>
    <s v="Product 66"/>
    <x v="16"/>
    <s v="Roger Ramos"/>
    <x v="487"/>
    <n v="5"/>
    <x v="4"/>
    <x v="7"/>
    <x v="7"/>
    <x v="2"/>
    <x v="2"/>
  </r>
  <r>
    <s v="AX18121"/>
    <s v="ENX2005"/>
    <s v="A151"/>
    <s v="EMP1021"/>
    <s v="C1727"/>
    <x v="537"/>
    <n v="1"/>
    <n v="684"/>
    <n v="561"/>
    <n v="561"/>
    <n v="684"/>
    <n v="123"/>
    <s v="Product 6"/>
    <x v="1"/>
    <s v="Clarence Fox"/>
    <x v="581"/>
    <n v="5"/>
    <x v="4"/>
    <x v="7"/>
    <x v="7"/>
    <x v="2"/>
    <x v="2"/>
  </r>
  <r>
    <s v="AX18213"/>
    <s v="ENX2017"/>
    <s v="A105"/>
    <s v="EMP1006"/>
    <s v="C1106"/>
    <x v="539"/>
    <n v="1"/>
    <n v="35"/>
    <n v="22"/>
    <n v="22"/>
    <n v="35"/>
    <n v="13"/>
    <s v="Product 18"/>
    <x v="45"/>
    <s v="Sean Miller"/>
    <x v="377"/>
    <n v="5"/>
    <x v="4"/>
    <x v="7"/>
    <x v="7"/>
    <x v="2"/>
    <x v="2"/>
  </r>
  <r>
    <s v="AX18436"/>
    <s v="ENX2086"/>
    <s v="A115"/>
    <s v="EMP1029"/>
    <s v="C1374"/>
    <x v="539"/>
    <n v="3"/>
    <n v="123"/>
    <n v="84"/>
    <n v="252"/>
    <n v="369"/>
    <n v="117"/>
    <s v="Product 87"/>
    <x v="33"/>
    <s v="Howard Gardner"/>
    <x v="189"/>
    <n v="5"/>
    <x v="4"/>
    <x v="7"/>
    <x v="7"/>
    <x v="2"/>
    <x v="2"/>
  </r>
  <r>
    <s v="AX18842"/>
    <s v="ENX2025"/>
    <s v="A149"/>
    <s v="EMP1002"/>
    <s v="C1049"/>
    <x v="539"/>
    <n v="1"/>
    <n v="667"/>
    <n v="387"/>
    <n v="387"/>
    <n v="667"/>
    <n v="280"/>
    <s v="Product 26"/>
    <x v="59"/>
    <s v="Andrew Bowman"/>
    <x v="305"/>
    <n v="5"/>
    <x v="4"/>
    <x v="7"/>
    <x v="7"/>
    <x v="2"/>
    <x v="2"/>
  </r>
  <r>
    <s v="AX19251"/>
    <s v="ENX2087"/>
    <s v="A147"/>
    <s v="EMP1040"/>
    <s v="C1272"/>
    <x v="539"/>
    <n v="2"/>
    <n v="1022"/>
    <n v="818"/>
    <n v="1636"/>
    <n v="2044"/>
    <n v="408"/>
    <s v="Product 88"/>
    <x v="42"/>
    <s v="Patrick Ruiz"/>
    <x v="491"/>
    <n v="5"/>
    <x v="4"/>
    <x v="7"/>
    <x v="7"/>
    <x v="2"/>
    <x v="2"/>
  </r>
  <r>
    <s v="AX19312"/>
    <s v="ENX2055"/>
    <s v="A172"/>
    <s v="EMP1018"/>
    <s v="C1164"/>
    <x v="536"/>
    <n v="3"/>
    <n v="2495"/>
    <n v="1896"/>
    <n v="5688"/>
    <n v="7485"/>
    <n v="1797"/>
    <s v="Product 56"/>
    <x v="36"/>
    <s v="Jimmy Young"/>
    <x v="149"/>
    <n v="5"/>
    <x v="4"/>
    <x v="7"/>
    <x v="7"/>
    <x v="2"/>
    <x v="2"/>
  </r>
  <r>
    <s v="AX19405"/>
    <s v="ENX2085"/>
    <s v="A116"/>
    <s v="EMP1013"/>
    <s v="C1372"/>
    <x v="540"/>
    <n v="3"/>
    <n v="1862"/>
    <n v="1173"/>
    <n v="3519"/>
    <n v="5586"/>
    <n v="2067"/>
    <s v="Product 86"/>
    <x v="15"/>
    <s v="Charles Harper"/>
    <x v="60"/>
    <n v="5"/>
    <x v="4"/>
    <x v="7"/>
    <x v="7"/>
    <x v="2"/>
    <x v="2"/>
  </r>
  <r>
    <s v="AX19727"/>
    <s v="ENX2078"/>
    <s v="A170"/>
    <s v="EMP1035"/>
    <s v="C1722"/>
    <x v="537"/>
    <n v="1"/>
    <n v="1798"/>
    <n v="971"/>
    <n v="971"/>
    <n v="1798"/>
    <n v="827"/>
    <s v="Product 79"/>
    <x v="47"/>
    <s v="Roger Ramos"/>
    <x v="257"/>
    <n v="5"/>
    <x v="4"/>
    <x v="7"/>
    <x v="7"/>
    <x v="2"/>
    <x v="2"/>
  </r>
  <r>
    <s v="AX19843"/>
    <s v="ENX2000"/>
    <s v="A141"/>
    <s v="EMP1013"/>
    <s v="C1140"/>
    <x v="539"/>
    <n v="2"/>
    <n v="2241"/>
    <n v="1367"/>
    <n v="2734"/>
    <n v="4482"/>
    <n v="1748"/>
    <s v="Product 1"/>
    <x v="23"/>
    <s v="Charles Harper"/>
    <x v="40"/>
    <n v="5"/>
    <x v="4"/>
    <x v="7"/>
    <x v="7"/>
    <x v="2"/>
    <x v="2"/>
  </r>
  <r>
    <s v="AX20063"/>
    <s v="ENX2012"/>
    <s v="A131"/>
    <s v="EMP1012"/>
    <s v="C1335"/>
    <x v="538"/>
    <n v="1"/>
    <n v="1353"/>
    <n v="947"/>
    <n v="947"/>
    <n v="1353"/>
    <n v="406"/>
    <s v="Product 13"/>
    <x v="32"/>
    <s v="John Reyes"/>
    <x v="2"/>
    <n v="5"/>
    <x v="4"/>
    <x v="7"/>
    <x v="7"/>
    <x v="2"/>
    <x v="2"/>
  </r>
  <r>
    <s v="AX20312"/>
    <s v="ENX2025"/>
    <s v="A163"/>
    <s v="EMP1017"/>
    <s v="C1299"/>
    <x v="539"/>
    <n v="1"/>
    <n v="667"/>
    <n v="387"/>
    <n v="387"/>
    <n v="667"/>
    <n v="280"/>
    <s v="Product 26"/>
    <x v="51"/>
    <s v="Brian Hansen"/>
    <x v="655"/>
    <n v="5"/>
    <x v="4"/>
    <x v="7"/>
    <x v="7"/>
    <x v="2"/>
    <x v="2"/>
  </r>
  <r>
    <s v="AX20432"/>
    <s v="ENX2095"/>
    <s v="A110"/>
    <s v="EMP1026"/>
    <s v="C1071"/>
    <x v="536"/>
    <n v="1"/>
    <n v="1743"/>
    <n v="872"/>
    <n v="872"/>
    <n v="1743"/>
    <n v="871"/>
    <s v="Product 96"/>
    <x v="63"/>
    <s v="Martin Perry"/>
    <x v="264"/>
    <n v="5"/>
    <x v="4"/>
    <x v="7"/>
    <x v="7"/>
    <x v="2"/>
    <x v="2"/>
  </r>
  <r>
    <s v="AX20772"/>
    <s v="ENX2026"/>
    <s v="A143"/>
    <s v="EMP1036"/>
    <s v="C1303"/>
    <x v="537"/>
    <n v="2"/>
    <n v="947"/>
    <n v="786"/>
    <n v="1572"/>
    <n v="1894"/>
    <n v="322"/>
    <s v="Product 27"/>
    <x v="39"/>
    <s v="Robert Reed"/>
    <x v="531"/>
    <n v="5"/>
    <x v="4"/>
    <x v="7"/>
    <x v="7"/>
    <x v="2"/>
    <x v="2"/>
  </r>
  <r>
    <s v="AX21029"/>
    <s v="ENX2082"/>
    <s v="A144"/>
    <s v="EMP1036"/>
    <s v="C1067"/>
    <x v="539"/>
    <n v="1"/>
    <n v="1103"/>
    <n v="838"/>
    <n v="838"/>
    <n v="1103"/>
    <n v="265"/>
    <s v="Product 83"/>
    <x v="65"/>
    <s v="Robert Reed"/>
    <x v="108"/>
    <n v="5"/>
    <x v="4"/>
    <x v="7"/>
    <x v="7"/>
    <x v="2"/>
    <x v="2"/>
  </r>
  <r>
    <s v="AX21043"/>
    <s v="ENX2074"/>
    <s v="A130"/>
    <s v="EMP1035"/>
    <s v="C1003"/>
    <x v="538"/>
    <n v="1"/>
    <n v="504"/>
    <n v="408"/>
    <n v="408"/>
    <n v="504"/>
    <n v="96"/>
    <s v="Product 75"/>
    <x v="4"/>
    <s v="Roger Ramos"/>
    <x v="494"/>
    <n v="5"/>
    <x v="4"/>
    <x v="7"/>
    <x v="7"/>
    <x v="2"/>
    <x v="2"/>
  </r>
  <r>
    <s v="AX21278"/>
    <s v="ENX2001"/>
    <s v="A147"/>
    <s v="EMP1037"/>
    <s v="C1689"/>
    <x v="538"/>
    <n v="2"/>
    <n v="951"/>
    <n v="504"/>
    <n v="1008"/>
    <n v="1902"/>
    <n v="894"/>
    <s v="Product 2"/>
    <x v="42"/>
    <s v="Carl Hall"/>
    <x v="181"/>
    <n v="5"/>
    <x v="4"/>
    <x v="7"/>
    <x v="7"/>
    <x v="2"/>
    <x v="2"/>
  </r>
  <r>
    <s v="AX21488"/>
    <s v="ENX2005"/>
    <s v="A111"/>
    <s v="EMP1036"/>
    <s v="C1615"/>
    <x v="536"/>
    <n v="3"/>
    <n v="684"/>
    <n v="561"/>
    <n v="1683"/>
    <n v="2052"/>
    <n v="369"/>
    <s v="Product 6"/>
    <x v="54"/>
    <s v="Robert Reed"/>
    <x v="457"/>
    <n v="5"/>
    <x v="4"/>
    <x v="7"/>
    <x v="7"/>
    <x v="2"/>
    <x v="2"/>
  </r>
  <r>
    <s v="AX21636"/>
    <s v="ENX2016"/>
    <s v="A165"/>
    <s v="EMP1038"/>
    <s v="C1279"/>
    <x v="537"/>
    <n v="1"/>
    <n v="1351"/>
    <n v="1108"/>
    <n v="1108"/>
    <n v="1351"/>
    <n v="243"/>
    <s v="Product 17"/>
    <x v="55"/>
    <s v="Scott Mason"/>
    <x v="210"/>
    <n v="5"/>
    <x v="4"/>
    <x v="7"/>
    <x v="7"/>
    <x v="2"/>
    <x v="2"/>
  </r>
  <r>
    <s v="AX21707"/>
    <s v="ENX2081"/>
    <s v="A131"/>
    <s v="EMP1028"/>
    <s v="C1171"/>
    <x v="538"/>
    <n v="3"/>
    <n v="1566"/>
    <n v="1190"/>
    <n v="3570"/>
    <n v="4698"/>
    <n v="1128"/>
    <s v="Product 82"/>
    <x v="32"/>
    <s v="Howard Sims"/>
    <x v="150"/>
    <n v="5"/>
    <x v="4"/>
    <x v="7"/>
    <x v="7"/>
    <x v="2"/>
    <x v="2"/>
  </r>
  <r>
    <s v="AX21877"/>
    <s v="ENX2037"/>
    <s v="A156"/>
    <s v="EMP1024"/>
    <s v="C1270"/>
    <x v="539"/>
    <n v="1"/>
    <n v="880"/>
    <n v="634"/>
    <n v="634"/>
    <n v="880"/>
    <n v="246"/>
    <s v="Product 38"/>
    <x v="14"/>
    <s v="Ernest Wheeler"/>
    <x v="517"/>
    <n v="5"/>
    <x v="4"/>
    <x v="7"/>
    <x v="7"/>
    <x v="2"/>
    <x v="2"/>
  </r>
  <r>
    <s v="AX22198"/>
    <s v="ENX2029"/>
    <s v="A154"/>
    <s v="EMP1043"/>
    <s v="C1513"/>
    <x v="540"/>
    <n v="1"/>
    <n v="1848"/>
    <n v="1294"/>
    <n v="1294"/>
    <n v="1848"/>
    <n v="554"/>
    <s v="Product 30"/>
    <x v="24"/>
    <s v="Joshua Taylor"/>
    <x v="414"/>
    <n v="5"/>
    <x v="4"/>
    <x v="7"/>
    <x v="7"/>
    <x v="2"/>
    <x v="2"/>
  </r>
  <r>
    <s v="AX22302"/>
    <s v="ENX2081"/>
    <s v="A162"/>
    <s v="EMP1034"/>
    <s v="C1781"/>
    <x v="538"/>
    <n v="4"/>
    <n v="1566"/>
    <n v="1190"/>
    <n v="4760"/>
    <n v="6264"/>
    <n v="1504"/>
    <s v="Product 82"/>
    <x v="2"/>
    <s v="Arthur Mccoy"/>
    <x v="606"/>
    <n v="5"/>
    <x v="4"/>
    <x v="7"/>
    <x v="7"/>
    <x v="2"/>
    <x v="2"/>
  </r>
  <r>
    <s v="AX22462"/>
    <s v="ENX2095"/>
    <s v="A145"/>
    <s v="EMP1027"/>
    <s v="C1582"/>
    <x v="539"/>
    <n v="1"/>
    <n v="1743"/>
    <n v="872"/>
    <n v="872"/>
    <n v="1743"/>
    <n v="871"/>
    <s v="Product 96"/>
    <x v="35"/>
    <s v="Gary Rodriguez"/>
    <x v="259"/>
    <n v="5"/>
    <x v="4"/>
    <x v="7"/>
    <x v="7"/>
    <x v="2"/>
    <x v="2"/>
  </r>
  <r>
    <s v="AX22660"/>
    <s v="ENX2072"/>
    <s v="A140"/>
    <s v="EMP1042"/>
    <s v="C1463"/>
    <x v="540"/>
    <n v="1"/>
    <n v="1887"/>
    <n v="1378"/>
    <n v="1378"/>
    <n v="1887"/>
    <n v="509"/>
    <s v="Product 73"/>
    <x v="18"/>
    <s v="Scott Clark"/>
    <x v="535"/>
    <n v="5"/>
    <x v="4"/>
    <x v="7"/>
    <x v="7"/>
    <x v="2"/>
    <x v="2"/>
  </r>
  <r>
    <s v="AX22716"/>
    <s v="ENX2038"/>
    <s v="A113"/>
    <s v="EMP1011"/>
    <s v="C1275"/>
    <x v="539"/>
    <n v="1"/>
    <n v="392"/>
    <n v="255"/>
    <n v="255"/>
    <n v="392"/>
    <n v="137"/>
    <s v="Product 39"/>
    <x v="73"/>
    <s v="Larry Marshall"/>
    <x v="144"/>
    <n v="5"/>
    <x v="4"/>
    <x v="7"/>
    <x v="7"/>
    <x v="2"/>
    <x v="2"/>
  </r>
  <r>
    <s v="AX22839"/>
    <s v="ENX2062"/>
    <s v="A146"/>
    <s v="EMP1044"/>
    <s v="C1254"/>
    <x v="540"/>
    <n v="3"/>
    <n v="2464"/>
    <n v="1774"/>
    <n v="5322"/>
    <n v="7392"/>
    <n v="2070"/>
    <s v="Product 63"/>
    <x v="27"/>
    <s v="Martin Carr"/>
    <x v="104"/>
    <n v="5"/>
    <x v="4"/>
    <x v="7"/>
    <x v="7"/>
    <x v="2"/>
    <x v="2"/>
  </r>
  <r>
    <s v="AX23098"/>
    <s v="ENX2044"/>
    <s v="A109"/>
    <s v="EMP1002"/>
    <s v="C1189"/>
    <x v="539"/>
    <n v="1"/>
    <n v="886"/>
    <n v="478"/>
    <n v="478"/>
    <n v="886"/>
    <n v="408"/>
    <s v="Product 45"/>
    <x v="57"/>
    <s v="Andrew Bowman"/>
    <x v="752"/>
    <n v="5"/>
    <x v="4"/>
    <x v="7"/>
    <x v="7"/>
    <x v="2"/>
    <x v="2"/>
  </r>
  <r>
    <s v="AX23462"/>
    <s v="ENX2001"/>
    <s v="A145"/>
    <s v="EMP1007"/>
    <s v="C1514"/>
    <x v="536"/>
    <n v="2"/>
    <n v="951"/>
    <n v="504"/>
    <n v="1008"/>
    <n v="1902"/>
    <n v="894"/>
    <s v="Product 2"/>
    <x v="35"/>
    <s v="Jeremy Mendoza"/>
    <x v="307"/>
    <n v="5"/>
    <x v="4"/>
    <x v="7"/>
    <x v="7"/>
    <x v="2"/>
    <x v="2"/>
  </r>
  <r>
    <s v="AX23499"/>
    <s v="ENX2011"/>
    <s v="A162"/>
    <s v="EMP1036"/>
    <s v="C1671"/>
    <x v="539"/>
    <n v="3"/>
    <n v="530"/>
    <n v="435"/>
    <n v="1305"/>
    <n v="1590"/>
    <n v="285"/>
    <s v="Product 12"/>
    <x v="2"/>
    <s v="Robert Reed"/>
    <x v="248"/>
    <n v="5"/>
    <x v="4"/>
    <x v="7"/>
    <x v="7"/>
    <x v="2"/>
    <x v="2"/>
  </r>
  <r>
    <s v="AX23719"/>
    <s v="ENX2057"/>
    <s v="A168"/>
    <s v="EMP1031"/>
    <s v="C1523"/>
    <x v="539"/>
    <n v="2"/>
    <n v="181"/>
    <n v="130"/>
    <n v="260"/>
    <n v="362"/>
    <n v="102"/>
    <s v="Product 58"/>
    <x v="40"/>
    <s v="Brian Thomas"/>
    <x v="543"/>
    <n v="5"/>
    <x v="4"/>
    <x v="7"/>
    <x v="7"/>
    <x v="2"/>
    <x v="2"/>
  </r>
  <r>
    <s v="AX24108"/>
    <s v="ENX2077"/>
    <s v="A127"/>
    <s v="EMP1034"/>
    <s v="C1438"/>
    <x v="539"/>
    <n v="3"/>
    <n v="530"/>
    <n v="424"/>
    <n v="1272"/>
    <n v="1590"/>
    <n v="318"/>
    <s v="Product 78"/>
    <x v="69"/>
    <s v="Arthur Mccoy"/>
    <x v="670"/>
    <n v="5"/>
    <x v="4"/>
    <x v="7"/>
    <x v="7"/>
    <x v="2"/>
    <x v="2"/>
  </r>
  <r>
    <s v="AX24164"/>
    <s v="ENX2001"/>
    <s v="A173"/>
    <s v="EMP1038"/>
    <s v="C1535"/>
    <x v="540"/>
    <n v="1"/>
    <n v="951"/>
    <n v="504"/>
    <n v="504"/>
    <n v="951"/>
    <n v="447"/>
    <s v="Product 2"/>
    <x v="25"/>
    <s v="Scott Mason"/>
    <x v="85"/>
    <n v="5"/>
    <x v="4"/>
    <x v="7"/>
    <x v="7"/>
    <x v="2"/>
    <x v="2"/>
  </r>
  <r>
    <s v="AX24176"/>
    <s v="ENX2076"/>
    <s v="A118"/>
    <s v="EMP1009"/>
    <s v="C1335"/>
    <x v="538"/>
    <n v="4"/>
    <n v="1522"/>
    <n v="791"/>
    <n v="3164"/>
    <n v="6088"/>
    <n v="2924"/>
    <s v="Product 77"/>
    <x v="19"/>
    <s v="Kenneth Fields"/>
    <x v="2"/>
    <n v="5"/>
    <x v="4"/>
    <x v="7"/>
    <x v="7"/>
    <x v="2"/>
    <x v="2"/>
  </r>
  <r>
    <s v="AX24287"/>
    <s v="ENX2093"/>
    <s v="A131"/>
    <s v="EMP1003"/>
    <s v="C1385"/>
    <x v="539"/>
    <n v="1"/>
    <n v="112"/>
    <n v="90"/>
    <n v="90"/>
    <n v="112"/>
    <n v="22"/>
    <s v="Product 94"/>
    <x v="32"/>
    <s v="Christopher Tucker"/>
    <x v="523"/>
    <n v="5"/>
    <x v="4"/>
    <x v="7"/>
    <x v="7"/>
    <x v="2"/>
    <x v="2"/>
  </r>
  <r>
    <s v="AX24582"/>
    <s v="ENX2098"/>
    <s v="A135"/>
    <s v="EMP1029"/>
    <s v="C1692"/>
    <x v="537"/>
    <n v="1"/>
    <n v="1178"/>
    <n v="683"/>
    <n v="683"/>
    <n v="1178"/>
    <n v="495"/>
    <s v="Product 99"/>
    <x v="10"/>
    <s v="Howard Gardner"/>
    <x v="555"/>
    <n v="5"/>
    <x v="4"/>
    <x v="7"/>
    <x v="7"/>
    <x v="2"/>
    <x v="2"/>
  </r>
  <r>
    <s v="AX10176"/>
    <s v="ENX2008"/>
    <s v="A124"/>
    <s v="EMP1032"/>
    <s v="C1369"/>
    <x v="541"/>
    <n v="3"/>
    <n v="315"/>
    <n v="208"/>
    <n v="624"/>
    <n v="945"/>
    <n v="321"/>
    <s v="Product 9"/>
    <x v="67"/>
    <s v="Larry Castillo"/>
    <x v="126"/>
    <n v="5"/>
    <x v="4"/>
    <x v="8"/>
    <x v="8"/>
    <x v="2"/>
    <x v="0"/>
  </r>
  <r>
    <s v="AX10220"/>
    <s v="ENX2053"/>
    <s v="A158"/>
    <s v="EMP1033"/>
    <s v="C1150"/>
    <x v="542"/>
    <n v="1"/>
    <n v="596"/>
    <n v="358"/>
    <n v="358"/>
    <n v="596"/>
    <n v="238"/>
    <s v="Product 54"/>
    <x v="58"/>
    <s v="Jerry Perry"/>
    <x v="456"/>
    <n v="5"/>
    <x v="4"/>
    <x v="8"/>
    <x v="8"/>
    <x v="2"/>
    <x v="0"/>
  </r>
  <r>
    <s v="AX10258"/>
    <s v="ENX2043"/>
    <s v="A168"/>
    <s v="EMP1009"/>
    <s v="C1273"/>
    <x v="541"/>
    <n v="4"/>
    <n v="545"/>
    <n v="425"/>
    <n v="1700"/>
    <n v="2180"/>
    <n v="480"/>
    <s v="Product 44"/>
    <x v="40"/>
    <s v="Kenneth Fields"/>
    <x v="469"/>
    <n v="5"/>
    <x v="4"/>
    <x v="8"/>
    <x v="8"/>
    <x v="2"/>
    <x v="0"/>
  </r>
  <r>
    <s v="AX10265"/>
    <s v="ENX2074"/>
    <s v="A149"/>
    <s v="EMP1003"/>
    <s v="C1096"/>
    <x v="542"/>
    <n v="2"/>
    <n v="504"/>
    <n v="408"/>
    <n v="816"/>
    <n v="1008"/>
    <n v="192"/>
    <s v="Product 75"/>
    <x v="59"/>
    <s v="Christopher Tucker"/>
    <x v="91"/>
    <n v="5"/>
    <x v="4"/>
    <x v="8"/>
    <x v="8"/>
    <x v="2"/>
    <x v="0"/>
  </r>
  <r>
    <s v="AX10992"/>
    <s v="ENX2084"/>
    <s v="A118"/>
    <s v="EMP1037"/>
    <s v="C1330"/>
    <x v="543"/>
    <n v="3"/>
    <n v="1783"/>
    <n v="1230"/>
    <n v="3690"/>
    <n v="5349"/>
    <n v="1659"/>
    <s v="Product 85"/>
    <x v="19"/>
    <s v="Carl Hall"/>
    <x v="511"/>
    <n v="5"/>
    <x v="4"/>
    <x v="8"/>
    <x v="8"/>
    <x v="2"/>
    <x v="0"/>
  </r>
  <r>
    <s v="AX11432"/>
    <s v="ENX2015"/>
    <s v="A162"/>
    <s v="EMP1034"/>
    <s v="C1680"/>
    <x v="542"/>
    <n v="1"/>
    <n v="637"/>
    <n v="389"/>
    <n v="389"/>
    <n v="637"/>
    <n v="248"/>
    <s v="Product 16"/>
    <x v="2"/>
    <s v="Arthur Mccoy"/>
    <x v="797"/>
    <n v="5"/>
    <x v="4"/>
    <x v="8"/>
    <x v="8"/>
    <x v="2"/>
    <x v="0"/>
  </r>
  <r>
    <s v="AX11645"/>
    <s v="ENX2045"/>
    <s v="A161"/>
    <s v="EMP1018"/>
    <s v="C1161"/>
    <x v="541"/>
    <n v="2"/>
    <n v="556"/>
    <n v="395"/>
    <n v="790"/>
    <n v="1112"/>
    <n v="322"/>
    <s v="Product 46"/>
    <x v="6"/>
    <s v="Jimmy Young"/>
    <x v="732"/>
    <n v="5"/>
    <x v="4"/>
    <x v="8"/>
    <x v="8"/>
    <x v="2"/>
    <x v="0"/>
  </r>
  <r>
    <s v="AX12009"/>
    <s v="ENX2090"/>
    <s v="A147"/>
    <s v="EMP1018"/>
    <s v="C1603"/>
    <x v="541"/>
    <n v="1"/>
    <n v="1338"/>
    <n v="682"/>
    <n v="682"/>
    <n v="1338"/>
    <n v="656"/>
    <s v="Product 91"/>
    <x v="42"/>
    <s v="Jimmy Young"/>
    <x v="229"/>
    <n v="5"/>
    <x v="4"/>
    <x v="8"/>
    <x v="8"/>
    <x v="2"/>
    <x v="0"/>
  </r>
  <r>
    <s v="AX12310"/>
    <s v="ENX2034"/>
    <s v="A133"/>
    <s v="EMP1037"/>
    <s v="C1643"/>
    <x v="544"/>
    <n v="1"/>
    <n v="871"/>
    <n v="540"/>
    <n v="540"/>
    <n v="871"/>
    <n v="331"/>
    <s v="Product 35"/>
    <x v="46"/>
    <s v="Carl Hall"/>
    <x v="142"/>
    <n v="5"/>
    <x v="4"/>
    <x v="8"/>
    <x v="8"/>
    <x v="2"/>
    <x v="0"/>
  </r>
  <r>
    <s v="AX12438"/>
    <s v="ENX2046"/>
    <s v="A135"/>
    <s v="EMP1002"/>
    <s v="C1316"/>
    <x v="543"/>
    <n v="3"/>
    <n v="2410"/>
    <n v="1518"/>
    <n v="4554"/>
    <n v="7230"/>
    <n v="2676"/>
    <s v="Product 47"/>
    <x v="10"/>
    <s v="Andrew Bowman"/>
    <x v="771"/>
    <n v="5"/>
    <x v="4"/>
    <x v="8"/>
    <x v="8"/>
    <x v="2"/>
    <x v="0"/>
  </r>
  <r>
    <s v="AX12553"/>
    <s v="ENX2033"/>
    <s v="A104"/>
    <s v="EMP1022"/>
    <s v="C1165"/>
    <x v="542"/>
    <n v="2"/>
    <n v="2182"/>
    <n v="1200"/>
    <n v="2400"/>
    <n v="4364"/>
    <n v="1964"/>
    <s v="Product 34"/>
    <x v="50"/>
    <s v="Walter Cook"/>
    <x v="82"/>
    <n v="5"/>
    <x v="4"/>
    <x v="8"/>
    <x v="8"/>
    <x v="2"/>
    <x v="0"/>
  </r>
  <r>
    <s v="AX14100"/>
    <s v="ENX2044"/>
    <s v="A127"/>
    <s v="EMP1037"/>
    <s v="C1377"/>
    <x v="541"/>
    <n v="3"/>
    <n v="886"/>
    <n v="478"/>
    <n v="1434"/>
    <n v="2658"/>
    <n v="1224"/>
    <s v="Product 45"/>
    <x v="69"/>
    <s v="Carl Hall"/>
    <x v="214"/>
    <n v="5"/>
    <x v="4"/>
    <x v="8"/>
    <x v="8"/>
    <x v="2"/>
    <x v="0"/>
  </r>
  <r>
    <s v="AX14230"/>
    <s v="ENX2081"/>
    <s v="A154"/>
    <s v="EMP1022"/>
    <s v="C1354"/>
    <x v="541"/>
    <n v="3"/>
    <n v="1566"/>
    <n v="1190"/>
    <n v="3570"/>
    <n v="4698"/>
    <n v="1128"/>
    <s v="Product 82"/>
    <x v="24"/>
    <s v="Walter Cook"/>
    <x v="133"/>
    <n v="5"/>
    <x v="4"/>
    <x v="8"/>
    <x v="8"/>
    <x v="2"/>
    <x v="0"/>
  </r>
  <r>
    <s v="AX14439"/>
    <s v="ENX2026"/>
    <s v="A146"/>
    <s v="EMP1003"/>
    <s v="C1006"/>
    <x v="543"/>
    <n v="3"/>
    <n v="947"/>
    <n v="786"/>
    <n v="2358"/>
    <n v="2841"/>
    <n v="483"/>
    <s v="Product 27"/>
    <x v="27"/>
    <s v="Christopher Tucker"/>
    <x v="687"/>
    <n v="5"/>
    <x v="4"/>
    <x v="8"/>
    <x v="8"/>
    <x v="2"/>
    <x v="0"/>
  </r>
  <r>
    <s v="AX14627"/>
    <s v="ENX2002"/>
    <s v="A130"/>
    <s v="EMP1027"/>
    <s v="C1028"/>
    <x v="541"/>
    <n v="1"/>
    <n v="847"/>
    <n v="534"/>
    <n v="534"/>
    <n v="847"/>
    <n v="313"/>
    <s v="Product 3"/>
    <x v="4"/>
    <s v="Gary Rodriguez"/>
    <x v="135"/>
    <n v="5"/>
    <x v="4"/>
    <x v="8"/>
    <x v="8"/>
    <x v="2"/>
    <x v="0"/>
  </r>
  <r>
    <s v="AX14648"/>
    <s v="ENX2049"/>
    <s v="A148"/>
    <s v="EMP1025"/>
    <s v="C1380"/>
    <x v="543"/>
    <n v="1"/>
    <n v="826"/>
    <n v="562"/>
    <n v="562"/>
    <n v="826"/>
    <n v="264"/>
    <s v="Product 50"/>
    <x v="62"/>
    <s v="Ernest Wagner"/>
    <x v="540"/>
    <n v="5"/>
    <x v="4"/>
    <x v="8"/>
    <x v="8"/>
    <x v="2"/>
    <x v="0"/>
  </r>
  <r>
    <s v="AX14807"/>
    <s v="ENX2044"/>
    <s v="A112"/>
    <s v="EMP1044"/>
    <s v="C1498"/>
    <x v="541"/>
    <n v="1"/>
    <n v="886"/>
    <n v="478"/>
    <n v="478"/>
    <n v="886"/>
    <n v="408"/>
    <s v="Product 45"/>
    <x v="66"/>
    <s v="Martin Carr"/>
    <x v="10"/>
    <n v="5"/>
    <x v="4"/>
    <x v="8"/>
    <x v="8"/>
    <x v="2"/>
    <x v="0"/>
  </r>
  <r>
    <s v="AX14809"/>
    <s v="ENX2053"/>
    <s v="A143"/>
    <s v="EMP1006"/>
    <s v="C1048"/>
    <x v="542"/>
    <n v="2"/>
    <n v="596"/>
    <n v="358"/>
    <n v="716"/>
    <n v="1192"/>
    <n v="476"/>
    <s v="Product 54"/>
    <x v="39"/>
    <s v="Sean Miller"/>
    <x v="391"/>
    <n v="5"/>
    <x v="4"/>
    <x v="8"/>
    <x v="8"/>
    <x v="2"/>
    <x v="0"/>
  </r>
  <r>
    <s v="AX14874"/>
    <s v="ENX2074"/>
    <s v="A146"/>
    <s v="EMP1035"/>
    <s v="C1660"/>
    <x v="541"/>
    <n v="1"/>
    <n v="504"/>
    <n v="408"/>
    <n v="408"/>
    <n v="504"/>
    <n v="96"/>
    <s v="Product 75"/>
    <x v="27"/>
    <s v="Roger Ramos"/>
    <x v="146"/>
    <n v="5"/>
    <x v="4"/>
    <x v="8"/>
    <x v="8"/>
    <x v="2"/>
    <x v="0"/>
  </r>
  <r>
    <s v="AX14949"/>
    <s v="ENX2090"/>
    <s v="A151"/>
    <s v="EMP1040"/>
    <s v="C1423"/>
    <x v="542"/>
    <n v="3"/>
    <n v="1338"/>
    <n v="682"/>
    <n v="2046"/>
    <n v="4014"/>
    <n v="1968"/>
    <s v="Product 91"/>
    <x v="1"/>
    <s v="Patrick Ruiz"/>
    <x v="182"/>
    <n v="5"/>
    <x v="4"/>
    <x v="8"/>
    <x v="8"/>
    <x v="2"/>
    <x v="0"/>
  </r>
  <r>
    <s v="AX15638"/>
    <s v="ENX2005"/>
    <s v="A152"/>
    <s v="EMP1037"/>
    <s v="C1295"/>
    <x v="542"/>
    <n v="3"/>
    <n v="684"/>
    <n v="561"/>
    <n v="1683"/>
    <n v="2052"/>
    <n v="369"/>
    <s v="Product 6"/>
    <x v="26"/>
    <s v="Carl Hall"/>
    <x v="373"/>
    <n v="5"/>
    <x v="4"/>
    <x v="8"/>
    <x v="8"/>
    <x v="2"/>
    <x v="0"/>
  </r>
  <r>
    <s v="AX16127"/>
    <s v="ENX2001"/>
    <s v="A135"/>
    <s v="EMP1032"/>
    <s v="C1270"/>
    <x v="542"/>
    <n v="1"/>
    <n v="951"/>
    <n v="504"/>
    <n v="504"/>
    <n v="951"/>
    <n v="447"/>
    <s v="Product 2"/>
    <x v="10"/>
    <s v="Larry Castillo"/>
    <x v="517"/>
    <n v="5"/>
    <x v="4"/>
    <x v="8"/>
    <x v="8"/>
    <x v="2"/>
    <x v="0"/>
  </r>
  <r>
    <s v="AX16138"/>
    <s v="ENX2002"/>
    <s v="A121"/>
    <s v="EMP1037"/>
    <s v="C1308"/>
    <x v="542"/>
    <n v="1"/>
    <n v="847"/>
    <n v="534"/>
    <n v="534"/>
    <n v="847"/>
    <n v="313"/>
    <s v="Product 3"/>
    <x v="72"/>
    <s v="Carl Hall"/>
    <x v="226"/>
    <n v="5"/>
    <x v="4"/>
    <x v="8"/>
    <x v="8"/>
    <x v="2"/>
    <x v="0"/>
  </r>
  <r>
    <s v="AX16489"/>
    <s v="ENX2012"/>
    <s v="A119"/>
    <s v="EMP1026"/>
    <s v="C1230"/>
    <x v="543"/>
    <n v="1"/>
    <n v="1353"/>
    <n v="947"/>
    <n v="947"/>
    <n v="1353"/>
    <n v="406"/>
    <s v="Product 13"/>
    <x v="16"/>
    <s v="Martin Perry"/>
    <x v="578"/>
    <n v="5"/>
    <x v="4"/>
    <x v="8"/>
    <x v="8"/>
    <x v="2"/>
    <x v="0"/>
  </r>
  <r>
    <s v="AX16620"/>
    <s v="ENX2097"/>
    <s v="A111"/>
    <s v="EMP1029"/>
    <s v="C1066"/>
    <x v="542"/>
    <n v="1"/>
    <n v="1052"/>
    <n v="589"/>
    <n v="589"/>
    <n v="1052"/>
    <n v="463"/>
    <s v="Product 98"/>
    <x v="54"/>
    <s v="Howard Gardner"/>
    <x v="124"/>
    <n v="5"/>
    <x v="4"/>
    <x v="8"/>
    <x v="8"/>
    <x v="2"/>
    <x v="0"/>
  </r>
  <r>
    <s v="AX16738"/>
    <s v="ENX2039"/>
    <s v="A148"/>
    <s v="EMP1036"/>
    <s v="C1613"/>
    <x v="543"/>
    <n v="1"/>
    <n v="817"/>
    <n v="409"/>
    <n v="409"/>
    <n v="817"/>
    <n v="408"/>
    <s v="Product 40"/>
    <x v="62"/>
    <s v="Robert Reed"/>
    <x v="143"/>
    <n v="5"/>
    <x v="4"/>
    <x v="8"/>
    <x v="8"/>
    <x v="2"/>
    <x v="0"/>
  </r>
  <r>
    <s v="AX17132"/>
    <s v="ENX2046"/>
    <s v="A138"/>
    <s v="EMP1038"/>
    <s v="C1059"/>
    <x v="543"/>
    <n v="1"/>
    <n v="2410"/>
    <n v="1518"/>
    <n v="1518"/>
    <n v="2410"/>
    <n v="892"/>
    <s v="Product 47"/>
    <x v="37"/>
    <s v="Scott Mason"/>
    <x v="297"/>
    <n v="5"/>
    <x v="4"/>
    <x v="8"/>
    <x v="8"/>
    <x v="2"/>
    <x v="0"/>
  </r>
  <r>
    <s v="AX17241"/>
    <s v="ENX2031"/>
    <s v="A173"/>
    <s v="EMP1008"/>
    <s v="C1345"/>
    <x v="543"/>
    <n v="4"/>
    <n v="1638"/>
    <n v="1261"/>
    <n v="5044"/>
    <n v="6552"/>
    <n v="1508"/>
    <s v="Product 32"/>
    <x v="25"/>
    <s v="Carl Elliott"/>
    <x v="567"/>
    <n v="5"/>
    <x v="4"/>
    <x v="8"/>
    <x v="8"/>
    <x v="2"/>
    <x v="0"/>
  </r>
  <r>
    <s v="AX17886"/>
    <s v="ENX2003"/>
    <s v="A122"/>
    <s v="EMP1039"/>
    <s v="C1109"/>
    <x v="543"/>
    <n v="3"/>
    <n v="1783"/>
    <n v="1516"/>
    <n v="4548"/>
    <n v="5349"/>
    <n v="801"/>
    <s v="Product 4"/>
    <x v="71"/>
    <s v="Eugene Holmes"/>
    <x v="756"/>
    <n v="5"/>
    <x v="4"/>
    <x v="8"/>
    <x v="8"/>
    <x v="2"/>
    <x v="0"/>
  </r>
  <r>
    <s v="AX18148"/>
    <s v="ENX2084"/>
    <s v="A106"/>
    <s v="EMP1003"/>
    <s v="C1608"/>
    <x v="544"/>
    <n v="2"/>
    <n v="1783"/>
    <n v="1230"/>
    <n v="2460"/>
    <n v="3566"/>
    <n v="1106"/>
    <s v="Product 85"/>
    <x v="11"/>
    <s v="Christopher Tucker"/>
    <x v="463"/>
    <n v="5"/>
    <x v="4"/>
    <x v="8"/>
    <x v="8"/>
    <x v="2"/>
    <x v="0"/>
  </r>
  <r>
    <s v="AX18223"/>
    <s v="ENX2058"/>
    <s v="A102"/>
    <s v="EMP1012"/>
    <s v="C1522"/>
    <x v="542"/>
    <n v="2"/>
    <n v="2257"/>
    <n v="1535"/>
    <n v="3070"/>
    <n v="4514"/>
    <n v="1444"/>
    <s v="Product 59"/>
    <x v="44"/>
    <s v="John Reyes"/>
    <x v="121"/>
    <n v="5"/>
    <x v="4"/>
    <x v="8"/>
    <x v="8"/>
    <x v="2"/>
    <x v="0"/>
  </r>
  <r>
    <s v="AX18640"/>
    <s v="ENX2037"/>
    <s v="A138"/>
    <s v="EMP1041"/>
    <s v="C1625"/>
    <x v="542"/>
    <n v="1"/>
    <n v="880"/>
    <n v="634"/>
    <n v="634"/>
    <n v="880"/>
    <n v="246"/>
    <s v="Product 38"/>
    <x v="37"/>
    <s v="Joe Sims"/>
    <x v="575"/>
    <n v="5"/>
    <x v="4"/>
    <x v="8"/>
    <x v="8"/>
    <x v="2"/>
    <x v="0"/>
  </r>
  <r>
    <s v="AX18939"/>
    <s v="ENX2003"/>
    <s v="A123"/>
    <s v="EMP1042"/>
    <s v="C1322"/>
    <x v="543"/>
    <n v="3"/>
    <n v="1783"/>
    <n v="1516"/>
    <n v="4548"/>
    <n v="5349"/>
    <n v="801"/>
    <s v="Product 4"/>
    <x v="34"/>
    <s v="Scott Clark"/>
    <x v="604"/>
    <n v="5"/>
    <x v="4"/>
    <x v="8"/>
    <x v="8"/>
    <x v="2"/>
    <x v="0"/>
  </r>
  <r>
    <s v="AX19282"/>
    <s v="ENX2032"/>
    <s v="A116"/>
    <s v="EMP1011"/>
    <s v="C1197"/>
    <x v="541"/>
    <n v="3"/>
    <n v="1967"/>
    <n v="1397"/>
    <n v="4191"/>
    <n v="5901"/>
    <n v="1710"/>
    <s v="Product 33"/>
    <x v="15"/>
    <s v="Larry Marshall"/>
    <x v="718"/>
    <n v="5"/>
    <x v="4"/>
    <x v="8"/>
    <x v="8"/>
    <x v="2"/>
    <x v="0"/>
  </r>
  <r>
    <s v="AX19508"/>
    <s v="ENX2069"/>
    <s v="A128"/>
    <s v="EMP1042"/>
    <s v="C1713"/>
    <x v="543"/>
    <n v="1"/>
    <n v="378"/>
    <n v="291"/>
    <n v="291"/>
    <n v="378"/>
    <n v="87"/>
    <s v="Product 70"/>
    <x v="12"/>
    <s v="Scott Clark"/>
    <x v="753"/>
    <n v="5"/>
    <x v="4"/>
    <x v="8"/>
    <x v="8"/>
    <x v="2"/>
    <x v="0"/>
  </r>
  <r>
    <s v="AX20070"/>
    <s v="ENX2045"/>
    <s v="A171"/>
    <s v="EMP1014"/>
    <s v="C1551"/>
    <x v="544"/>
    <n v="1"/>
    <n v="556"/>
    <n v="395"/>
    <n v="395"/>
    <n v="556"/>
    <n v="161"/>
    <s v="Product 46"/>
    <x v="0"/>
    <s v="Ronald Reed"/>
    <x v="596"/>
    <n v="5"/>
    <x v="4"/>
    <x v="8"/>
    <x v="8"/>
    <x v="2"/>
    <x v="0"/>
  </r>
  <r>
    <s v="AX20310"/>
    <s v="ENX2054"/>
    <s v="A112"/>
    <s v="EMP1034"/>
    <s v="C1692"/>
    <x v="544"/>
    <n v="1"/>
    <n v="127"/>
    <n v="79"/>
    <n v="79"/>
    <n v="127"/>
    <n v="48"/>
    <s v="Product 55"/>
    <x v="66"/>
    <s v="Arthur Mccoy"/>
    <x v="555"/>
    <n v="5"/>
    <x v="4"/>
    <x v="8"/>
    <x v="8"/>
    <x v="2"/>
    <x v="0"/>
  </r>
  <r>
    <s v="AX22730"/>
    <s v="ENX2021"/>
    <s v="A120"/>
    <s v="EMP1008"/>
    <s v="C1136"/>
    <x v="541"/>
    <n v="1"/>
    <n v="217"/>
    <n v="171"/>
    <n v="171"/>
    <n v="217"/>
    <n v="46"/>
    <s v="Product 22"/>
    <x v="20"/>
    <s v="Carl Elliott"/>
    <x v="425"/>
    <n v="5"/>
    <x v="4"/>
    <x v="8"/>
    <x v="8"/>
    <x v="2"/>
    <x v="0"/>
  </r>
  <r>
    <s v="AX23312"/>
    <s v="ENX2068"/>
    <s v="A142"/>
    <s v="EMP1035"/>
    <s v="C1789"/>
    <x v="544"/>
    <n v="1"/>
    <n v="1500"/>
    <n v="900"/>
    <n v="900"/>
    <n v="1500"/>
    <n v="600"/>
    <s v="Product 69"/>
    <x v="56"/>
    <s v="Roger Ramos"/>
    <x v="701"/>
    <n v="5"/>
    <x v="4"/>
    <x v="8"/>
    <x v="8"/>
    <x v="2"/>
    <x v="0"/>
  </r>
  <r>
    <s v="AX23509"/>
    <s v="ENX2003"/>
    <s v="A106"/>
    <s v="EMP1017"/>
    <s v="C1242"/>
    <x v="544"/>
    <n v="3"/>
    <n v="1783"/>
    <n v="1516"/>
    <n v="4548"/>
    <n v="5349"/>
    <n v="801"/>
    <s v="Product 4"/>
    <x v="11"/>
    <s v="Brian Hansen"/>
    <x v="781"/>
    <n v="5"/>
    <x v="4"/>
    <x v="8"/>
    <x v="8"/>
    <x v="2"/>
    <x v="0"/>
  </r>
  <r>
    <s v="AX23829"/>
    <s v="ENX2006"/>
    <s v="A141"/>
    <s v="EMP1037"/>
    <s v="C1297"/>
    <x v="542"/>
    <n v="1"/>
    <n v="1826"/>
    <n v="1443"/>
    <n v="1443"/>
    <n v="1826"/>
    <n v="383"/>
    <s v="Product 7"/>
    <x v="23"/>
    <s v="Carl Hall"/>
    <x v="537"/>
    <n v="5"/>
    <x v="4"/>
    <x v="8"/>
    <x v="8"/>
    <x v="2"/>
    <x v="0"/>
  </r>
  <r>
    <s v="AX23864"/>
    <s v="ENX2033"/>
    <s v="A134"/>
    <s v="EMP1039"/>
    <s v="C1487"/>
    <x v="541"/>
    <n v="1"/>
    <n v="2182"/>
    <n v="1200"/>
    <n v="1200"/>
    <n v="2182"/>
    <n v="982"/>
    <s v="Product 34"/>
    <x v="41"/>
    <s v="Eugene Holmes"/>
    <x v="461"/>
    <n v="5"/>
    <x v="4"/>
    <x v="8"/>
    <x v="8"/>
    <x v="2"/>
    <x v="0"/>
  </r>
  <r>
    <s v="AX24458"/>
    <s v="ENX2021"/>
    <s v="A167"/>
    <s v="EMP1012"/>
    <s v="C1158"/>
    <x v="544"/>
    <n v="1"/>
    <n v="217"/>
    <n v="171"/>
    <n v="171"/>
    <n v="217"/>
    <n v="46"/>
    <s v="Product 22"/>
    <x v="64"/>
    <s v="John Reyes"/>
    <x v="541"/>
    <n v="5"/>
    <x v="4"/>
    <x v="8"/>
    <x v="8"/>
    <x v="2"/>
    <x v="0"/>
  </r>
  <r>
    <s v="AX24513"/>
    <s v="ENX2004"/>
    <s v="A154"/>
    <s v="EMP1019"/>
    <s v="C1129"/>
    <x v="543"/>
    <n v="1"/>
    <n v="1278"/>
    <n v="665"/>
    <n v="665"/>
    <n v="1278"/>
    <n v="613"/>
    <s v="Product 5"/>
    <x v="24"/>
    <s v="Roger Robertson"/>
    <x v="281"/>
    <n v="5"/>
    <x v="4"/>
    <x v="8"/>
    <x v="8"/>
    <x v="2"/>
    <x v="0"/>
  </r>
  <r>
    <s v="AX24634"/>
    <s v="ENX2008"/>
    <s v="A159"/>
    <s v="EMP1039"/>
    <s v="C1249"/>
    <x v="542"/>
    <n v="1"/>
    <n v="315"/>
    <n v="208"/>
    <n v="208"/>
    <n v="315"/>
    <n v="107"/>
    <s v="Product 9"/>
    <x v="13"/>
    <s v="Eugene Holmes"/>
    <x v="709"/>
    <n v="5"/>
    <x v="4"/>
    <x v="8"/>
    <x v="8"/>
    <x v="2"/>
    <x v="0"/>
  </r>
  <r>
    <s v="AX24694"/>
    <s v="ENX2070"/>
    <s v="A141"/>
    <s v="EMP1015"/>
    <s v="C1449"/>
    <x v="542"/>
    <n v="2"/>
    <n v="1671"/>
    <n v="1220"/>
    <n v="2440"/>
    <n v="3342"/>
    <n v="902"/>
    <s v="Product 71"/>
    <x v="23"/>
    <s v="Justin Lynch"/>
    <x v="230"/>
    <n v="5"/>
    <x v="4"/>
    <x v="8"/>
    <x v="8"/>
    <x v="2"/>
    <x v="0"/>
  </r>
  <r>
    <s v="AX10044"/>
    <s v="ENX2001"/>
    <s v="A120"/>
    <s v="EMP1038"/>
    <s v="C1604"/>
    <x v="545"/>
    <n v="2"/>
    <n v="951"/>
    <n v="504"/>
    <n v="1008"/>
    <n v="1902"/>
    <n v="894"/>
    <s v="Product 2"/>
    <x v="20"/>
    <s v="Scott Mason"/>
    <x v="700"/>
    <n v="5"/>
    <x v="4"/>
    <x v="8"/>
    <x v="8"/>
    <x v="2"/>
    <x v="2"/>
  </r>
  <r>
    <s v="AX10189"/>
    <s v="ENX2002"/>
    <s v="A111"/>
    <s v="EMP1030"/>
    <s v="C1590"/>
    <x v="546"/>
    <n v="1"/>
    <n v="847"/>
    <n v="534"/>
    <n v="534"/>
    <n v="847"/>
    <n v="313"/>
    <s v="Product 3"/>
    <x v="54"/>
    <s v="Bobby Russell"/>
    <x v="735"/>
    <n v="5"/>
    <x v="4"/>
    <x v="8"/>
    <x v="8"/>
    <x v="2"/>
    <x v="2"/>
  </r>
  <r>
    <s v="AX10542"/>
    <s v="ENX2096"/>
    <s v="A107"/>
    <s v="EMP1000"/>
    <s v="C1011"/>
    <x v="547"/>
    <n v="4"/>
    <n v="1587"/>
    <n v="1301"/>
    <n v="5204"/>
    <n v="6348"/>
    <n v="1144"/>
    <s v="Product 97"/>
    <x v="21"/>
    <s v="Fred Robertson"/>
    <x v="275"/>
    <n v="5"/>
    <x v="4"/>
    <x v="8"/>
    <x v="8"/>
    <x v="2"/>
    <x v="2"/>
  </r>
  <r>
    <s v="AX10559"/>
    <s v="ENX2007"/>
    <s v="A111"/>
    <s v="EMP1037"/>
    <s v="C1575"/>
    <x v="546"/>
    <n v="3"/>
    <n v="1405"/>
    <n v="1054"/>
    <n v="3162"/>
    <n v="4215"/>
    <n v="1053"/>
    <s v="Product 8"/>
    <x v="54"/>
    <s v="Carl Hall"/>
    <x v="99"/>
    <n v="5"/>
    <x v="4"/>
    <x v="8"/>
    <x v="8"/>
    <x v="2"/>
    <x v="2"/>
  </r>
  <r>
    <s v="AX10697"/>
    <s v="ENX2070"/>
    <s v="A141"/>
    <s v="EMP1044"/>
    <s v="C1050"/>
    <x v="545"/>
    <n v="4"/>
    <n v="1671"/>
    <n v="1220"/>
    <n v="4880"/>
    <n v="6684"/>
    <n v="1804"/>
    <s v="Product 71"/>
    <x v="23"/>
    <s v="Martin Carr"/>
    <x v="684"/>
    <n v="5"/>
    <x v="4"/>
    <x v="8"/>
    <x v="8"/>
    <x v="2"/>
    <x v="2"/>
  </r>
  <r>
    <s v="AX10993"/>
    <s v="ENX2078"/>
    <s v="A112"/>
    <s v="EMP1022"/>
    <s v="C1670"/>
    <x v="548"/>
    <n v="3"/>
    <n v="1798"/>
    <n v="971"/>
    <n v="2913"/>
    <n v="5394"/>
    <n v="2481"/>
    <s v="Product 79"/>
    <x v="66"/>
    <s v="Walter Cook"/>
    <x v="663"/>
    <n v="5"/>
    <x v="4"/>
    <x v="8"/>
    <x v="8"/>
    <x v="2"/>
    <x v="2"/>
  </r>
  <r>
    <s v="AX11001"/>
    <s v="ENX2090"/>
    <s v="A109"/>
    <s v="EMP1024"/>
    <s v="C1783"/>
    <x v="548"/>
    <n v="3"/>
    <n v="1338"/>
    <n v="682"/>
    <n v="2046"/>
    <n v="4014"/>
    <n v="1968"/>
    <s v="Product 91"/>
    <x v="57"/>
    <s v="Ernest Wheeler"/>
    <x v="272"/>
    <n v="5"/>
    <x v="4"/>
    <x v="8"/>
    <x v="8"/>
    <x v="2"/>
    <x v="2"/>
  </r>
  <r>
    <s v="AX11198"/>
    <s v="ENX2076"/>
    <s v="A116"/>
    <s v="EMP1011"/>
    <s v="C1198"/>
    <x v="545"/>
    <n v="1"/>
    <n v="1522"/>
    <n v="791"/>
    <n v="791"/>
    <n v="1522"/>
    <n v="731"/>
    <s v="Product 77"/>
    <x v="15"/>
    <s v="Larry Marshall"/>
    <x v="42"/>
    <n v="5"/>
    <x v="4"/>
    <x v="8"/>
    <x v="8"/>
    <x v="2"/>
    <x v="2"/>
  </r>
  <r>
    <s v="AX11749"/>
    <s v="ENX2015"/>
    <s v="A137"/>
    <s v="EMP1009"/>
    <s v="C1513"/>
    <x v="545"/>
    <n v="3"/>
    <n v="637"/>
    <n v="389"/>
    <n v="1167"/>
    <n v="1911"/>
    <n v="744"/>
    <s v="Product 16"/>
    <x v="68"/>
    <s v="Kenneth Fields"/>
    <x v="414"/>
    <n v="5"/>
    <x v="4"/>
    <x v="8"/>
    <x v="8"/>
    <x v="2"/>
    <x v="2"/>
  </r>
  <r>
    <s v="AX11976"/>
    <s v="ENX2017"/>
    <s v="A136"/>
    <s v="EMP1023"/>
    <s v="C1695"/>
    <x v="547"/>
    <n v="1"/>
    <n v="35"/>
    <n v="22"/>
    <n v="22"/>
    <n v="35"/>
    <n v="13"/>
    <s v="Product 18"/>
    <x v="43"/>
    <s v="Brian Davis"/>
    <x v="18"/>
    <n v="5"/>
    <x v="4"/>
    <x v="8"/>
    <x v="8"/>
    <x v="2"/>
    <x v="2"/>
  </r>
  <r>
    <s v="AX12102"/>
    <s v="ENX2029"/>
    <s v="A164"/>
    <s v="EMP1030"/>
    <s v="C1594"/>
    <x v="545"/>
    <n v="4"/>
    <n v="1848"/>
    <n v="1294"/>
    <n v="5176"/>
    <n v="7392"/>
    <n v="2216"/>
    <s v="Product 30"/>
    <x v="3"/>
    <s v="Bobby Russell"/>
    <x v="770"/>
    <n v="5"/>
    <x v="4"/>
    <x v="8"/>
    <x v="8"/>
    <x v="2"/>
    <x v="2"/>
  </r>
  <r>
    <s v="AX12131"/>
    <s v="ENX2066"/>
    <s v="A121"/>
    <s v="EMP1034"/>
    <s v="C1355"/>
    <x v="547"/>
    <n v="3"/>
    <n v="2091"/>
    <n v="1485"/>
    <n v="4455"/>
    <n v="6273"/>
    <n v="1818"/>
    <s v="Product 67"/>
    <x v="72"/>
    <s v="Arthur Mccoy"/>
    <x v="710"/>
    <n v="5"/>
    <x v="4"/>
    <x v="8"/>
    <x v="8"/>
    <x v="2"/>
    <x v="2"/>
  </r>
  <r>
    <s v="AX12693"/>
    <s v="ENX2007"/>
    <s v="A155"/>
    <s v="EMP1029"/>
    <s v="C1403"/>
    <x v="547"/>
    <n v="4"/>
    <n v="1405"/>
    <n v="1054"/>
    <n v="4216"/>
    <n v="5620"/>
    <n v="1404"/>
    <s v="Product 8"/>
    <x v="53"/>
    <s v="Howard Gardner"/>
    <x v="134"/>
    <n v="5"/>
    <x v="4"/>
    <x v="8"/>
    <x v="8"/>
    <x v="2"/>
    <x v="2"/>
  </r>
  <r>
    <s v="AX12754"/>
    <s v="ENX2055"/>
    <s v="A137"/>
    <s v="EMP1010"/>
    <s v="C1687"/>
    <x v="548"/>
    <n v="4"/>
    <n v="2495"/>
    <n v="1896"/>
    <n v="7584"/>
    <n v="9980"/>
    <n v="2396"/>
    <s v="Product 56"/>
    <x v="68"/>
    <s v="Joshua Cook"/>
    <x v="389"/>
    <n v="5"/>
    <x v="4"/>
    <x v="8"/>
    <x v="8"/>
    <x v="2"/>
    <x v="2"/>
  </r>
  <r>
    <s v="AX13044"/>
    <s v="ENX2048"/>
    <s v="A136"/>
    <s v="EMP1010"/>
    <s v="C1327"/>
    <x v="547"/>
    <n v="1"/>
    <n v="502"/>
    <n v="296"/>
    <n v="296"/>
    <n v="502"/>
    <n v="206"/>
    <s v="Product 49"/>
    <x v="43"/>
    <s v="Joshua Cook"/>
    <x v="321"/>
    <n v="5"/>
    <x v="4"/>
    <x v="8"/>
    <x v="8"/>
    <x v="2"/>
    <x v="2"/>
  </r>
  <r>
    <s v="AX13119"/>
    <s v="ENX2036"/>
    <s v="A172"/>
    <s v="EMP1010"/>
    <s v="C1173"/>
    <x v="547"/>
    <n v="4"/>
    <n v="1582"/>
    <n v="1234"/>
    <n v="4936"/>
    <n v="6328"/>
    <n v="1392"/>
    <s v="Product 37"/>
    <x v="36"/>
    <s v="Joshua Cook"/>
    <x v="167"/>
    <n v="5"/>
    <x v="4"/>
    <x v="8"/>
    <x v="8"/>
    <x v="2"/>
    <x v="2"/>
  </r>
  <r>
    <s v="AX13921"/>
    <s v="ENX2019"/>
    <s v="A146"/>
    <s v="EMP1040"/>
    <s v="C1650"/>
    <x v="548"/>
    <n v="1"/>
    <n v="800"/>
    <n v="536"/>
    <n v="536"/>
    <n v="800"/>
    <n v="264"/>
    <s v="Product 20"/>
    <x v="27"/>
    <s v="Patrick Ruiz"/>
    <x v="645"/>
    <n v="5"/>
    <x v="4"/>
    <x v="8"/>
    <x v="8"/>
    <x v="2"/>
    <x v="2"/>
  </r>
  <r>
    <s v="AX14015"/>
    <s v="ENX2059"/>
    <s v="A166"/>
    <s v="EMP1039"/>
    <s v="C1300"/>
    <x v="548"/>
    <n v="3"/>
    <n v="1494"/>
    <n v="971"/>
    <n v="2913"/>
    <n v="4482"/>
    <n v="1569"/>
    <s v="Product 60"/>
    <x v="70"/>
    <s v="Eugene Holmes"/>
    <x v="201"/>
    <n v="5"/>
    <x v="4"/>
    <x v="8"/>
    <x v="8"/>
    <x v="2"/>
    <x v="2"/>
  </r>
  <r>
    <s v="AX14122"/>
    <s v="ENX2097"/>
    <s v="A133"/>
    <s v="EMP1027"/>
    <s v="C1044"/>
    <x v="548"/>
    <n v="2"/>
    <n v="1052"/>
    <n v="589"/>
    <n v="1178"/>
    <n v="2104"/>
    <n v="926"/>
    <s v="Product 98"/>
    <x v="46"/>
    <s v="Gary Rodriguez"/>
    <x v="331"/>
    <n v="5"/>
    <x v="4"/>
    <x v="8"/>
    <x v="8"/>
    <x v="2"/>
    <x v="2"/>
  </r>
  <r>
    <s v="AX14227"/>
    <s v="ENX2035"/>
    <s v="A160"/>
    <s v="EMP1017"/>
    <s v="C1237"/>
    <x v="548"/>
    <n v="1"/>
    <n v="458"/>
    <n v="376"/>
    <n v="376"/>
    <n v="458"/>
    <n v="82"/>
    <s v="Product 36"/>
    <x v="9"/>
    <s v="Brian Hansen"/>
    <x v="484"/>
    <n v="5"/>
    <x v="4"/>
    <x v="8"/>
    <x v="8"/>
    <x v="2"/>
    <x v="2"/>
  </r>
  <r>
    <s v="AX14232"/>
    <s v="ENX2021"/>
    <s v="A106"/>
    <s v="EMP1007"/>
    <s v="C1349"/>
    <x v="546"/>
    <n v="1"/>
    <n v="217"/>
    <n v="171"/>
    <n v="171"/>
    <n v="217"/>
    <n v="46"/>
    <s v="Product 22"/>
    <x v="11"/>
    <s v="Jeremy Mendoza"/>
    <x v="501"/>
    <n v="5"/>
    <x v="4"/>
    <x v="8"/>
    <x v="8"/>
    <x v="2"/>
    <x v="2"/>
  </r>
  <r>
    <s v="AX14586"/>
    <s v="ENX2045"/>
    <s v="A144"/>
    <s v="EMP1043"/>
    <s v="C1373"/>
    <x v="548"/>
    <n v="1"/>
    <n v="556"/>
    <n v="395"/>
    <n v="395"/>
    <n v="556"/>
    <n v="161"/>
    <s v="Product 46"/>
    <x v="65"/>
    <s v="Joshua Taylor"/>
    <x v="471"/>
    <n v="5"/>
    <x v="4"/>
    <x v="8"/>
    <x v="8"/>
    <x v="2"/>
    <x v="2"/>
  </r>
  <r>
    <s v="AX14681"/>
    <s v="ENX2094"/>
    <s v="A125"/>
    <s v="EMP1013"/>
    <s v="C1669"/>
    <x v="547"/>
    <n v="3"/>
    <n v="771"/>
    <n v="648"/>
    <n v="1944"/>
    <n v="2313"/>
    <n v="369"/>
    <s v="Product 95"/>
    <x v="31"/>
    <s v="Charles Harper"/>
    <x v="447"/>
    <n v="5"/>
    <x v="4"/>
    <x v="8"/>
    <x v="8"/>
    <x v="2"/>
    <x v="2"/>
  </r>
  <r>
    <s v="AX14701"/>
    <s v="ENX2063"/>
    <s v="A115"/>
    <s v="EMP1040"/>
    <s v="C1239"/>
    <x v="548"/>
    <n v="1"/>
    <n v="1708"/>
    <n v="871"/>
    <n v="871"/>
    <n v="1708"/>
    <n v="837"/>
    <s v="Product 64"/>
    <x v="33"/>
    <s v="Patrick Ruiz"/>
    <x v="479"/>
    <n v="5"/>
    <x v="4"/>
    <x v="8"/>
    <x v="8"/>
    <x v="2"/>
    <x v="2"/>
  </r>
  <r>
    <s v="AX15181"/>
    <s v="ENX2021"/>
    <s v="A113"/>
    <s v="EMP1031"/>
    <s v="C1678"/>
    <x v="546"/>
    <n v="1"/>
    <n v="217"/>
    <n v="171"/>
    <n v="171"/>
    <n v="217"/>
    <n v="46"/>
    <s v="Product 22"/>
    <x v="73"/>
    <s v="Brian Thomas"/>
    <x v="191"/>
    <n v="5"/>
    <x v="4"/>
    <x v="8"/>
    <x v="8"/>
    <x v="2"/>
    <x v="2"/>
  </r>
  <r>
    <s v="AX15374"/>
    <s v="ENX2055"/>
    <s v="A126"/>
    <s v="EMP1005"/>
    <s v="C1006"/>
    <x v="546"/>
    <n v="1"/>
    <n v="2495"/>
    <n v="1896"/>
    <n v="1896"/>
    <n v="2495"/>
    <n v="599"/>
    <s v="Product 56"/>
    <x v="5"/>
    <s v="Ryan Welch"/>
    <x v="687"/>
    <n v="5"/>
    <x v="4"/>
    <x v="8"/>
    <x v="8"/>
    <x v="2"/>
    <x v="2"/>
  </r>
  <r>
    <s v="AX15709"/>
    <s v="ENX2014"/>
    <s v="A128"/>
    <s v="EMP1043"/>
    <s v="C1617"/>
    <x v="545"/>
    <n v="1"/>
    <n v="1809"/>
    <n v="1067"/>
    <n v="1067"/>
    <n v="1809"/>
    <n v="742"/>
    <s v="Product 15"/>
    <x v="12"/>
    <s v="Joshua Taylor"/>
    <x v="195"/>
    <n v="5"/>
    <x v="4"/>
    <x v="8"/>
    <x v="8"/>
    <x v="2"/>
    <x v="2"/>
  </r>
  <r>
    <s v="AX15865"/>
    <s v="ENX2029"/>
    <s v="A133"/>
    <s v="EMP1039"/>
    <s v="C1497"/>
    <x v="548"/>
    <n v="1"/>
    <n v="1848"/>
    <n v="1294"/>
    <n v="1294"/>
    <n v="1848"/>
    <n v="554"/>
    <s v="Product 30"/>
    <x v="46"/>
    <s v="Eugene Holmes"/>
    <x v="794"/>
    <n v="5"/>
    <x v="4"/>
    <x v="8"/>
    <x v="8"/>
    <x v="2"/>
    <x v="2"/>
  </r>
  <r>
    <s v="AX15930"/>
    <s v="ENX2048"/>
    <s v="A153"/>
    <s v="EMP1037"/>
    <s v="C1189"/>
    <x v="548"/>
    <n v="4"/>
    <n v="502"/>
    <n v="296"/>
    <n v="1184"/>
    <n v="2008"/>
    <n v="824"/>
    <s v="Product 49"/>
    <x v="8"/>
    <s v="Carl Hall"/>
    <x v="752"/>
    <n v="5"/>
    <x v="4"/>
    <x v="8"/>
    <x v="8"/>
    <x v="2"/>
    <x v="2"/>
  </r>
  <r>
    <s v="AX15991"/>
    <s v="ENX2045"/>
    <s v="A166"/>
    <s v="EMP1013"/>
    <s v="C1111"/>
    <x v="547"/>
    <n v="1"/>
    <n v="556"/>
    <n v="395"/>
    <n v="395"/>
    <n v="556"/>
    <n v="161"/>
    <s v="Product 46"/>
    <x v="70"/>
    <s v="Charles Harper"/>
    <x v="563"/>
    <n v="5"/>
    <x v="4"/>
    <x v="8"/>
    <x v="8"/>
    <x v="2"/>
    <x v="2"/>
  </r>
  <r>
    <s v="AX16496"/>
    <s v="ENX2012"/>
    <s v="A158"/>
    <s v="EMP1029"/>
    <s v="C1273"/>
    <x v="548"/>
    <n v="2"/>
    <n v="1353"/>
    <n v="947"/>
    <n v="1894"/>
    <n v="2706"/>
    <n v="812"/>
    <s v="Product 13"/>
    <x v="58"/>
    <s v="Howard Gardner"/>
    <x v="469"/>
    <n v="5"/>
    <x v="4"/>
    <x v="8"/>
    <x v="8"/>
    <x v="2"/>
    <x v="2"/>
  </r>
  <r>
    <s v="AX16536"/>
    <s v="ENX2004"/>
    <s v="A137"/>
    <s v="EMP1043"/>
    <s v="C1218"/>
    <x v="547"/>
    <n v="1"/>
    <n v="1278"/>
    <n v="665"/>
    <n v="665"/>
    <n v="1278"/>
    <n v="613"/>
    <s v="Product 5"/>
    <x v="68"/>
    <s v="Joshua Taylor"/>
    <x v="786"/>
    <n v="5"/>
    <x v="4"/>
    <x v="8"/>
    <x v="8"/>
    <x v="2"/>
    <x v="2"/>
  </r>
  <r>
    <s v="AX16645"/>
    <s v="ENX2074"/>
    <s v="A165"/>
    <s v="EMP1023"/>
    <s v="C1368"/>
    <x v="545"/>
    <n v="1"/>
    <n v="504"/>
    <n v="408"/>
    <n v="408"/>
    <n v="504"/>
    <n v="96"/>
    <s v="Product 75"/>
    <x v="55"/>
    <s v="Brian Davis"/>
    <x v="200"/>
    <n v="5"/>
    <x v="4"/>
    <x v="8"/>
    <x v="8"/>
    <x v="2"/>
    <x v="2"/>
  </r>
  <r>
    <s v="AX16651"/>
    <s v="ENX2090"/>
    <s v="A104"/>
    <s v="EMP1022"/>
    <s v="C1489"/>
    <x v="546"/>
    <n v="1"/>
    <n v="1338"/>
    <n v="682"/>
    <n v="682"/>
    <n v="1338"/>
    <n v="656"/>
    <s v="Product 91"/>
    <x v="50"/>
    <s v="Walter Cook"/>
    <x v="19"/>
    <n v="5"/>
    <x v="4"/>
    <x v="8"/>
    <x v="8"/>
    <x v="2"/>
    <x v="2"/>
  </r>
  <r>
    <s v="AX16839"/>
    <s v="ENX2017"/>
    <s v="A122"/>
    <s v="EMP1028"/>
    <s v="C1002"/>
    <x v="548"/>
    <n v="2"/>
    <n v="35"/>
    <n v="22"/>
    <n v="44"/>
    <n v="70"/>
    <n v="26"/>
    <s v="Product 18"/>
    <x v="71"/>
    <s v="Howard Sims"/>
    <x v="49"/>
    <n v="5"/>
    <x v="4"/>
    <x v="8"/>
    <x v="8"/>
    <x v="2"/>
    <x v="2"/>
  </r>
  <r>
    <s v="AX16871"/>
    <s v="ENX2004"/>
    <s v="A148"/>
    <s v="EMP1004"/>
    <s v="C1743"/>
    <x v="546"/>
    <n v="1"/>
    <n v="1278"/>
    <n v="665"/>
    <n v="665"/>
    <n v="1278"/>
    <n v="613"/>
    <s v="Product 5"/>
    <x v="62"/>
    <s v="Kenneth Bradley"/>
    <x v="276"/>
    <n v="5"/>
    <x v="4"/>
    <x v="8"/>
    <x v="8"/>
    <x v="2"/>
    <x v="2"/>
  </r>
  <r>
    <s v="AX17236"/>
    <s v="ENX2001"/>
    <s v="A164"/>
    <s v="EMP1039"/>
    <s v="C1426"/>
    <x v="545"/>
    <n v="1"/>
    <n v="951"/>
    <n v="504"/>
    <n v="504"/>
    <n v="951"/>
    <n v="447"/>
    <s v="Product 2"/>
    <x v="3"/>
    <s v="Eugene Holmes"/>
    <x v="127"/>
    <n v="5"/>
    <x v="4"/>
    <x v="8"/>
    <x v="8"/>
    <x v="2"/>
    <x v="2"/>
  </r>
  <r>
    <s v="AX17873"/>
    <s v="ENX2036"/>
    <s v="A119"/>
    <s v="EMP1042"/>
    <s v="C1384"/>
    <x v="548"/>
    <n v="3"/>
    <n v="1582"/>
    <n v="1234"/>
    <n v="3702"/>
    <n v="4746"/>
    <n v="1044"/>
    <s v="Product 37"/>
    <x v="16"/>
    <s v="Scott Clark"/>
    <x v="690"/>
    <n v="5"/>
    <x v="4"/>
    <x v="8"/>
    <x v="8"/>
    <x v="2"/>
    <x v="2"/>
  </r>
  <r>
    <s v="AX18190"/>
    <s v="ENX2016"/>
    <s v="A144"/>
    <s v="EMP1037"/>
    <s v="C1129"/>
    <x v="545"/>
    <n v="1"/>
    <n v="1351"/>
    <n v="1108"/>
    <n v="1108"/>
    <n v="1351"/>
    <n v="243"/>
    <s v="Product 17"/>
    <x v="65"/>
    <s v="Carl Hall"/>
    <x v="281"/>
    <n v="5"/>
    <x v="4"/>
    <x v="8"/>
    <x v="8"/>
    <x v="2"/>
    <x v="2"/>
  </r>
  <r>
    <s v="AX18222"/>
    <s v="ENX2053"/>
    <s v="A144"/>
    <s v="EMP1039"/>
    <s v="C1357"/>
    <x v="545"/>
    <n v="1"/>
    <n v="596"/>
    <n v="358"/>
    <n v="358"/>
    <n v="596"/>
    <n v="238"/>
    <s v="Product 54"/>
    <x v="65"/>
    <s v="Eugene Holmes"/>
    <x v="327"/>
    <n v="5"/>
    <x v="4"/>
    <x v="8"/>
    <x v="8"/>
    <x v="2"/>
    <x v="2"/>
  </r>
  <r>
    <s v="AX18874"/>
    <s v="ENX2058"/>
    <s v="A125"/>
    <s v="EMP1023"/>
    <s v="C1587"/>
    <x v="545"/>
    <n v="1"/>
    <n v="2257"/>
    <n v="1535"/>
    <n v="1535"/>
    <n v="2257"/>
    <n v="722"/>
    <s v="Product 59"/>
    <x v="31"/>
    <s v="Brian Davis"/>
    <x v="403"/>
    <n v="5"/>
    <x v="4"/>
    <x v="8"/>
    <x v="8"/>
    <x v="2"/>
    <x v="2"/>
  </r>
  <r>
    <s v="AX19135"/>
    <s v="ENX2020"/>
    <s v="A119"/>
    <s v="EMP1031"/>
    <s v="C1323"/>
    <x v="547"/>
    <n v="1"/>
    <n v="2005"/>
    <n v="1223"/>
    <n v="1223"/>
    <n v="2005"/>
    <n v="782"/>
    <s v="Product 21"/>
    <x v="16"/>
    <s v="Brian Thomas"/>
    <x v="83"/>
    <n v="5"/>
    <x v="4"/>
    <x v="8"/>
    <x v="8"/>
    <x v="2"/>
    <x v="2"/>
  </r>
  <r>
    <s v="AX19281"/>
    <s v="ENX2053"/>
    <s v="A115"/>
    <s v="EMP1008"/>
    <s v="C1659"/>
    <x v="545"/>
    <n v="2"/>
    <n v="596"/>
    <n v="358"/>
    <n v="716"/>
    <n v="1192"/>
    <n v="476"/>
    <s v="Product 54"/>
    <x v="33"/>
    <s v="Carl Elliott"/>
    <x v="51"/>
    <n v="5"/>
    <x v="4"/>
    <x v="8"/>
    <x v="8"/>
    <x v="2"/>
    <x v="2"/>
  </r>
  <r>
    <s v="AX19316"/>
    <s v="ENX2027"/>
    <s v="A144"/>
    <s v="EMP1043"/>
    <s v="C1538"/>
    <x v="548"/>
    <n v="1"/>
    <n v="2497"/>
    <n v="1473"/>
    <n v="1473"/>
    <n v="2497"/>
    <n v="1024"/>
    <s v="Product 28"/>
    <x v="65"/>
    <s v="Joshua Taylor"/>
    <x v="384"/>
    <n v="5"/>
    <x v="4"/>
    <x v="8"/>
    <x v="8"/>
    <x v="2"/>
    <x v="2"/>
  </r>
  <r>
    <s v="AX19519"/>
    <s v="ENX2011"/>
    <s v="A162"/>
    <s v="EMP1033"/>
    <s v="C1189"/>
    <x v="548"/>
    <n v="3"/>
    <n v="530"/>
    <n v="435"/>
    <n v="1305"/>
    <n v="1590"/>
    <n v="285"/>
    <s v="Product 12"/>
    <x v="2"/>
    <s v="Jerry Perry"/>
    <x v="752"/>
    <n v="5"/>
    <x v="4"/>
    <x v="8"/>
    <x v="8"/>
    <x v="2"/>
    <x v="2"/>
  </r>
  <r>
    <s v="AX19666"/>
    <s v="ENX2029"/>
    <s v="A102"/>
    <s v="EMP1031"/>
    <s v="C1064"/>
    <x v="548"/>
    <n v="1"/>
    <n v="1848"/>
    <n v="1294"/>
    <n v="1294"/>
    <n v="1848"/>
    <n v="554"/>
    <s v="Product 30"/>
    <x v="44"/>
    <s v="Brian Thomas"/>
    <x v="597"/>
    <n v="5"/>
    <x v="4"/>
    <x v="8"/>
    <x v="8"/>
    <x v="2"/>
    <x v="2"/>
  </r>
  <r>
    <s v="AX19873"/>
    <s v="ENX2097"/>
    <s v="A114"/>
    <s v="EMP1010"/>
    <s v="C1645"/>
    <x v="548"/>
    <n v="4"/>
    <n v="1052"/>
    <n v="589"/>
    <n v="2356"/>
    <n v="4208"/>
    <n v="1852"/>
    <s v="Product 98"/>
    <x v="28"/>
    <s v="Joshua Cook"/>
    <x v="128"/>
    <n v="5"/>
    <x v="4"/>
    <x v="8"/>
    <x v="8"/>
    <x v="2"/>
    <x v="2"/>
  </r>
  <r>
    <s v="AX21732"/>
    <s v="ENX2076"/>
    <s v="A124"/>
    <s v="EMP1031"/>
    <s v="C1555"/>
    <x v="547"/>
    <n v="1"/>
    <n v="1522"/>
    <n v="791"/>
    <n v="791"/>
    <n v="1522"/>
    <n v="731"/>
    <s v="Product 77"/>
    <x v="67"/>
    <s v="Brian Thomas"/>
    <x v="148"/>
    <n v="5"/>
    <x v="4"/>
    <x v="8"/>
    <x v="8"/>
    <x v="2"/>
    <x v="2"/>
  </r>
  <r>
    <s v="AX23131"/>
    <s v="ENX2057"/>
    <s v="A171"/>
    <s v="EMP1000"/>
    <s v="C1766"/>
    <x v="546"/>
    <n v="1"/>
    <n v="181"/>
    <n v="130"/>
    <n v="130"/>
    <n v="181"/>
    <n v="51"/>
    <s v="Product 58"/>
    <x v="0"/>
    <s v="Fred Robertson"/>
    <x v="452"/>
    <n v="5"/>
    <x v="4"/>
    <x v="8"/>
    <x v="8"/>
    <x v="2"/>
    <x v="2"/>
  </r>
  <r>
    <s v="AX23243"/>
    <s v="ENX2011"/>
    <s v="A132"/>
    <s v="EMP1043"/>
    <s v="C1119"/>
    <x v="546"/>
    <n v="1"/>
    <n v="530"/>
    <n v="435"/>
    <n v="435"/>
    <n v="530"/>
    <n v="95"/>
    <s v="Product 12"/>
    <x v="48"/>
    <s v="Joshua Taylor"/>
    <x v="614"/>
    <n v="5"/>
    <x v="4"/>
    <x v="8"/>
    <x v="8"/>
    <x v="2"/>
    <x v="2"/>
  </r>
  <r>
    <s v="AX23493"/>
    <s v="ENX2049"/>
    <s v="A112"/>
    <s v="EMP1007"/>
    <s v="C1243"/>
    <x v="547"/>
    <n v="3"/>
    <n v="826"/>
    <n v="562"/>
    <n v="1686"/>
    <n v="2478"/>
    <n v="792"/>
    <s v="Product 50"/>
    <x v="66"/>
    <s v="Jeremy Mendoza"/>
    <x v="129"/>
    <n v="5"/>
    <x v="4"/>
    <x v="8"/>
    <x v="8"/>
    <x v="2"/>
    <x v="2"/>
  </r>
  <r>
    <s v="AX23660"/>
    <s v="ENX2055"/>
    <s v="A102"/>
    <s v="EMP1020"/>
    <s v="C1257"/>
    <x v="546"/>
    <n v="1"/>
    <n v="2495"/>
    <n v="1896"/>
    <n v="1896"/>
    <n v="2495"/>
    <n v="599"/>
    <s v="Product 56"/>
    <x v="44"/>
    <s v="Ryan Butler"/>
    <x v="287"/>
    <n v="5"/>
    <x v="4"/>
    <x v="8"/>
    <x v="8"/>
    <x v="2"/>
    <x v="2"/>
  </r>
  <r>
    <s v="AX23664"/>
    <s v="ENX2033"/>
    <s v="A101"/>
    <s v="EMP1032"/>
    <s v="C1180"/>
    <x v="548"/>
    <n v="1"/>
    <n v="2182"/>
    <n v="1200"/>
    <n v="1200"/>
    <n v="2182"/>
    <n v="982"/>
    <s v="Product 34"/>
    <x v="60"/>
    <s v="Larry Castillo"/>
    <x v="212"/>
    <n v="5"/>
    <x v="4"/>
    <x v="8"/>
    <x v="8"/>
    <x v="2"/>
    <x v="2"/>
  </r>
  <r>
    <s v="AX23781"/>
    <s v="ENX2054"/>
    <s v="A168"/>
    <s v="EMP1034"/>
    <s v="C1252"/>
    <x v="546"/>
    <n v="2"/>
    <n v="127"/>
    <n v="79"/>
    <n v="158"/>
    <n v="254"/>
    <n v="96"/>
    <s v="Product 55"/>
    <x v="40"/>
    <s v="Arthur Mccoy"/>
    <x v="358"/>
    <n v="5"/>
    <x v="4"/>
    <x v="8"/>
    <x v="8"/>
    <x v="2"/>
    <x v="2"/>
  </r>
  <r>
    <s v="AX23783"/>
    <s v="ENX2050"/>
    <s v="A149"/>
    <s v="EMP1006"/>
    <s v="C1172"/>
    <x v="548"/>
    <n v="2"/>
    <n v="2391"/>
    <n v="1291"/>
    <n v="2582"/>
    <n v="4782"/>
    <n v="2200"/>
    <s v="Product 51"/>
    <x v="59"/>
    <s v="Sean Miller"/>
    <x v="63"/>
    <n v="5"/>
    <x v="4"/>
    <x v="8"/>
    <x v="8"/>
    <x v="2"/>
    <x v="2"/>
  </r>
  <r>
    <s v="AX24270"/>
    <s v="ENX2014"/>
    <s v="A102"/>
    <s v="EMP1019"/>
    <s v="C1713"/>
    <x v="546"/>
    <n v="1"/>
    <n v="1809"/>
    <n v="1067"/>
    <n v="1067"/>
    <n v="1809"/>
    <n v="742"/>
    <s v="Product 15"/>
    <x v="44"/>
    <s v="Roger Robertson"/>
    <x v="753"/>
    <n v="5"/>
    <x v="4"/>
    <x v="8"/>
    <x v="8"/>
    <x v="2"/>
    <x v="2"/>
  </r>
  <r>
    <s v="AX24378"/>
    <s v="ENX2055"/>
    <s v="A104"/>
    <s v="EMP1022"/>
    <s v="C1767"/>
    <x v="545"/>
    <n v="1"/>
    <n v="2495"/>
    <n v="1896"/>
    <n v="1896"/>
    <n v="2495"/>
    <n v="599"/>
    <s v="Product 56"/>
    <x v="50"/>
    <s v="Walter Cook"/>
    <x v="4"/>
    <n v="5"/>
    <x v="4"/>
    <x v="8"/>
    <x v="8"/>
    <x v="2"/>
    <x v="2"/>
  </r>
  <r>
    <s v="AX24492"/>
    <s v="ENX2066"/>
    <s v="A105"/>
    <s v="EMP1009"/>
    <s v="C1452"/>
    <x v="545"/>
    <n v="3"/>
    <n v="2091"/>
    <n v="1485"/>
    <n v="4455"/>
    <n v="6273"/>
    <n v="1818"/>
    <s v="Product 67"/>
    <x v="45"/>
    <s v="Kenneth Fields"/>
    <x v="234"/>
    <n v="5"/>
    <x v="4"/>
    <x v="8"/>
    <x v="8"/>
    <x v="2"/>
    <x v="2"/>
  </r>
  <r>
    <s v="AX24500"/>
    <s v="ENX2098"/>
    <s v="A132"/>
    <s v="EMP1002"/>
    <s v="C1518"/>
    <x v="548"/>
    <n v="1"/>
    <n v="1178"/>
    <n v="683"/>
    <n v="683"/>
    <n v="1178"/>
    <n v="495"/>
    <s v="Product 99"/>
    <x v="48"/>
    <s v="Andrew Bowman"/>
    <x v="703"/>
    <n v="5"/>
    <x v="4"/>
    <x v="8"/>
    <x v="8"/>
    <x v="2"/>
    <x v="2"/>
  </r>
  <r>
    <s v="AX24705"/>
    <s v="ENX2050"/>
    <s v="A105"/>
    <s v="EMP1014"/>
    <s v="C1344"/>
    <x v="545"/>
    <n v="1"/>
    <n v="2391"/>
    <n v="1291"/>
    <n v="1291"/>
    <n v="2391"/>
    <n v="1100"/>
    <s v="Product 51"/>
    <x v="45"/>
    <s v="Ronald Reed"/>
    <x v="22"/>
    <n v="5"/>
    <x v="4"/>
    <x v="8"/>
    <x v="8"/>
    <x v="2"/>
    <x v="2"/>
  </r>
  <r>
    <s v="AX24717"/>
    <s v="ENX2093"/>
    <s v="A166"/>
    <s v="EMP1039"/>
    <s v="C1333"/>
    <x v="547"/>
    <n v="3"/>
    <n v="112"/>
    <n v="90"/>
    <n v="270"/>
    <n v="336"/>
    <n v="66"/>
    <s v="Product 94"/>
    <x v="70"/>
    <s v="Eugene Holmes"/>
    <x v="673"/>
    <n v="5"/>
    <x v="4"/>
    <x v="8"/>
    <x v="8"/>
    <x v="2"/>
    <x v="2"/>
  </r>
  <r>
    <s v="AX24882"/>
    <s v="ENX2029"/>
    <s v="A119"/>
    <s v="EMP1011"/>
    <s v="C1395"/>
    <x v="548"/>
    <n v="2"/>
    <n v="1848"/>
    <n v="1294"/>
    <n v="2588"/>
    <n v="3696"/>
    <n v="1108"/>
    <s v="Product 30"/>
    <x v="16"/>
    <s v="Larry Marshall"/>
    <x v="202"/>
    <n v="5"/>
    <x v="4"/>
    <x v="8"/>
    <x v="8"/>
    <x v="2"/>
    <x v="2"/>
  </r>
  <r>
    <s v="AX10184"/>
    <s v="ENX2015"/>
    <s v="A114"/>
    <s v="EMP1025"/>
    <s v="C1480"/>
    <x v="549"/>
    <n v="1"/>
    <n v="637"/>
    <n v="389"/>
    <n v="389"/>
    <n v="637"/>
    <n v="248"/>
    <s v="Product 16"/>
    <x v="28"/>
    <s v="Ernest Wagner"/>
    <x v="64"/>
    <n v="5"/>
    <x v="4"/>
    <x v="9"/>
    <x v="9"/>
    <x v="3"/>
    <x v="0"/>
  </r>
  <r>
    <s v="AX10402"/>
    <s v="ENX2032"/>
    <s v="A159"/>
    <s v="EMP1044"/>
    <s v="C1237"/>
    <x v="550"/>
    <n v="3"/>
    <n v="1967"/>
    <n v="1397"/>
    <n v="4191"/>
    <n v="5901"/>
    <n v="1710"/>
    <s v="Product 33"/>
    <x v="13"/>
    <s v="Martin Carr"/>
    <x v="484"/>
    <n v="5"/>
    <x v="4"/>
    <x v="9"/>
    <x v="9"/>
    <x v="3"/>
    <x v="0"/>
  </r>
  <r>
    <s v="AX10404"/>
    <s v="ENX2015"/>
    <s v="A171"/>
    <s v="EMP1044"/>
    <s v="C1015"/>
    <x v="549"/>
    <n v="1"/>
    <n v="637"/>
    <n v="389"/>
    <n v="389"/>
    <n v="637"/>
    <n v="248"/>
    <s v="Product 16"/>
    <x v="0"/>
    <s v="Martin Carr"/>
    <x v="583"/>
    <n v="5"/>
    <x v="4"/>
    <x v="9"/>
    <x v="9"/>
    <x v="3"/>
    <x v="0"/>
  </r>
  <r>
    <s v="AX11158"/>
    <s v="ENX2009"/>
    <s v="A119"/>
    <s v="EMP1020"/>
    <s v="C1764"/>
    <x v="549"/>
    <n v="2"/>
    <n v="584"/>
    <n v="420"/>
    <n v="840"/>
    <n v="1168"/>
    <n v="328"/>
    <s v="Product 10"/>
    <x v="16"/>
    <s v="Ryan Butler"/>
    <x v="386"/>
    <n v="5"/>
    <x v="4"/>
    <x v="9"/>
    <x v="9"/>
    <x v="3"/>
    <x v="0"/>
  </r>
  <r>
    <s v="AX11286"/>
    <s v="ENX2044"/>
    <s v="A146"/>
    <s v="EMP1007"/>
    <s v="C1521"/>
    <x v="550"/>
    <n v="2"/>
    <n v="886"/>
    <n v="478"/>
    <n v="956"/>
    <n v="1772"/>
    <n v="816"/>
    <s v="Product 45"/>
    <x v="27"/>
    <s v="Jeremy Mendoza"/>
    <x v="697"/>
    <n v="5"/>
    <x v="4"/>
    <x v="9"/>
    <x v="9"/>
    <x v="3"/>
    <x v="0"/>
  </r>
  <r>
    <s v="AX11438"/>
    <s v="ENX2030"/>
    <s v="A137"/>
    <s v="EMP1029"/>
    <s v="C1354"/>
    <x v="549"/>
    <n v="1"/>
    <n v="1899"/>
    <n v="1044"/>
    <n v="1044"/>
    <n v="1899"/>
    <n v="855"/>
    <s v="Product 31"/>
    <x v="68"/>
    <s v="Howard Gardner"/>
    <x v="133"/>
    <n v="5"/>
    <x v="4"/>
    <x v="9"/>
    <x v="9"/>
    <x v="3"/>
    <x v="0"/>
  </r>
  <r>
    <s v="AX11473"/>
    <s v="ENX2024"/>
    <s v="A131"/>
    <s v="EMP1021"/>
    <s v="C1615"/>
    <x v="551"/>
    <n v="1"/>
    <n v="356"/>
    <n v="292"/>
    <n v="292"/>
    <n v="356"/>
    <n v="64"/>
    <s v="Product 25"/>
    <x v="32"/>
    <s v="Clarence Fox"/>
    <x v="457"/>
    <n v="5"/>
    <x v="4"/>
    <x v="9"/>
    <x v="9"/>
    <x v="3"/>
    <x v="0"/>
  </r>
  <r>
    <s v="AX12838"/>
    <s v="ENX2021"/>
    <s v="A106"/>
    <s v="EMP1023"/>
    <s v="C1727"/>
    <x v="552"/>
    <n v="1"/>
    <n v="217"/>
    <n v="171"/>
    <n v="171"/>
    <n v="217"/>
    <n v="46"/>
    <s v="Product 22"/>
    <x v="11"/>
    <s v="Brian Davis"/>
    <x v="581"/>
    <n v="5"/>
    <x v="4"/>
    <x v="9"/>
    <x v="9"/>
    <x v="3"/>
    <x v="0"/>
  </r>
  <r>
    <s v="AX13000"/>
    <s v="ENX2004"/>
    <s v="A164"/>
    <s v="EMP1028"/>
    <s v="C1364"/>
    <x v="550"/>
    <n v="1"/>
    <n v="1278"/>
    <n v="665"/>
    <n v="665"/>
    <n v="1278"/>
    <n v="613"/>
    <s v="Product 5"/>
    <x v="3"/>
    <s v="Howard Sims"/>
    <x v="477"/>
    <n v="5"/>
    <x v="4"/>
    <x v="9"/>
    <x v="9"/>
    <x v="3"/>
    <x v="0"/>
  </r>
  <r>
    <s v="AX13762"/>
    <s v="ENX2023"/>
    <s v="A134"/>
    <s v="EMP1019"/>
    <s v="C1736"/>
    <x v="550"/>
    <n v="2"/>
    <n v="818"/>
    <n v="450"/>
    <n v="900"/>
    <n v="1636"/>
    <n v="736"/>
    <s v="Product 24"/>
    <x v="41"/>
    <s v="Roger Robertson"/>
    <x v="472"/>
    <n v="5"/>
    <x v="4"/>
    <x v="9"/>
    <x v="9"/>
    <x v="3"/>
    <x v="0"/>
  </r>
  <r>
    <s v="AX13776"/>
    <s v="ENX2031"/>
    <s v="A106"/>
    <s v="EMP1041"/>
    <s v="C1534"/>
    <x v="553"/>
    <n v="1"/>
    <n v="1638"/>
    <n v="1261"/>
    <n v="1261"/>
    <n v="1638"/>
    <n v="377"/>
    <s v="Product 32"/>
    <x v="11"/>
    <s v="Joe Sims"/>
    <x v="273"/>
    <n v="5"/>
    <x v="4"/>
    <x v="9"/>
    <x v="9"/>
    <x v="3"/>
    <x v="0"/>
  </r>
  <r>
    <s v="AX14028"/>
    <s v="ENX2079"/>
    <s v="A144"/>
    <s v="EMP1022"/>
    <s v="C1294"/>
    <x v="549"/>
    <n v="3"/>
    <n v="1725"/>
    <n v="1363"/>
    <n v="4089"/>
    <n v="5175"/>
    <n v="1086"/>
    <s v="Product 80"/>
    <x v="65"/>
    <s v="Walter Cook"/>
    <x v="419"/>
    <n v="5"/>
    <x v="4"/>
    <x v="9"/>
    <x v="9"/>
    <x v="3"/>
    <x v="0"/>
  </r>
  <r>
    <s v="AX14124"/>
    <s v="ENX2016"/>
    <s v="A141"/>
    <s v="EMP1019"/>
    <s v="C1501"/>
    <x v="551"/>
    <n v="3"/>
    <n v="1351"/>
    <n v="1108"/>
    <n v="3324"/>
    <n v="4053"/>
    <n v="729"/>
    <s v="Product 17"/>
    <x v="23"/>
    <s v="Roger Robertson"/>
    <x v="387"/>
    <n v="5"/>
    <x v="4"/>
    <x v="9"/>
    <x v="9"/>
    <x v="3"/>
    <x v="0"/>
  </r>
  <r>
    <s v="AX14805"/>
    <s v="ENX2032"/>
    <s v="A119"/>
    <s v="EMP1024"/>
    <s v="C1327"/>
    <x v="553"/>
    <n v="1"/>
    <n v="1967"/>
    <n v="1397"/>
    <n v="1397"/>
    <n v="1967"/>
    <n v="570"/>
    <s v="Product 33"/>
    <x v="16"/>
    <s v="Ernest Wheeler"/>
    <x v="321"/>
    <n v="5"/>
    <x v="4"/>
    <x v="9"/>
    <x v="9"/>
    <x v="3"/>
    <x v="0"/>
  </r>
  <r>
    <s v="AX15035"/>
    <s v="ENX2075"/>
    <s v="A141"/>
    <s v="EMP1003"/>
    <s v="C1345"/>
    <x v="551"/>
    <n v="1"/>
    <n v="400"/>
    <n v="208"/>
    <n v="208"/>
    <n v="400"/>
    <n v="192"/>
    <s v="Product 76"/>
    <x v="23"/>
    <s v="Christopher Tucker"/>
    <x v="567"/>
    <n v="5"/>
    <x v="4"/>
    <x v="9"/>
    <x v="9"/>
    <x v="3"/>
    <x v="0"/>
  </r>
  <r>
    <s v="AX15285"/>
    <s v="ENX2034"/>
    <s v="A144"/>
    <s v="EMP1024"/>
    <s v="C1257"/>
    <x v="550"/>
    <n v="1"/>
    <n v="871"/>
    <n v="540"/>
    <n v="540"/>
    <n v="871"/>
    <n v="331"/>
    <s v="Product 35"/>
    <x v="65"/>
    <s v="Ernest Wheeler"/>
    <x v="287"/>
    <n v="5"/>
    <x v="4"/>
    <x v="9"/>
    <x v="9"/>
    <x v="3"/>
    <x v="0"/>
  </r>
  <r>
    <s v="AX15447"/>
    <s v="ENX2088"/>
    <s v="A108"/>
    <s v="EMP1026"/>
    <s v="C1757"/>
    <x v="550"/>
    <n v="2"/>
    <n v="603"/>
    <n v="416"/>
    <n v="832"/>
    <n v="1206"/>
    <n v="374"/>
    <s v="Product 89"/>
    <x v="49"/>
    <s v="Martin Perry"/>
    <x v="376"/>
    <n v="5"/>
    <x v="4"/>
    <x v="9"/>
    <x v="9"/>
    <x v="3"/>
    <x v="0"/>
  </r>
  <r>
    <s v="AX15851"/>
    <s v="ENX2009"/>
    <s v="A170"/>
    <s v="EMP1017"/>
    <s v="C1025"/>
    <x v="553"/>
    <n v="1"/>
    <n v="584"/>
    <n v="420"/>
    <n v="420"/>
    <n v="584"/>
    <n v="164"/>
    <s v="Product 10"/>
    <x v="47"/>
    <s v="Brian Hansen"/>
    <x v="350"/>
    <n v="5"/>
    <x v="4"/>
    <x v="9"/>
    <x v="9"/>
    <x v="3"/>
    <x v="0"/>
  </r>
  <r>
    <s v="AX16003"/>
    <s v="ENX2035"/>
    <s v="A166"/>
    <s v="EMP1037"/>
    <s v="C1501"/>
    <x v="552"/>
    <n v="3"/>
    <n v="458"/>
    <n v="376"/>
    <n v="1128"/>
    <n v="1374"/>
    <n v="246"/>
    <s v="Product 36"/>
    <x v="70"/>
    <s v="Carl Hall"/>
    <x v="387"/>
    <n v="5"/>
    <x v="4"/>
    <x v="9"/>
    <x v="9"/>
    <x v="3"/>
    <x v="0"/>
  </r>
  <r>
    <s v="AX16156"/>
    <s v="ENX2044"/>
    <s v="A123"/>
    <s v="EMP1011"/>
    <s v="C1430"/>
    <x v="550"/>
    <n v="1"/>
    <n v="886"/>
    <n v="478"/>
    <n v="478"/>
    <n v="886"/>
    <n v="408"/>
    <s v="Product 45"/>
    <x v="34"/>
    <s v="Larry Marshall"/>
    <x v="741"/>
    <n v="5"/>
    <x v="4"/>
    <x v="9"/>
    <x v="9"/>
    <x v="3"/>
    <x v="0"/>
  </r>
  <r>
    <s v="AX16214"/>
    <s v="ENX2091"/>
    <s v="A102"/>
    <s v="EMP1001"/>
    <s v="C1153"/>
    <x v="549"/>
    <n v="2"/>
    <n v="368"/>
    <n v="294"/>
    <n v="588"/>
    <n v="736"/>
    <n v="148"/>
    <s v="Product 92"/>
    <x v="44"/>
    <s v="Kevin Butler"/>
    <x v="382"/>
    <n v="5"/>
    <x v="4"/>
    <x v="9"/>
    <x v="9"/>
    <x v="3"/>
    <x v="0"/>
  </r>
  <r>
    <s v="AX16638"/>
    <s v="ENX2019"/>
    <s v="A143"/>
    <s v="EMP1011"/>
    <s v="C1192"/>
    <x v="553"/>
    <n v="1"/>
    <n v="800"/>
    <n v="536"/>
    <n v="536"/>
    <n v="800"/>
    <n v="264"/>
    <s v="Product 20"/>
    <x v="39"/>
    <s v="Larry Marshall"/>
    <x v="746"/>
    <n v="5"/>
    <x v="4"/>
    <x v="9"/>
    <x v="9"/>
    <x v="3"/>
    <x v="0"/>
  </r>
  <r>
    <s v="AX16677"/>
    <s v="ENX2040"/>
    <s v="A168"/>
    <s v="EMP1028"/>
    <s v="C1037"/>
    <x v="553"/>
    <n v="1"/>
    <n v="1889"/>
    <n v="945"/>
    <n v="945"/>
    <n v="1889"/>
    <n v="944"/>
    <s v="Product 41"/>
    <x v="40"/>
    <s v="Howard Sims"/>
    <x v="779"/>
    <n v="5"/>
    <x v="4"/>
    <x v="9"/>
    <x v="9"/>
    <x v="3"/>
    <x v="0"/>
  </r>
  <r>
    <s v="AX16983"/>
    <s v="ENX2076"/>
    <s v="A141"/>
    <s v="EMP1043"/>
    <s v="C1727"/>
    <x v="549"/>
    <n v="1"/>
    <n v="1522"/>
    <n v="791"/>
    <n v="791"/>
    <n v="1522"/>
    <n v="731"/>
    <s v="Product 77"/>
    <x v="23"/>
    <s v="Joshua Taylor"/>
    <x v="581"/>
    <n v="5"/>
    <x v="4"/>
    <x v="9"/>
    <x v="9"/>
    <x v="3"/>
    <x v="0"/>
  </r>
  <r>
    <s v="AX17068"/>
    <s v="ENX2038"/>
    <s v="A129"/>
    <s v="EMP1035"/>
    <s v="C1766"/>
    <x v="550"/>
    <n v="2"/>
    <n v="392"/>
    <n v="255"/>
    <n v="510"/>
    <n v="784"/>
    <n v="274"/>
    <s v="Product 39"/>
    <x v="22"/>
    <s v="Roger Ramos"/>
    <x v="452"/>
    <n v="5"/>
    <x v="4"/>
    <x v="9"/>
    <x v="9"/>
    <x v="3"/>
    <x v="0"/>
  </r>
  <r>
    <s v="AX17567"/>
    <s v="ENX2053"/>
    <s v="A173"/>
    <s v="EMP1034"/>
    <s v="C1477"/>
    <x v="550"/>
    <n v="2"/>
    <n v="596"/>
    <n v="358"/>
    <n v="716"/>
    <n v="1192"/>
    <n v="476"/>
    <s v="Product 54"/>
    <x v="25"/>
    <s v="Arthur Mccoy"/>
    <x v="408"/>
    <n v="5"/>
    <x v="4"/>
    <x v="9"/>
    <x v="9"/>
    <x v="3"/>
    <x v="0"/>
  </r>
  <r>
    <s v="AX17719"/>
    <s v="ENX2028"/>
    <s v="A137"/>
    <s v="EMP1036"/>
    <s v="C1502"/>
    <x v="553"/>
    <n v="1"/>
    <n v="2283"/>
    <n v="1484"/>
    <n v="1484"/>
    <n v="2283"/>
    <n v="799"/>
    <s v="Product 29"/>
    <x v="68"/>
    <s v="Robert Reed"/>
    <x v="364"/>
    <n v="5"/>
    <x v="4"/>
    <x v="9"/>
    <x v="9"/>
    <x v="3"/>
    <x v="0"/>
  </r>
  <r>
    <s v="AX17970"/>
    <s v="ENX2005"/>
    <s v="A116"/>
    <s v="EMP1041"/>
    <s v="C1572"/>
    <x v="549"/>
    <n v="4"/>
    <n v="684"/>
    <n v="561"/>
    <n v="2244"/>
    <n v="2736"/>
    <n v="492"/>
    <s v="Product 6"/>
    <x v="15"/>
    <s v="Joe Sims"/>
    <x v="717"/>
    <n v="5"/>
    <x v="4"/>
    <x v="9"/>
    <x v="9"/>
    <x v="3"/>
    <x v="0"/>
  </r>
  <r>
    <s v="AX18009"/>
    <s v="ENX2025"/>
    <s v="A157"/>
    <s v="EMP1040"/>
    <s v="C1392"/>
    <x v="549"/>
    <n v="1"/>
    <n v="667"/>
    <n v="387"/>
    <n v="387"/>
    <n v="667"/>
    <n v="280"/>
    <s v="Product 26"/>
    <x v="7"/>
    <s v="Patrick Ruiz"/>
    <x v="78"/>
    <n v="5"/>
    <x v="4"/>
    <x v="9"/>
    <x v="9"/>
    <x v="3"/>
    <x v="0"/>
  </r>
  <r>
    <s v="AX18226"/>
    <s v="ENX2027"/>
    <s v="A119"/>
    <s v="EMP1029"/>
    <s v="C1393"/>
    <x v="552"/>
    <n v="4"/>
    <n v="2497"/>
    <n v="1473"/>
    <n v="5892"/>
    <n v="9988"/>
    <n v="4096"/>
    <s v="Product 28"/>
    <x v="16"/>
    <s v="Howard Gardner"/>
    <x v="93"/>
    <n v="5"/>
    <x v="4"/>
    <x v="9"/>
    <x v="9"/>
    <x v="3"/>
    <x v="0"/>
  </r>
  <r>
    <s v="AX18262"/>
    <s v="ENX2073"/>
    <s v="A150"/>
    <s v="EMP1017"/>
    <s v="C1422"/>
    <x v="553"/>
    <n v="4"/>
    <n v="95"/>
    <n v="61"/>
    <n v="244"/>
    <n v="380"/>
    <n v="136"/>
    <s v="Product 74"/>
    <x v="30"/>
    <s v="Brian Hansen"/>
    <x v="176"/>
    <n v="5"/>
    <x v="4"/>
    <x v="9"/>
    <x v="9"/>
    <x v="3"/>
    <x v="0"/>
  </r>
  <r>
    <s v="AX18549"/>
    <s v="ENX2004"/>
    <s v="A163"/>
    <s v="EMP1039"/>
    <s v="C1756"/>
    <x v="550"/>
    <n v="1"/>
    <n v="1278"/>
    <n v="665"/>
    <n v="665"/>
    <n v="1278"/>
    <n v="613"/>
    <s v="Product 5"/>
    <x v="51"/>
    <s v="Eugene Holmes"/>
    <x v="371"/>
    <n v="5"/>
    <x v="4"/>
    <x v="9"/>
    <x v="9"/>
    <x v="3"/>
    <x v="0"/>
  </r>
  <r>
    <s v="AX18692"/>
    <s v="ENX2014"/>
    <s v="A124"/>
    <s v="EMP1004"/>
    <s v="C1746"/>
    <x v="551"/>
    <n v="3"/>
    <n v="1809"/>
    <n v="1067"/>
    <n v="3201"/>
    <n v="5427"/>
    <n v="2226"/>
    <s v="Product 15"/>
    <x v="67"/>
    <s v="Kenneth Bradley"/>
    <x v="693"/>
    <n v="5"/>
    <x v="4"/>
    <x v="9"/>
    <x v="9"/>
    <x v="3"/>
    <x v="0"/>
  </r>
  <r>
    <s v="AX19638"/>
    <s v="ENX2013"/>
    <s v="A138"/>
    <s v="EMP1027"/>
    <s v="C1167"/>
    <x v="552"/>
    <n v="3"/>
    <n v="368"/>
    <n v="269"/>
    <n v="807"/>
    <n v="1104"/>
    <n v="297"/>
    <s v="Product 14"/>
    <x v="37"/>
    <s v="Gary Rodriguez"/>
    <x v="481"/>
    <n v="5"/>
    <x v="4"/>
    <x v="9"/>
    <x v="9"/>
    <x v="3"/>
    <x v="0"/>
  </r>
  <r>
    <s v="AX20285"/>
    <s v="ENX2013"/>
    <s v="A141"/>
    <s v="EMP1030"/>
    <s v="C1408"/>
    <x v="551"/>
    <n v="2"/>
    <n v="368"/>
    <n v="269"/>
    <n v="538"/>
    <n v="736"/>
    <n v="198"/>
    <s v="Product 14"/>
    <x v="23"/>
    <s v="Bobby Russell"/>
    <x v="647"/>
    <n v="5"/>
    <x v="4"/>
    <x v="9"/>
    <x v="9"/>
    <x v="3"/>
    <x v="0"/>
  </r>
  <r>
    <s v="AX20403"/>
    <s v="ENX2059"/>
    <s v="A138"/>
    <s v="EMP1030"/>
    <s v="C1177"/>
    <x v="551"/>
    <n v="3"/>
    <n v="1494"/>
    <n v="971"/>
    <n v="2913"/>
    <n v="4482"/>
    <n v="1569"/>
    <s v="Product 60"/>
    <x v="37"/>
    <s v="Bobby Russell"/>
    <x v="365"/>
    <n v="5"/>
    <x v="4"/>
    <x v="9"/>
    <x v="9"/>
    <x v="3"/>
    <x v="0"/>
  </r>
  <r>
    <s v="AX20406"/>
    <s v="ENX2022"/>
    <s v="A118"/>
    <s v="EMP1007"/>
    <s v="C1745"/>
    <x v="549"/>
    <n v="1"/>
    <n v="561"/>
    <n v="421"/>
    <n v="421"/>
    <n v="561"/>
    <n v="140"/>
    <s v="Product 23"/>
    <x v="19"/>
    <s v="Jeremy Mendoza"/>
    <x v="784"/>
    <n v="5"/>
    <x v="4"/>
    <x v="9"/>
    <x v="9"/>
    <x v="3"/>
    <x v="0"/>
  </r>
  <r>
    <s v="AX20424"/>
    <s v="ENX2026"/>
    <s v="A144"/>
    <s v="EMP1006"/>
    <s v="C1672"/>
    <x v="551"/>
    <n v="1"/>
    <n v="947"/>
    <n v="786"/>
    <n v="786"/>
    <n v="947"/>
    <n v="161"/>
    <s v="Product 27"/>
    <x v="65"/>
    <s v="Sean Miller"/>
    <x v="547"/>
    <n v="5"/>
    <x v="4"/>
    <x v="9"/>
    <x v="9"/>
    <x v="3"/>
    <x v="0"/>
  </r>
  <r>
    <s v="AX20549"/>
    <s v="ENX2044"/>
    <s v="A148"/>
    <s v="EMP1008"/>
    <s v="C1208"/>
    <x v="549"/>
    <n v="4"/>
    <n v="886"/>
    <n v="478"/>
    <n v="1912"/>
    <n v="3544"/>
    <n v="1632"/>
    <s v="Product 45"/>
    <x v="62"/>
    <s v="Carl Elliott"/>
    <x v="582"/>
    <n v="5"/>
    <x v="4"/>
    <x v="9"/>
    <x v="9"/>
    <x v="3"/>
    <x v="0"/>
  </r>
  <r>
    <s v="AX20685"/>
    <s v="ENX2031"/>
    <s v="A122"/>
    <s v="EMP1023"/>
    <s v="C1312"/>
    <x v="550"/>
    <n v="1"/>
    <n v="1638"/>
    <n v="1261"/>
    <n v="1261"/>
    <n v="1638"/>
    <n v="377"/>
    <s v="Product 32"/>
    <x v="71"/>
    <s v="Brian Davis"/>
    <x v="609"/>
    <n v="5"/>
    <x v="4"/>
    <x v="9"/>
    <x v="9"/>
    <x v="3"/>
    <x v="0"/>
  </r>
  <r>
    <s v="AX21273"/>
    <s v="ENX2058"/>
    <s v="A130"/>
    <s v="EMP1024"/>
    <s v="C1452"/>
    <x v="553"/>
    <n v="1"/>
    <n v="2257"/>
    <n v="1535"/>
    <n v="1535"/>
    <n v="2257"/>
    <n v="722"/>
    <s v="Product 59"/>
    <x v="4"/>
    <s v="Ernest Wheeler"/>
    <x v="234"/>
    <n v="5"/>
    <x v="4"/>
    <x v="9"/>
    <x v="9"/>
    <x v="3"/>
    <x v="0"/>
  </r>
  <r>
    <s v="AX21287"/>
    <s v="ENX2048"/>
    <s v="A169"/>
    <s v="EMP1022"/>
    <s v="C1498"/>
    <x v="549"/>
    <n v="4"/>
    <n v="502"/>
    <n v="296"/>
    <n v="1184"/>
    <n v="2008"/>
    <n v="824"/>
    <s v="Product 49"/>
    <x v="17"/>
    <s v="Walter Cook"/>
    <x v="10"/>
    <n v="5"/>
    <x v="4"/>
    <x v="9"/>
    <x v="9"/>
    <x v="3"/>
    <x v="0"/>
  </r>
  <r>
    <s v="AX21420"/>
    <s v="ENX2018"/>
    <s v="A160"/>
    <s v="EMP1019"/>
    <s v="C1483"/>
    <x v="549"/>
    <n v="1"/>
    <n v="1972"/>
    <n v="1321"/>
    <n v="1321"/>
    <n v="1972"/>
    <n v="651"/>
    <s v="Product 19"/>
    <x v="9"/>
    <s v="Roger Robertson"/>
    <x v="255"/>
    <n v="5"/>
    <x v="4"/>
    <x v="9"/>
    <x v="9"/>
    <x v="3"/>
    <x v="0"/>
  </r>
  <r>
    <s v="AX22239"/>
    <s v="ENX2009"/>
    <s v="A160"/>
    <s v="EMP1006"/>
    <s v="C1463"/>
    <x v="549"/>
    <n v="1"/>
    <n v="584"/>
    <n v="420"/>
    <n v="420"/>
    <n v="584"/>
    <n v="164"/>
    <s v="Product 10"/>
    <x v="9"/>
    <s v="Sean Miller"/>
    <x v="535"/>
    <n v="5"/>
    <x v="4"/>
    <x v="9"/>
    <x v="9"/>
    <x v="3"/>
    <x v="0"/>
  </r>
  <r>
    <s v="AX22463"/>
    <s v="ENX2046"/>
    <s v="A153"/>
    <s v="EMP1004"/>
    <s v="C1670"/>
    <x v="551"/>
    <n v="1"/>
    <n v="2410"/>
    <n v="1518"/>
    <n v="1518"/>
    <n v="2410"/>
    <n v="892"/>
    <s v="Product 47"/>
    <x v="8"/>
    <s v="Kenneth Bradley"/>
    <x v="663"/>
    <n v="5"/>
    <x v="4"/>
    <x v="9"/>
    <x v="9"/>
    <x v="3"/>
    <x v="0"/>
  </r>
  <r>
    <s v="AX22757"/>
    <s v="ENX2010"/>
    <s v="A163"/>
    <s v="EMP1023"/>
    <s v="C1135"/>
    <x v="552"/>
    <n v="3"/>
    <n v="1812"/>
    <n v="1305"/>
    <n v="3915"/>
    <n v="5436"/>
    <n v="1521"/>
    <s v="Product 11"/>
    <x v="51"/>
    <s v="Brian Davis"/>
    <x v="669"/>
    <n v="5"/>
    <x v="4"/>
    <x v="9"/>
    <x v="9"/>
    <x v="3"/>
    <x v="0"/>
  </r>
  <r>
    <s v="AX22892"/>
    <s v="ENX2020"/>
    <s v="A108"/>
    <s v="EMP1001"/>
    <s v="C1580"/>
    <x v="549"/>
    <n v="3"/>
    <n v="2005"/>
    <n v="1223"/>
    <n v="3669"/>
    <n v="6015"/>
    <n v="2346"/>
    <s v="Product 21"/>
    <x v="49"/>
    <s v="Kevin Butler"/>
    <x v="617"/>
    <n v="5"/>
    <x v="4"/>
    <x v="9"/>
    <x v="9"/>
    <x v="3"/>
    <x v="0"/>
  </r>
  <r>
    <s v="AX22991"/>
    <s v="ENX2008"/>
    <s v="A120"/>
    <s v="EMP1026"/>
    <s v="C1466"/>
    <x v="553"/>
    <n v="2"/>
    <n v="315"/>
    <n v="208"/>
    <n v="416"/>
    <n v="630"/>
    <n v="214"/>
    <s v="Product 9"/>
    <x v="20"/>
    <s v="Martin Perry"/>
    <x v="132"/>
    <n v="5"/>
    <x v="4"/>
    <x v="9"/>
    <x v="9"/>
    <x v="3"/>
    <x v="0"/>
  </r>
  <r>
    <s v="AX23115"/>
    <s v="ENX2006"/>
    <s v="A155"/>
    <s v="EMP1028"/>
    <s v="C1160"/>
    <x v="551"/>
    <n v="2"/>
    <n v="1826"/>
    <n v="1443"/>
    <n v="2886"/>
    <n v="3652"/>
    <n v="766"/>
    <s v="Product 7"/>
    <x v="53"/>
    <s v="Howard Sims"/>
    <x v="566"/>
    <n v="5"/>
    <x v="4"/>
    <x v="9"/>
    <x v="9"/>
    <x v="3"/>
    <x v="0"/>
  </r>
  <r>
    <s v="AX23569"/>
    <s v="ENX2017"/>
    <s v="A144"/>
    <s v="EMP1033"/>
    <s v="C1016"/>
    <x v="552"/>
    <n v="4"/>
    <n v="35"/>
    <n v="22"/>
    <n v="88"/>
    <n v="140"/>
    <n v="52"/>
    <s v="Product 18"/>
    <x v="65"/>
    <s v="Jerry Perry"/>
    <x v="335"/>
    <n v="5"/>
    <x v="4"/>
    <x v="9"/>
    <x v="9"/>
    <x v="3"/>
    <x v="0"/>
  </r>
  <r>
    <s v="AX23642"/>
    <s v="ENX2097"/>
    <s v="A126"/>
    <s v="EMP1013"/>
    <s v="C1333"/>
    <x v="553"/>
    <n v="2"/>
    <n v="1052"/>
    <n v="589"/>
    <n v="1178"/>
    <n v="2104"/>
    <n v="926"/>
    <s v="Product 98"/>
    <x v="5"/>
    <s v="Charles Harper"/>
    <x v="673"/>
    <n v="5"/>
    <x v="4"/>
    <x v="9"/>
    <x v="9"/>
    <x v="3"/>
    <x v="0"/>
  </r>
  <r>
    <s v="AX23997"/>
    <s v="ENX2001"/>
    <s v="A117"/>
    <s v="EMP1002"/>
    <s v="C1172"/>
    <x v="552"/>
    <n v="3"/>
    <n v="951"/>
    <n v="504"/>
    <n v="1512"/>
    <n v="2853"/>
    <n v="1341"/>
    <s v="Product 2"/>
    <x v="29"/>
    <s v="Andrew Bowman"/>
    <x v="63"/>
    <n v="5"/>
    <x v="4"/>
    <x v="9"/>
    <x v="9"/>
    <x v="3"/>
    <x v="0"/>
  </r>
  <r>
    <s v="AX24289"/>
    <s v="ENX2040"/>
    <s v="A159"/>
    <s v="EMP1014"/>
    <s v="C1538"/>
    <x v="553"/>
    <n v="1"/>
    <n v="1889"/>
    <n v="945"/>
    <n v="945"/>
    <n v="1889"/>
    <n v="944"/>
    <s v="Product 41"/>
    <x v="13"/>
    <s v="Ronald Reed"/>
    <x v="384"/>
    <n v="5"/>
    <x v="4"/>
    <x v="9"/>
    <x v="9"/>
    <x v="3"/>
    <x v="0"/>
  </r>
  <r>
    <s v="AX24314"/>
    <s v="ENX2043"/>
    <s v="A116"/>
    <s v="EMP1016"/>
    <s v="C1371"/>
    <x v="552"/>
    <n v="3"/>
    <n v="545"/>
    <n v="425"/>
    <n v="1275"/>
    <n v="1635"/>
    <n v="360"/>
    <s v="Product 44"/>
    <x v="15"/>
    <s v="Henry Nelson"/>
    <x v="180"/>
    <n v="5"/>
    <x v="4"/>
    <x v="9"/>
    <x v="9"/>
    <x v="3"/>
    <x v="0"/>
  </r>
  <r>
    <s v="AX24663"/>
    <s v="ENX2010"/>
    <s v="A132"/>
    <s v="EMP1037"/>
    <s v="C1527"/>
    <x v="549"/>
    <n v="1"/>
    <n v="1812"/>
    <n v="1305"/>
    <n v="1305"/>
    <n v="1812"/>
    <n v="507"/>
    <s v="Product 11"/>
    <x v="48"/>
    <s v="Carl Hall"/>
    <x v="375"/>
    <n v="5"/>
    <x v="4"/>
    <x v="9"/>
    <x v="9"/>
    <x v="3"/>
    <x v="0"/>
  </r>
  <r>
    <s v="AX10216"/>
    <s v="ENX2037"/>
    <s v="A106"/>
    <s v="EMP1025"/>
    <s v="C1077"/>
    <x v="554"/>
    <n v="4"/>
    <n v="880"/>
    <n v="634"/>
    <n v="2536"/>
    <n v="3520"/>
    <n v="984"/>
    <s v="Product 38"/>
    <x v="11"/>
    <s v="Ernest Wagner"/>
    <x v="315"/>
    <n v="5"/>
    <x v="4"/>
    <x v="9"/>
    <x v="9"/>
    <x v="3"/>
    <x v="2"/>
  </r>
  <r>
    <s v="AX10314"/>
    <s v="ENX2096"/>
    <s v="A104"/>
    <s v="EMP1042"/>
    <s v="C1244"/>
    <x v="555"/>
    <n v="3"/>
    <n v="1587"/>
    <n v="1301"/>
    <n v="3903"/>
    <n v="4761"/>
    <n v="858"/>
    <s v="Product 97"/>
    <x v="50"/>
    <s v="Scott Clark"/>
    <x v="381"/>
    <n v="5"/>
    <x v="4"/>
    <x v="9"/>
    <x v="9"/>
    <x v="3"/>
    <x v="2"/>
  </r>
  <r>
    <s v="AX10399"/>
    <s v="ENX2084"/>
    <s v="A103"/>
    <s v="EMP1012"/>
    <s v="C1539"/>
    <x v="556"/>
    <n v="1"/>
    <n v="1783"/>
    <n v="1230"/>
    <n v="1230"/>
    <n v="1783"/>
    <n v="553"/>
    <s v="Product 85"/>
    <x v="61"/>
    <s v="John Reyes"/>
    <x v="280"/>
    <n v="5"/>
    <x v="4"/>
    <x v="9"/>
    <x v="9"/>
    <x v="3"/>
    <x v="2"/>
  </r>
  <r>
    <s v="AX10400"/>
    <s v="ENX2038"/>
    <s v="A138"/>
    <s v="EMP1032"/>
    <s v="C1490"/>
    <x v="557"/>
    <n v="4"/>
    <n v="392"/>
    <n v="255"/>
    <n v="1020"/>
    <n v="1568"/>
    <n v="548"/>
    <s v="Product 39"/>
    <x v="37"/>
    <s v="Larry Castillo"/>
    <x v="61"/>
    <n v="5"/>
    <x v="4"/>
    <x v="9"/>
    <x v="9"/>
    <x v="3"/>
    <x v="2"/>
  </r>
  <r>
    <s v="AX10447"/>
    <s v="ENX2057"/>
    <s v="A127"/>
    <s v="EMP1027"/>
    <s v="C1359"/>
    <x v="556"/>
    <n v="1"/>
    <n v="181"/>
    <n v="130"/>
    <n v="130"/>
    <n v="181"/>
    <n v="51"/>
    <s v="Product 58"/>
    <x v="69"/>
    <s v="Gary Rodriguez"/>
    <x v="652"/>
    <n v="5"/>
    <x v="4"/>
    <x v="9"/>
    <x v="9"/>
    <x v="3"/>
    <x v="2"/>
  </r>
  <r>
    <s v="AX10530"/>
    <s v="ENX2052"/>
    <s v="A132"/>
    <s v="EMP1043"/>
    <s v="C1251"/>
    <x v="554"/>
    <n v="4"/>
    <n v="1526"/>
    <n v="1251"/>
    <n v="5004"/>
    <n v="6104"/>
    <n v="1100"/>
    <s v="Product 53"/>
    <x v="48"/>
    <s v="Joshua Taylor"/>
    <x v="199"/>
    <n v="5"/>
    <x v="4"/>
    <x v="9"/>
    <x v="9"/>
    <x v="3"/>
    <x v="2"/>
  </r>
  <r>
    <s v="AX10574"/>
    <s v="ENX2057"/>
    <s v="A124"/>
    <s v="EMP1010"/>
    <s v="C1648"/>
    <x v="556"/>
    <n v="1"/>
    <n v="181"/>
    <n v="130"/>
    <n v="130"/>
    <n v="181"/>
    <n v="51"/>
    <s v="Product 58"/>
    <x v="67"/>
    <s v="Joshua Cook"/>
    <x v="430"/>
    <n v="5"/>
    <x v="4"/>
    <x v="9"/>
    <x v="9"/>
    <x v="3"/>
    <x v="2"/>
  </r>
  <r>
    <s v="AX10828"/>
    <s v="ENX2078"/>
    <s v="A125"/>
    <s v="EMP1002"/>
    <s v="C1476"/>
    <x v="556"/>
    <n v="2"/>
    <n v="1798"/>
    <n v="971"/>
    <n v="1942"/>
    <n v="3596"/>
    <n v="1654"/>
    <s v="Product 79"/>
    <x v="31"/>
    <s v="Andrew Bowman"/>
    <x v="207"/>
    <n v="5"/>
    <x v="4"/>
    <x v="9"/>
    <x v="9"/>
    <x v="3"/>
    <x v="2"/>
  </r>
  <r>
    <s v="AX11354"/>
    <s v="ENX2038"/>
    <s v="A159"/>
    <s v="EMP1006"/>
    <s v="C1273"/>
    <x v="555"/>
    <n v="1"/>
    <n v="392"/>
    <n v="255"/>
    <n v="255"/>
    <n v="392"/>
    <n v="137"/>
    <s v="Product 39"/>
    <x v="13"/>
    <s v="Sean Miller"/>
    <x v="469"/>
    <n v="5"/>
    <x v="4"/>
    <x v="9"/>
    <x v="9"/>
    <x v="3"/>
    <x v="2"/>
  </r>
  <r>
    <s v="AX11406"/>
    <s v="ENX2027"/>
    <s v="A104"/>
    <s v="EMP1018"/>
    <s v="C1527"/>
    <x v="557"/>
    <n v="2"/>
    <n v="2497"/>
    <n v="1473"/>
    <n v="2946"/>
    <n v="4994"/>
    <n v="2048"/>
    <s v="Product 28"/>
    <x v="50"/>
    <s v="Jimmy Young"/>
    <x v="375"/>
    <n v="5"/>
    <x v="4"/>
    <x v="9"/>
    <x v="9"/>
    <x v="3"/>
    <x v="2"/>
  </r>
  <r>
    <s v="AX11570"/>
    <s v="ENX2057"/>
    <s v="A134"/>
    <s v="EMP1016"/>
    <s v="C1642"/>
    <x v="556"/>
    <n v="2"/>
    <n v="181"/>
    <n v="130"/>
    <n v="260"/>
    <n v="362"/>
    <n v="102"/>
    <s v="Product 58"/>
    <x v="41"/>
    <s v="Henry Nelson"/>
    <x v="97"/>
    <n v="5"/>
    <x v="4"/>
    <x v="9"/>
    <x v="9"/>
    <x v="3"/>
    <x v="2"/>
  </r>
  <r>
    <s v="AX11663"/>
    <s v="ENX2020"/>
    <s v="A115"/>
    <s v="EMP1015"/>
    <s v="C1342"/>
    <x v="554"/>
    <n v="1"/>
    <n v="2005"/>
    <n v="1223"/>
    <n v="1223"/>
    <n v="2005"/>
    <n v="782"/>
    <s v="Product 21"/>
    <x v="33"/>
    <s v="Justin Lynch"/>
    <x v="62"/>
    <n v="5"/>
    <x v="4"/>
    <x v="9"/>
    <x v="9"/>
    <x v="3"/>
    <x v="2"/>
  </r>
  <r>
    <s v="AX12085"/>
    <s v="ENX2011"/>
    <s v="A127"/>
    <s v="EMP1023"/>
    <s v="C1355"/>
    <x v="555"/>
    <n v="1"/>
    <n v="530"/>
    <n v="435"/>
    <n v="435"/>
    <n v="530"/>
    <n v="95"/>
    <s v="Product 12"/>
    <x v="69"/>
    <s v="Brian Davis"/>
    <x v="710"/>
    <n v="5"/>
    <x v="4"/>
    <x v="9"/>
    <x v="9"/>
    <x v="3"/>
    <x v="2"/>
  </r>
  <r>
    <s v="AX12300"/>
    <s v="ENX2046"/>
    <s v="A128"/>
    <s v="EMP1005"/>
    <s v="C1636"/>
    <x v="556"/>
    <n v="3"/>
    <n v="2410"/>
    <n v="1518"/>
    <n v="4554"/>
    <n v="7230"/>
    <n v="2676"/>
    <s v="Product 47"/>
    <x v="12"/>
    <s v="Ryan Welch"/>
    <x v="668"/>
    <n v="5"/>
    <x v="4"/>
    <x v="9"/>
    <x v="9"/>
    <x v="3"/>
    <x v="2"/>
  </r>
  <r>
    <s v="AX12557"/>
    <s v="ENX2008"/>
    <s v="A161"/>
    <s v="EMP1007"/>
    <s v="C1670"/>
    <x v="557"/>
    <n v="2"/>
    <n v="315"/>
    <n v="208"/>
    <n v="416"/>
    <n v="630"/>
    <n v="214"/>
    <s v="Product 9"/>
    <x v="6"/>
    <s v="Jeremy Mendoza"/>
    <x v="663"/>
    <n v="5"/>
    <x v="4"/>
    <x v="9"/>
    <x v="9"/>
    <x v="3"/>
    <x v="2"/>
  </r>
  <r>
    <s v="AX12953"/>
    <s v="ENX2037"/>
    <s v="A145"/>
    <s v="EMP1027"/>
    <s v="C1225"/>
    <x v="556"/>
    <n v="1"/>
    <n v="880"/>
    <n v="634"/>
    <n v="634"/>
    <n v="880"/>
    <n v="246"/>
    <s v="Product 38"/>
    <x v="35"/>
    <s v="Gary Rodriguez"/>
    <x v="588"/>
    <n v="5"/>
    <x v="4"/>
    <x v="9"/>
    <x v="9"/>
    <x v="3"/>
    <x v="2"/>
  </r>
  <r>
    <s v="AX13192"/>
    <s v="ENX2079"/>
    <s v="A173"/>
    <s v="EMP1023"/>
    <s v="C1125"/>
    <x v="555"/>
    <n v="1"/>
    <n v="1725"/>
    <n v="1363"/>
    <n v="1363"/>
    <n v="1725"/>
    <n v="362"/>
    <s v="Product 80"/>
    <x v="25"/>
    <s v="Brian Davis"/>
    <x v="539"/>
    <n v="5"/>
    <x v="4"/>
    <x v="9"/>
    <x v="9"/>
    <x v="3"/>
    <x v="2"/>
  </r>
  <r>
    <s v="AX13732"/>
    <s v="ENX2029"/>
    <s v="A102"/>
    <s v="EMP1013"/>
    <s v="C1747"/>
    <x v="556"/>
    <n v="3"/>
    <n v="1848"/>
    <n v="1294"/>
    <n v="3882"/>
    <n v="5544"/>
    <n v="1662"/>
    <s v="Product 30"/>
    <x v="44"/>
    <s v="Charles Harper"/>
    <x v="392"/>
    <n v="5"/>
    <x v="4"/>
    <x v="9"/>
    <x v="9"/>
    <x v="3"/>
    <x v="2"/>
  </r>
  <r>
    <s v="AX14296"/>
    <s v="ENX2016"/>
    <s v="A156"/>
    <s v="EMP1003"/>
    <s v="C1237"/>
    <x v="555"/>
    <n v="1"/>
    <n v="1351"/>
    <n v="1108"/>
    <n v="1108"/>
    <n v="1351"/>
    <n v="243"/>
    <s v="Product 17"/>
    <x v="14"/>
    <s v="Christopher Tucker"/>
    <x v="484"/>
    <n v="5"/>
    <x v="4"/>
    <x v="9"/>
    <x v="9"/>
    <x v="3"/>
    <x v="2"/>
  </r>
  <r>
    <s v="AX14408"/>
    <s v="ENX2028"/>
    <s v="A153"/>
    <s v="EMP1004"/>
    <s v="C1291"/>
    <x v="554"/>
    <n v="1"/>
    <n v="2283"/>
    <n v="1484"/>
    <n v="1484"/>
    <n v="2283"/>
    <n v="799"/>
    <s v="Product 29"/>
    <x v="8"/>
    <s v="Kenneth Bradley"/>
    <x v="16"/>
    <n v="5"/>
    <x v="4"/>
    <x v="9"/>
    <x v="9"/>
    <x v="3"/>
    <x v="2"/>
  </r>
  <r>
    <s v="AX14433"/>
    <s v="ENX2053"/>
    <s v="A171"/>
    <s v="EMP1007"/>
    <s v="C1436"/>
    <x v="557"/>
    <n v="1"/>
    <n v="596"/>
    <n v="358"/>
    <n v="358"/>
    <n v="596"/>
    <n v="238"/>
    <s v="Product 54"/>
    <x v="0"/>
    <s v="Jeremy Mendoza"/>
    <x v="283"/>
    <n v="5"/>
    <x v="4"/>
    <x v="9"/>
    <x v="9"/>
    <x v="3"/>
    <x v="2"/>
  </r>
  <r>
    <s v="AX14435"/>
    <s v="ENX2012"/>
    <s v="A101"/>
    <s v="EMP1019"/>
    <s v="C1272"/>
    <x v="554"/>
    <n v="1"/>
    <n v="1353"/>
    <n v="947"/>
    <n v="947"/>
    <n v="1353"/>
    <n v="406"/>
    <s v="Product 13"/>
    <x v="60"/>
    <s v="Roger Robertson"/>
    <x v="491"/>
    <n v="5"/>
    <x v="4"/>
    <x v="9"/>
    <x v="9"/>
    <x v="3"/>
    <x v="2"/>
  </r>
  <r>
    <s v="AX14896"/>
    <s v="ENX2036"/>
    <s v="A172"/>
    <s v="EMP1018"/>
    <s v="C1465"/>
    <x v="556"/>
    <n v="1"/>
    <n v="1582"/>
    <n v="1234"/>
    <n v="1234"/>
    <n v="1582"/>
    <n v="348"/>
    <s v="Product 37"/>
    <x v="36"/>
    <s v="Jimmy Young"/>
    <x v="88"/>
    <n v="5"/>
    <x v="4"/>
    <x v="9"/>
    <x v="9"/>
    <x v="3"/>
    <x v="2"/>
  </r>
  <r>
    <s v="AX15289"/>
    <s v="ENX2014"/>
    <s v="A168"/>
    <s v="EMP1040"/>
    <s v="C1312"/>
    <x v="557"/>
    <n v="3"/>
    <n v="1809"/>
    <n v="1067"/>
    <n v="3201"/>
    <n v="5427"/>
    <n v="2226"/>
    <s v="Product 15"/>
    <x v="40"/>
    <s v="Patrick Ruiz"/>
    <x v="609"/>
    <n v="5"/>
    <x v="4"/>
    <x v="9"/>
    <x v="9"/>
    <x v="3"/>
    <x v="2"/>
  </r>
  <r>
    <s v="AX15294"/>
    <s v="ENX2096"/>
    <s v="A162"/>
    <s v="EMP1003"/>
    <s v="C1592"/>
    <x v="555"/>
    <n v="1"/>
    <n v="1587"/>
    <n v="1301"/>
    <n v="1301"/>
    <n v="1587"/>
    <n v="286"/>
    <s v="Product 97"/>
    <x v="2"/>
    <s v="Christopher Tucker"/>
    <x v="499"/>
    <n v="5"/>
    <x v="4"/>
    <x v="9"/>
    <x v="9"/>
    <x v="3"/>
    <x v="2"/>
  </r>
  <r>
    <s v="AX15427"/>
    <s v="ENX2054"/>
    <s v="A106"/>
    <s v="EMP1004"/>
    <s v="C1417"/>
    <x v="554"/>
    <n v="3"/>
    <n v="127"/>
    <n v="79"/>
    <n v="237"/>
    <n v="381"/>
    <n v="144"/>
    <s v="Product 55"/>
    <x v="11"/>
    <s v="Kenneth Bradley"/>
    <x v="147"/>
    <n v="5"/>
    <x v="4"/>
    <x v="9"/>
    <x v="9"/>
    <x v="3"/>
    <x v="2"/>
  </r>
  <r>
    <s v="AX15493"/>
    <s v="ENX2094"/>
    <s v="A135"/>
    <s v="EMP1033"/>
    <s v="C1318"/>
    <x v="556"/>
    <n v="1"/>
    <n v="771"/>
    <n v="648"/>
    <n v="648"/>
    <n v="771"/>
    <n v="123"/>
    <s v="Product 95"/>
    <x v="10"/>
    <s v="Jerry Perry"/>
    <x v="730"/>
    <n v="5"/>
    <x v="4"/>
    <x v="9"/>
    <x v="9"/>
    <x v="3"/>
    <x v="2"/>
  </r>
  <r>
    <s v="AX16204"/>
    <s v="ENX2040"/>
    <s v="A134"/>
    <s v="EMP1015"/>
    <s v="C1099"/>
    <x v="557"/>
    <n v="2"/>
    <n v="1889"/>
    <n v="945"/>
    <n v="1890"/>
    <n v="3778"/>
    <n v="1888"/>
    <s v="Product 41"/>
    <x v="41"/>
    <s v="Justin Lynch"/>
    <x v="394"/>
    <n v="5"/>
    <x v="4"/>
    <x v="9"/>
    <x v="9"/>
    <x v="3"/>
    <x v="2"/>
  </r>
  <r>
    <s v="AX16377"/>
    <s v="ENX2067"/>
    <s v="A151"/>
    <s v="EMP1023"/>
    <s v="C1298"/>
    <x v="556"/>
    <n v="4"/>
    <n v="1119"/>
    <n v="683"/>
    <n v="2732"/>
    <n v="4476"/>
    <n v="1744"/>
    <s v="Product 68"/>
    <x v="1"/>
    <s v="Brian Davis"/>
    <x v="623"/>
    <n v="5"/>
    <x v="4"/>
    <x v="9"/>
    <x v="9"/>
    <x v="3"/>
    <x v="2"/>
  </r>
  <r>
    <s v="AX17109"/>
    <s v="ENX2030"/>
    <s v="A163"/>
    <s v="EMP1041"/>
    <s v="C1051"/>
    <x v="556"/>
    <n v="4"/>
    <n v="1899"/>
    <n v="1044"/>
    <n v="4176"/>
    <n v="7596"/>
    <n v="3420"/>
    <s v="Product 31"/>
    <x v="51"/>
    <s v="Joe Sims"/>
    <x v="432"/>
    <n v="5"/>
    <x v="4"/>
    <x v="9"/>
    <x v="9"/>
    <x v="3"/>
    <x v="2"/>
  </r>
  <r>
    <s v="AX18097"/>
    <s v="ENX2044"/>
    <s v="A149"/>
    <s v="EMP1038"/>
    <s v="C1115"/>
    <x v="556"/>
    <n v="1"/>
    <n v="886"/>
    <n v="478"/>
    <n v="478"/>
    <n v="886"/>
    <n v="408"/>
    <s v="Product 45"/>
    <x v="59"/>
    <s v="Scott Mason"/>
    <x v="338"/>
    <n v="5"/>
    <x v="4"/>
    <x v="9"/>
    <x v="9"/>
    <x v="3"/>
    <x v="2"/>
  </r>
  <r>
    <s v="AX18161"/>
    <s v="ENX2018"/>
    <s v="A153"/>
    <s v="EMP1016"/>
    <s v="C1171"/>
    <x v="554"/>
    <n v="1"/>
    <n v="1972"/>
    <n v="1321"/>
    <n v="1321"/>
    <n v="1972"/>
    <n v="651"/>
    <s v="Product 19"/>
    <x v="8"/>
    <s v="Henry Nelson"/>
    <x v="150"/>
    <n v="5"/>
    <x v="4"/>
    <x v="9"/>
    <x v="9"/>
    <x v="3"/>
    <x v="2"/>
  </r>
  <r>
    <s v="AX18246"/>
    <s v="ENX2031"/>
    <s v="A136"/>
    <s v="EMP1038"/>
    <s v="C1456"/>
    <x v="556"/>
    <n v="1"/>
    <n v="1638"/>
    <n v="1261"/>
    <n v="1261"/>
    <n v="1638"/>
    <n v="377"/>
    <s v="Product 32"/>
    <x v="43"/>
    <s v="Scott Mason"/>
    <x v="366"/>
    <n v="5"/>
    <x v="4"/>
    <x v="9"/>
    <x v="9"/>
    <x v="3"/>
    <x v="2"/>
  </r>
  <r>
    <s v="AX19290"/>
    <s v="ENX2012"/>
    <s v="A141"/>
    <s v="EMP1016"/>
    <s v="C1427"/>
    <x v="557"/>
    <n v="1"/>
    <n v="1353"/>
    <n v="947"/>
    <n v="947"/>
    <n v="1353"/>
    <n v="406"/>
    <s v="Product 13"/>
    <x v="23"/>
    <s v="Henry Nelson"/>
    <x v="768"/>
    <n v="5"/>
    <x v="4"/>
    <x v="9"/>
    <x v="9"/>
    <x v="3"/>
    <x v="2"/>
  </r>
  <r>
    <s v="AX19630"/>
    <s v="ENX2030"/>
    <s v="A160"/>
    <s v="EMP1039"/>
    <s v="C1016"/>
    <x v="557"/>
    <n v="1"/>
    <n v="1899"/>
    <n v="1044"/>
    <n v="1044"/>
    <n v="1899"/>
    <n v="855"/>
    <s v="Product 31"/>
    <x v="9"/>
    <s v="Eugene Holmes"/>
    <x v="335"/>
    <n v="5"/>
    <x v="4"/>
    <x v="9"/>
    <x v="9"/>
    <x v="3"/>
    <x v="2"/>
  </r>
  <r>
    <s v="AX19649"/>
    <s v="ENX2005"/>
    <s v="A113"/>
    <s v="EMP1027"/>
    <s v="C1655"/>
    <x v="557"/>
    <n v="1"/>
    <n v="684"/>
    <n v="561"/>
    <n v="561"/>
    <n v="684"/>
    <n v="123"/>
    <s v="Product 6"/>
    <x v="73"/>
    <s v="Gary Rodriguez"/>
    <x v="73"/>
    <n v="5"/>
    <x v="4"/>
    <x v="9"/>
    <x v="9"/>
    <x v="3"/>
    <x v="2"/>
  </r>
  <r>
    <s v="AX20037"/>
    <s v="ENX2096"/>
    <s v="A162"/>
    <s v="EMP1002"/>
    <s v="C1040"/>
    <x v="557"/>
    <n v="4"/>
    <n v="1587"/>
    <n v="1301"/>
    <n v="5204"/>
    <n v="6348"/>
    <n v="1144"/>
    <s v="Product 97"/>
    <x v="2"/>
    <s v="Andrew Bowman"/>
    <x v="221"/>
    <n v="5"/>
    <x v="4"/>
    <x v="9"/>
    <x v="9"/>
    <x v="3"/>
    <x v="2"/>
  </r>
  <r>
    <s v="AX20115"/>
    <s v="ENX2034"/>
    <s v="A167"/>
    <s v="EMP1031"/>
    <s v="C1323"/>
    <x v="556"/>
    <n v="4"/>
    <n v="871"/>
    <n v="540"/>
    <n v="2160"/>
    <n v="3484"/>
    <n v="1324"/>
    <s v="Product 35"/>
    <x v="64"/>
    <s v="Brian Thomas"/>
    <x v="83"/>
    <n v="5"/>
    <x v="4"/>
    <x v="9"/>
    <x v="9"/>
    <x v="3"/>
    <x v="2"/>
  </r>
  <r>
    <s v="AX20271"/>
    <s v="ENX2001"/>
    <s v="A173"/>
    <s v="EMP1013"/>
    <s v="C1324"/>
    <x v="556"/>
    <n v="2"/>
    <n v="951"/>
    <n v="504"/>
    <n v="1008"/>
    <n v="1902"/>
    <n v="894"/>
    <s v="Product 2"/>
    <x v="25"/>
    <s v="Charles Harper"/>
    <x v="252"/>
    <n v="5"/>
    <x v="4"/>
    <x v="9"/>
    <x v="9"/>
    <x v="3"/>
    <x v="2"/>
  </r>
  <r>
    <s v="AX20366"/>
    <s v="ENX2065"/>
    <s v="A107"/>
    <s v="EMP1036"/>
    <s v="C1403"/>
    <x v="554"/>
    <n v="1"/>
    <n v="2396"/>
    <n v="1965"/>
    <n v="1965"/>
    <n v="2396"/>
    <n v="431"/>
    <s v="Product 66"/>
    <x v="21"/>
    <s v="Robert Reed"/>
    <x v="134"/>
    <n v="5"/>
    <x v="4"/>
    <x v="9"/>
    <x v="9"/>
    <x v="3"/>
    <x v="2"/>
  </r>
  <r>
    <s v="AX20398"/>
    <s v="ENX2097"/>
    <s v="A112"/>
    <s v="EMP1021"/>
    <s v="C1617"/>
    <x v="555"/>
    <n v="2"/>
    <n v="1052"/>
    <n v="589"/>
    <n v="1178"/>
    <n v="2104"/>
    <n v="926"/>
    <s v="Product 98"/>
    <x v="66"/>
    <s v="Clarence Fox"/>
    <x v="195"/>
    <n v="5"/>
    <x v="4"/>
    <x v="9"/>
    <x v="9"/>
    <x v="3"/>
    <x v="2"/>
  </r>
  <r>
    <s v="AX21133"/>
    <s v="ENX2067"/>
    <s v="A135"/>
    <s v="EMP1018"/>
    <s v="C1573"/>
    <x v="556"/>
    <n v="1"/>
    <n v="1119"/>
    <n v="683"/>
    <n v="683"/>
    <n v="1119"/>
    <n v="436"/>
    <s v="Product 68"/>
    <x v="10"/>
    <s v="Jimmy Young"/>
    <x v="383"/>
    <n v="5"/>
    <x v="4"/>
    <x v="9"/>
    <x v="9"/>
    <x v="3"/>
    <x v="2"/>
  </r>
  <r>
    <s v="AX21446"/>
    <s v="ENX2033"/>
    <s v="A102"/>
    <s v="EMP1026"/>
    <s v="C1413"/>
    <x v="556"/>
    <n v="1"/>
    <n v="2182"/>
    <n v="1200"/>
    <n v="1200"/>
    <n v="2182"/>
    <n v="982"/>
    <s v="Product 34"/>
    <x v="44"/>
    <s v="Martin Perry"/>
    <x v="571"/>
    <n v="5"/>
    <x v="4"/>
    <x v="9"/>
    <x v="9"/>
    <x v="3"/>
    <x v="2"/>
  </r>
  <r>
    <s v="AX22209"/>
    <s v="ENX2078"/>
    <s v="A169"/>
    <s v="EMP1013"/>
    <s v="C1732"/>
    <x v="557"/>
    <n v="3"/>
    <n v="1798"/>
    <n v="971"/>
    <n v="2913"/>
    <n v="5394"/>
    <n v="2481"/>
    <s v="Product 79"/>
    <x v="17"/>
    <s v="Charles Harper"/>
    <x v="136"/>
    <n v="5"/>
    <x v="4"/>
    <x v="9"/>
    <x v="9"/>
    <x v="3"/>
    <x v="2"/>
  </r>
  <r>
    <s v="AX22326"/>
    <s v="ENX2016"/>
    <s v="A126"/>
    <s v="EMP1016"/>
    <s v="C1112"/>
    <x v="557"/>
    <n v="1"/>
    <n v="1351"/>
    <n v="1108"/>
    <n v="1108"/>
    <n v="1351"/>
    <n v="243"/>
    <s v="Product 17"/>
    <x v="5"/>
    <s v="Henry Nelson"/>
    <x v="590"/>
    <n v="5"/>
    <x v="4"/>
    <x v="9"/>
    <x v="9"/>
    <x v="3"/>
    <x v="2"/>
  </r>
  <r>
    <s v="AX22603"/>
    <s v="ENX2063"/>
    <s v="A137"/>
    <s v="EMP1022"/>
    <s v="C1307"/>
    <x v="556"/>
    <n v="4"/>
    <n v="1708"/>
    <n v="871"/>
    <n v="3484"/>
    <n v="6832"/>
    <n v="3348"/>
    <s v="Product 64"/>
    <x v="68"/>
    <s v="Walter Cook"/>
    <x v="416"/>
    <n v="5"/>
    <x v="4"/>
    <x v="9"/>
    <x v="9"/>
    <x v="3"/>
    <x v="2"/>
  </r>
  <r>
    <s v="AX22627"/>
    <s v="ENX2060"/>
    <s v="A119"/>
    <s v="EMP1033"/>
    <s v="C1265"/>
    <x v="557"/>
    <n v="4"/>
    <n v="1467"/>
    <n v="807"/>
    <n v="3228"/>
    <n v="5868"/>
    <n v="2640"/>
    <s v="Product 61"/>
    <x v="16"/>
    <s v="Jerry Perry"/>
    <x v="348"/>
    <n v="5"/>
    <x v="4"/>
    <x v="9"/>
    <x v="9"/>
    <x v="3"/>
    <x v="2"/>
  </r>
  <r>
    <s v="AX22721"/>
    <s v="ENX2031"/>
    <s v="A112"/>
    <s v="EMP1001"/>
    <s v="C1577"/>
    <x v="556"/>
    <n v="2"/>
    <n v="1638"/>
    <n v="1261"/>
    <n v="2522"/>
    <n v="3276"/>
    <n v="754"/>
    <s v="Product 32"/>
    <x v="66"/>
    <s v="Kevin Butler"/>
    <x v="50"/>
    <n v="5"/>
    <x v="4"/>
    <x v="9"/>
    <x v="9"/>
    <x v="3"/>
    <x v="2"/>
  </r>
  <r>
    <s v="AX22916"/>
    <s v="ENX2017"/>
    <s v="A112"/>
    <s v="EMP1002"/>
    <s v="C1365"/>
    <x v="554"/>
    <n v="3"/>
    <n v="35"/>
    <n v="22"/>
    <n v="66"/>
    <n v="105"/>
    <n v="39"/>
    <s v="Product 18"/>
    <x v="66"/>
    <s v="Andrew Bowman"/>
    <x v="450"/>
    <n v="5"/>
    <x v="4"/>
    <x v="9"/>
    <x v="9"/>
    <x v="3"/>
    <x v="2"/>
  </r>
  <r>
    <s v="AX23201"/>
    <s v="ENX2015"/>
    <s v="A100"/>
    <s v="EMP1013"/>
    <s v="C1776"/>
    <x v="556"/>
    <n v="1"/>
    <n v="637"/>
    <n v="389"/>
    <n v="389"/>
    <n v="637"/>
    <n v="248"/>
    <s v="Product 16"/>
    <x v="52"/>
    <s v="Charles Harper"/>
    <x v="160"/>
    <n v="5"/>
    <x v="4"/>
    <x v="9"/>
    <x v="9"/>
    <x v="3"/>
    <x v="2"/>
  </r>
  <r>
    <s v="AX23262"/>
    <s v="ENX2037"/>
    <s v="A156"/>
    <s v="EMP1000"/>
    <s v="C1435"/>
    <x v="556"/>
    <n v="1"/>
    <n v="880"/>
    <n v="634"/>
    <n v="634"/>
    <n v="880"/>
    <n v="246"/>
    <s v="Product 38"/>
    <x v="14"/>
    <s v="Fred Robertson"/>
    <x v="476"/>
    <n v="5"/>
    <x v="4"/>
    <x v="9"/>
    <x v="9"/>
    <x v="3"/>
    <x v="2"/>
  </r>
  <r>
    <s v="AX23500"/>
    <s v="ENX2034"/>
    <s v="A108"/>
    <s v="EMP1041"/>
    <s v="C1040"/>
    <x v="556"/>
    <n v="2"/>
    <n v="871"/>
    <n v="540"/>
    <n v="1080"/>
    <n v="1742"/>
    <n v="662"/>
    <s v="Product 35"/>
    <x v="49"/>
    <s v="Joe Sims"/>
    <x v="221"/>
    <n v="5"/>
    <x v="4"/>
    <x v="9"/>
    <x v="9"/>
    <x v="3"/>
    <x v="2"/>
  </r>
  <r>
    <s v="AX23746"/>
    <s v="ENX2052"/>
    <s v="A110"/>
    <s v="EMP1018"/>
    <s v="C1722"/>
    <x v="554"/>
    <n v="3"/>
    <n v="1526"/>
    <n v="1251"/>
    <n v="3753"/>
    <n v="4578"/>
    <n v="825"/>
    <s v="Product 53"/>
    <x v="63"/>
    <s v="Jimmy Young"/>
    <x v="257"/>
    <n v="5"/>
    <x v="4"/>
    <x v="9"/>
    <x v="9"/>
    <x v="3"/>
    <x v="2"/>
  </r>
  <r>
    <s v="AX23788"/>
    <s v="ENX2031"/>
    <s v="A131"/>
    <s v="EMP1001"/>
    <s v="C1316"/>
    <x v="557"/>
    <n v="2"/>
    <n v="1638"/>
    <n v="1261"/>
    <n v="2522"/>
    <n v="3276"/>
    <n v="754"/>
    <s v="Product 32"/>
    <x v="32"/>
    <s v="Kevin Butler"/>
    <x v="771"/>
    <n v="5"/>
    <x v="4"/>
    <x v="9"/>
    <x v="9"/>
    <x v="3"/>
    <x v="2"/>
  </r>
  <r>
    <s v="AX23801"/>
    <s v="ENX2088"/>
    <s v="A101"/>
    <s v="EMP1041"/>
    <s v="C1129"/>
    <x v="555"/>
    <n v="1"/>
    <n v="603"/>
    <n v="416"/>
    <n v="416"/>
    <n v="603"/>
    <n v="187"/>
    <s v="Product 89"/>
    <x v="60"/>
    <s v="Joe Sims"/>
    <x v="281"/>
    <n v="5"/>
    <x v="4"/>
    <x v="9"/>
    <x v="9"/>
    <x v="3"/>
    <x v="2"/>
  </r>
  <r>
    <s v="AX24061"/>
    <s v="ENX2008"/>
    <s v="A111"/>
    <s v="EMP1011"/>
    <s v="C1153"/>
    <x v="554"/>
    <n v="1"/>
    <n v="315"/>
    <n v="208"/>
    <n v="208"/>
    <n v="315"/>
    <n v="107"/>
    <s v="Product 9"/>
    <x v="54"/>
    <s v="Larry Marshall"/>
    <x v="382"/>
    <n v="5"/>
    <x v="4"/>
    <x v="9"/>
    <x v="9"/>
    <x v="3"/>
    <x v="2"/>
  </r>
  <r>
    <s v="AX24316"/>
    <s v="ENX2018"/>
    <s v="A147"/>
    <s v="EMP1005"/>
    <s v="C1756"/>
    <x v="554"/>
    <n v="2"/>
    <n v="1972"/>
    <n v="1321"/>
    <n v="2642"/>
    <n v="3944"/>
    <n v="1302"/>
    <s v="Product 19"/>
    <x v="42"/>
    <s v="Ryan Welch"/>
    <x v="371"/>
    <n v="5"/>
    <x v="4"/>
    <x v="9"/>
    <x v="9"/>
    <x v="3"/>
    <x v="2"/>
  </r>
  <r>
    <s v="AX24505"/>
    <s v="ENX2059"/>
    <s v="A110"/>
    <s v="EMP1042"/>
    <s v="C1766"/>
    <x v="555"/>
    <n v="1"/>
    <n v="1494"/>
    <n v="971"/>
    <n v="971"/>
    <n v="1494"/>
    <n v="523"/>
    <s v="Product 60"/>
    <x v="63"/>
    <s v="Scott Clark"/>
    <x v="452"/>
    <n v="5"/>
    <x v="4"/>
    <x v="9"/>
    <x v="9"/>
    <x v="3"/>
    <x v="2"/>
  </r>
  <r>
    <s v="AX24579"/>
    <s v="ENX2093"/>
    <s v="A135"/>
    <s v="EMP1002"/>
    <s v="C1554"/>
    <x v="554"/>
    <n v="1"/>
    <n v="112"/>
    <n v="90"/>
    <n v="90"/>
    <n v="112"/>
    <n v="22"/>
    <s v="Product 94"/>
    <x v="10"/>
    <s v="Andrew Bowman"/>
    <x v="516"/>
    <n v="5"/>
    <x v="4"/>
    <x v="9"/>
    <x v="9"/>
    <x v="3"/>
    <x v="2"/>
  </r>
  <r>
    <s v="AX24881"/>
    <s v="ENX2083"/>
    <s v="A170"/>
    <s v="EMP1015"/>
    <s v="C1674"/>
    <x v="557"/>
    <n v="4"/>
    <n v="2141"/>
    <n v="1777"/>
    <n v="7108"/>
    <n v="8564"/>
    <n v="1456"/>
    <s v="Product 84"/>
    <x v="47"/>
    <s v="Justin Lynch"/>
    <x v="774"/>
    <n v="5"/>
    <x v="4"/>
    <x v="9"/>
    <x v="9"/>
    <x v="3"/>
    <x v="2"/>
  </r>
  <r>
    <s v="AX10309"/>
    <s v="ENX2068"/>
    <s v="A157"/>
    <s v="EMP1008"/>
    <s v="C1755"/>
    <x v="558"/>
    <n v="1"/>
    <n v="1500"/>
    <n v="900"/>
    <n v="900"/>
    <n v="1500"/>
    <n v="600"/>
    <s v="Product 69"/>
    <x v="7"/>
    <s v="Carl Elliott"/>
    <x v="178"/>
    <n v="5"/>
    <x v="4"/>
    <x v="10"/>
    <x v="10"/>
    <x v="3"/>
    <x v="0"/>
  </r>
  <r>
    <s v="AX10389"/>
    <s v="ENX2090"/>
    <s v="A132"/>
    <s v="EMP1036"/>
    <s v="C1620"/>
    <x v="559"/>
    <n v="2"/>
    <n v="1338"/>
    <n v="682"/>
    <n v="1364"/>
    <n v="2676"/>
    <n v="1312"/>
    <s v="Product 91"/>
    <x v="48"/>
    <s v="Robert Reed"/>
    <x v="445"/>
    <n v="5"/>
    <x v="4"/>
    <x v="10"/>
    <x v="10"/>
    <x v="3"/>
    <x v="0"/>
  </r>
  <r>
    <s v="AX10995"/>
    <s v="ENX2047"/>
    <s v="A172"/>
    <s v="EMP1017"/>
    <s v="C1688"/>
    <x v="559"/>
    <n v="1"/>
    <n v="290"/>
    <n v="200"/>
    <n v="200"/>
    <n v="290"/>
    <n v="90"/>
    <s v="Product 48"/>
    <x v="36"/>
    <s v="Brian Hansen"/>
    <x v="213"/>
    <n v="5"/>
    <x v="4"/>
    <x v="10"/>
    <x v="10"/>
    <x v="3"/>
    <x v="0"/>
  </r>
  <r>
    <s v="AX11231"/>
    <s v="ENX2017"/>
    <s v="A104"/>
    <s v="EMP1006"/>
    <s v="C1741"/>
    <x v="558"/>
    <n v="3"/>
    <n v="35"/>
    <n v="22"/>
    <n v="66"/>
    <n v="105"/>
    <n v="39"/>
    <s v="Product 18"/>
    <x v="50"/>
    <s v="Sean Miller"/>
    <x v="534"/>
    <n v="5"/>
    <x v="4"/>
    <x v="10"/>
    <x v="10"/>
    <x v="3"/>
    <x v="0"/>
  </r>
  <r>
    <s v="AX11367"/>
    <s v="ENX2033"/>
    <s v="A120"/>
    <s v="EMP1040"/>
    <s v="C1032"/>
    <x v="560"/>
    <n v="1"/>
    <n v="2182"/>
    <n v="1200"/>
    <n v="1200"/>
    <n v="2182"/>
    <n v="982"/>
    <s v="Product 34"/>
    <x v="20"/>
    <s v="Patrick Ruiz"/>
    <x v="270"/>
    <n v="5"/>
    <x v="4"/>
    <x v="10"/>
    <x v="10"/>
    <x v="3"/>
    <x v="0"/>
  </r>
  <r>
    <s v="AX11443"/>
    <s v="ENX2085"/>
    <s v="A169"/>
    <s v="EMP1013"/>
    <s v="C1186"/>
    <x v="561"/>
    <n v="3"/>
    <n v="1862"/>
    <n v="1173"/>
    <n v="3519"/>
    <n v="5586"/>
    <n v="2067"/>
    <s v="Product 86"/>
    <x v="17"/>
    <s v="Charles Harper"/>
    <x v="467"/>
    <n v="5"/>
    <x v="4"/>
    <x v="10"/>
    <x v="10"/>
    <x v="3"/>
    <x v="0"/>
  </r>
  <r>
    <s v="AX11688"/>
    <s v="ENX2097"/>
    <s v="A154"/>
    <s v="EMP1034"/>
    <s v="C1220"/>
    <x v="558"/>
    <n v="2"/>
    <n v="1052"/>
    <n v="589"/>
    <n v="1178"/>
    <n v="2104"/>
    <n v="926"/>
    <s v="Product 98"/>
    <x v="24"/>
    <s v="Arthur Mccoy"/>
    <x v="204"/>
    <n v="5"/>
    <x v="4"/>
    <x v="10"/>
    <x v="10"/>
    <x v="3"/>
    <x v="0"/>
  </r>
  <r>
    <s v="AX12197"/>
    <s v="ENX2091"/>
    <s v="A130"/>
    <s v="EMP1035"/>
    <s v="C1173"/>
    <x v="559"/>
    <n v="2"/>
    <n v="368"/>
    <n v="294"/>
    <n v="588"/>
    <n v="736"/>
    <n v="148"/>
    <s v="Product 92"/>
    <x v="4"/>
    <s v="Roger Ramos"/>
    <x v="167"/>
    <n v="5"/>
    <x v="4"/>
    <x v="10"/>
    <x v="10"/>
    <x v="3"/>
    <x v="0"/>
  </r>
  <r>
    <s v="AX12589"/>
    <s v="ENX2036"/>
    <s v="A158"/>
    <s v="EMP1004"/>
    <s v="C1362"/>
    <x v="559"/>
    <n v="1"/>
    <n v="1582"/>
    <n v="1234"/>
    <n v="1234"/>
    <n v="1582"/>
    <n v="348"/>
    <s v="Product 37"/>
    <x v="58"/>
    <s v="Kenneth Bradley"/>
    <x v="41"/>
    <n v="5"/>
    <x v="4"/>
    <x v="10"/>
    <x v="10"/>
    <x v="3"/>
    <x v="0"/>
  </r>
  <r>
    <s v="AX12834"/>
    <s v="ENX2065"/>
    <s v="A170"/>
    <s v="EMP1027"/>
    <s v="C1543"/>
    <x v="559"/>
    <n v="2"/>
    <n v="2396"/>
    <n v="1965"/>
    <n v="3930"/>
    <n v="4792"/>
    <n v="862"/>
    <s v="Product 66"/>
    <x v="47"/>
    <s v="Gary Rodriguez"/>
    <x v="337"/>
    <n v="5"/>
    <x v="4"/>
    <x v="10"/>
    <x v="10"/>
    <x v="3"/>
    <x v="0"/>
  </r>
  <r>
    <s v="AX13013"/>
    <s v="ENX2055"/>
    <s v="A102"/>
    <s v="EMP1039"/>
    <s v="C1798"/>
    <x v="558"/>
    <n v="1"/>
    <n v="2495"/>
    <n v="1896"/>
    <n v="1896"/>
    <n v="2495"/>
    <n v="599"/>
    <s v="Product 56"/>
    <x v="44"/>
    <s v="Eugene Holmes"/>
    <x v="608"/>
    <n v="5"/>
    <x v="4"/>
    <x v="10"/>
    <x v="10"/>
    <x v="3"/>
    <x v="0"/>
  </r>
  <r>
    <s v="AX13134"/>
    <s v="ENX2056"/>
    <s v="A129"/>
    <s v="EMP1032"/>
    <s v="C1033"/>
    <x v="560"/>
    <n v="4"/>
    <n v="1635"/>
    <n v="1046"/>
    <n v="4184"/>
    <n v="6540"/>
    <n v="2356"/>
    <s v="Product 57"/>
    <x v="22"/>
    <s v="Larry Castillo"/>
    <x v="515"/>
    <n v="5"/>
    <x v="4"/>
    <x v="10"/>
    <x v="10"/>
    <x v="3"/>
    <x v="0"/>
  </r>
  <r>
    <s v="AX13203"/>
    <s v="ENX2018"/>
    <s v="A111"/>
    <s v="EMP1044"/>
    <s v="C1053"/>
    <x v="559"/>
    <n v="3"/>
    <n v="1972"/>
    <n v="1321"/>
    <n v="3963"/>
    <n v="5916"/>
    <n v="1953"/>
    <s v="Product 19"/>
    <x v="54"/>
    <s v="Martin Carr"/>
    <x v="435"/>
    <n v="5"/>
    <x v="4"/>
    <x v="10"/>
    <x v="10"/>
    <x v="3"/>
    <x v="0"/>
  </r>
  <r>
    <s v="AX13396"/>
    <s v="ENX2018"/>
    <s v="A124"/>
    <s v="EMP1040"/>
    <s v="C1443"/>
    <x v="561"/>
    <n v="1"/>
    <n v="1972"/>
    <n v="1321"/>
    <n v="1321"/>
    <n v="1972"/>
    <n v="651"/>
    <s v="Product 19"/>
    <x v="67"/>
    <s v="Patrick Ruiz"/>
    <x v="683"/>
    <n v="5"/>
    <x v="4"/>
    <x v="10"/>
    <x v="10"/>
    <x v="3"/>
    <x v="0"/>
  </r>
  <r>
    <s v="AX13745"/>
    <s v="ENX2038"/>
    <s v="A170"/>
    <s v="EMP1026"/>
    <s v="C1524"/>
    <x v="560"/>
    <n v="1"/>
    <n v="392"/>
    <n v="255"/>
    <n v="255"/>
    <n v="392"/>
    <n v="137"/>
    <s v="Product 39"/>
    <x v="47"/>
    <s v="Martin Perry"/>
    <x v="263"/>
    <n v="5"/>
    <x v="4"/>
    <x v="10"/>
    <x v="10"/>
    <x v="3"/>
    <x v="0"/>
  </r>
  <r>
    <s v="AX13823"/>
    <s v="ENX2055"/>
    <s v="A132"/>
    <s v="EMP1018"/>
    <s v="C1688"/>
    <x v="558"/>
    <n v="3"/>
    <n v="2495"/>
    <n v="1896"/>
    <n v="5688"/>
    <n v="7485"/>
    <n v="1797"/>
    <s v="Product 56"/>
    <x v="48"/>
    <s v="Jimmy Young"/>
    <x v="213"/>
    <n v="5"/>
    <x v="4"/>
    <x v="10"/>
    <x v="10"/>
    <x v="3"/>
    <x v="0"/>
  </r>
  <r>
    <s v="AX13882"/>
    <s v="ENX2016"/>
    <s v="A142"/>
    <s v="EMP1026"/>
    <s v="C1275"/>
    <x v="561"/>
    <n v="1"/>
    <n v="1351"/>
    <n v="1108"/>
    <n v="1108"/>
    <n v="1351"/>
    <n v="243"/>
    <s v="Product 17"/>
    <x v="56"/>
    <s v="Martin Perry"/>
    <x v="144"/>
    <n v="5"/>
    <x v="4"/>
    <x v="10"/>
    <x v="10"/>
    <x v="3"/>
    <x v="0"/>
  </r>
  <r>
    <s v="AX14175"/>
    <s v="ENX2022"/>
    <s v="A149"/>
    <s v="EMP1022"/>
    <s v="C1160"/>
    <x v="560"/>
    <n v="1"/>
    <n v="561"/>
    <n v="421"/>
    <n v="421"/>
    <n v="561"/>
    <n v="140"/>
    <s v="Product 23"/>
    <x v="59"/>
    <s v="Walter Cook"/>
    <x v="566"/>
    <n v="5"/>
    <x v="4"/>
    <x v="10"/>
    <x v="10"/>
    <x v="3"/>
    <x v="0"/>
  </r>
  <r>
    <s v="AX14715"/>
    <s v="ENX2067"/>
    <s v="A116"/>
    <s v="EMP1043"/>
    <s v="C1413"/>
    <x v="561"/>
    <n v="2"/>
    <n v="1119"/>
    <n v="683"/>
    <n v="1366"/>
    <n v="2238"/>
    <n v="872"/>
    <s v="Product 68"/>
    <x v="15"/>
    <s v="Joshua Taylor"/>
    <x v="571"/>
    <n v="5"/>
    <x v="4"/>
    <x v="10"/>
    <x v="10"/>
    <x v="3"/>
    <x v="0"/>
  </r>
  <r>
    <s v="AX15079"/>
    <s v="ENX2094"/>
    <s v="A168"/>
    <s v="EMP1023"/>
    <s v="C1174"/>
    <x v="560"/>
    <n v="1"/>
    <n v="771"/>
    <n v="648"/>
    <n v="648"/>
    <n v="771"/>
    <n v="123"/>
    <s v="Product 95"/>
    <x v="40"/>
    <s v="Brian Davis"/>
    <x v="715"/>
    <n v="5"/>
    <x v="4"/>
    <x v="10"/>
    <x v="10"/>
    <x v="3"/>
    <x v="0"/>
  </r>
  <r>
    <s v="AX15155"/>
    <s v="ENX2005"/>
    <s v="A156"/>
    <s v="EMP1007"/>
    <s v="C1213"/>
    <x v="559"/>
    <n v="2"/>
    <n v="684"/>
    <n v="561"/>
    <n v="1122"/>
    <n v="1368"/>
    <n v="246"/>
    <s v="Product 6"/>
    <x v="14"/>
    <s v="Jeremy Mendoza"/>
    <x v="487"/>
    <n v="5"/>
    <x v="4"/>
    <x v="10"/>
    <x v="10"/>
    <x v="3"/>
    <x v="0"/>
  </r>
  <r>
    <s v="AX15174"/>
    <s v="ENX2017"/>
    <s v="A122"/>
    <s v="EMP1029"/>
    <s v="C1425"/>
    <x v="559"/>
    <n v="4"/>
    <n v="35"/>
    <n v="22"/>
    <n v="88"/>
    <n v="140"/>
    <n v="52"/>
    <s v="Product 18"/>
    <x v="71"/>
    <s v="Howard Gardner"/>
    <x v="474"/>
    <n v="5"/>
    <x v="4"/>
    <x v="10"/>
    <x v="10"/>
    <x v="3"/>
    <x v="0"/>
  </r>
  <r>
    <s v="AX15225"/>
    <s v="ENX2037"/>
    <s v="A125"/>
    <s v="EMP1000"/>
    <s v="C1441"/>
    <x v="561"/>
    <n v="2"/>
    <n v="880"/>
    <n v="634"/>
    <n v="1268"/>
    <n v="1760"/>
    <n v="492"/>
    <s v="Product 38"/>
    <x v="31"/>
    <s v="Fred Robertson"/>
    <x v="667"/>
    <n v="5"/>
    <x v="4"/>
    <x v="10"/>
    <x v="10"/>
    <x v="3"/>
    <x v="0"/>
  </r>
  <r>
    <s v="AX15810"/>
    <s v="ENX2072"/>
    <s v="A117"/>
    <s v="EMP1027"/>
    <s v="C1090"/>
    <x v="559"/>
    <n v="1"/>
    <n v="1887"/>
    <n v="1378"/>
    <n v="1378"/>
    <n v="1887"/>
    <n v="509"/>
    <s v="Product 73"/>
    <x v="29"/>
    <s v="Gary Rodriguez"/>
    <x v="0"/>
    <n v="5"/>
    <x v="4"/>
    <x v="10"/>
    <x v="10"/>
    <x v="3"/>
    <x v="0"/>
  </r>
  <r>
    <s v="AX15964"/>
    <s v="ENX2052"/>
    <s v="A105"/>
    <s v="EMP1010"/>
    <s v="C1748"/>
    <x v="558"/>
    <n v="1"/>
    <n v="1526"/>
    <n v="1251"/>
    <n v="1251"/>
    <n v="1526"/>
    <n v="275"/>
    <s v="Product 53"/>
    <x v="45"/>
    <s v="Joshua Cook"/>
    <x v="162"/>
    <n v="5"/>
    <x v="4"/>
    <x v="10"/>
    <x v="10"/>
    <x v="3"/>
    <x v="0"/>
  </r>
  <r>
    <s v="AX16032"/>
    <s v="ENX2050"/>
    <s v="A101"/>
    <s v="EMP1039"/>
    <s v="C1543"/>
    <x v="561"/>
    <n v="2"/>
    <n v="2391"/>
    <n v="1291"/>
    <n v="2582"/>
    <n v="4782"/>
    <n v="2200"/>
    <s v="Product 51"/>
    <x v="60"/>
    <s v="Eugene Holmes"/>
    <x v="337"/>
    <n v="5"/>
    <x v="4"/>
    <x v="10"/>
    <x v="10"/>
    <x v="3"/>
    <x v="0"/>
  </r>
  <r>
    <s v="AX16093"/>
    <s v="ENX2004"/>
    <s v="A152"/>
    <s v="EMP1010"/>
    <s v="C1005"/>
    <x v="558"/>
    <n v="3"/>
    <n v="1278"/>
    <n v="665"/>
    <n v="1995"/>
    <n v="3834"/>
    <n v="1839"/>
    <s v="Product 5"/>
    <x v="26"/>
    <s v="Joshua Cook"/>
    <x v="304"/>
    <n v="5"/>
    <x v="4"/>
    <x v="10"/>
    <x v="10"/>
    <x v="3"/>
    <x v="0"/>
  </r>
  <r>
    <s v="AX16099"/>
    <s v="ENX2100"/>
    <s v="A102"/>
    <s v="EMP1000"/>
    <s v="C1360"/>
    <x v="559"/>
    <n v="1"/>
    <n v="799"/>
    <n v="455"/>
    <n v="455"/>
    <n v="799"/>
    <n v="344"/>
    <s v="Product 101"/>
    <x v="44"/>
    <s v="Fred Robertson"/>
    <x v="573"/>
    <n v="5"/>
    <x v="4"/>
    <x v="10"/>
    <x v="10"/>
    <x v="3"/>
    <x v="0"/>
  </r>
  <r>
    <s v="AX16213"/>
    <s v="ENX2089"/>
    <s v="A142"/>
    <s v="EMP1009"/>
    <s v="C1216"/>
    <x v="558"/>
    <n v="2"/>
    <n v="2294"/>
    <n v="1399"/>
    <n v="2798"/>
    <n v="4588"/>
    <n v="1790"/>
    <s v="Product 90"/>
    <x v="56"/>
    <s v="Kenneth Fields"/>
    <x v="580"/>
    <n v="5"/>
    <x v="4"/>
    <x v="10"/>
    <x v="10"/>
    <x v="3"/>
    <x v="0"/>
  </r>
  <r>
    <s v="AX16441"/>
    <s v="ENX2056"/>
    <s v="A142"/>
    <s v="EMP1018"/>
    <s v="C1107"/>
    <x v="561"/>
    <n v="3"/>
    <n v="1635"/>
    <n v="1046"/>
    <n v="3138"/>
    <n v="4905"/>
    <n v="1767"/>
    <s v="Product 57"/>
    <x v="56"/>
    <s v="Jimmy Young"/>
    <x v="278"/>
    <n v="5"/>
    <x v="4"/>
    <x v="10"/>
    <x v="10"/>
    <x v="3"/>
    <x v="0"/>
  </r>
  <r>
    <s v="AX16528"/>
    <s v="ENX2055"/>
    <s v="A112"/>
    <s v="EMP1035"/>
    <s v="C1626"/>
    <x v="561"/>
    <n v="1"/>
    <n v="2495"/>
    <n v="1896"/>
    <n v="1896"/>
    <n v="2495"/>
    <n v="599"/>
    <s v="Product 56"/>
    <x v="66"/>
    <s v="Roger Ramos"/>
    <x v="153"/>
    <n v="5"/>
    <x v="4"/>
    <x v="10"/>
    <x v="10"/>
    <x v="3"/>
    <x v="0"/>
  </r>
  <r>
    <s v="AX16593"/>
    <s v="ENX2046"/>
    <s v="A151"/>
    <s v="EMP1016"/>
    <s v="C1685"/>
    <x v="559"/>
    <n v="2"/>
    <n v="2410"/>
    <n v="1518"/>
    <n v="3036"/>
    <n v="4820"/>
    <n v="1784"/>
    <s v="Product 47"/>
    <x v="1"/>
    <s v="Henry Nelson"/>
    <x v="90"/>
    <n v="5"/>
    <x v="4"/>
    <x v="10"/>
    <x v="10"/>
    <x v="3"/>
    <x v="0"/>
  </r>
  <r>
    <s v="AX16603"/>
    <s v="ENX2087"/>
    <s v="A100"/>
    <s v="EMP1040"/>
    <s v="C1531"/>
    <x v="559"/>
    <n v="3"/>
    <n v="1022"/>
    <n v="818"/>
    <n v="2454"/>
    <n v="3066"/>
    <n v="612"/>
    <s v="Product 88"/>
    <x v="52"/>
    <s v="Patrick Ruiz"/>
    <x v="743"/>
    <n v="5"/>
    <x v="4"/>
    <x v="10"/>
    <x v="10"/>
    <x v="3"/>
    <x v="0"/>
  </r>
  <r>
    <s v="AX17061"/>
    <s v="ENX2060"/>
    <s v="A165"/>
    <s v="EMP1029"/>
    <s v="C1312"/>
    <x v="561"/>
    <n v="3"/>
    <n v="1467"/>
    <n v="807"/>
    <n v="2421"/>
    <n v="4401"/>
    <n v="1980"/>
    <s v="Product 61"/>
    <x v="55"/>
    <s v="Howard Gardner"/>
    <x v="609"/>
    <n v="5"/>
    <x v="4"/>
    <x v="10"/>
    <x v="10"/>
    <x v="3"/>
    <x v="0"/>
  </r>
  <r>
    <s v="AX18037"/>
    <s v="ENX2081"/>
    <s v="A155"/>
    <s v="EMP1015"/>
    <s v="C1033"/>
    <x v="559"/>
    <n v="1"/>
    <n v="1566"/>
    <n v="1190"/>
    <n v="1190"/>
    <n v="1566"/>
    <n v="376"/>
    <s v="Product 82"/>
    <x v="53"/>
    <s v="Justin Lynch"/>
    <x v="515"/>
    <n v="5"/>
    <x v="4"/>
    <x v="10"/>
    <x v="10"/>
    <x v="3"/>
    <x v="0"/>
  </r>
  <r>
    <s v="AX18168"/>
    <s v="ENX2087"/>
    <s v="A166"/>
    <s v="EMP1031"/>
    <s v="C1765"/>
    <x v="559"/>
    <n v="1"/>
    <n v="1022"/>
    <n v="818"/>
    <n v="818"/>
    <n v="1022"/>
    <n v="204"/>
    <s v="Product 88"/>
    <x v="70"/>
    <s v="Brian Thomas"/>
    <x v="470"/>
    <n v="5"/>
    <x v="4"/>
    <x v="10"/>
    <x v="10"/>
    <x v="3"/>
    <x v="0"/>
  </r>
  <r>
    <s v="AX18289"/>
    <s v="ENX2010"/>
    <s v="A151"/>
    <s v="EMP1005"/>
    <s v="C1598"/>
    <x v="560"/>
    <n v="1"/>
    <n v="1812"/>
    <n v="1305"/>
    <n v="1305"/>
    <n v="1812"/>
    <n v="507"/>
    <s v="Product 11"/>
    <x v="1"/>
    <s v="Ryan Welch"/>
    <x v="125"/>
    <n v="5"/>
    <x v="4"/>
    <x v="10"/>
    <x v="10"/>
    <x v="3"/>
    <x v="0"/>
  </r>
  <r>
    <s v="AX18465"/>
    <s v="ENX2081"/>
    <s v="A110"/>
    <s v="EMP1021"/>
    <s v="C1743"/>
    <x v="560"/>
    <n v="2"/>
    <n v="1566"/>
    <n v="1190"/>
    <n v="2380"/>
    <n v="3132"/>
    <n v="752"/>
    <s v="Product 82"/>
    <x v="63"/>
    <s v="Clarence Fox"/>
    <x v="276"/>
    <n v="5"/>
    <x v="4"/>
    <x v="10"/>
    <x v="10"/>
    <x v="3"/>
    <x v="0"/>
  </r>
  <r>
    <s v="AX18491"/>
    <s v="ENX2100"/>
    <s v="A102"/>
    <s v="EMP1005"/>
    <s v="C1134"/>
    <x v="560"/>
    <n v="1"/>
    <n v="799"/>
    <n v="455"/>
    <n v="455"/>
    <n v="799"/>
    <n v="344"/>
    <s v="Product 101"/>
    <x v="44"/>
    <s v="Ryan Welch"/>
    <x v="495"/>
    <n v="5"/>
    <x v="4"/>
    <x v="10"/>
    <x v="10"/>
    <x v="3"/>
    <x v="0"/>
  </r>
  <r>
    <s v="AX19108"/>
    <s v="ENX2030"/>
    <s v="A142"/>
    <s v="EMP1028"/>
    <s v="C1070"/>
    <x v="561"/>
    <n v="3"/>
    <n v="1899"/>
    <n v="1044"/>
    <n v="3132"/>
    <n v="5697"/>
    <n v="2565"/>
    <s v="Product 31"/>
    <x v="56"/>
    <s v="Howard Sims"/>
    <x v="48"/>
    <n v="5"/>
    <x v="4"/>
    <x v="10"/>
    <x v="10"/>
    <x v="3"/>
    <x v="0"/>
  </r>
  <r>
    <s v="AX19329"/>
    <s v="ENX2042"/>
    <s v="A160"/>
    <s v="EMP1042"/>
    <s v="C1276"/>
    <x v="560"/>
    <n v="2"/>
    <n v="203"/>
    <n v="154"/>
    <n v="308"/>
    <n v="406"/>
    <n v="98"/>
    <s v="Product 43"/>
    <x v="9"/>
    <s v="Scott Clark"/>
    <x v="773"/>
    <n v="5"/>
    <x v="4"/>
    <x v="10"/>
    <x v="10"/>
    <x v="3"/>
    <x v="0"/>
  </r>
  <r>
    <s v="AX19447"/>
    <s v="ENX2049"/>
    <s v="A120"/>
    <s v="EMP1006"/>
    <s v="C1517"/>
    <x v="560"/>
    <n v="3"/>
    <n v="826"/>
    <n v="562"/>
    <n v="1686"/>
    <n v="2478"/>
    <n v="792"/>
    <s v="Product 50"/>
    <x v="20"/>
    <s v="Sean Miller"/>
    <x v="359"/>
    <n v="5"/>
    <x v="4"/>
    <x v="10"/>
    <x v="10"/>
    <x v="3"/>
    <x v="0"/>
  </r>
  <r>
    <s v="AX19709"/>
    <s v="ENX2038"/>
    <s v="A120"/>
    <s v="EMP1039"/>
    <s v="C1200"/>
    <x v="560"/>
    <n v="2"/>
    <n v="392"/>
    <n v="255"/>
    <n v="510"/>
    <n v="784"/>
    <n v="274"/>
    <s v="Product 39"/>
    <x v="20"/>
    <s v="Eugene Holmes"/>
    <x v="778"/>
    <n v="5"/>
    <x v="4"/>
    <x v="10"/>
    <x v="10"/>
    <x v="3"/>
    <x v="0"/>
  </r>
  <r>
    <s v="AX19725"/>
    <s v="ENX2002"/>
    <s v="A121"/>
    <s v="EMP1022"/>
    <s v="C1516"/>
    <x v="560"/>
    <n v="1"/>
    <n v="847"/>
    <n v="534"/>
    <n v="534"/>
    <n v="847"/>
    <n v="313"/>
    <s v="Product 3"/>
    <x v="72"/>
    <s v="Walter Cook"/>
    <x v="568"/>
    <n v="5"/>
    <x v="4"/>
    <x v="10"/>
    <x v="10"/>
    <x v="3"/>
    <x v="0"/>
  </r>
  <r>
    <s v="AX19989"/>
    <s v="ENX2003"/>
    <s v="A146"/>
    <s v="EMP1023"/>
    <s v="C1531"/>
    <x v="561"/>
    <n v="1"/>
    <n v="1783"/>
    <n v="1516"/>
    <n v="1516"/>
    <n v="1783"/>
    <n v="267"/>
    <s v="Product 4"/>
    <x v="27"/>
    <s v="Brian Davis"/>
    <x v="743"/>
    <n v="5"/>
    <x v="4"/>
    <x v="10"/>
    <x v="10"/>
    <x v="3"/>
    <x v="0"/>
  </r>
  <r>
    <s v="AX20116"/>
    <s v="ENX2092"/>
    <s v="A164"/>
    <s v="EMP1027"/>
    <s v="C1398"/>
    <x v="560"/>
    <n v="3"/>
    <n v="1639"/>
    <n v="1295"/>
    <n v="3885"/>
    <n v="4917"/>
    <n v="1032"/>
    <s v="Product 93"/>
    <x v="3"/>
    <s v="Gary Rodriguez"/>
    <x v="680"/>
    <n v="5"/>
    <x v="4"/>
    <x v="10"/>
    <x v="10"/>
    <x v="3"/>
    <x v="0"/>
  </r>
  <r>
    <s v="AX20205"/>
    <s v="ENX2035"/>
    <s v="A140"/>
    <s v="EMP1006"/>
    <s v="C1545"/>
    <x v="560"/>
    <n v="3"/>
    <n v="458"/>
    <n v="376"/>
    <n v="1128"/>
    <n v="1374"/>
    <n v="246"/>
    <s v="Product 36"/>
    <x v="18"/>
    <s v="Sean Miller"/>
    <x v="646"/>
    <n v="5"/>
    <x v="4"/>
    <x v="10"/>
    <x v="10"/>
    <x v="3"/>
    <x v="0"/>
  </r>
  <r>
    <s v="AX20318"/>
    <s v="ENX2084"/>
    <s v="A169"/>
    <s v="EMP1030"/>
    <s v="C1570"/>
    <x v="561"/>
    <n v="1"/>
    <n v="1783"/>
    <n v="1230"/>
    <n v="1230"/>
    <n v="1783"/>
    <n v="553"/>
    <s v="Product 85"/>
    <x v="17"/>
    <s v="Bobby Russell"/>
    <x v="695"/>
    <n v="5"/>
    <x v="4"/>
    <x v="10"/>
    <x v="10"/>
    <x v="3"/>
    <x v="0"/>
  </r>
  <r>
    <s v="AX20738"/>
    <s v="ENX2044"/>
    <s v="A137"/>
    <s v="EMP1009"/>
    <s v="C1146"/>
    <x v="558"/>
    <n v="2"/>
    <n v="886"/>
    <n v="478"/>
    <n v="956"/>
    <n v="1772"/>
    <n v="816"/>
    <s v="Product 45"/>
    <x v="68"/>
    <s v="Kenneth Fields"/>
    <x v="274"/>
    <n v="5"/>
    <x v="4"/>
    <x v="10"/>
    <x v="10"/>
    <x v="3"/>
    <x v="0"/>
  </r>
  <r>
    <s v="AX20991"/>
    <s v="ENX2040"/>
    <s v="A122"/>
    <s v="EMP1025"/>
    <s v="C1157"/>
    <x v="559"/>
    <n v="2"/>
    <n v="1889"/>
    <n v="945"/>
    <n v="1890"/>
    <n v="3778"/>
    <n v="1888"/>
    <s v="Product 41"/>
    <x v="71"/>
    <s v="Ernest Wagner"/>
    <x v="415"/>
    <n v="5"/>
    <x v="4"/>
    <x v="10"/>
    <x v="10"/>
    <x v="3"/>
    <x v="0"/>
  </r>
  <r>
    <s v="AX21226"/>
    <s v="ENX2087"/>
    <s v="A128"/>
    <s v="EMP1019"/>
    <s v="C1799"/>
    <x v="558"/>
    <n v="2"/>
    <n v="1022"/>
    <n v="818"/>
    <n v="1636"/>
    <n v="2044"/>
    <n v="408"/>
    <s v="Product 88"/>
    <x v="12"/>
    <s v="Roger Robertson"/>
    <x v="390"/>
    <n v="5"/>
    <x v="4"/>
    <x v="10"/>
    <x v="10"/>
    <x v="3"/>
    <x v="0"/>
  </r>
  <r>
    <s v="AX21236"/>
    <s v="ENX2046"/>
    <s v="A110"/>
    <s v="EMP1030"/>
    <s v="C1675"/>
    <x v="559"/>
    <n v="2"/>
    <n v="2410"/>
    <n v="1518"/>
    <n v="3036"/>
    <n v="4820"/>
    <n v="1784"/>
    <s v="Product 47"/>
    <x v="63"/>
    <s v="Bobby Russell"/>
    <x v="453"/>
    <n v="5"/>
    <x v="4"/>
    <x v="10"/>
    <x v="10"/>
    <x v="3"/>
    <x v="0"/>
  </r>
  <r>
    <s v="AX21308"/>
    <s v="ENX2008"/>
    <s v="A139"/>
    <s v="EMP1042"/>
    <s v="C1504"/>
    <x v="558"/>
    <n v="1"/>
    <n v="315"/>
    <n v="208"/>
    <n v="208"/>
    <n v="315"/>
    <n v="107"/>
    <s v="Product 9"/>
    <x v="38"/>
    <s v="Scott Clark"/>
    <x v="559"/>
    <n v="5"/>
    <x v="4"/>
    <x v="10"/>
    <x v="10"/>
    <x v="3"/>
    <x v="0"/>
  </r>
  <r>
    <s v="AX21336"/>
    <s v="ENX2093"/>
    <s v="A152"/>
    <s v="EMP1002"/>
    <s v="C1710"/>
    <x v="558"/>
    <n v="2"/>
    <n v="112"/>
    <n v="90"/>
    <n v="180"/>
    <n v="224"/>
    <n v="44"/>
    <s v="Product 94"/>
    <x v="26"/>
    <s v="Andrew Bowman"/>
    <x v="197"/>
    <n v="5"/>
    <x v="4"/>
    <x v="10"/>
    <x v="10"/>
    <x v="3"/>
    <x v="0"/>
  </r>
  <r>
    <s v="AX22571"/>
    <s v="ENX2089"/>
    <s v="A106"/>
    <s v="EMP1001"/>
    <s v="C1583"/>
    <x v="558"/>
    <n v="2"/>
    <n v="2294"/>
    <n v="1399"/>
    <n v="2798"/>
    <n v="4588"/>
    <n v="1790"/>
    <s v="Product 90"/>
    <x v="11"/>
    <s v="Kevin Butler"/>
    <x v="798"/>
    <n v="5"/>
    <x v="4"/>
    <x v="10"/>
    <x v="10"/>
    <x v="3"/>
    <x v="0"/>
  </r>
  <r>
    <s v="AX23024"/>
    <s v="ENX2080"/>
    <s v="A152"/>
    <s v="EMP1032"/>
    <s v="C1239"/>
    <x v="559"/>
    <n v="1"/>
    <n v="2353"/>
    <n v="1788"/>
    <n v="1788"/>
    <n v="2353"/>
    <n v="565"/>
    <s v="Product 81"/>
    <x v="26"/>
    <s v="Larry Castillo"/>
    <x v="479"/>
    <n v="5"/>
    <x v="4"/>
    <x v="10"/>
    <x v="10"/>
    <x v="3"/>
    <x v="0"/>
  </r>
  <r>
    <s v="AX23141"/>
    <s v="ENX2017"/>
    <s v="A146"/>
    <s v="EMP1034"/>
    <s v="C1356"/>
    <x v="558"/>
    <n v="3"/>
    <n v="35"/>
    <n v="22"/>
    <n v="66"/>
    <n v="105"/>
    <n v="39"/>
    <s v="Product 18"/>
    <x v="27"/>
    <s v="Arthur Mccoy"/>
    <x v="238"/>
    <n v="5"/>
    <x v="4"/>
    <x v="10"/>
    <x v="10"/>
    <x v="3"/>
    <x v="0"/>
  </r>
  <r>
    <s v="AX23459"/>
    <s v="ENX2038"/>
    <s v="A128"/>
    <s v="EMP1030"/>
    <s v="C1120"/>
    <x v="560"/>
    <n v="1"/>
    <n v="392"/>
    <n v="255"/>
    <n v="255"/>
    <n v="392"/>
    <n v="137"/>
    <s v="Product 39"/>
    <x v="12"/>
    <s v="Bobby Russell"/>
    <x v="685"/>
    <n v="5"/>
    <x v="4"/>
    <x v="10"/>
    <x v="10"/>
    <x v="3"/>
    <x v="0"/>
  </r>
  <r>
    <s v="AX23466"/>
    <s v="ENX2058"/>
    <s v="A115"/>
    <s v="EMP1038"/>
    <s v="C1396"/>
    <x v="561"/>
    <n v="1"/>
    <n v="2257"/>
    <n v="1535"/>
    <n v="1535"/>
    <n v="2257"/>
    <n v="722"/>
    <s v="Product 59"/>
    <x v="33"/>
    <s v="Scott Mason"/>
    <x v="624"/>
    <n v="5"/>
    <x v="4"/>
    <x v="10"/>
    <x v="10"/>
    <x v="3"/>
    <x v="0"/>
  </r>
  <r>
    <s v="AX23914"/>
    <s v="ENX2053"/>
    <s v="A117"/>
    <s v="EMP1009"/>
    <s v="C1479"/>
    <x v="561"/>
    <n v="2"/>
    <n v="596"/>
    <n v="358"/>
    <n v="716"/>
    <n v="1192"/>
    <n v="476"/>
    <s v="Product 54"/>
    <x v="29"/>
    <s v="Kenneth Fields"/>
    <x v="385"/>
    <n v="5"/>
    <x v="4"/>
    <x v="10"/>
    <x v="10"/>
    <x v="3"/>
    <x v="0"/>
  </r>
  <r>
    <s v="AX24154"/>
    <s v="ENX2018"/>
    <s v="A137"/>
    <s v="EMP1000"/>
    <s v="C1728"/>
    <x v="560"/>
    <n v="2"/>
    <n v="1972"/>
    <n v="1321"/>
    <n v="2642"/>
    <n v="3944"/>
    <n v="1302"/>
    <s v="Product 19"/>
    <x v="68"/>
    <s v="Fred Robertson"/>
    <x v="446"/>
    <n v="5"/>
    <x v="4"/>
    <x v="10"/>
    <x v="10"/>
    <x v="3"/>
    <x v="0"/>
  </r>
  <r>
    <s v="AX24279"/>
    <s v="ENX2001"/>
    <s v="A165"/>
    <s v="EMP1044"/>
    <s v="C1292"/>
    <x v="558"/>
    <n v="1"/>
    <n v="951"/>
    <n v="504"/>
    <n v="504"/>
    <n v="951"/>
    <n v="447"/>
    <s v="Product 2"/>
    <x v="55"/>
    <s v="Martin Carr"/>
    <x v="333"/>
    <n v="5"/>
    <x v="4"/>
    <x v="10"/>
    <x v="10"/>
    <x v="3"/>
    <x v="0"/>
  </r>
  <r>
    <s v="AX10190"/>
    <s v="ENX2034"/>
    <s v="A152"/>
    <s v="EMP1015"/>
    <s v="C1206"/>
    <x v="562"/>
    <n v="2"/>
    <n v="871"/>
    <n v="540"/>
    <n v="1080"/>
    <n v="1742"/>
    <n v="662"/>
    <s v="Product 35"/>
    <x v="26"/>
    <s v="Justin Lynch"/>
    <x v="518"/>
    <n v="5"/>
    <x v="4"/>
    <x v="10"/>
    <x v="10"/>
    <x v="3"/>
    <x v="2"/>
  </r>
  <r>
    <s v="AX10373"/>
    <s v="ENX2060"/>
    <s v="A136"/>
    <s v="EMP1035"/>
    <s v="C1229"/>
    <x v="563"/>
    <n v="4"/>
    <n v="1467"/>
    <n v="807"/>
    <n v="3228"/>
    <n v="5868"/>
    <n v="2640"/>
    <s v="Product 61"/>
    <x v="43"/>
    <s v="Roger Ramos"/>
    <x v="562"/>
    <n v="5"/>
    <x v="4"/>
    <x v="10"/>
    <x v="10"/>
    <x v="3"/>
    <x v="2"/>
  </r>
  <r>
    <s v="AX10438"/>
    <s v="ENX2081"/>
    <s v="A123"/>
    <s v="EMP1012"/>
    <s v="C1330"/>
    <x v="564"/>
    <n v="2"/>
    <n v="1566"/>
    <n v="1190"/>
    <n v="2380"/>
    <n v="3132"/>
    <n v="752"/>
    <s v="Product 82"/>
    <x v="34"/>
    <s v="John Reyes"/>
    <x v="511"/>
    <n v="5"/>
    <x v="4"/>
    <x v="10"/>
    <x v="10"/>
    <x v="3"/>
    <x v="2"/>
  </r>
  <r>
    <s v="AX11209"/>
    <s v="ENX2099"/>
    <s v="A138"/>
    <s v="EMP1040"/>
    <s v="C1622"/>
    <x v="562"/>
    <n v="1"/>
    <n v="1367"/>
    <n v="984"/>
    <n v="984"/>
    <n v="1367"/>
    <n v="383"/>
    <s v="Product 100"/>
    <x v="37"/>
    <s v="Patrick Ruiz"/>
    <x v="548"/>
    <n v="5"/>
    <x v="4"/>
    <x v="10"/>
    <x v="10"/>
    <x v="3"/>
    <x v="2"/>
  </r>
  <r>
    <s v="AX11266"/>
    <s v="ENX2012"/>
    <s v="A144"/>
    <s v="EMP1039"/>
    <s v="C1571"/>
    <x v="565"/>
    <n v="3"/>
    <n v="1353"/>
    <n v="947"/>
    <n v="2841"/>
    <n v="4059"/>
    <n v="1218"/>
    <s v="Product 13"/>
    <x v="65"/>
    <s v="Eugene Holmes"/>
    <x v="316"/>
    <n v="5"/>
    <x v="4"/>
    <x v="10"/>
    <x v="10"/>
    <x v="3"/>
    <x v="2"/>
  </r>
  <r>
    <s v="AX11552"/>
    <s v="ENX2095"/>
    <s v="A169"/>
    <s v="EMP1003"/>
    <s v="C1003"/>
    <x v="563"/>
    <n v="2"/>
    <n v="1743"/>
    <n v="872"/>
    <n v="1744"/>
    <n v="3486"/>
    <n v="1742"/>
    <s v="Product 96"/>
    <x v="17"/>
    <s v="Christopher Tucker"/>
    <x v="494"/>
    <n v="5"/>
    <x v="4"/>
    <x v="10"/>
    <x v="10"/>
    <x v="3"/>
    <x v="2"/>
  </r>
  <r>
    <s v="AX11602"/>
    <s v="ENX2044"/>
    <s v="A127"/>
    <s v="EMP1020"/>
    <s v="C1224"/>
    <x v="562"/>
    <n v="1"/>
    <n v="886"/>
    <n v="478"/>
    <n v="478"/>
    <n v="886"/>
    <n v="408"/>
    <s v="Product 45"/>
    <x v="69"/>
    <s v="Ryan Butler"/>
    <x v="492"/>
    <n v="5"/>
    <x v="4"/>
    <x v="10"/>
    <x v="10"/>
    <x v="3"/>
    <x v="2"/>
  </r>
  <r>
    <s v="AX11940"/>
    <s v="ENX2044"/>
    <s v="A120"/>
    <s v="EMP1015"/>
    <s v="C1564"/>
    <x v="566"/>
    <n v="2"/>
    <n v="886"/>
    <n v="478"/>
    <n v="956"/>
    <n v="1772"/>
    <n v="816"/>
    <s v="Product 45"/>
    <x v="20"/>
    <s v="Justin Lynch"/>
    <x v="302"/>
    <n v="5"/>
    <x v="4"/>
    <x v="10"/>
    <x v="10"/>
    <x v="3"/>
    <x v="2"/>
  </r>
  <r>
    <s v="AX11955"/>
    <s v="ENX2002"/>
    <s v="A169"/>
    <s v="EMP1015"/>
    <s v="C1056"/>
    <x v="564"/>
    <n v="3"/>
    <n v="847"/>
    <n v="534"/>
    <n v="1602"/>
    <n v="2541"/>
    <n v="939"/>
    <s v="Product 3"/>
    <x v="17"/>
    <s v="Justin Lynch"/>
    <x v="260"/>
    <n v="5"/>
    <x v="4"/>
    <x v="10"/>
    <x v="10"/>
    <x v="3"/>
    <x v="2"/>
  </r>
  <r>
    <s v="AX12419"/>
    <s v="ENX2024"/>
    <s v="A116"/>
    <s v="EMP1002"/>
    <s v="C1783"/>
    <x v="563"/>
    <n v="1"/>
    <n v="356"/>
    <n v="292"/>
    <n v="292"/>
    <n v="356"/>
    <n v="64"/>
    <s v="Product 25"/>
    <x v="15"/>
    <s v="Andrew Bowman"/>
    <x v="272"/>
    <n v="5"/>
    <x v="4"/>
    <x v="10"/>
    <x v="10"/>
    <x v="3"/>
    <x v="2"/>
  </r>
  <r>
    <s v="AX12652"/>
    <s v="ENX2038"/>
    <s v="A117"/>
    <s v="EMP1039"/>
    <s v="C1775"/>
    <x v="566"/>
    <n v="1"/>
    <n v="392"/>
    <n v="255"/>
    <n v="255"/>
    <n v="392"/>
    <n v="137"/>
    <s v="Product 39"/>
    <x v="29"/>
    <s v="Eugene Holmes"/>
    <x v="69"/>
    <n v="5"/>
    <x v="4"/>
    <x v="10"/>
    <x v="10"/>
    <x v="3"/>
    <x v="2"/>
  </r>
  <r>
    <s v="AX13283"/>
    <s v="ENX2006"/>
    <s v="A124"/>
    <s v="EMP1040"/>
    <s v="C1600"/>
    <x v="562"/>
    <n v="2"/>
    <n v="1826"/>
    <n v="1443"/>
    <n v="2886"/>
    <n v="3652"/>
    <n v="766"/>
    <s v="Product 7"/>
    <x v="67"/>
    <s v="Patrick Ruiz"/>
    <x v="266"/>
    <n v="5"/>
    <x v="4"/>
    <x v="10"/>
    <x v="10"/>
    <x v="3"/>
    <x v="2"/>
  </r>
  <r>
    <s v="AX13758"/>
    <s v="ENX2004"/>
    <s v="A118"/>
    <s v="EMP1007"/>
    <s v="C1770"/>
    <x v="562"/>
    <n v="3"/>
    <n v="1278"/>
    <n v="665"/>
    <n v="1995"/>
    <n v="3834"/>
    <n v="1839"/>
    <s v="Product 5"/>
    <x v="19"/>
    <s v="Jeremy Mendoza"/>
    <x v="758"/>
    <n v="5"/>
    <x v="4"/>
    <x v="10"/>
    <x v="10"/>
    <x v="3"/>
    <x v="2"/>
  </r>
  <r>
    <s v="AX13759"/>
    <s v="ENX2013"/>
    <s v="A115"/>
    <s v="EMP1018"/>
    <s v="C1080"/>
    <x v="563"/>
    <n v="1"/>
    <n v="368"/>
    <n v="269"/>
    <n v="269"/>
    <n v="368"/>
    <n v="99"/>
    <s v="Product 14"/>
    <x v="33"/>
    <s v="Jimmy Young"/>
    <x v="720"/>
    <n v="5"/>
    <x v="4"/>
    <x v="10"/>
    <x v="10"/>
    <x v="3"/>
    <x v="2"/>
  </r>
  <r>
    <s v="AX13778"/>
    <s v="ENX2009"/>
    <s v="A116"/>
    <s v="EMP1016"/>
    <s v="C1705"/>
    <x v="562"/>
    <n v="1"/>
    <n v="584"/>
    <n v="420"/>
    <n v="420"/>
    <n v="584"/>
    <n v="164"/>
    <s v="Product 10"/>
    <x v="15"/>
    <s v="Henry Nelson"/>
    <x v="507"/>
    <n v="5"/>
    <x v="4"/>
    <x v="10"/>
    <x v="10"/>
    <x v="3"/>
    <x v="2"/>
  </r>
  <r>
    <s v="AX13835"/>
    <s v="ENX2018"/>
    <s v="A146"/>
    <s v="EMP1013"/>
    <s v="C1361"/>
    <x v="566"/>
    <n v="1"/>
    <n v="1972"/>
    <n v="1321"/>
    <n v="1321"/>
    <n v="1972"/>
    <n v="651"/>
    <s v="Product 19"/>
    <x v="27"/>
    <s v="Charles Harper"/>
    <x v="706"/>
    <n v="5"/>
    <x v="4"/>
    <x v="10"/>
    <x v="10"/>
    <x v="3"/>
    <x v="2"/>
  </r>
  <r>
    <s v="AX13842"/>
    <s v="ENX2033"/>
    <s v="A100"/>
    <s v="EMP1007"/>
    <s v="C1530"/>
    <x v="564"/>
    <n v="3"/>
    <n v="2182"/>
    <n v="1200"/>
    <n v="3600"/>
    <n v="6546"/>
    <n v="2946"/>
    <s v="Product 34"/>
    <x v="52"/>
    <s v="Jeremy Mendoza"/>
    <x v="224"/>
    <n v="5"/>
    <x v="4"/>
    <x v="10"/>
    <x v="10"/>
    <x v="3"/>
    <x v="2"/>
  </r>
  <r>
    <s v="AX13906"/>
    <s v="ENX2051"/>
    <s v="A150"/>
    <s v="EMP1027"/>
    <s v="C1340"/>
    <x v="564"/>
    <n v="4"/>
    <n v="1077"/>
    <n v="732"/>
    <n v="2928"/>
    <n v="4308"/>
    <n v="1380"/>
    <s v="Product 52"/>
    <x v="30"/>
    <s v="Gary Rodriguez"/>
    <x v="433"/>
    <n v="5"/>
    <x v="4"/>
    <x v="10"/>
    <x v="10"/>
    <x v="3"/>
    <x v="2"/>
  </r>
  <r>
    <s v="AX13972"/>
    <s v="ENX2063"/>
    <s v="A127"/>
    <s v="EMP1021"/>
    <s v="C1300"/>
    <x v="565"/>
    <n v="4"/>
    <n v="1708"/>
    <n v="871"/>
    <n v="3484"/>
    <n v="6832"/>
    <n v="3348"/>
    <s v="Product 64"/>
    <x v="69"/>
    <s v="Clarence Fox"/>
    <x v="201"/>
    <n v="5"/>
    <x v="4"/>
    <x v="10"/>
    <x v="10"/>
    <x v="3"/>
    <x v="2"/>
  </r>
  <r>
    <s v="AX14350"/>
    <s v="ENX2056"/>
    <s v="A170"/>
    <s v="EMP1032"/>
    <s v="C1655"/>
    <x v="565"/>
    <n v="1"/>
    <n v="1635"/>
    <n v="1046"/>
    <n v="1046"/>
    <n v="1635"/>
    <n v="589"/>
    <s v="Product 57"/>
    <x v="47"/>
    <s v="Larry Castillo"/>
    <x v="73"/>
    <n v="5"/>
    <x v="4"/>
    <x v="10"/>
    <x v="10"/>
    <x v="3"/>
    <x v="2"/>
  </r>
  <r>
    <s v="AX14456"/>
    <s v="ENX2001"/>
    <s v="A155"/>
    <s v="EMP1030"/>
    <s v="C1176"/>
    <x v="564"/>
    <n v="4"/>
    <n v="951"/>
    <n v="504"/>
    <n v="2016"/>
    <n v="3804"/>
    <n v="1788"/>
    <s v="Product 2"/>
    <x v="53"/>
    <s v="Bobby Russell"/>
    <x v="117"/>
    <n v="5"/>
    <x v="4"/>
    <x v="10"/>
    <x v="10"/>
    <x v="3"/>
    <x v="2"/>
  </r>
  <r>
    <s v="AX14626"/>
    <s v="ENX2046"/>
    <s v="A126"/>
    <s v="EMP1012"/>
    <s v="C1536"/>
    <x v="564"/>
    <n v="1"/>
    <n v="2410"/>
    <n v="1518"/>
    <n v="1518"/>
    <n v="2410"/>
    <n v="892"/>
    <s v="Product 47"/>
    <x v="5"/>
    <s v="John Reyes"/>
    <x v="74"/>
    <n v="5"/>
    <x v="4"/>
    <x v="10"/>
    <x v="10"/>
    <x v="3"/>
    <x v="2"/>
  </r>
  <r>
    <s v="AX14855"/>
    <s v="ENX2000"/>
    <s v="A104"/>
    <s v="EMP1037"/>
    <s v="C1084"/>
    <x v="563"/>
    <n v="4"/>
    <n v="2241"/>
    <n v="1367"/>
    <n v="5468"/>
    <n v="8964"/>
    <n v="3496"/>
    <s v="Product 1"/>
    <x v="50"/>
    <s v="Carl Hall"/>
    <x v="631"/>
    <n v="5"/>
    <x v="4"/>
    <x v="10"/>
    <x v="10"/>
    <x v="3"/>
    <x v="2"/>
  </r>
  <r>
    <s v="AX15180"/>
    <s v="ENX2099"/>
    <s v="A149"/>
    <s v="EMP1044"/>
    <s v="C1770"/>
    <x v="565"/>
    <n v="2"/>
    <n v="1367"/>
    <n v="984"/>
    <n v="1968"/>
    <n v="2734"/>
    <n v="766"/>
    <s v="Product 100"/>
    <x v="59"/>
    <s v="Martin Carr"/>
    <x v="758"/>
    <n v="5"/>
    <x v="4"/>
    <x v="10"/>
    <x v="10"/>
    <x v="3"/>
    <x v="2"/>
  </r>
  <r>
    <s v="AX15302"/>
    <s v="ENX2038"/>
    <s v="A104"/>
    <s v="EMP1021"/>
    <s v="C1601"/>
    <x v="563"/>
    <n v="4"/>
    <n v="392"/>
    <n v="255"/>
    <n v="1020"/>
    <n v="1568"/>
    <n v="548"/>
    <s v="Product 39"/>
    <x v="50"/>
    <s v="Clarence Fox"/>
    <x v="324"/>
    <n v="5"/>
    <x v="4"/>
    <x v="10"/>
    <x v="10"/>
    <x v="3"/>
    <x v="2"/>
  </r>
  <r>
    <s v="AX15324"/>
    <s v="ENX2084"/>
    <s v="A116"/>
    <s v="EMP1033"/>
    <s v="C1214"/>
    <x v="563"/>
    <n v="4"/>
    <n v="1783"/>
    <n v="1230"/>
    <n v="4920"/>
    <n v="7132"/>
    <n v="2212"/>
    <s v="Product 85"/>
    <x v="15"/>
    <s v="Jerry Perry"/>
    <x v="262"/>
    <n v="5"/>
    <x v="4"/>
    <x v="10"/>
    <x v="10"/>
    <x v="3"/>
    <x v="2"/>
  </r>
  <r>
    <s v="AX15449"/>
    <s v="ENX2091"/>
    <s v="A139"/>
    <s v="EMP1001"/>
    <s v="C1741"/>
    <x v="565"/>
    <n v="1"/>
    <n v="368"/>
    <n v="294"/>
    <n v="294"/>
    <n v="368"/>
    <n v="74"/>
    <s v="Product 92"/>
    <x v="38"/>
    <s v="Kevin Butler"/>
    <x v="534"/>
    <n v="5"/>
    <x v="4"/>
    <x v="10"/>
    <x v="10"/>
    <x v="3"/>
    <x v="2"/>
  </r>
  <r>
    <s v="AX15549"/>
    <s v="ENX2077"/>
    <s v="A120"/>
    <s v="EMP1004"/>
    <s v="C1637"/>
    <x v="566"/>
    <n v="3"/>
    <n v="530"/>
    <n v="424"/>
    <n v="1272"/>
    <n v="1590"/>
    <n v="318"/>
    <s v="Product 78"/>
    <x v="20"/>
    <s v="Kenneth Bradley"/>
    <x v="326"/>
    <n v="5"/>
    <x v="4"/>
    <x v="10"/>
    <x v="10"/>
    <x v="3"/>
    <x v="2"/>
  </r>
  <r>
    <s v="AX15576"/>
    <s v="ENX2052"/>
    <s v="A124"/>
    <s v="EMP1007"/>
    <s v="C1762"/>
    <x v="563"/>
    <n v="2"/>
    <n v="1526"/>
    <n v="1251"/>
    <n v="2502"/>
    <n v="3052"/>
    <n v="550"/>
    <s v="Product 53"/>
    <x v="67"/>
    <s v="Jeremy Mendoza"/>
    <x v="164"/>
    <n v="5"/>
    <x v="4"/>
    <x v="10"/>
    <x v="10"/>
    <x v="3"/>
    <x v="2"/>
  </r>
  <r>
    <s v="AX15671"/>
    <s v="ENX2050"/>
    <s v="A152"/>
    <s v="EMP1031"/>
    <s v="C1721"/>
    <x v="565"/>
    <n v="4"/>
    <n v="2391"/>
    <n v="1291"/>
    <n v="5164"/>
    <n v="9564"/>
    <n v="4400"/>
    <s v="Product 51"/>
    <x v="26"/>
    <s v="Brian Thomas"/>
    <x v="678"/>
    <n v="5"/>
    <x v="4"/>
    <x v="10"/>
    <x v="10"/>
    <x v="3"/>
    <x v="2"/>
  </r>
  <r>
    <s v="AX15679"/>
    <s v="ENX2072"/>
    <s v="A102"/>
    <s v="EMP1031"/>
    <s v="C1622"/>
    <x v="566"/>
    <n v="1"/>
    <n v="1887"/>
    <n v="1378"/>
    <n v="1378"/>
    <n v="1887"/>
    <n v="509"/>
    <s v="Product 73"/>
    <x v="44"/>
    <s v="Brian Thomas"/>
    <x v="548"/>
    <n v="5"/>
    <x v="4"/>
    <x v="10"/>
    <x v="10"/>
    <x v="3"/>
    <x v="2"/>
  </r>
  <r>
    <s v="AX15881"/>
    <s v="ENX2032"/>
    <s v="A149"/>
    <s v="EMP1015"/>
    <s v="C1700"/>
    <x v="562"/>
    <n v="1"/>
    <n v="1967"/>
    <n v="1397"/>
    <n v="1397"/>
    <n v="1967"/>
    <n v="570"/>
    <s v="Product 33"/>
    <x v="59"/>
    <s v="Justin Lynch"/>
    <x v="271"/>
    <n v="5"/>
    <x v="4"/>
    <x v="10"/>
    <x v="10"/>
    <x v="3"/>
    <x v="2"/>
  </r>
  <r>
    <s v="AX16065"/>
    <s v="ENX2026"/>
    <s v="A114"/>
    <s v="EMP1021"/>
    <s v="C1086"/>
    <x v="562"/>
    <n v="1"/>
    <n v="947"/>
    <n v="786"/>
    <n v="786"/>
    <n v="947"/>
    <n v="161"/>
    <s v="Product 27"/>
    <x v="28"/>
    <s v="Clarence Fox"/>
    <x v="769"/>
    <n v="5"/>
    <x v="4"/>
    <x v="10"/>
    <x v="10"/>
    <x v="3"/>
    <x v="2"/>
  </r>
  <r>
    <s v="AX16768"/>
    <s v="ENX2045"/>
    <s v="A122"/>
    <s v="EMP1022"/>
    <s v="C1402"/>
    <x v="563"/>
    <n v="3"/>
    <n v="556"/>
    <n v="395"/>
    <n v="1185"/>
    <n v="1668"/>
    <n v="483"/>
    <s v="Product 46"/>
    <x v="71"/>
    <s v="Walter Cook"/>
    <x v="79"/>
    <n v="5"/>
    <x v="4"/>
    <x v="10"/>
    <x v="10"/>
    <x v="3"/>
    <x v="2"/>
  </r>
  <r>
    <s v="AX16814"/>
    <s v="ENX2059"/>
    <s v="A117"/>
    <s v="EMP1019"/>
    <s v="C1664"/>
    <x v="565"/>
    <n v="4"/>
    <n v="1494"/>
    <n v="971"/>
    <n v="3884"/>
    <n v="5976"/>
    <n v="2092"/>
    <s v="Product 60"/>
    <x v="29"/>
    <s v="Roger Robertson"/>
    <x v="12"/>
    <n v="5"/>
    <x v="4"/>
    <x v="10"/>
    <x v="10"/>
    <x v="3"/>
    <x v="2"/>
  </r>
  <r>
    <s v="AX16867"/>
    <s v="ENX2063"/>
    <s v="A152"/>
    <s v="EMP1040"/>
    <s v="C1784"/>
    <x v="564"/>
    <n v="1"/>
    <n v="1708"/>
    <n v="871"/>
    <n v="871"/>
    <n v="1708"/>
    <n v="837"/>
    <s v="Product 64"/>
    <x v="26"/>
    <s v="Patrick Ruiz"/>
    <x v="397"/>
    <n v="5"/>
    <x v="4"/>
    <x v="10"/>
    <x v="10"/>
    <x v="3"/>
    <x v="2"/>
  </r>
  <r>
    <s v="AX17123"/>
    <s v="ENX2096"/>
    <s v="A101"/>
    <s v="EMP1043"/>
    <s v="C1484"/>
    <x v="564"/>
    <n v="2"/>
    <n v="1587"/>
    <n v="1301"/>
    <n v="2602"/>
    <n v="3174"/>
    <n v="572"/>
    <s v="Product 97"/>
    <x v="60"/>
    <s v="Joshua Taylor"/>
    <x v="466"/>
    <n v="5"/>
    <x v="4"/>
    <x v="10"/>
    <x v="10"/>
    <x v="3"/>
    <x v="2"/>
  </r>
  <r>
    <s v="AX17721"/>
    <s v="ENX2088"/>
    <s v="A118"/>
    <s v="EMP1027"/>
    <s v="C1595"/>
    <x v="565"/>
    <n v="1"/>
    <n v="603"/>
    <n v="416"/>
    <n v="416"/>
    <n v="603"/>
    <n v="187"/>
    <s v="Product 89"/>
    <x v="19"/>
    <s v="Gary Rodriguez"/>
    <x v="372"/>
    <n v="5"/>
    <x v="4"/>
    <x v="10"/>
    <x v="10"/>
    <x v="3"/>
    <x v="2"/>
  </r>
  <r>
    <s v="AX17786"/>
    <s v="ENX2095"/>
    <s v="A142"/>
    <s v="EMP1024"/>
    <s v="C1495"/>
    <x v="565"/>
    <n v="1"/>
    <n v="1743"/>
    <n v="872"/>
    <n v="872"/>
    <n v="1743"/>
    <n v="871"/>
    <s v="Product 96"/>
    <x v="56"/>
    <s v="Ernest Wheeler"/>
    <x v="780"/>
    <n v="5"/>
    <x v="4"/>
    <x v="10"/>
    <x v="10"/>
    <x v="3"/>
    <x v="2"/>
  </r>
  <r>
    <s v="AX17818"/>
    <s v="ENX2099"/>
    <s v="A131"/>
    <s v="EMP1036"/>
    <s v="C1599"/>
    <x v="566"/>
    <n v="4"/>
    <n v="1367"/>
    <n v="984"/>
    <n v="3936"/>
    <n v="5468"/>
    <n v="1532"/>
    <s v="Product 100"/>
    <x v="32"/>
    <s v="Robert Reed"/>
    <x v="556"/>
    <n v="5"/>
    <x v="4"/>
    <x v="10"/>
    <x v="10"/>
    <x v="3"/>
    <x v="2"/>
  </r>
  <r>
    <s v="AX17960"/>
    <s v="ENX2072"/>
    <s v="A145"/>
    <s v="EMP1009"/>
    <s v="C1242"/>
    <x v="565"/>
    <n v="2"/>
    <n v="1887"/>
    <n v="1378"/>
    <n v="2756"/>
    <n v="3774"/>
    <n v="1018"/>
    <s v="Product 73"/>
    <x v="35"/>
    <s v="Kenneth Fields"/>
    <x v="781"/>
    <n v="5"/>
    <x v="4"/>
    <x v="10"/>
    <x v="10"/>
    <x v="3"/>
    <x v="2"/>
  </r>
  <r>
    <s v="AX18091"/>
    <s v="ENX2069"/>
    <s v="A124"/>
    <s v="EMP1037"/>
    <s v="C1619"/>
    <x v="566"/>
    <n v="1"/>
    <n v="378"/>
    <n v="291"/>
    <n v="291"/>
    <n v="378"/>
    <n v="87"/>
    <s v="Product 70"/>
    <x v="67"/>
    <s v="Carl Hall"/>
    <x v="77"/>
    <n v="5"/>
    <x v="4"/>
    <x v="10"/>
    <x v="10"/>
    <x v="3"/>
    <x v="2"/>
  </r>
  <r>
    <s v="AX18749"/>
    <s v="ENX2046"/>
    <s v="A149"/>
    <s v="EMP1014"/>
    <s v="C1495"/>
    <x v="564"/>
    <n v="3"/>
    <n v="2410"/>
    <n v="1518"/>
    <n v="4554"/>
    <n v="7230"/>
    <n v="2676"/>
    <s v="Product 47"/>
    <x v="59"/>
    <s v="Ronald Reed"/>
    <x v="780"/>
    <n v="5"/>
    <x v="4"/>
    <x v="10"/>
    <x v="10"/>
    <x v="3"/>
    <x v="2"/>
  </r>
  <r>
    <s v="AX18755"/>
    <s v="ENX2045"/>
    <s v="A129"/>
    <s v="EMP1037"/>
    <s v="C1788"/>
    <x v="562"/>
    <n v="1"/>
    <n v="556"/>
    <n v="395"/>
    <n v="395"/>
    <n v="556"/>
    <n v="161"/>
    <s v="Product 46"/>
    <x v="22"/>
    <s v="Carl Hall"/>
    <x v="218"/>
    <n v="5"/>
    <x v="4"/>
    <x v="10"/>
    <x v="10"/>
    <x v="3"/>
    <x v="2"/>
  </r>
  <r>
    <s v="AX18812"/>
    <s v="ENX2007"/>
    <s v="A105"/>
    <s v="EMP1006"/>
    <s v="C1207"/>
    <x v="566"/>
    <n v="1"/>
    <n v="1405"/>
    <n v="1054"/>
    <n v="1054"/>
    <n v="1405"/>
    <n v="351"/>
    <s v="Product 8"/>
    <x v="45"/>
    <s v="Sean Miller"/>
    <x v="694"/>
    <n v="5"/>
    <x v="4"/>
    <x v="10"/>
    <x v="10"/>
    <x v="3"/>
    <x v="2"/>
  </r>
  <r>
    <s v="AX19320"/>
    <s v="ENX2039"/>
    <s v="A117"/>
    <s v="EMP1040"/>
    <s v="C1215"/>
    <x v="562"/>
    <n v="1"/>
    <n v="817"/>
    <n v="409"/>
    <n v="409"/>
    <n v="817"/>
    <n v="408"/>
    <s v="Product 40"/>
    <x v="29"/>
    <s v="Patrick Ruiz"/>
    <x v="650"/>
    <n v="5"/>
    <x v="4"/>
    <x v="10"/>
    <x v="10"/>
    <x v="3"/>
    <x v="2"/>
  </r>
  <r>
    <s v="AX19390"/>
    <s v="ENX2016"/>
    <s v="A147"/>
    <s v="EMP1039"/>
    <s v="C1186"/>
    <x v="563"/>
    <n v="3"/>
    <n v="1351"/>
    <n v="1108"/>
    <n v="3324"/>
    <n v="4053"/>
    <n v="729"/>
    <s v="Product 17"/>
    <x v="42"/>
    <s v="Eugene Holmes"/>
    <x v="467"/>
    <n v="5"/>
    <x v="4"/>
    <x v="10"/>
    <x v="10"/>
    <x v="3"/>
    <x v="2"/>
  </r>
  <r>
    <s v="AX19515"/>
    <s v="ENX2009"/>
    <s v="A106"/>
    <s v="EMP1036"/>
    <s v="C1313"/>
    <x v="565"/>
    <n v="1"/>
    <n v="584"/>
    <n v="420"/>
    <n v="420"/>
    <n v="584"/>
    <n v="164"/>
    <s v="Product 10"/>
    <x v="11"/>
    <s v="Robert Reed"/>
    <x v="728"/>
    <n v="5"/>
    <x v="4"/>
    <x v="10"/>
    <x v="10"/>
    <x v="3"/>
    <x v="2"/>
  </r>
  <r>
    <s v="AX20561"/>
    <s v="ENX2038"/>
    <s v="A153"/>
    <s v="EMP1009"/>
    <s v="C1513"/>
    <x v="562"/>
    <n v="1"/>
    <n v="392"/>
    <n v="255"/>
    <n v="255"/>
    <n v="392"/>
    <n v="137"/>
    <s v="Product 39"/>
    <x v="8"/>
    <s v="Kenneth Fields"/>
    <x v="414"/>
    <n v="5"/>
    <x v="4"/>
    <x v="10"/>
    <x v="10"/>
    <x v="3"/>
    <x v="2"/>
  </r>
  <r>
    <s v="AX20602"/>
    <s v="ENX2055"/>
    <s v="A109"/>
    <s v="EMP1041"/>
    <s v="C1117"/>
    <x v="565"/>
    <n v="1"/>
    <n v="2495"/>
    <n v="1896"/>
    <n v="1896"/>
    <n v="2495"/>
    <n v="599"/>
    <s v="Product 56"/>
    <x v="57"/>
    <s v="Joe Sims"/>
    <x v="519"/>
    <n v="5"/>
    <x v="4"/>
    <x v="10"/>
    <x v="10"/>
    <x v="3"/>
    <x v="2"/>
  </r>
  <r>
    <s v="AX20707"/>
    <s v="ENX2056"/>
    <s v="A171"/>
    <s v="EMP1044"/>
    <s v="C1693"/>
    <x v="565"/>
    <n v="1"/>
    <n v="1635"/>
    <n v="1046"/>
    <n v="1046"/>
    <n v="1635"/>
    <n v="589"/>
    <s v="Product 57"/>
    <x v="0"/>
    <s v="Martin Carr"/>
    <x v="724"/>
    <n v="5"/>
    <x v="4"/>
    <x v="10"/>
    <x v="10"/>
    <x v="3"/>
    <x v="2"/>
  </r>
  <r>
    <s v="AX20966"/>
    <s v="ENX2064"/>
    <s v="A150"/>
    <s v="EMP1044"/>
    <s v="C1475"/>
    <x v="563"/>
    <n v="1"/>
    <n v="1414"/>
    <n v="962"/>
    <n v="962"/>
    <n v="1414"/>
    <n v="452"/>
    <s v="Product 65"/>
    <x v="30"/>
    <s v="Martin Carr"/>
    <x v="527"/>
    <n v="5"/>
    <x v="4"/>
    <x v="10"/>
    <x v="10"/>
    <x v="3"/>
    <x v="2"/>
  </r>
  <r>
    <s v="AX20993"/>
    <s v="ENX2036"/>
    <s v="A115"/>
    <s v="EMP1012"/>
    <s v="C1343"/>
    <x v="563"/>
    <n v="4"/>
    <n v="1582"/>
    <n v="1234"/>
    <n v="4936"/>
    <n v="6328"/>
    <n v="1392"/>
    <s v="Product 37"/>
    <x v="33"/>
    <s v="John Reyes"/>
    <x v="175"/>
    <n v="5"/>
    <x v="4"/>
    <x v="10"/>
    <x v="10"/>
    <x v="3"/>
    <x v="2"/>
  </r>
  <r>
    <s v="AX21107"/>
    <s v="ENX2059"/>
    <s v="A114"/>
    <s v="EMP1004"/>
    <s v="C1561"/>
    <x v="564"/>
    <n v="1"/>
    <n v="1494"/>
    <n v="971"/>
    <n v="971"/>
    <n v="1494"/>
    <n v="523"/>
    <s v="Product 60"/>
    <x v="28"/>
    <s v="Kenneth Bradley"/>
    <x v="114"/>
    <n v="5"/>
    <x v="4"/>
    <x v="10"/>
    <x v="10"/>
    <x v="3"/>
    <x v="2"/>
  </r>
  <r>
    <s v="AX21306"/>
    <s v="ENX2002"/>
    <s v="A150"/>
    <s v="EMP1025"/>
    <s v="C1445"/>
    <x v="564"/>
    <n v="4"/>
    <n v="847"/>
    <n v="534"/>
    <n v="2136"/>
    <n v="3388"/>
    <n v="1252"/>
    <s v="Product 3"/>
    <x v="30"/>
    <s v="Ernest Wagner"/>
    <x v="239"/>
    <n v="5"/>
    <x v="4"/>
    <x v="10"/>
    <x v="10"/>
    <x v="3"/>
    <x v="2"/>
  </r>
  <r>
    <s v="AX21331"/>
    <s v="ENX2020"/>
    <s v="A119"/>
    <s v="EMP1007"/>
    <s v="C1539"/>
    <x v="565"/>
    <n v="1"/>
    <n v="2005"/>
    <n v="1223"/>
    <n v="1223"/>
    <n v="2005"/>
    <n v="782"/>
    <s v="Product 21"/>
    <x v="16"/>
    <s v="Jeremy Mendoza"/>
    <x v="280"/>
    <n v="5"/>
    <x v="4"/>
    <x v="10"/>
    <x v="10"/>
    <x v="3"/>
    <x v="2"/>
  </r>
  <r>
    <s v="AX21680"/>
    <s v="ENX2000"/>
    <s v="A111"/>
    <s v="EMP1005"/>
    <s v="C1470"/>
    <x v="564"/>
    <n v="1"/>
    <n v="2241"/>
    <n v="1367"/>
    <n v="1367"/>
    <n v="2241"/>
    <n v="874"/>
    <s v="Product 1"/>
    <x v="54"/>
    <s v="Ryan Welch"/>
    <x v="621"/>
    <n v="5"/>
    <x v="4"/>
    <x v="10"/>
    <x v="10"/>
    <x v="3"/>
    <x v="2"/>
  </r>
  <r>
    <s v="AX21913"/>
    <s v="ENX2028"/>
    <s v="A140"/>
    <s v="EMP1028"/>
    <s v="C1459"/>
    <x v="566"/>
    <n v="2"/>
    <n v="2283"/>
    <n v="1484"/>
    <n v="2968"/>
    <n v="4566"/>
    <n v="1598"/>
    <s v="Product 29"/>
    <x v="18"/>
    <s v="Howard Sims"/>
    <x v="330"/>
    <n v="5"/>
    <x v="4"/>
    <x v="10"/>
    <x v="10"/>
    <x v="3"/>
    <x v="2"/>
  </r>
  <r>
    <s v="AX22406"/>
    <s v="ENX2031"/>
    <s v="A147"/>
    <s v="EMP1042"/>
    <s v="C1683"/>
    <x v="562"/>
    <n v="1"/>
    <n v="1638"/>
    <n v="1261"/>
    <n v="1261"/>
    <n v="1638"/>
    <n v="377"/>
    <s v="Product 32"/>
    <x v="42"/>
    <s v="Scott Clark"/>
    <x v="379"/>
    <n v="5"/>
    <x v="4"/>
    <x v="10"/>
    <x v="10"/>
    <x v="3"/>
    <x v="2"/>
  </r>
  <r>
    <s v="AX22436"/>
    <s v="ENX2047"/>
    <s v="A154"/>
    <s v="EMP1044"/>
    <s v="C1026"/>
    <x v="563"/>
    <n v="1"/>
    <n v="290"/>
    <n v="200"/>
    <n v="200"/>
    <n v="290"/>
    <n v="90"/>
    <s v="Product 48"/>
    <x v="24"/>
    <s v="Martin Carr"/>
    <x v="410"/>
    <n v="5"/>
    <x v="4"/>
    <x v="10"/>
    <x v="10"/>
    <x v="3"/>
    <x v="2"/>
  </r>
  <r>
    <s v="AX22753"/>
    <s v="ENX2023"/>
    <s v="A122"/>
    <s v="EMP1014"/>
    <s v="C1643"/>
    <x v="563"/>
    <n v="1"/>
    <n v="818"/>
    <n v="450"/>
    <n v="450"/>
    <n v="818"/>
    <n v="368"/>
    <s v="Product 24"/>
    <x v="71"/>
    <s v="Ronald Reed"/>
    <x v="142"/>
    <n v="5"/>
    <x v="4"/>
    <x v="10"/>
    <x v="10"/>
    <x v="3"/>
    <x v="2"/>
  </r>
  <r>
    <s v="AX22852"/>
    <s v="ENX2095"/>
    <s v="A101"/>
    <s v="EMP1017"/>
    <s v="C1565"/>
    <x v="562"/>
    <n v="3"/>
    <n v="1743"/>
    <n v="872"/>
    <n v="2616"/>
    <n v="5229"/>
    <n v="2613"/>
    <s v="Product 96"/>
    <x v="60"/>
    <s v="Brian Hansen"/>
    <x v="577"/>
    <n v="5"/>
    <x v="4"/>
    <x v="10"/>
    <x v="10"/>
    <x v="3"/>
    <x v="2"/>
  </r>
  <r>
    <s v="AX22992"/>
    <s v="ENX2048"/>
    <s v="A138"/>
    <s v="EMP1030"/>
    <s v="C1251"/>
    <x v="564"/>
    <n v="1"/>
    <n v="502"/>
    <n v="296"/>
    <n v="296"/>
    <n v="502"/>
    <n v="206"/>
    <s v="Product 49"/>
    <x v="37"/>
    <s v="Bobby Russell"/>
    <x v="199"/>
    <n v="5"/>
    <x v="4"/>
    <x v="10"/>
    <x v="10"/>
    <x v="3"/>
    <x v="2"/>
  </r>
  <r>
    <s v="AX23732"/>
    <s v="ENX2094"/>
    <s v="A133"/>
    <s v="EMP1018"/>
    <s v="C1251"/>
    <x v="563"/>
    <n v="3"/>
    <n v="771"/>
    <n v="648"/>
    <n v="1944"/>
    <n v="2313"/>
    <n v="369"/>
    <s v="Product 95"/>
    <x v="46"/>
    <s v="Jimmy Young"/>
    <x v="199"/>
    <n v="5"/>
    <x v="4"/>
    <x v="10"/>
    <x v="10"/>
    <x v="3"/>
    <x v="2"/>
  </r>
  <r>
    <s v="AX23913"/>
    <s v="ENX2058"/>
    <s v="A133"/>
    <s v="EMP1003"/>
    <s v="C1433"/>
    <x v="564"/>
    <n v="3"/>
    <n v="2257"/>
    <n v="1535"/>
    <n v="4605"/>
    <n v="6771"/>
    <n v="2166"/>
    <s v="Product 59"/>
    <x v="46"/>
    <s v="Christopher Tucker"/>
    <x v="525"/>
    <n v="5"/>
    <x v="4"/>
    <x v="10"/>
    <x v="10"/>
    <x v="3"/>
    <x v="2"/>
  </r>
  <r>
    <s v="AX24072"/>
    <s v="ENX2025"/>
    <s v="A107"/>
    <s v="EMP1004"/>
    <s v="C1060"/>
    <x v="563"/>
    <n v="1"/>
    <n v="667"/>
    <n v="387"/>
    <n v="387"/>
    <n v="667"/>
    <n v="280"/>
    <s v="Product 26"/>
    <x v="21"/>
    <s v="Kenneth Bradley"/>
    <x v="603"/>
    <n v="5"/>
    <x v="4"/>
    <x v="10"/>
    <x v="10"/>
    <x v="3"/>
    <x v="2"/>
  </r>
  <r>
    <s v="AX24140"/>
    <s v="ENX2065"/>
    <s v="A104"/>
    <s v="EMP1003"/>
    <s v="C1107"/>
    <x v="564"/>
    <n v="1"/>
    <n v="2396"/>
    <n v="1965"/>
    <n v="1965"/>
    <n v="2396"/>
    <n v="431"/>
    <s v="Product 66"/>
    <x v="50"/>
    <s v="Christopher Tucker"/>
    <x v="278"/>
    <n v="5"/>
    <x v="4"/>
    <x v="10"/>
    <x v="10"/>
    <x v="3"/>
    <x v="2"/>
  </r>
  <r>
    <s v="AX24303"/>
    <s v="ENX2055"/>
    <s v="A171"/>
    <s v="EMP1032"/>
    <s v="C1039"/>
    <x v="565"/>
    <n v="1"/>
    <n v="2495"/>
    <n v="1896"/>
    <n v="1896"/>
    <n v="2495"/>
    <n v="599"/>
    <s v="Product 56"/>
    <x v="0"/>
    <s v="Larry Castillo"/>
    <x v="574"/>
    <n v="5"/>
    <x v="4"/>
    <x v="10"/>
    <x v="10"/>
    <x v="3"/>
    <x v="2"/>
  </r>
  <r>
    <s v="AX24318"/>
    <s v="ENX2009"/>
    <s v="A124"/>
    <s v="EMP1024"/>
    <s v="C1149"/>
    <x v="565"/>
    <n v="3"/>
    <n v="584"/>
    <n v="420"/>
    <n v="1260"/>
    <n v="1752"/>
    <n v="492"/>
    <s v="Product 10"/>
    <x v="67"/>
    <s v="Ernest Wheeler"/>
    <x v="514"/>
    <n v="5"/>
    <x v="4"/>
    <x v="10"/>
    <x v="10"/>
    <x v="3"/>
    <x v="2"/>
  </r>
  <r>
    <s v="AX24371"/>
    <s v="ENX2026"/>
    <s v="A111"/>
    <s v="EMP1042"/>
    <s v="C1245"/>
    <x v="563"/>
    <n v="3"/>
    <n v="947"/>
    <n v="786"/>
    <n v="2358"/>
    <n v="2841"/>
    <n v="483"/>
    <s v="Product 27"/>
    <x v="54"/>
    <s v="Scott Clark"/>
    <x v="165"/>
    <n v="5"/>
    <x v="4"/>
    <x v="10"/>
    <x v="10"/>
    <x v="3"/>
    <x v="2"/>
  </r>
  <r>
    <s v="AX24379"/>
    <s v="ENX2091"/>
    <s v="A135"/>
    <s v="EMP1011"/>
    <s v="C1643"/>
    <x v="565"/>
    <n v="4"/>
    <n v="368"/>
    <n v="294"/>
    <n v="1176"/>
    <n v="1472"/>
    <n v="296"/>
    <s v="Product 92"/>
    <x v="10"/>
    <s v="Larry Marshall"/>
    <x v="142"/>
    <n v="5"/>
    <x v="4"/>
    <x v="10"/>
    <x v="10"/>
    <x v="3"/>
    <x v="2"/>
  </r>
  <r>
    <s v="AX24594"/>
    <s v="ENX2089"/>
    <s v="A132"/>
    <s v="EMP1041"/>
    <s v="C1400"/>
    <x v="565"/>
    <n v="2"/>
    <n v="2294"/>
    <n v="1399"/>
    <n v="2798"/>
    <n v="4588"/>
    <n v="1790"/>
    <s v="Product 90"/>
    <x v="48"/>
    <s v="Joe Sims"/>
    <x v="437"/>
    <n v="5"/>
    <x v="4"/>
    <x v="10"/>
    <x v="10"/>
    <x v="3"/>
    <x v="2"/>
  </r>
  <r>
    <s v="AX24793"/>
    <s v="ENX2060"/>
    <s v="A163"/>
    <s v="EMP1026"/>
    <s v="C1299"/>
    <x v="566"/>
    <n v="1"/>
    <n v="1467"/>
    <n v="807"/>
    <n v="807"/>
    <n v="1467"/>
    <n v="660"/>
    <s v="Product 61"/>
    <x v="51"/>
    <s v="Martin Perry"/>
    <x v="655"/>
    <n v="5"/>
    <x v="4"/>
    <x v="10"/>
    <x v="10"/>
    <x v="3"/>
    <x v="2"/>
  </r>
  <r>
    <s v="AX10237"/>
    <s v="ENX2080"/>
    <s v="A140"/>
    <s v="EMP1017"/>
    <s v="C1578"/>
    <x v="567"/>
    <n v="1"/>
    <n v="2353"/>
    <n v="1788"/>
    <n v="1788"/>
    <n v="2353"/>
    <n v="565"/>
    <s v="Product 81"/>
    <x v="18"/>
    <s v="Brian Hansen"/>
    <x v="17"/>
    <n v="5"/>
    <x v="4"/>
    <x v="11"/>
    <x v="11"/>
    <x v="3"/>
    <x v="0"/>
  </r>
  <r>
    <s v="AX10273"/>
    <s v="ENX2010"/>
    <s v="A113"/>
    <s v="EMP1030"/>
    <s v="C1666"/>
    <x v="567"/>
    <n v="1"/>
    <n v="1812"/>
    <n v="1305"/>
    <n v="1305"/>
    <n v="1812"/>
    <n v="507"/>
    <s v="Product 11"/>
    <x v="73"/>
    <s v="Bobby Russell"/>
    <x v="473"/>
    <n v="5"/>
    <x v="4"/>
    <x v="11"/>
    <x v="11"/>
    <x v="3"/>
    <x v="0"/>
  </r>
  <r>
    <s v="AX10393"/>
    <s v="ENX2023"/>
    <s v="A151"/>
    <s v="EMP1020"/>
    <s v="C1543"/>
    <x v="568"/>
    <n v="1"/>
    <n v="818"/>
    <n v="450"/>
    <n v="450"/>
    <n v="818"/>
    <n v="368"/>
    <s v="Product 24"/>
    <x v="1"/>
    <s v="Ryan Butler"/>
    <x v="337"/>
    <n v="5"/>
    <x v="4"/>
    <x v="11"/>
    <x v="11"/>
    <x v="3"/>
    <x v="0"/>
  </r>
  <r>
    <s v="AX10904"/>
    <s v="ENX2053"/>
    <s v="A134"/>
    <s v="EMP1021"/>
    <s v="C1721"/>
    <x v="569"/>
    <n v="1"/>
    <n v="596"/>
    <n v="358"/>
    <n v="358"/>
    <n v="596"/>
    <n v="238"/>
    <s v="Product 54"/>
    <x v="41"/>
    <s v="Clarence Fox"/>
    <x v="678"/>
    <n v="5"/>
    <x v="4"/>
    <x v="11"/>
    <x v="11"/>
    <x v="3"/>
    <x v="0"/>
  </r>
  <r>
    <s v="AX11142"/>
    <s v="ENX2083"/>
    <s v="A129"/>
    <s v="EMP1007"/>
    <s v="C1714"/>
    <x v="569"/>
    <n v="3"/>
    <n v="2141"/>
    <n v="1777"/>
    <n v="5331"/>
    <n v="6423"/>
    <n v="1092"/>
    <s v="Product 84"/>
    <x v="22"/>
    <s v="Jeremy Mendoza"/>
    <x v="317"/>
    <n v="5"/>
    <x v="4"/>
    <x v="11"/>
    <x v="11"/>
    <x v="3"/>
    <x v="0"/>
  </r>
  <r>
    <s v="AX11167"/>
    <s v="ENX2071"/>
    <s v="A159"/>
    <s v="EMP1024"/>
    <s v="C1456"/>
    <x v="569"/>
    <n v="2"/>
    <n v="136"/>
    <n v="72"/>
    <n v="144"/>
    <n v="272"/>
    <n v="128"/>
    <s v="Product 72"/>
    <x v="13"/>
    <s v="Ernest Wheeler"/>
    <x v="366"/>
    <n v="5"/>
    <x v="4"/>
    <x v="11"/>
    <x v="11"/>
    <x v="3"/>
    <x v="0"/>
  </r>
  <r>
    <s v="AX11291"/>
    <s v="ENX2051"/>
    <s v="A120"/>
    <s v="EMP1012"/>
    <s v="C1796"/>
    <x v="570"/>
    <n v="3"/>
    <n v="1077"/>
    <n v="732"/>
    <n v="2196"/>
    <n v="3231"/>
    <n v="1035"/>
    <s v="Product 52"/>
    <x v="20"/>
    <s v="John Reyes"/>
    <x v="630"/>
    <n v="5"/>
    <x v="4"/>
    <x v="11"/>
    <x v="11"/>
    <x v="3"/>
    <x v="0"/>
  </r>
  <r>
    <s v="AX11294"/>
    <s v="ENX2098"/>
    <s v="A159"/>
    <s v="EMP1002"/>
    <s v="C1145"/>
    <x v="569"/>
    <n v="2"/>
    <n v="1178"/>
    <n v="683"/>
    <n v="1366"/>
    <n v="2356"/>
    <n v="990"/>
    <s v="Product 99"/>
    <x v="13"/>
    <s v="Andrew Bowman"/>
    <x v="489"/>
    <n v="5"/>
    <x v="4"/>
    <x v="11"/>
    <x v="11"/>
    <x v="3"/>
    <x v="0"/>
  </r>
  <r>
    <s v="AX11377"/>
    <s v="ENX2007"/>
    <s v="A114"/>
    <s v="EMP1024"/>
    <s v="C1684"/>
    <x v="567"/>
    <n v="2"/>
    <n v="1405"/>
    <n v="1054"/>
    <n v="2108"/>
    <n v="2810"/>
    <n v="702"/>
    <s v="Product 8"/>
    <x v="28"/>
    <s v="Ernest Wheeler"/>
    <x v="258"/>
    <n v="5"/>
    <x v="4"/>
    <x v="11"/>
    <x v="11"/>
    <x v="3"/>
    <x v="0"/>
  </r>
  <r>
    <s v="AX11577"/>
    <s v="ENX2094"/>
    <s v="A116"/>
    <s v="EMP1026"/>
    <s v="C1308"/>
    <x v="567"/>
    <n v="3"/>
    <n v="771"/>
    <n v="648"/>
    <n v="1944"/>
    <n v="2313"/>
    <n v="369"/>
    <s v="Product 95"/>
    <x v="15"/>
    <s v="Martin Perry"/>
    <x v="226"/>
    <n v="5"/>
    <x v="4"/>
    <x v="11"/>
    <x v="11"/>
    <x v="3"/>
    <x v="0"/>
  </r>
  <r>
    <s v="AX11638"/>
    <s v="ENX2098"/>
    <s v="A108"/>
    <s v="EMP1003"/>
    <s v="C1769"/>
    <x v="569"/>
    <n v="1"/>
    <n v="1178"/>
    <n v="683"/>
    <n v="683"/>
    <n v="1178"/>
    <n v="495"/>
    <s v="Product 99"/>
    <x v="49"/>
    <s v="Christopher Tucker"/>
    <x v="269"/>
    <n v="5"/>
    <x v="4"/>
    <x v="11"/>
    <x v="11"/>
    <x v="3"/>
    <x v="0"/>
  </r>
  <r>
    <s v="AX11668"/>
    <s v="ENX2050"/>
    <s v="A121"/>
    <s v="EMP1040"/>
    <s v="C1345"/>
    <x v="567"/>
    <n v="4"/>
    <n v="2391"/>
    <n v="1291"/>
    <n v="5164"/>
    <n v="9564"/>
    <n v="4400"/>
    <s v="Product 51"/>
    <x v="72"/>
    <s v="Patrick Ruiz"/>
    <x v="567"/>
    <n v="5"/>
    <x v="4"/>
    <x v="11"/>
    <x v="11"/>
    <x v="3"/>
    <x v="0"/>
  </r>
  <r>
    <s v="AX12098"/>
    <s v="ENX2097"/>
    <s v="A105"/>
    <s v="EMP1030"/>
    <s v="C1518"/>
    <x v="567"/>
    <n v="1"/>
    <n v="1052"/>
    <n v="589"/>
    <n v="589"/>
    <n v="1052"/>
    <n v="463"/>
    <s v="Product 98"/>
    <x v="45"/>
    <s v="Bobby Russell"/>
    <x v="703"/>
    <n v="5"/>
    <x v="4"/>
    <x v="11"/>
    <x v="11"/>
    <x v="3"/>
    <x v="0"/>
  </r>
  <r>
    <s v="AX12149"/>
    <s v="ENX2082"/>
    <s v="A127"/>
    <s v="EMP1024"/>
    <s v="C1119"/>
    <x v="569"/>
    <n v="3"/>
    <n v="1103"/>
    <n v="838"/>
    <n v="2514"/>
    <n v="3309"/>
    <n v="795"/>
    <s v="Product 83"/>
    <x v="69"/>
    <s v="Ernest Wheeler"/>
    <x v="614"/>
    <n v="5"/>
    <x v="4"/>
    <x v="11"/>
    <x v="11"/>
    <x v="3"/>
    <x v="0"/>
  </r>
  <r>
    <s v="AX12311"/>
    <s v="ENX2021"/>
    <s v="A166"/>
    <s v="EMP1035"/>
    <s v="C1727"/>
    <x v="569"/>
    <n v="2"/>
    <n v="217"/>
    <n v="171"/>
    <n v="342"/>
    <n v="434"/>
    <n v="92"/>
    <s v="Product 22"/>
    <x v="70"/>
    <s v="Roger Ramos"/>
    <x v="581"/>
    <n v="5"/>
    <x v="4"/>
    <x v="11"/>
    <x v="11"/>
    <x v="3"/>
    <x v="0"/>
  </r>
  <r>
    <s v="AX12524"/>
    <s v="ENX2026"/>
    <s v="A128"/>
    <s v="EMP1009"/>
    <s v="C1324"/>
    <x v="568"/>
    <n v="1"/>
    <n v="947"/>
    <n v="786"/>
    <n v="786"/>
    <n v="947"/>
    <n v="161"/>
    <s v="Product 27"/>
    <x v="12"/>
    <s v="Kenneth Fields"/>
    <x v="252"/>
    <n v="5"/>
    <x v="4"/>
    <x v="11"/>
    <x v="11"/>
    <x v="3"/>
    <x v="0"/>
  </r>
  <r>
    <s v="AX12531"/>
    <s v="ENX2060"/>
    <s v="A153"/>
    <s v="EMP1027"/>
    <s v="C1566"/>
    <x v="569"/>
    <n v="3"/>
    <n v="1467"/>
    <n v="807"/>
    <n v="2421"/>
    <n v="4401"/>
    <n v="1980"/>
    <s v="Product 61"/>
    <x v="8"/>
    <s v="Gary Rodriguez"/>
    <x v="45"/>
    <n v="5"/>
    <x v="4"/>
    <x v="11"/>
    <x v="11"/>
    <x v="3"/>
    <x v="0"/>
  </r>
  <r>
    <s v="AX12753"/>
    <s v="ENX2059"/>
    <s v="A146"/>
    <s v="EMP1021"/>
    <s v="C1664"/>
    <x v="567"/>
    <n v="3"/>
    <n v="1494"/>
    <n v="971"/>
    <n v="2913"/>
    <n v="4482"/>
    <n v="1569"/>
    <s v="Product 60"/>
    <x v="27"/>
    <s v="Clarence Fox"/>
    <x v="12"/>
    <n v="5"/>
    <x v="4"/>
    <x v="11"/>
    <x v="11"/>
    <x v="3"/>
    <x v="0"/>
  </r>
  <r>
    <s v="AX12900"/>
    <s v="ENX2067"/>
    <s v="A134"/>
    <s v="EMP1038"/>
    <s v="C1455"/>
    <x v="569"/>
    <n v="2"/>
    <n v="1119"/>
    <n v="683"/>
    <n v="1366"/>
    <n v="2238"/>
    <n v="872"/>
    <s v="Product 68"/>
    <x v="41"/>
    <s v="Scott Mason"/>
    <x v="47"/>
    <n v="5"/>
    <x v="4"/>
    <x v="11"/>
    <x v="11"/>
    <x v="3"/>
    <x v="0"/>
  </r>
  <r>
    <s v="AX13693"/>
    <s v="ENX2034"/>
    <s v="A169"/>
    <s v="EMP1009"/>
    <s v="C1304"/>
    <x v="568"/>
    <n v="2"/>
    <n v="871"/>
    <n v="540"/>
    <n v="1080"/>
    <n v="1742"/>
    <n v="662"/>
    <s v="Product 35"/>
    <x v="17"/>
    <s v="Kenneth Fields"/>
    <x v="298"/>
    <n v="5"/>
    <x v="4"/>
    <x v="11"/>
    <x v="11"/>
    <x v="3"/>
    <x v="0"/>
  </r>
  <r>
    <s v="AX13992"/>
    <s v="ENX2077"/>
    <s v="A142"/>
    <s v="EMP1011"/>
    <s v="C1099"/>
    <x v="567"/>
    <n v="4"/>
    <n v="530"/>
    <n v="424"/>
    <n v="1696"/>
    <n v="2120"/>
    <n v="424"/>
    <s v="Product 78"/>
    <x v="56"/>
    <s v="Larry Marshall"/>
    <x v="394"/>
    <n v="5"/>
    <x v="4"/>
    <x v="11"/>
    <x v="11"/>
    <x v="3"/>
    <x v="0"/>
  </r>
  <r>
    <s v="AX14318"/>
    <s v="ENX2014"/>
    <s v="A172"/>
    <s v="EMP1020"/>
    <s v="C1450"/>
    <x v="567"/>
    <n v="3"/>
    <n v="1809"/>
    <n v="1067"/>
    <n v="3201"/>
    <n v="5427"/>
    <n v="2226"/>
    <s v="Product 15"/>
    <x v="36"/>
    <s v="Ryan Butler"/>
    <x v="13"/>
    <n v="5"/>
    <x v="4"/>
    <x v="11"/>
    <x v="11"/>
    <x v="3"/>
    <x v="0"/>
  </r>
  <r>
    <s v="AX14406"/>
    <s v="ENX2084"/>
    <s v="A139"/>
    <s v="EMP1012"/>
    <s v="C1573"/>
    <x v="569"/>
    <n v="1"/>
    <n v="1783"/>
    <n v="1230"/>
    <n v="1230"/>
    <n v="1783"/>
    <n v="553"/>
    <s v="Product 85"/>
    <x v="38"/>
    <s v="John Reyes"/>
    <x v="383"/>
    <n v="5"/>
    <x v="4"/>
    <x v="11"/>
    <x v="11"/>
    <x v="3"/>
    <x v="0"/>
  </r>
  <r>
    <s v="AX14858"/>
    <s v="ENX2011"/>
    <s v="A133"/>
    <s v="EMP1040"/>
    <s v="C1257"/>
    <x v="567"/>
    <n v="1"/>
    <n v="530"/>
    <n v="435"/>
    <n v="435"/>
    <n v="530"/>
    <n v="95"/>
    <s v="Product 12"/>
    <x v="46"/>
    <s v="Patrick Ruiz"/>
    <x v="287"/>
    <n v="5"/>
    <x v="4"/>
    <x v="11"/>
    <x v="11"/>
    <x v="3"/>
    <x v="0"/>
  </r>
  <r>
    <s v="AX14883"/>
    <s v="ENX2018"/>
    <s v="A123"/>
    <s v="EMP1011"/>
    <s v="C1494"/>
    <x v="567"/>
    <n v="1"/>
    <n v="1972"/>
    <n v="1321"/>
    <n v="1321"/>
    <n v="1972"/>
    <n v="651"/>
    <s v="Product 19"/>
    <x v="34"/>
    <s v="Larry Marshall"/>
    <x v="698"/>
    <n v="5"/>
    <x v="4"/>
    <x v="11"/>
    <x v="11"/>
    <x v="3"/>
    <x v="0"/>
  </r>
  <r>
    <s v="AX15188"/>
    <s v="ENX2079"/>
    <s v="A117"/>
    <s v="EMP1001"/>
    <s v="C1552"/>
    <x v="569"/>
    <n v="1"/>
    <n v="1725"/>
    <n v="1363"/>
    <n v="1363"/>
    <n v="1725"/>
    <n v="362"/>
    <s v="Product 80"/>
    <x v="29"/>
    <s v="Kevin Butler"/>
    <x v="92"/>
    <n v="5"/>
    <x v="4"/>
    <x v="11"/>
    <x v="11"/>
    <x v="3"/>
    <x v="0"/>
  </r>
  <r>
    <s v="AX15212"/>
    <s v="ENX2012"/>
    <s v="A111"/>
    <s v="EMP1009"/>
    <s v="C1551"/>
    <x v="567"/>
    <n v="3"/>
    <n v="1353"/>
    <n v="947"/>
    <n v="2841"/>
    <n v="4059"/>
    <n v="1218"/>
    <s v="Product 13"/>
    <x v="54"/>
    <s v="Kenneth Fields"/>
    <x v="596"/>
    <n v="5"/>
    <x v="4"/>
    <x v="11"/>
    <x v="11"/>
    <x v="3"/>
    <x v="0"/>
  </r>
  <r>
    <s v="AX15517"/>
    <s v="ENX2058"/>
    <s v="A141"/>
    <s v="EMP1028"/>
    <s v="C1521"/>
    <x v="569"/>
    <n v="2"/>
    <n v="2257"/>
    <n v="1535"/>
    <n v="3070"/>
    <n v="4514"/>
    <n v="1444"/>
    <s v="Product 59"/>
    <x v="23"/>
    <s v="Howard Sims"/>
    <x v="697"/>
    <n v="5"/>
    <x v="4"/>
    <x v="11"/>
    <x v="11"/>
    <x v="3"/>
    <x v="0"/>
  </r>
  <r>
    <s v="AX15542"/>
    <s v="ENX2053"/>
    <s v="A150"/>
    <s v="EMP1040"/>
    <s v="C1455"/>
    <x v="568"/>
    <n v="4"/>
    <n v="596"/>
    <n v="358"/>
    <n v="1432"/>
    <n v="2384"/>
    <n v="952"/>
    <s v="Product 54"/>
    <x v="30"/>
    <s v="Patrick Ruiz"/>
    <x v="47"/>
    <n v="5"/>
    <x v="4"/>
    <x v="11"/>
    <x v="11"/>
    <x v="3"/>
    <x v="0"/>
  </r>
  <r>
    <s v="AX15605"/>
    <s v="ENX2072"/>
    <s v="A145"/>
    <s v="EMP1011"/>
    <s v="C1285"/>
    <x v="569"/>
    <n v="1"/>
    <n v="1887"/>
    <n v="1378"/>
    <n v="1378"/>
    <n v="1887"/>
    <n v="509"/>
    <s v="Product 73"/>
    <x v="35"/>
    <s v="Larry Marshall"/>
    <x v="440"/>
    <n v="5"/>
    <x v="4"/>
    <x v="11"/>
    <x v="11"/>
    <x v="3"/>
    <x v="0"/>
  </r>
  <r>
    <s v="AX15728"/>
    <s v="ENX2088"/>
    <s v="A105"/>
    <s v="EMP1014"/>
    <s v="C1160"/>
    <x v="567"/>
    <n v="1"/>
    <n v="603"/>
    <n v="416"/>
    <n v="416"/>
    <n v="603"/>
    <n v="187"/>
    <s v="Product 89"/>
    <x v="45"/>
    <s v="Ronald Reed"/>
    <x v="566"/>
    <n v="5"/>
    <x v="4"/>
    <x v="11"/>
    <x v="11"/>
    <x v="3"/>
    <x v="0"/>
  </r>
  <r>
    <s v="AX16056"/>
    <s v="ENX2048"/>
    <s v="A115"/>
    <s v="EMP1000"/>
    <s v="C1571"/>
    <x v="567"/>
    <n v="4"/>
    <n v="502"/>
    <n v="296"/>
    <n v="1184"/>
    <n v="2008"/>
    <n v="824"/>
    <s v="Product 49"/>
    <x v="33"/>
    <s v="Fred Robertson"/>
    <x v="316"/>
    <n v="5"/>
    <x v="4"/>
    <x v="11"/>
    <x v="11"/>
    <x v="3"/>
    <x v="0"/>
  </r>
  <r>
    <s v="AX16134"/>
    <s v="ENX2001"/>
    <s v="A152"/>
    <s v="EMP1010"/>
    <s v="C1640"/>
    <x v="568"/>
    <n v="3"/>
    <n v="951"/>
    <n v="504"/>
    <n v="1512"/>
    <n v="2853"/>
    <n v="1341"/>
    <s v="Product 2"/>
    <x v="26"/>
    <s v="Joshua Cook"/>
    <x v="59"/>
    <n v="5"/>
    <x v="4"/>
    <x v="11"/>
    <x v="11"/>
    <x v="3"/>
    <x v="0"/>
  </r>
  <r>
    <s v="AX16266"/>
    <s v="ENX2044"/>
    <s v="A171"/>
    <s v="EMP1034"/>
    <s v="C1076"/>
    <x v="570"/>
    <n v="3"/>
    <n v="886"/>
    <n v="478"/>
    <n v="1434"/>
    <n v="2658"/>
    <n v="1224"/>
    <s v="Product 45"/>
    <x v="0"/>
    <s v="Arthur Mccoy"/>
    <x v="772"/>
    <n v="5"/>
    <x v="4"/>
    <x v="11"/>
    <x v="11"/>
    <x v="3"/>
    <x v="0"/>
  </r>
  <r>
    <s v="AX16344"/>
    <s v="ENX2007"/>
    <s v="A163"/>
    <s v="EMP1043"/>
    <s v="C1707"/>
    <x v="569"/>
    <n v="3"/>
    <n v="1405"/>
    <n v="1054"/>
    <n v="3162"/>
    <n v="4215"/>
    <n v="1053"/>
    <s v="Product 8"/>
    <x v="51"/>
    <s v="Joshua Taylor"/>
    <x v="192"/>
    <n v="5"/>
    <x v="4"/>
    <x v="11"/>
    <x v="11"/>
    <x v="3"/>
    <x v="0"/>
  </r>
  <r>
    <s v="AX16655"/>
    <s v="ENX2059"/>
    <s v="A127"/>
    <s v="EMP1009"/>
    <s v="C1386"/>
    <x v="570"/>
    <n v="1"/>
    <n v="1494"/>
    <n v="971"/>
    <n v="971"/>
    <n v="1494"/>
    <n v="523"/>
    <s v="Product 60"/>
    <x v="69"/>
    <s v="Kenneth Fields"/>
    <x v="123"/>
    <n v="5"/>
    <x v="4"/>
    <x v="11"/>
    <x v="11"/>
    <x v="3"/>
    <x v="0"/>
  </r>
  <r>
    <s v="AX16664"/>
    <s v="ENX2023"/>
    <s v="A138"/>
    <s v="EMP1035"/>
    <s v="C1254"/>
    <x v="570"/>
    <n v="1"/>
    <n v="818"/>
    <n v="450"/>
    <n v="450"/>
    <n v="818"/>
    <n v="368"/>
    <s v="Product 24"/>
    <x v="37"/>
    <s v="Roger Ramos"/>
    <x v="104"/>
    <n v="5"/>
    <x v="4"/>
    <x v="11"/>
    <x v="11"/>
    <x v="3"/>
    <x v="0"/>
  </r>
  <r>
    <s v="AX16731"/>
    <s v="ENX2063"/>
    <s v="A172"/>
    <s v="EMP1007"/>
    <s v="C1728"/>
    <x v="570"/>
    <n v="1"/>
    <n v="1708"/>
    <n v="871"/>
    <n v="871"/>
    <n v="1708"/>
    <n v="837"/>
    <s v="Product 64"/>
    <x v="36"/>
    <s v="Jeremy Mendoza"/>
    <x v="446"/>
    <n v="5"/>
    <x v="4"/>
    <x v="11"/>
    <x v="11"/>
    <x v="3"/>
    <x v="0"/>
  </r>
  <r>
    <s v="AX17320"/>
    <s v="ENX2055"/>
    <s v="A134"/>
    <s v="EMP1020"/>
    <s v="C1730"/>
    <x v="570"/>
    <n v="4"/>
    <n v="2495"/>
    <n v="1896"/>
    <n v="7584"/>
    <n v="9980"/>
    <n v="2396"/>
    <s v="Product 56"/>
    <x v="41"/>
    <s v="Ryan Butler"/>
    <x v="777"/>
    <n v="5"/>
    <x v="4"/>
    <x v="11"/>
    <x v="11"/>
    <x v="3"/>
    <x v="0"/>
  </r>
  <r>
    <s v="AX17833"/>
    <s v="ENX2088"/>
    <s v="A117"/>
    <s v="EMP1003"/>
    <s v="C1058"/>
    <x v="568"/>
    <n v="3"/>
    <n v="603"/>
    <n v="416"/>
    <n v="1248"/>
    <n v="1809"/>
    <n v="561"/>
    <s v="Product 89"/>
    <x v="29"/>
    <s v="Christopher Tucker"/>
    <x v="611"/>
    <n v="5"/>
    <x v="4"/>
    <x v="11"/>
    <x v="11"/>
    <x v="3"/>
    <x v="0"/>
  </r>
  <r>
    <s v="AX17858"/>
    <s v="ENX2020"/>
    <s v="A133"/>
    <s v="EMP1034"/>
    <s v="C1245"/>
    <x v="567"/>
    <n v="3"/>
    <n v="2005"/>
    <n v="1223"/>
    <n v="3669"/>
    <n v="6015"/>
    <n v="2346"/>
    <s v="Product 21"/>
    <x v="46"/>
    <s v="Arthur Mccoy"/>
    <x v="165"/>
    <n v="5"/>
    <x v="4"/>
    <x v="11"/>
    <x v="11"/>
    <x v="3"/>
    <x v="0"/>
  </r>
  <r>
    <s v="AX17865"/>
    <s v="ENX2035"/>
    <s v="A138"/>
    <s v="EMP1021"/>
    <s v="C1597"/>
    <x v="570"/>
    <n v="1"/>
    <n v="458"/>
    <n v="376"/>
    <n v="376"/>
    <n v="458"/>
    <n v="82"/>
    <s v="Product 36"/>
    <x v="37"/>
    <s v="Clarence Fox"/>
    <x v="183"/>
    <n v="5"/>
    <x v="4"/>
    <x v="11"/>
    <x v="11"/>
    <x v="3"/>
    <x v="0"/>
  </r>
  <r>
    <s v="AX17983"/>
    <s v="ENX2036"/>
    <s v="A145"/>
    <s v="EMP1042"/>
    <s v="C1445"/>
    <x v="568"/>
    <n v="1"/>
    <n v="1582"/>
    <n v="1234"/>
    <n v="1234"/>
    <n v="1582"/>
    <n v="348"/>
    <s v="Product 37"/>
    <x v="35"/>
    <s v="Scott Clark"/>
    <x v="239"/>
    <n v="5"/>
    <x v="4"/>
    <x v="11"/>
    <x v="11"/>
    <x v="3"/>
    <x v="0"/>
  </r>
  <r>
    <s v="AX18247"/>
    <s v="ENX2040"/>
    <s v="A131"/>
    <s v="EMP1005"/>
    <s v="C1139"/>
    <x v="567"/>
    <n v="2"/>
    <n v="1889"/>
    <n v="945"/>
    <n v="1890"/>
    <n v="3778"/>
    <n v="1888"/>
    <s v="Product 41"/>
    <x v="32"/>
    <s v="Ryan Welch"/>
    <x v="561"/>
    <n v="5"/>
    <x v="4"/>
    <x v="11"/>
    <x v="11"/>
    <x v="3"/>
    <x v="0"/>
  </r>
  <r>
    <s v="AX18374"/>
    <s v="ENX2023"/>
    <s v="A167"/>
    <s v="EMP1018"/>
    <s v="C1407"/>
    <x v="568"/>
    <n v="4"/>
    <n v="818"/>
    <n v="450"/>
    <n v="1800"/>
    <n v="3272"/>
    <n v="1472"/>
    <s v="Product 24"/>
    <x v="64"/>
    <s v="Jimmy Young"/>
    <x v="294"/>
    <n v="5"/>
    <x v="4"/>
    <x v="11"/>
    <x v="11"/>
    <x v="3"/>
    <x v="0"/>
  </r>
  <r>
    <s v="AX18422"/>
    <s v="ENX2011"/>
    <s v="A134"/>
    <s v="EMP1030"/>
    <s v="C1780"/>
    <x v="568"/>
    <n v="1"/>
    <n v="530"/>
    <n v="435"/>
    <n v="435"/>
    <n v="530"/>
    <n v="95"/>
    <s v="Product 12"/>
    <x v="41"/>
    <s v="Bobby Russell"/>
    <x v="320"/>
    <n v="5"/>
    <x v="4"/>
    <x v="11"/>
    <x v="11"/>
    <x v="3"/>
    <x v="0"/>
  </r>
  <r>
    <s v="AX18553"/>
    <s v="ENX2021"/>
    <s v="A111"/>
    <s v="EMP1023"/>
    <s v="C1635"/>
    <x v="568"/>
    <n v="1"/>
    <n v="217"/>
    <n v="171"/>
    <n v="171"/>
    <n v="217"/>
    <n v="46"/>
    <s v="Product 22"/>
    <x v="54"/>
    <s v="Brian Davis"/>
    <x v="31"/>
    <n v="5"/>
    <x v="4"/>
    <x v="11"/>
    <x v="11"/>
    <x v="3"/>
    <x v="0"/>
  </r>
  <r>
    <s v="AX18568"/>
    <s v="ENX2061"/>
    <s v="A109"/>
    <s v="EMP1017"/>
    <s v="C1479"/>
    <x v="569"/>
    <n v="4"/>
    <n v="913"/>
    <n v="584"/>
    <n v="2336"/>
    <n v="3652"/>
    <n v="1316"/>
    <s v="Product 62"/>
    <x v="57"/>
    <s v="Brian Hansen"/>
    <x v="385"/>
    <n v="5"/>
    <x v="4"/>
    <x v="11"/>
    <x v="11"/>
    <x v="3"/>
    <x v="0"/>
  </r>
  <r>
    <s v="AX18807"/>
    <s v="ENX2091"/>
    <s v="A116"/>
    <s v="EMP1020"/>
    <s v="C1214"/>
    <x v="570"/>
    <n v="2"/>
    <n v="368"/>
    <n v="294"/>
    <n v="588"/>
    <n v="736"/>
    <n v="148"/>
    <s v="Product 92"/>
    <x v="15"/>
    <s v="Ryan Butler"/>
    <x v="262"/>
    <n v="5"/>
    <x v="4"/>
    <x v="11"/>
    <x v="11"/>
    <x v="3"/>
    <x v="0"/>
  </r>
  <r>
    <s v="AX18965"/>
    <s v="ENX2001"/>
    <s v="A126"/>
    <s v="EMP1019"/>
    <s v="C1054"/>
    <x v="570"/>
    <n v="1"/>
    <n v="951"/>
    <n v="504"/>
    <n v="504"/>
    <n v="951"/>
    <n v="447"/>
    <s v="Product 2"/>
    <x v="5"/>
    <s v="Roger Robertson"/>
    <x v="58"/>
    <n v="5"/>
    <x v="4"/>
    <x v="11"/>
    <x v="11"/>
    <x v="3"/>
    <x v="0"/>
  </r>
  <r>
    <s v="AX19137"/>
    <s v="ENX2090"/>
    <s v="A143"/>
    <s v="EMP1011"/>
    <s v="C1309"/>
    <x v="568"/>
    <n v="1"/>
    <n v="1338"/>
    <n v="682"/>
    <n v="682"/>
    <n v="1338"/>
    <n v="656"/>
    <s v="Product 91"/>
    <x v="39"/>
    <s v="Larry Marshall"/>
    <x v="139"/>
    <n v="5"/>
    <x v="4"/>
    <x v="11"/>
    <x v="11"/>
    <x v="3"/>
    <x v="0"/>
  </r>
  <r>
    <s v="AX19216"/>
    <s v="ENX2020"/>
    <s v="A128"/>
    <s v="EMP1037"/>
    <s v="C1330"/>
    <x v="567"/>
    <n v="2"/>
    <n v="2005"/>
    <n v="1223"/>
    <n v="2446"/>
    <n v="4010"/>
    <n v="1564"/>
    <s v="Product 21"/>
    <x v="12"/>
    <s v="Carl Hall"/>
    <x v="511"/>
    <n v="5"/>
    <x v="4"/>
    <x v="11"/>
    <x v="11"/>
    <x v="3"/>
    <x v="0"/>
  </r>
  <r>
    <s v="AX19429"/>
    <s v="ENX2090"/>
    <s v="A162"/>
    <s v="EMP1005"/>
    <s v="C1137"/>
    <x v="568"/>
    <n v="1"/>
    <n v="1338"/>
    <n v="682"/>
    <n v="682"/>
    <n v="1338"/>
    <n v="656"/>
    <s v="Product 91"/>
    <x v="2"/>
    <s v="Ryan Welch"/>
    <x v="131"/>
    <n v="5"/>
    <x v="4"/>
    <x v="11"/>
    <x v="11"/>
    <x v="3"/>
    <x v="0"/>
  </r>
  <r>
    <s v="AX20669"/>
    <s v="ENX2064"/>
    <s v="A102"/>
    <s v="EMP1010"/>
    <s v="C1306"/>
    <x v="567"/>
    <n v="3"/>
    <n v="1414"/>
    <n v="962"/>
    <n v="2886"/>
    <n v="4242"/>
    <n v="1356"/>
    <s v="Product 65"/>
    <x v="44"/>
    <s v="Joshua Cook"/>
    <x v="692"/>
    <n v="5"/>
    <x v="4"/>
    <x v="11"/>
    <x v="11"/>
    <x v="3"/>
    <x v="0"/>
  </r>
  <r>
    <s v="AX21570"/>
    <s v="ENX2072"/>
    <s v="A156"/>
    <s v="EMP1009"/>
    <s v="C1534"/>
    <x v="570"/>
    <n v="1"/>
    <n v="1887"/>
    <n v="1378"/>
    <n v="1378"/>
    <n v="1887"/>
    <n v="509"/>
    <s v="Product 73"/>
    <x v="14"/>
    <s v="Kenneth Fields"/>
    <x v="273"/>
    <n v="5"/>
    <x v="4"/>
    <x v="11"/>
    <x v="11"/>
    <x v="3"/>
    <x v="0"/>
  </r>
  <r>
    <s v="AX21667"/>
    <s v="ENX2036"/>
    <s v="A165"/>
    <s v="EMP1030"/>
    <s v="C1344"/>
    <x v="569"/>
    <n v="1"/>
    <n v="1582"/>
    <n v="1234"/>
    <n v="1234"/>
    <n v="1582"/>
    <n v="348"/>
    <s v="Product 37"/>
    <x v="55"/>
    <s v="Bobby Russell"/>
    <x v="22"/>
    <n v="5"/>
    <x v="4"/>
    <x v="11"/>
    <x v="11"/>
    <x v="3"/>
    <x v="0"/>
  </r>
  <r>
    <s v="AX21757"/>
    <s v="ENX2021"/>
    <s v="A142"/>
    <s v="EMP1027"/>
    <s v="C1293"/>
    <x v="569"/>
    <n v="2"/>
    <n v="217"/>
    <n v="171"/>
    <n v="342"/>
    <n v="434"/>
    <n v="92"/>
    <s v="Product 22"/>
    <x v="56"/>
    <s v="Gary Rodriguez"/>
    <x v="512"/>
    <n v="5"/>
    <x v="4"/>
    <x v="11"/>
    <x v="11"/>
    <x v="3"/>
    <x v="0"/>
  </r>
  <r>
    <s v="AX21819"/>
    <s v="ENX2066"/>
    <s v="A163"/>
    <s v="EMP1000"/>
    <s v="C1596"/>
    <x v="570"/>
    <n v="1"/>
    <n v="2091"/>
    <n v="1485"/>
    <n v="1485"/>
    <n v="2091"/>
    <n v="606"/>
    <s v="Product 67"/>
    <x v="51"/>
    <s v="Fred Robertson"/>
    <x v="217"/>
    <n v="5"/>
    <x v="4"/>
    <x v="11"/>
    <x v="11"/>
    <x v="3"/>
    <x v="0"/>
  </r>
  <r>
    <s v="AX21967"/>
    <s v="ENX2026"/>
    <s v="A128"/>
    <s v="EMP1043"/>
    <s v="C1683"/>
    <x v="570"/>
    <n v="1"/>
    <n v="947"/>
    <n v="786"/>
    <n v="786"/>
    <n v="947"/>
    <n v="161"/>
    <s v="Product 27"/>
    <x v="12"/>
    <s v="Joshua Taylor"/>
    <x v="379"/>
    <n v="5"/>
    <x v="4"/>
    <x v="11"/>
    <x v="11"/>
    <x v="3"/>
    <x v="0"/>
  </r>
  <r>
    <s v="AX22009"/>
    <s v="ENX2001"/>
    <s v="A112"/>
    <s v="EMP1029"/>
    <s v="C1608"/>
    <x v="569"/>
    <n v="1"/>
    <n v="951"/>
    <n v="504"/>
    <n v="504"/>
    <n v="951"/>
    <n v="447"/>
    <s v="Product 2"/>
    <x v="66"/>
    <s v="Howard Gardner"/>
    <x v="463"/>
    <n v="5"/>
    <x v="4"/>
    <x v="11"/>
    <x v="11"/>
    <x v="3"/>
    <x v="0"/>
  </r>
  <r>
    <s v="AX22028"/>
    <s v="ENX2012"/>
    <s v="A169"/>
    <s v="EMP1029"/>
    <s v="C1221"/>
    <x v="567"/>
    <n v="1"/>
    <n v="1353"/>
    <n v="947"/>
    <n v="947"/>
    <n v="1353"/>
    <n v="406"/>
    <s v="Product 13"/>
    <x v="17"/>
    <s v="Howard Gardner"/>
    <x v="429"/>
    <n v="5"/>
    <x v="4"/>
    <x v="11"/>
    <x v="11"/>
    <x v="3"/>
    <x v="0"/>
  </r>
  <r>
    <s v="AX23026"/>
    <s v="ENX2029"/>
    <s v="A102"/>
    <s v="EMP1008"/>
    <s v="C1425"/>
    <x v="569"/>
    <n v="4"/>
    <n v="1848"/>
    <n v="1294"/>
    <n v="5176"/>
    <n v="7392"/>
    <n v="2216"/>
    <s v="Product 30"/>
    <x v="44"/>
    <s v="Carl Elliott"/>
    <x v="474"/>
    <n v="5"/>
    <x v="4"/>
    <x v="11"/>
    <x v="11"/>
    <x v="3"/>
    <x v="0"/>
  </r>
  <r>
    <s v="AX23282"/>
    <s v="ENX2078"/>
    <s v="A167"/>
    <s v="EMP1020"/>
    <s v="C1356"/>
    <x v="567"/>
    <n v="2"/>
    <n v="1798"/>
    <n v="971"/>
    <n v="1942"/>
    <n v="3596"/>
    <n v="1654"/>
    <s v="Product 79"/>
    <x v="64"/>
    <s v="Ryan Butler"/>
    <x v="238"/>
    <n v="5"/>
    <x v="4"/>
    <x v="11"/>
    <x v="11"/>
    <x v="3"/>
    <x v="0"/>
  </r>
  <r>
    <s v="AX23349"/>
    <s v="ENX2030"/>
    <s v="A169"/>
    <s v="EMP1001"/>
    <s v="C1610"/>
    <x v="569"/>
    <n v="1"/>
    <n v="1899"/>
    <n v="1044"/>
    <n v="1044"/>
    <n v="1899"/>
    <n v="855"/>
    <s v="Product 31"/>
    <x v="17"/>
    <s v="Kevin Butler"/>
    <x v="362"/>
    <n v="5"/>
    <x v="4"/>
    <x v="11"/>
    <x v="11"/>
    <x v="3"/>
    <x v="0"/>
  </r>
  <r>
    <s v="AX24243"/>
    <s v="ENX2010"/>
    <s v="A139"/>
    <s v="EMP1008"/>
    <s v="C1733"/>
    <x v="567"/>
    <n v="1"/>
    <n v="1812"/>
    <n v="1305"/>
    <n v="1305"/>
    <n v="1812"/>
    <n v="507"/>
    <s v="Product 11"/>
    <x v="38"/>
    <s v="Carl Elliott"/>
    <x v="32"/>
    <n v="5"/>
    <x v="4"/>
    <x v="11"/>
    <x v="11"/>
    <x v="3"/>
    <x v="0"/>
  </r>
  <r>
    <s v="AX24300"/>
    <s v="ENX2018"/>
    <s v="A138"/>
    <s v="EMP1027"/>
    <s v="C1609"/>
    <x v="569"/>
    <n v="3"/>
    <n v="1972"/>
    <n v="1321"/>
    <n v="3963"/>
    <n v="5916"/>
    <n v="1953"/>
    <s v="Product 19"/>
    <x v="37"/>
    <s v="Gary Rodriguez"/>
    <x v="757"/>
    <n v="5"/>
    <x v="4"/>
    <x v="11"/>
    <x v="11"/>
    <x v="3"/>
    <x v="0"/>
  </r>
  <r>
    <s v="AX24706"/>
    <s v="ENX2080"/>
    <s v="A170"/>
    <s v="EMP1037"/>
    <s v="C1127"/>
    <x v="570"/>
    <n v="1"/>
    <n v="2353"/>
    <n v="1788"/>
    <n v="1788"/>
    <n v="2353"/>
    <n v="565"/>
    <s v="Product 81"/>
    <x v="47"/>
    <s v="Carl Hall"/>
    <x v="438"/>
    <n v="5"/>
    <x v="4"/>
    <x v="11"/>
    <x v="11"/>
    <x v="3"/>
    <x v="0"/>
  </r>
  <r>
    <s v="AX24863"/>
    <s v="ENX2063"/>
    <s v="A169"/>
    <s v="EMP1016"/>
    <s v="C1297"/>
    <x v="567"/>
    <n v="2"/>
    <n v="1708"/>
    <n v="871"/>
    <n v="1742"/>
    <n v="3416"/>
    <n v="1674"/>
    <s v="Product 64"/>
    <x v="17"/>
    <s v="Henry Nelson"/>
    <x v="537"/>
    <n v="5"/>
    <x v="4"/>
    <x v="11"/>
    <x v="11"/>
    <x v="3"/>
    <x v="0"/>
  </r>
  <r>
    <s v="AX10326"/>
    <s v="ENX2085"/>
    <s v="A108"/>
    <s v="EMP1044"/>
    <s v="C1212"/>
    <x v="571"/>
    <n v="4"/>
    <n v="1862"/>
    <n v="1173"/>
    <n v="4692"/>
    <n v="7448"/>
    <n v="2756"/>
    <s v="Product 86"/>
    <x v="49"/>
    <s v="Martin Carr"/>
    <x v="220"/>
    <n v="5"/>
    <x v="4"/>
    <x v="11"/>
    <x v="11"/>
    <x v="3"/>
    <x v="2"/>
  </r>
  <r>
    <s v="AX10454"/>
    <s v="ENX2084"/>
    <s v="A124"/>
    <s v="EMP1020"/>
    <s v="C1631"/>
    <x v="571"/>
    <n v="1"/>
    <n v="1783"/>
    <n v="1230"/>
    <n v="1230"/>
    <n v="1783"/>
    <n v="553"/>
    <s v="Product 85"/>
    <x v="67"/>
    <s v="Ryan Butler"/>
    <x v="659"/>
    <n v="5"/>
    <x v="4"/>
    <x v="11"/>
    <x v="11"/>
    <x v="3"/>
    <x v="2"/>
  </r>
  <r>
    <s v="AX10485"/>
    <s v="ENX2075"/>
    <s v="A159"/>
    <s v="EMP1018"/>
    <s v="C1586"/>
    <x v="572"/>
    <n v="3"/>
    <n v="400"/>
    <n v="208"/>
    <n v="624"/>
    <n v="1200"/>
    <n v="576"/>
    <s v="Product 76"/>
    <x v="13"/>
    <s v="Jimmy Young"/>
    <x v="585"/>
    <n v="5"/>
    <x v="4"/>
    <x v="11"/>
    <x v="11"/>
    <x v="3"/>
    <x v="2"/>
  </r>
  <r>
    <s v="AX10858"/>
    <s v="ENX2089"/>
    <s v="A158"/>
    <s v="EMP1009"/>
    <s v="C1166"/>
    <x v="572"/>
    <n v="3"/>
    <n v="2294"/>
    <n v="1399"/>
    <n v="4197"/>
    <n v="6882"/>
    <n v="2685"/>
    <s v="Product 90"/>
    <x v="58"/>
    <s v="Kenneth Fields"/>
    <x v="733"/>
    <n v="5"/>
    <x v="4"/>
    <x v="11"/>
    <x v="11"/>
    <x v="3"/>
    <x v="2"/>
  </r>
  <r>
    <s v="AX11144"/>
    <s v="ENX2082"/>
    <s v="A119"/>
    <s v="EMP1002"/>
    <s v="C1612"/>
    <x v="571"/>
    <n v="3"/>
    <n v="1103"/>
    <n v="838"/>
    <n v="2514"/>
    <n v="3309"/>
    <n v="795"/>
    <s v="Product 83"/>
    <x v="16"/>
    <s v="Andrew Bowman"/>
    <x v="46"/>
    <n v="5"/>
    <x v="4"/>
    <x v="11"/>
    <x v="11"/>
    <x v="3"/>
    <x v="2"/>
  </r>
  <r>
    <s v="AX11451"/>
    <s v="ENX2046"/>
    <s v="A168"/>
    <s v="EMP1007"/>
    <s v="C1557"/>
    <x v="571"/>
    <n v="3"/>
    <n v="2410"/>
    <n v="1518"/>
    <n v="4554"/>
    <n v="7230"/>
    <n v="2676"/>
    <s v="Product 47"/>
    <x v="40"/>
    <s v="Jeremy Mendoza"/>
    <x v="729"/>
    <n v="5"/>
    <x v="4"/>
    <x v="11"/>
    <x v="11"/>
    <x v="3"/>
    <x v="2"/>
  </r>
  <r>
    <s v="AX11504"/>
    <s v="ENX2002"/>
    <s v="A131"/>
    <s v="EMP1004"/>
    <s v="C1697"/>
    <x v="571"/>
    <n v="3"/>
    <n v="847"/>
    <n v="534"/>
    <n v="1602"/>
    <n v="2541"/>
    <n v="939"/>
    <s v="Product 3"/>
    <x v="32"/>
    <s v="Kenneth Bradley"/>
    <x v="589"/>
    <n v="5"/>
    <x v="4"/>
    <x v="11"/>
    <x v="11"/>
    <x v="3"/>
    <x v="2"/>
  </r>
  <r>
    <s v="AX11697"/>
    <s v="ENX2038"/>
    <s v="A172"/>
    <s v="EMP1014"/>
    <s v="C1648"/>
    <x v="573"/>
    <n v="3"/>
    <n v="392"/>
    <n v="255"/>
    <n v="765"/>
    <n v="1176"/>
    <n v="411"/>
    <s v="Product 39"/>
    <x v="36"/>
    <s v="Ronald Reed"/>
    <x v="430"/>
    <n v="5"/>
    <x v="4"/>
    <x v="11"/>
    <x v="11"/>
    <x v="3"/>
    <x v="2"/>
  </r>
  <r>
    <s v="AX11908"/>
    <s v="ENX2030"/>
    <s v="A172"/>
    <s v="EMP1030"/>
    <s v="C1005"/>
    <x v="574"/>
    <n v="2"/>
    <n v="1899"/>
    <n v="1044"/>
    <n v="2088"/>
    <n v="3798"/>
    <n v="1710"/>
    <s v="Product 31"/>
    <x v="36"/>
    <s v="Bobby Russell"/>
    <x v="304"/>
    <n v="5"/>
    <x v="4"/>
    <x v="11"/>
    <x v="11"/>
    <x v="3"/>
    <x v="2"/>
  </r>
  <r>
    <s v="AX12489"/>
    <s v="ENX2059"/>
    <s v="A119"/>
    <s v="EMP1003"/>
    <s v="C1568"/>
    <x v="573"/>
    <n v="3"/>
    <n v="1494"/>
    <n v="971"/>
    <n v="2913"/>
    <n v="4482"/>
    <n v="1569"/>
    <s v="Product 60"/>
    <x v="16"/>
    <s v="Christopher Tucker"/>
    <x v="551"/>
    <n v="5"/>
    <x v="4"/>
    <x v="11"/>
    <x v="11"/>
    <x v="3"/>
    <x v="2"/>
  </r>
  <r>
    <s v="AX12551"/>
    <s v="ENX2016"/>
    <s v="A139"/>
    <s v="EMP1041"/>
    <s v="C1539"/>
    <x v="571"/>
    <n v="1"/>
    <n v="1351"/>
    <n v="1108"/>
    <n v="1108"/>
    <n v="1351"/>
    <n v="243"/>
    <s v="Product 17"/>
    <x v="38"/>
    <s v="Joe Sims"/>
    <x v="280"/>
    <n v="5"/>
    <x v="4"/>
    <x v="11"/>
    <x v="11"/>
    <x v="3"/>
    <x v="2"/>
  </r>
  <r>
    <s v="AX12600"/>
    <s v="ENX2072"/>
    <s v="A138"/>
    <s v="EMP1036"/>
    <s v="C1423"/>
    <x v="571"/>
    <n v="1"/>
    <n v="1887"/>
    <n v="1378"/>
    <n v="1378"/>
    <n v="1887"/>
    <n v="509"/>
    <s v="Product 73"/>
    <x v="37"/>
    <s v="Robert Reed"/>
    <x v="182"/>
    <n v="5"/>
    <x v="4"/>
    <x v="11"/>
    <x v="11"/>
    <x v="3"/>
    <x v="2"/>
  </r>
  <r>
    <s v="AX12917"/>
    <s v="ENX2087"/>
    <s v="A143"/>
    <s v="EMP1023"/>
    <s v="C1360"/>
    <x v="573"/>
    <n v="3"/>
    <n v="1022"/>
    <n v="818"/>
    <n v="2454"/>
    <n v="3066"/>
    <n v="612"/>
    <s v="Product 88"/>
    <x v="39"/>
    <s v="Brian Davis"/>
    <x v="573"/>
    <n v="5"/>
    <x v="4"/>
    <x v="11"/>
    <x v="11"/>
    <x v="3"/>
    <x v="2"/>
  </r>
  <r>
    <s v="AX12966"/>
    <s v="ENX2003"/>
    <s v="A160"/>
    <s v="EMP1035"/>
    <s v="C1773"/>
    <x v="572"/>
    <n v="3"/>
    <n v="1783"/>
    <n v="1516"/>
    <n v="4548"/>
    <n v="5349"/>
    <n v="801"/>
    <s v="Product 4"/>
    <x v="9"/>
    <s v="Roger Ramos"/>
    <x v="723"/>
    <n v="5"/>
    <x v="4"/>
    <x v="11"/>
    <x v="11"/>
    <x v="3"/>
    <x v="2"/>
  </r>
  <r>
    <s v="AX13049"/>
    <s v="ENX2043"/>
    <s v="A114"/>
    <s v="EMP1004"/>
    <s v="C1786"/>
    <x v="571"/>
    <n v="4"/>
    <n v="545"/>
    <n v="425"/>
    <n v="1700"/>
    <n v="2180"/>
    <n v="480"/>
    <s v="Product 44"/>
    <x v="28"/>
    <s v="Kenneth Bradley"/>
    <x v="406"/>
    <n v="5"/>
    <x v="4"/>
    <x v="11"/>
    <x v="11"/>
    <x v="3"/>
    <x v="2"/>
  </r>
  <r>
    <s v="AX13265"/>
    <s v="ENX2018"/>
    <s v="A150"/>
    <s v="EMP1006"/>
    <s v="C1010"/>
    <x v="572"/>
    <n v="2"/>
    <n v="1972"/>
    <n v="1321"/>
    <n v="2642"/>
    <n v="3944"/>
    <n v="1302"/>
    <s v="Product 19"/>
    <x v="30"/>
    <s v="Sean Miller"/>
    <x v="399"/>
    <n v="5"/>
    <x v="4"/>
    <x v="11"/>
    <x v="11"/>
    <x v="3"/>
    <x v="2"/>
  </r>
  <r>
    <s v="AX13807"/>
    <s v="ENX2076"/>
    <s v="A167"/>
    <s v="EMP1007"/>
    <s v="C1510"/>
    <x v="574"/>
    <n v="1"/>
    <n v="1522"/>
    <n v="791"/>
    <n v="791"/>
    <n v="1522"/>
    <n v="731"/>
    <s v="Product 77"/>
    <x v="64"/>
    <s v="Jeremy Mendoza"/>
    <x v="113"/>
    <n v="5"/>
    <x v="4"/>
    <x v="11"/>
    <x v="11"/>
    <x v="3"/>
    <x v="2"/>
  </r>
  <r>
    <s v="AX13816"/>
    <s v="ENX2057"/>
    <s v="A100"/>
    <s v="EMP1012"/>
    <s v="C1227"/>
    <x v="574"/>
    <n v="1"/>
    <n v="181"/>
    <n v="130"/>
    <n v="130"/>
    <n v="181"/>
    <n v="51"/>
    <s v="Product 58"/>
    <x v="52"/>
    <s v="John Reyes"/>
    <x v="765"/>
    <n v="5"/>
    <x v="4"/>
    <x v="11"/>
    <x v="11"/>
    <x v="3"/>
    <x v="2"/>
  </r>
  <r>
    <s v="AX14558"/>
    <s v="ENX2070"/>
    <s v="A131"/>
    <s v="EMP1002"/>
    <s v="C1707"/>
    <x v="572"/>
    <n v="1"/>
    <n v="1671"/>
    <n v="1220"/>
    <n v="1220"/>
    <n v="1671"/>
    <n v="451"/>
    <s v="Product 71"/>
    <x v="32"/>
    <s v="Andrew Bowman"/>
    <x v="192"/>
    <n v="5"/>
    <x v="4"/>
    <x v="11"/>
    <x v="11"/>
    <x v="3"/>
    <x v="2"/>
  </r>
  <r>
    <s v="AX14611"/>
    <s v="ENX2015"/>
    <s v="A156"/>
    <s v="EMP1039"/>
    <s v="C1545"/>
    <x v="573"/>
    <n v="2"/>
    <n v="637"/>
    <n v="389"/>
    <n v="778"/>
    <n v="1274"/>
    <n v="496"/>
    <s v="Product 16"/>
    <x v="14"/>
    <s v="Eugene Holmes"/>
    <x v="646"/>
    <n v="5"/>
    <x v="4"/>
    <x v="11"/>
    <x v="11"/>
    <x v="3"/>
    <x v="2"/>
  </r>
  <r>
    <s v="AX14710"/>
    <s v="ENX2088"/>
    <s v="A160"/>
    <s v="EMP1036"/>
    <s v="C1716"/>
    <x v="574"/>
    <n v="3"/>
    <n v="603"/>
    <n v="416"/>
    <n v="1248"/>
    <n v="1809"/>
    <n v="561"/>
    <s v="Product 89"/>
    <x v="9"/>
    <s v="Robert Reed"/>
    <x v="24"/>
    <n v="5"/>
    <x v="4"/>
    <x v="11"/>
    <x v="11"/>
    <x v="3"/>
    <x v="2"/>
  </r>
  <r>
    <s v="AX14844"/>
    <s v="ENX2079"/>
    <s v="A125"/>
    <s v="EMP1000"/>
    <s v="C1551"/>
    <x v="572"/>
    <n v="3"/>
    <n v="1725"/>
    <n v="1363"/>
    <n v="4089"/>
    <n v="5175"/>
    <n v="1086"/>
    <s v="Product 80"/>
    <x v="31"/>
    <s v="Fred Robertson"/>
    <x v="596"/>
    <n v="5"/>
    <x v="4"/>
    <x v="11"/>
    <x v="11"/>
    <x v="3"/>
    <x v="2"/>
  </r>
  <r>
    <s v="AX15087"/>
    <s v="ENX2022"/>
    <s v="A119"/>
    <s v="EMP1034"/>
    <s v="C1239"/>
    <x v="574"/>
    <n v="1"/>
    <n v="561"/>
    <n v="421"/>
    <n v="421"/>
    <n v="561"/>
    <n v="140"/>
    <s v="Product 23"/>
    <x v="16"/>
    <s v="Arthur Mccoy"/>
    <x v="479"/>
    <n v="5"/>
    <x v="4"/>
    <x v="11"/>
    <x v="11"/>
    <x v="3"/>
    <x v="2"/>
  </r>
  <r>
    <s v="AX15952"/>
    <s v="ENX2087"/>
    <s v="A168"/>
    <s v="EMP1041"/>
    <s v="C1496"/>
    <x v="572"/>
    <n v="3"/>
    <n v="1022"/>
    <n v="818"/>
    <n v="2454"/>
    <n v="3066"/>
    <n v="612"/>
    <s v="Product 88"/>
    <x v="40"/>
    <s v="Joe Sims"/>
    <x v="54"/>
    <n v="5"/>
    <x v="4"/>
    <x v="11"/>
    <x v="11"/>
    <x v="3"/>
    <x v="2"/>
  </r>
  <r>
    <s v="AX15997"/>
    <s v="ENX2080"/>
    <s v="A120"/>
    <s v="EMP1041"/>
    <s v="C1021"/>
    <x v="572"/>
    <n v="1"/>
    <n v="2353"/>
    <n v="1788"/>
    <n v="1788"/>
    <n v="2353"/>
    <n v="565"/>
    <s v="Product 81"/>
    <x v="20"/>
    <s v="Joe Sims"/>
    <x v="246"/>
    <n v="5"/>
    <x v="4"/>
    <x v="11"/>
    <x v="11"/>
    <x v="3"/>
    <x v="2"/>
  </r>
  <r>
    <s v="AX16122"/>
    <s v="ENX2031"/>
    <s v="A155"/>
    <s v="EMP1024"/>
    <s v="C1014"/>
    <x v="574"/>
    <n v="4"/>
    <n v="1638"/>
    <n v="1261"/>
    <n v="5044"/>
    <n v="6552"/>
    <n v="1508"/>
    <s v="Product 32"/>
    <x v="53"/>
    <s v="Ernest Wheeler"/>
    <x v="26"/>
    <n v="5"/>
    <x v="4"/>
    <x v="11"/>
    <x v="11"/>
    <x v="3"/>
    <x v="2"/>
  </r>
  <r>
    <s v="AX16502"/>
    <s v="ENX2012"/>
    <s v="A125"/>
    <s v="EMP1024"/>
    <s v="C1724"/>
    <x v="572"/>
    <n v="2"/>
    <n v="1353"/>
    <n v="947"/>
    <n v="1894"/>
    <n v="2706"/>
    <n v="812"/>
    <s v="Product 13"/>
    <x v="31"/>
    <s v="Ernest Wheeler"/>
    <x v="378"/>
    <n v="5"/>
    <x v="4"/>
    <x v="11"/>
    <x v="11"/>
    <x v="3"/>
    <x v="2"/>
  </r>
  <r>
    <s v="AX17037"/>
    <s v="ENX2011"/>
    <s v="A157"/>
    <s v="EMP1003"/>
    <s v="C1074"/>
    <x v="574"/>
    <n v="1"/>
    <n v="530"/>
    <n v="435"/>
    <n v="435"/>
    <n v="530"/>
    <n v="95"/>
    <s v="Product 12"/>
    <x v="7"/>
    <s v="Christopher Tucker"/>
    <x v="96"/>
    <n v="5"/>
    <x v="4"/>
    <x v="11"/>
    <x v="11"/>
    <x v="3"/>
    <x v="2"/>
  </r>
  <r>
    <s v="AX17330"/>
    <s v="ENX2077"/>
    <s v="A148"/>
    <s v="EMP1020"/>
    <s v="C1178"/>
    <x v="574"/>
    <n v="4"/>
    <n v="530"/>
    <n v="424"/>
    <n v="1696"/>
    <n v="2120"/>
    <n v="424"/>
    <s v="Product 78"/>
    <x v="62"/>
    <s v="Ryan Butler"/>
    <x v="465"/>
    <n v="5"/>
    <x v="4"/>
    <x v="11"/>
    <x v="11"/>
    <x v="3"/>
    <x v="2"/>
  </r>
  <r>
    <s v="AX17522"/>
    <s v="ENX2044"/>
    <s v="A124"/>
    <s v="EMP1038"/>
    <s v="C1262"/>
    <x v="571"/>
    <n v="4"/>
    <n v="886"/>
    <n v="478"/>
    <n v="1912"/>
    <n v="3544"/>
    <n v="1632"/>
    <s v="Product 45"/>
    <x v="67"/>
    <s v="Scott Mason"/>
    <x v="363"/>
    <n v="5"/>
    <x v="4"/>
    <x v="11"/>
    <x v="11"/>
    <x v="3"/>
    <x v="2"/>
  </r>
  <r>
    <s v="AX17584"/>
    <s v="ENX2051"/>
    <s v="A158"/>
    <s v="EMP1006"/>
    <s v="C1787"/>
    <x v="572"/>
    <n v="3"/>
    <n v="1077"/>
    <n v="732"/>
    <n v="2196"/>
    <n v="3231"/>
    <n v="1035"/>
    <s v="Product 52"/>
    <x v="58"/>
    <s v="Sean Miller"/>
    <x v="439"/>
    <n v="5"/>
    <x v="4"/>
    <x v="11"/>
    <x v="11"/>
    <x v="3"/>
    <x v="2"/>
  </r>
  <r>
    <s v="AX17667"/>
    <s v="ENX2001"/>
    <s v="A165"/>
    <s v="EMP1018"/>
    <s v="C1656"/>
    <x v="574"/>
    <n v="1"/>
    <n v="951"/>
    <n v="504"/>
    <n v="504"/>
    <n v="951"/>
    <n v="447"/>
    <s v="Product 2"/>
    <x v="55"/>
    <s v="Jimmy Young"/>
    <x v="115"/>
    <n v="5"/>
    <x v="4"/>
    <x v="11"/>
    <x v="11"/>
    <x v="3"/>
    <x v="2"/>
  </r>
  <r>
    <s v="AX17896"/>
    <s v="ENX2053"/>
    <s v="A113"/>
    <s v="EMP1036"/>
    <s v="C1781"/>
    <x v="571"/>
    <n v="2"/>
    <n v="596"/>
    <n v="358"/>
    <n v="716"/>
    <n v="1192"/>
    <n v="476"/>
    <s v="Product 54"/>
    <x v="73"/>
    <s v="Robert Reed"/>
    <x v="606"/>
    <n v="5"/>
    <x v="4"/>
    <x v="11"/>
    <x v="11"/>
    <x v="3"/>
    <x v="2"/>
  </r>
  <r>
    <s v="AX18080"/>
    <s v="ENX2046"/>
    <s v="A120"/>
    <s v="EMP1025"/>
    <s v="C1353"/>
    <x v="573"/>
    <n v="3"/>
    <n v="2410"/>
    <n v="1518"/>
    <n v="4554"/>
    <n v="7230"/>
    <n v="2676"/>
    <s v="Product 47"/>
    <x v="20"/>
    <s v="Ernest Wagner"/>
    <x v="642"/>
    <n v="5"/>
    <x v="4"/>
    <x v="11"/>
    <x v="11"/>
    <x v="3"/>
    <x v="2"/>
  </r>
  <r>
    <s v="AX18543"/>
    <s v="ENX2011"/>
    <s v="A128"/>
    <s v="EMP1017"/>
    <s v="C1729"/>
    <x v="572"/>
    <n v="3"/>
    <n v="530"/>
    <n v="435"/>
    <n v="1305"/>
    <n v="1590"/>
    <n v="285"/>
    <s v="Product 12"/>
    <x v="12"/>
    <s v="Brian Hansen"/>
    <x v="268"/>
    <n v="5"/>
    <x v="4"/>
    <x v="11"/>
    <x v="11"/>
    <x v="3"/>
    <x v="2"/>
  </r>
  <r>
    <s v="AX19471"/>
    <s v="ENX2041"/>
    <s v="A151"/>
    <s v="EMP1032"/>
    <s v="C1541"/>
    <x v="573"/>
    <n v="1"/>
    <n v="1380"/>
    <n v="1090"/>
    <n v="1090"/>
    <n v="1380"/>
    <n v="290"/>
    <s v="Product 42"/>
    <x v="1"/>
    <s v="Larry Castillo"/>
    <x v="628"/>
    <n v="5"/>
    <x v="4"/>
    <x v="11"/>
    <x v="11"/>
    <x v="3"/>
    <x v="2"/>
  </r>
  <r>
    <s v="AX19562"/>
    <s v="ENX2078"/>
    <s v="A122"/>
    <s v="EMP1030"/>
    <s v="C1612"/>
    <x v="572"/>
    <n v="4"/>
    <n v="1798"/>
    <n v="971"/>
    <n v="3884"/>
    <n v="7192"/>
    <n v="3308"/>
    <s v="Product 79"/>
    <x v="71"/>
    <s v="Bobby Russell"/>
    <x v="46"/>
    <n v="5"/>
    <x v="4"/>
    <x v="11"/>
    <x v="11"/>
    <x v="3"/>
    <x v="2"/>
  </r>
  <r>
    <s v="AX19672"/>
    <s v="ENX2059"/>
    <s v="A160"/>
    <s v="EMP1010"/>
    <s v="C1301"/>
    <x v="571"/>
    <n v="1"/>
    <n v="1494"/>
    <n v="971"/>
    <n v="971"/>
    <n v="1494"/>
    <n v="523"/>
    <s v="Product 60"/>
    <x v="9"/>
    <s v="Joshua Cook"/>
    <x v="231"/>
    <n v="5"/>
    <x v="4"/>
    <x v="11"/>
    <x v="11"/>
    <x v="3"/>
    <x v="2"/>
  </r>
  <r>
    <s v="AX19924"/>
    <s v="ENX2005"/>
    <s v="A116"/>
    <s v="EMP1016"/>
    <s v="C1256"/>
    <x v="574"/>
    <n v="4"/>
    <n v="684"/>
    <n v="561"/>
    <n v="2244"/>
    <n v="2736"/>
    <n v="492"/>
    <s v="Product 6"/>
    <x v="15"/>
    <s v="Henry Nelson"/>
    <x v="524"/>
    <n v="5"/>
    <x v="4"/>
    <x v="11"/>
    <x v="11"/>
    <x v="3"/>
    <x v="2"/>
  </r>
  <r>
    <s v="AX20003"/>
    <s v="ENX2040"/>
    <s v="A171"/>
    <s v="EMP1017"/>
    <s v="C1227"/>
    <x v="572"/>
    <n v="2"/>
    <n v="1889"/>
    <n v="945"/>
    <n v="1890"/>
    <n v="3778"/>
    <n v="1888"/>
    <s v="Product 41"/>
    <x v="0"/>
    <s v="Brian Hansen"/>
    <x v="765"/>
    <n v="5"/>
    <x v="4"/>
    <x v="11"/>
    <x v="11"/>
    <x v="3"/>
    <x v="2"/>
  </r>
  <r>
    <s v="AX20124"/>
    <s v="ENX2055"/>
    <s v="A140"/>
    <s v="EMP1022"/>
    <s v="C1313"/>
    <x v="574"/>
    <n v="2"/>
    <n v="2495"/>
    <n v="1896"/>
    <n v="3792"/>
    <n v="4990"/>
    <n v="1198"/>
    <s v="Product 56"/>
    <x v="18"/>
    <s v="Walter Cook"/>
    <x v="728"/>
    <n v="5"/>
    <x v="4"/>
    <x v="11"/>
    <x v="11"/>
    <x v="3"/>
    <x v="2"/>
  </r>
  <r>
    <s v="AX20846"/>
    <s v="ENX2014"/>
    <s v="A136"/>
    <s v="EMP1026"/>
    <s v="C1131"/>
    <x v="574"/>
    <n v="2"/>
    <n v="1809"/>
    <n v="1067"/>
    <n v="2134"/>
    <n v="3618"/>
    <n v="1484"/>
    <s v="Product 15"/>
    <x v="43"/>
    <s v="Martin Perry"/>
    <x v="76"/>
    <n v="5"/>
    <x v="4"/>
    <x v="11"/>
    <x v="11"/>
    <x v="3"/>
    <x v="2"/>
  </r>
  <r>
    <s v="AX20891"/>
    <s v="ENX2069"/>
    <s v="A163"/>
    <s v="EMP1014"/>
    <s v="C1070"/>
    <x v="572"/>
    <n v="1"/>
    <n v="378"/>
    <n v="291"/>
    <n v="291"/>
    <n v="378"/>
    <n v="87"/>
    <s v="Product 70"/>
    <x v="51"/>
    <s v="Ronald Reed"/>
    <x v="48"/>
    <n v="5"/>
    <x v="4"/>
    <x v="11"/>
    <x v="11"/>
    <x v="3"/>
    <x v="2"/>
  </r>
  <r>
    <s v="AX20941"/>
    <s v="ENX2045"/>
    <s v="A137"/>
    <s v="EMP1009"/>
    <s v="C1578"/>
    <x v="572"/>
    <n v="1"/>
    <n v="556"/>
    <n v="395"/>
    <n v="395"/>
    <n v="556"/>
    <n v="161"/>
    <s v="Product 46"/>
    <x v="68"/>
    <s v="Kenneth Fields"/>
    <x v="17"/>
    <n v="5"/>
    <x v="4"/>
    <x v="11"/>
    <x v="11"/>
    <x v="3"/>
    <x v="2"/>
  </r>
  <r>
    <s v="AX21354"/>
    <s v="ENX2095"/>
    <s v="A132"/>
    <s v="EMP1015"/>
    <s v="C1281"/>
    <x v="574"/>
    <n v="1"/>
    <n v="1743"/>
    <n v="872"/>
    <n v="872"/>
    <n v="1743"/>
    <n v="871"/>
    <s v="Product 96"/>
    <x v="48"/>
    <s v="Justin Lynch"/>
    <x v="216"/>
    <n v="5"/>
    <x v="4"/>
    <x v="11"/>
    <x v="11"/>
    <x v="3"/>
    <x v="2"/>
  </r>
  <r>
    <s v="AX21548"/>
    <s v="ENX2000"/>
    <s v="A151"/>
    <s v="EMP1041"/>
    <s v="C1043"/>
    <x v="573"/>
    <n v="2"/>
    <n v="2241"/>
    <n v="1367"/>
    <n v="2734"/>
    <n v="4482"/>
    <n v="1748"/>
    <s v="Product 1"/>
    <x v="1"/>
    <s v="Joe Sims"/>
    <x v="546"/>
    <n v="5"/>
    <x v="4"/>
    <x v="11"/>
    <x v="11"/>
    <x v="3"/>
    <x v="2"/>
  </r>
  <r>
    <s v="AX21844"/>
    <s v="ENX2056"/>
    <s v="A134"/>
    <s v="EMP1036"/>
    <s v="C1769"/>
    <x v="571"/>
    <n v="3"/>
    <n v="1635"/>
    <n v="1046"/>
    <n v="3138"/>
    <n v="4905"/>
    <n v="1767"/>
    <s v="Product 57"/>
    <x v="41"/>
    <s v="Robert Reed"/>
    <x v="269"/>
    <n v="5"/>
    <x v="4"/>
    <x v="11"/>
    <x v="11"/>
    <x v="3"/>
    <x v="2"/>
  </r>
  <r>
    <s v="AX22219"/>
    <s v="ENX2000"/>
    <s v="A103"/>
    <s v="EMP1022"/>
    <s v="C1237"/>
    <x v="571"/>
    <n v="3"/>
    <n v="2241"/>
    <n v="1367"/>
    <n v="4101"/>
    <n v="6723"/>
    <n v="2622"/>
    <s v="Product 1"/>
    <x v="61"/>
    <s v="Walter Cook"/>
    <x v="484"/>
    <n v="5"/>
    <x v="4"/>
    <x v="11"/>
    <x v="11"/>
    <x v="3"/>
    <x v="2"/>
  </r>
  <r>
    <s v="AX23121"/>
    <s v="ENX2000"/>
    <s v="A160"/>
    <s v="EMP1007"/>
    <s v="C1561"/>
    <x v="573"/>
    <n v="1"/>
    <n v="2241"/>
    <n v="1367"/>
    <n v="1367"/>
    <n v="2241"/>
    <n v="874"/>
    <s v="Product 1"/>
    <x v="9"/>
    <s v="Jeremy Mendoza"/>
    <x v="114"/>
    <n v="5"/>
    <x v="4"/>
    <x v="11"/>
    <x v="11"/>
    <x v="3"/>
    <x v="2"/>
  </r>
  <r>
    <s v="AX24442"/>
    <s v="ENX2002"/>
    <s v="A135"/>
    <s v="EMP1029"/>
    <s v="C1673"/>
    <x v="573"/>
    <n v="1"/>
    <n v="847"/>
    <n v="534"/>
    <n v="534"/>
    <n v="847"/>
    <n v="313"/>
    <s v="Product 3"/>
    <x v="10"/>
    <s v="Howard Gardner"/>
    <x v="87"/>
    <n v="5"/>
    <x v="4"/>
    <x v="11"/>
    <x v="11"/>
    <x v="3"/>
    <x v="2"/>
  </r>
  <r>
    <s v="AX24563"/>
    <s v="ENX2044"/>
    <s v="A101"/>
    <s v="EMP1024"/>
    <s v="C1098"/>
    <x v="573"/>
    <n v="1"/>
    <n v="886"/>
    <n v="478"/>
    <n v="478"/>
    <n v="886"/>
    <n v="408"/>
    <s v="Product 45"/>
    <x v="60"/>
    <s v="Ernest Wheeler"/>
    <x v="622"/>
    <n v="5"/>
    <x v="4"/>
    <x v="11"/>
    <x v="11"/>
    <x v="3"/>
    <x v="2"/>
  </r>
  <r>
    <s v="AX24689"/>
    <s v="ENX2016"/>
    <s v="A147"/>
    <s v="EMP1040"/>
    <s v="C1362"/>
    <x v="573"/>
    <n v="3"/>
    <n v="1351"/>
    <n v="1108"/>
    <n v="3324"/>
    <n v="4053"/>
    <n v="729"/>
    <s v="Product 17"/>
    <x v="42"/>
    <s v="Patrick Ruiz"/>
    <x v="41"/>
    <n v="5"/>
    <x v="4"/>
    <x v="11"/>
    <x v="11"/>
    <x v="3"/>
    <x v="2"/>
  </r>
  <r>
    <s v="AX24737"/>
    <s v="ENX2062"/>
    <s v="A170"/>
    <s v="EMP1003"/>
    <s v="C1303"/>
    <x v="571"/>
    <n v="3"/>
    <n v="2464"/>
    <n v="1774"/>
    <n v="5322"/>
    <n v="7392"/>
    <n v="2070"/>
    <s v="Product 63"/>
    <x v="47"/>
    <s v="Christopher Tucker"/>
    <x v="531"/>
    <n v="5"/>
    <x v="4"/>
    <x v="11"/>
    <x v="11"/>
    <x v="3"/>
    <x v="2"/>
  </r>
  <r>
    <s v="AX24825"/>
    <s v="ENX2064"/>
    <s v="A124"/>
    <s v="EMP1009"/>
    <s v="C1532"/>
    <x v="572"/>
    <n v="4"/>
    <n v="1414"/>
    <n v="962"/>
    <n v="3848"/>
    <n v="5656"/>
    <n v="1808"/>
    <s v="Product 65"/>
    <x v="67"/>
    <s v="Kenneth Fields"/>
    <x v="103"/>
    <n v="5"/>
    <x v="4"/>
    <x v="11"/>
    <x v="11"/>
    <x v="3"/>
    <x v="2"/>
  </r>
  <r>
    <s v="AX24891"/>
    <s v="ENX2064"/>
    <s v="A147"/>
    <s v="EMP1035"/>
    <s v="C1082"/>
    <x v="573"/>
    <n v="1"/>
    <n v="1414"/>
    <n v="962"/>
    <n v="962"/>
    <n v="1414"/>
    <n v="452"/>
    <s v="Product 65"/>
    <x v="42"/>
    <s v="Roger Ramos"/>
    <x v="145"/>
    <n v="5"/>
    <x v="4"/>
    <x v="11"/>
    <x v="11"/>
    <x v="3"/>
    <x v="2"/>
  </r>
  <r>
    <s v="AX10047"/>
    <s v="ENX2010"/>
    <s v="A143"/>
    <s v="EMP1038"/>
    <s v="C1084"/>
    <x v="575"/>
    <n v="2"/>
    <n v="1812"/>
    <n v="1305"/>
    <n v="2610"/>
    <n v="3624"/>
    <n v="1014"/>
    <s v="Product 11"/>
    <x v="39"/>
    <s v="Scott Mason"/>
    <x v="631"/>
    <n v="6"/>
    <x v="5"/>
    <x v="0"/>
    <x v="0"/>
    <x v="0"/>
    <x v="0"/>
  </r>
  <r>
    <s v="AX10257"/>
    <s v="ENX2001"/>
    <s v="A140"/>
    <s v="EMP1036"/>
    <s v="C1082"/>
    <x v="576"/>
    <n v="1"/>
    <n v="951"/>
    <n v="504"/>
    <n v="504"/>
    <n v="951"/>
    <n v="447"/>
    <s v="Product 2"/>
    <x v="18"/>
    <s v="Robert Reed"/>
    <x v="145"/>
    <n v="6"/>
    <x v="5"/>
    <x v="0"/>
    <x v="0"/>
    <x v="0"/>
    <x v="0"/>
  </r>
  <r>
    <s v="AX10344"/>
    <s v="ENX2033"/>
    <s v="A146"/>
    <s v="EMP1005"/>
    <s v="C1492"/>
    <x v="576"/>
    <n v="1"/>
    <n v="2182"/>
    <n v="1200"/>
    <n v="1200"/>
    <n v="2182"/>
    <n v="982"/>
    <s v="Product 34"/>
    <x v="27"/>
    <s v="Ryan Welch"/>
    <x v="533"/>
    <n v="6"/>
    <x v="5"/>
    <x v="0"/>
    <x v="0"/>
    <x v="0"/>
    <x v="0"/>
  </r>
  <r>
    <s v="AX10437"/>
    <s v="ENX2056"/>
    <s v="A127"/>
    <s v="EMP1038"/>
    <s v="C1654"/>
    <x v="575"/>
    <n v="3"/>
    <n v="1635"/>
    <n v="1046"/>
    <n v="3138"/>
    <n v="4905"/>
    <n v="1767"/>
    <s v="Product 57"/>
    <x v="69"/>
    <s v="Scott Mason"/>
    <x v="351"/>
    <n v="6"/>
    <x v="5"/>
    <x v="0"/>
    <x v="0"/>
    <x v="0"/>
    <x v="0"/>
  </r>
  <r>
    <s v="AX10458"/>
    <s v="ENX2026"/>
    <s v="A119"/>
    <s v="EMP1013"/>
    <s v="C1648"/>
    <x v="575"/>
    <n v="4"/>
    <n v="947"/>
    <n v="786"/>
    <n v="3144"/>
    <n v="3788"/>
    <n v="644"/>
    <s v="Product 27"/>
    <x v="16"/>
    <s v="Charles Harper"/>
    <x v="430"/>
    <n v="6"/>
    <x v="5"/>
    <x v="0"/>
    <x v="0"/>
    <x v="0"/>
    <x v="0"/>
  </r>
  <r>
    <s v="AX11411"/>
    <s v="ENX2018"/>
    <s v="A111"/>
    <s v="EMP1026"/>
    <s v="C1564"/>
    <x v="577"/>
    <n v="3"/>
    <n v="1972"/>
    <n v="1321"/>
    <n v="3963"/>
    <n v="5916"/>
    <n v="1953"/>
    <s v="Product 19"/>
    <x v="54"/>
    <s v="Martin Perry"/>
    <x v="302"/>
    <n v="6"/>
    <x v="5"/>
    <x v="0"/>
    <x v="0"/>
    <x v="0"/>
    <x v="0"/>
  </r>
  <r>
    <s v="AX11562"/>
    <s v="ENX2033"/>
    <s v="A123"/>
    <s v="EMP1007"/>
    <s v="C1003"/>
    <x v="578"/>
    <n v="2"/>
    <n v="2182"/>
    <n v="1200"/>
    <n v="2400"/>
    <n v="4364"/>
    <n v="1964"/>
    <s v="Product 34"/>
    <x v="34"/>
    <s v="Jeremy Mendoza"/>
    <x v="494"/>
    <n v="6"/>
    <x v="5"/>
    <x v="0"/>
    <x v="0"/>
    <x v="0"/>
    <x v="0"/>
  </r>
  <r>
    <s v="AX11731"/>
    <s v="ENX2040"/>
    <s v="A119"/>
    <s v="EMP1043"/>
    <s v="C1212"/>
    <x v="578"/>
    <n v="1"/>
    <n v="1889"/>
    <n v="945"/>
    <n v="945"/>
    <n v="1889"/>
    <n v="944"/>
    <s v="Product 41"/>
    <x v="16"/>
    <s v="Joshua Taylor"/>
    <x v="220"/>
    <n v="6"/>
    <x v="5"/>
    <x v="0"/>
    <x v="0"/>
    <x v="0"/>
    <x v="0"/>
  </r>
  <r>
    <s v="AX11856"/>
    <s v="ENX2033"/>
    <s v="A135"/>
    <s v="EMP1040"/>
    <s v="C1788"/>
    <x v="575"/>
    <n v="1"/>
    <n v="2182"/>
    <n v="1200"/>
    <n v="1200"/>
    <n v="2182"/>
    <n v="982"/>
    <s v="Product 34"/>
    <x v="10"/>
    <s v="Patrick Ruiz"/>
    <x v="218"/>
    <n v="6"/>
    <x v="5"/>
    <x v="0"/>
    <x v="0"/>
    <x v="0"/>
    <x v="0"/>
  </r>
  <r>
    <s v="AX11896"/>
    <s v="ENX2067"/>
    <s v="A156"/>
    <s v="EMP1003"/>
    <s v="C1524"/>
    <x v="575"/>
    <n v="1"/>
    <n v="1119"/>
    <n v="683"/>
    <n v="683"/>
    <n v="1119"/>
    <n v="436"/>
    <s v="Product 68"/>
    <x v="14"/>
    <s v="Christopher Tucker"/>
    <x v="263"/>
    <n v="6"/>
    <x v="5"/>
    <x v="0"/>
    <x v="0"/>
    <x v="0"/>
    <x v="0"/>
  </r>
  <r>
    <s v="AX12751"/>
    <s v="ENX2013"/>
    <s v="A159"/>
    <s v="EMP1031"/>
    <s v="C1439"/>
    <x v="577"/>
    <n v="2"/>
    <n v="368"/>
    <n v="269"/>
    <n v="538"/>
    <n v="736"/>
    <n v="198"/>
    <s v="Product 14"/>
    <x v="13"/>
    <s v="Brian Thomas"/>
    <x v="172"/>
    <n v="6"/>
    <x v="5"/>
    <x v="0"/>
    <x v="0"/>
    <x v="0"/>
    <x v="0"/>
  </r>
  <r>
    <s v="AX12890"/>
    <s v="ENX2099"/>
    <s v="A154"/>
    <s v="EMP1009"/>
    <s v="C1606"/>
    <x v="576"/>
    <n v="1"/>
    <n v="1367"/>
    <n v="984"/>
    <n v="984"/>
    <n v="1367"/>
    <n v="383"/>
    <s v="Product 100"/>
    <x v="24"/>
    <s v="Kenneth Fields"/>
    <x v="250"/>
    <n v="6"/>
    <x v="5"/>
    <x v="0"/>
    <x v="0"/>
    <x v="0"/>
    <x v="0"/>
  </r>
  <r>
    <s v="AX12996"/>
    <s v="ENX2036"/>
    <s v="A118"/>
    <s v="EMP1030"/>
    <s v="C1547"/>
    <x v="578"/>
    <n v="1"/>
    <n v="1582"/>
    <n v="1234"/>
    <n v="1234"/>
    <n v="1582"/>
    <n v="348"/>
    <s v="Product 37"/>
    <x v="19"/>
    <s v="Bobby Russell"/>
    <x v="800"/>
    <n v="6"/>
    <x v="5"/>
    <x v="0"/>
    <x v="0"/>
    <x v="0"/>
    <x v="0"/>
  </r>
  <r>
    <s v="AX13331"/>
    <s v="ENX2074"/>
    <s v="A109"/>
    <s v="EMP1031"/>
    <s v="C1153"/>
    <x v="578"/>
    <n v="1"/>
    <n v="504"/>
    <n v="408"/>
    <n v="408"/>
    <n v="504"/>
    <n v="96"/>
    <s v="Product 75"/>
    <x v="57"/>
    <s v="Brian Thomas"/>
    <x v="382"/>
    <n v="6"/>
    <x v="5"/>
    <x v="0"/>
    <x v="0"/>
    <x v="0"/>
    <x v="0"/>
  </r>
  <r>
    <s v="AX13368"/>
    <s v="ENX2080"/>
    <s v="A112"/>
    <s v="EMP1023"/>
    <s v="C1038"/>
    <x v="575"/>
    <n v="2"/>
    <n v="2353"/>
    <n v="1788"/>
    <n v="3576"/>
    <n v="4706"/>
    <n v="1130"/>
    <s v="Product 81"/>
    <x v="66"/>
    <s v="Brian Davis"/>
    <x v="545"/>
    <n v="6"/>
    <x v="5"/>
    <x v="0"/>
    <x v="0"/>
    <x v="0"/>
    <x v="0"/>
  </r>
  <r>
    <s v="AX13641"/>
    <s v="ENX2078"/>
    <s v="A115"/>
    <s v="EMP1013"/>
    <s v="C1743"/>
    <x v="578"/>
    <n v="1"/>
    <n v="1798"/>
    <n v="971"/>
    <n v="971"/>
    <n v="1798"/>
    <n v="827"/>
    <s v="Product 79"/>
    <x v="33"/>
    <s v="Charles Harper"/>
    <x v="276"/>
    <n v="6"/>
    <x v="5"/>
    <x v="0"/>
    <x v="0"/>
    <x v="0"/>
    <x v="0"/>
  </r>
  <r>
    <s v="AX13650"/>
    <s v="ENX2047"/>
    <s v="A115"/>
    <s v="EMP1030"/>
    <s v="C1210"/>
    <x v="578"/>
    <n v="3"/>
    <n v="290"/>
    <n v="200"/>
    <n v="600"/>
    <n v="870"/>
    <n v="270"/>
    <s v="Product 48"/>
    <x v="33"/>
    <s v="Bobby Russell"/>
    <x v="629"/>
    <n v="6"/>
    <x v="5"/>
    <x v="0"/>
    <x v="0"/>
    <x v="0"/>
    <x v="0"/>
  </r>
  <r>
    <s v="AX14021"/>
    <s v="ENX2054"/>
    <s v="A113"/>
    <s v="EMP1021"/>
    <s v="C1315"/>
    <x v="577"/>
    <n v="1"/>
    <n v="127"/>
    <n v="79"/>
    <n v="79"/>
    <n v="127"/>
    <n v="48"/>
    <s v="Product 55"/>
    <x v="73"/>
    <s v="Clarence Fox"/>
    <x v="388"/>
    <n v="6"/>
    <x v="5"/>
    <x v="0"/>
    <x v="0"/>
    <x v="0"/>
    <x v="0"/>
  </r>
  <r>
    <s v="AX14038"/>
    <s v="ENX2006"/>
    <s v="A169"/>
    <s v="EMP1018"/>
    <s v="C1538"/>
    <x v="576"/>
    <n v="3"/>
    <n v="1826"/>
    <n v="1443"/>
    <n v="4329"/>
    <n v="5478"/>
    <n v="1149"/>
    <s v="Product 7"/>
    <x v="17"/>
    <s v="Jimmy Young"/>
    <x v="384"/>
    <n v="6"/>
    <x v="5"/>
    <x v="0"/>
    <x v="0"/>
    <x v="0"/>
    <x v="0"/>
  </r>
  <r>
    <s v="AX14547"/>
    <s v="ENX2094"/>
    <s v="A155"/>
    <s v="EMP1016"/>
    <s v="C1483"/>
    <x v="578"/>
    <n v="1"/>
    <n v="771"/>
    <n v="648"/>
    <n v="648"/>
    <n v="771"/>
    <n v="123"/>
    <s v="Product 95"/>
    <x v="53"/>
    <s v="Henry Nelson"/>
    <x v="255"/>
    <n v="6"/>
    <x v="5"/>
    <x v="0"/>
    <x v="0"/>
    <x v="0"/>
    <x v="0"/>
  </r>
  <r>
    <s v="AX14606"/>
    <s v="ENX2012"/>
    <s v="A124"/>
    <s v="EMP1017"/>
    <s v="C1749"/>
    <x v="578"/>
    <n v="3"/>
    <n v="1353"/>
    <n v="947"/>
    <n v="2841"/>
    <n v="4059"/>
    <n v="1218"/>
    <s v="Product 13"/>
    <x v="67"/>
    <s v="Brian Hansen"/>
    <x v="393"/>
    <n v="6"/>
    <x v="5"/>
    <x v="0"/>
    <x v="0"/>
    <x v="0"/>
    <x v="0"/>
  </r>
  <r>
    <s v="AX14982"/>
    <s v="ENX2065"/>
    <s v="A144"/>
    <s v="EMP1014"/>
    <s v="C1368"/>
    <x v="576"/>
    <n v="3"/>
    <n v="2396"/>
    <n v="1965"/>
    <n v="5895"/>
    <n v="7188"/>
    <n v="1293"/>
    <s v="Product 66"/>
    <x v="65"/>
    <s v="Ronald Reed"/>
    <x v="200"/>
    <n v="6"/>
    <x v="5"/>
    <x v="0"/>
    <x v="0"/>
    <x v="0"/>
    <x v="0"/>
  </r>
  <r>
    <s v="AX15481"/>
    <s v="ENX2077"/>
    <s v="A141"/>
    <s v="EMP1023"/>
    <s v="C1104"/>
    <x v="576"/>
    <n v="2"/>
    <n v="530"/>
    <n v="424"/>
    <n v="848"/>
    <n v="1060"/>
    <n v="212"/>
    <s v="Product 78"/>
    <x v="23"/>
    <s v="Brian Davis"/>
    <x v="367"/>
    <n v="6"/>
    <x v="5"/>
    <x v="0"/>
    <x v="0"/>
    <x v="0"/>
    <x v="0"/>
  </r>
  <r>
    <s v="AX15568"/>
    <s v="ENX2100"/>
    <s v="A135"/>
    <s v="EMP1031"/>
    <s v="C1468"/>
    <x v="577"/>
    <n v="1"/>
    <n v="799"/>
    <n v="455"/>
    <n v="455"/>
    <n v="799"/>
    <n v="344"/>
    <s v="Product 101"/>
    <x v="10"/>
    <s v="Brian Thomas"/>
    <x v="688"/>
    <n v="6"/>
    <x v="5"/>
    <x v="0"/>
    <x v="0"/>
    <x v="0"/>
    <x v="0"/>
  </r>
  <r>
    <s v="AX15751"/>
    <s v="ENX2023"/>
    <s v="A147"/>
    <s v="EMP1022"/>
    <s v="C1335"/>
    <x v="577"/>
    <n v="1"/>
    <n v="818"/>
    <n v="450"/>
    <n v="450"/>
    <n v="818"/>
    <n v="368"/>
    <s v="Product 24"/>
    <x v="42"/>
    <s v="Walter Cook"/>
    <x v="2"/>
    <n v="6"/>
    <x v="5"/>
    <x v="0"/>
    <x v="0"/>
    <x v="0"/>
    <x v="0"/>
  </r>
  <r>
    <s v="AX15763"/>
    <s v="ENX2082"/>
    <s v="A116"/>
    <s v="EMP1008"/>
    <s v="C1688"/>
    <x v="578"/>
    <n v="1"/>
    <n v="1103"/>
    <n v="838"/>
    <n v="838"/>
    <n v="1103"/>
    <n v="265"/>
    <s v="Product 83"/>
    <x v="15"/>
    <s v="Carl Elliott"/>
    <x v="213"/>
    <n v="6"/>
    <x v="5"/>
    <x v="0"/>
    <x v="0"/>
    <x v="0"/>
    <x v="0"/>
  </r>
  <r>
    <s v="AX15989"/>
    <s v="ENX2048"/>
    <s v="A147"/>
    <s v="EMP1039"/>
    <s v="C1044"/>
    <x v="577"/>
    <n v="3"/>
    <n v="502"/>
    <n v="296"/>
    <n v="888"/>
    <n v="1506"/>
    <n v="618"/>
    <s v="Product 49"/>
    <x v="42"/>
    <s v="Eugene Holmes"/>
    <x v="331"/>
    <n v="6"/>
    <x v="5"/>
    <x v="0"/>
    <x v="0"/>
    <x v="0"/>
    <x v="0"/>
  </r>
  <r>
    <s v="AX16419"/>
    <s v="ENX2034"/>
    <s v="A139"/>
    <s v="EMP1017"/>
    <s v="C1649"/>
    <x v="576"/>
    <n v="3"/>
    <n v="871"/>
    <n v="540"/>
    <n v="1620"/>
    <n v="2613"/>
    <n v="993"/>
    <s v="Product 35"/>
    <x v="38"/>
    <s v="Brian Hansen"/>
    <x v="790"/>
    <n v="6"/>
    <x v="5"/>
    <x v="0"/>
    <x v="0"/>
    <x v="0"/>
    <x v="0"/>
  </r>
  <r>
    <s v="AX16525"/>
    <s v="ENX2083"/>
    <s v="A151"/>
    <s v="EMP1008"/>
    <s v="C1137"/>
    <x v="577"/>
    <n v="1"/>
    <n v="2141"/>
    <n v="1777"/>
    <n v="1777"/>
    <n v="2141"/>
    <n v="364"/>
    <s v="Product 84"/>
    <x v="1"/>
    <s v="Carl Elliott"/>
    <x v="131"/>
    <n v="6"/>
    <x v="5"/>
    <x v="0"/>
    <x v="0"/>
    <x v="0"/>
    <x v="0"/>
  </r>
  <r>
    <s v="AX16568"/>
    <s v="ENX2056"/>
    <s v="A140"/>
    <s v="EMP1037"/>
    <s v="C1072"/>
    <x v="577"/>
    <n v="1"/>
    <n v="1635"/>
    <n v="1046"/>
    <n v="1046"/>
    <n v="1635"/>
    <n v="589"/>
    <s v="Product 57"/>
    <x v="18"/>
    <s v="Carl Hall"/>
    <x v="529"/>
    <n v="6"/>
    <x v="5"/>
    <x v="0"/>
    <x v="0"/>
    <x v="0"/>
    <x v="0"/>
  </r>
  <r>
    <s v="AX16605"/>
    <s v="ENX2097"/>
    <s v="A133"/>
    <s v="EMP1005"/>
    <s v="C1100"/>
    <x v="575"/>
    <n v="1"/>
    <n v="1052"/>
    <n v="589"/>
    <n v="589"/>
    <n v="1052"/>
    <n v="463"/>
    <s v="Product 98"/>
    <x v="46"/>
    <s v="Ryan Welch"/>
    <x v="110"/>
    <n v="6"/>
    <x v="5"/>
    <x v="0"/>
    <x v="0"/>
    <x v="0"/>
    <x v="0"/>
  </r>
  <r>
    <s v="AX17120"/>
    <s v="ENX2084"/>
    <s v="A111"/>
    <s v="EMP1009"/>
    <s v="C1194"/>
    <x v="578"/>
    <n v="1"/>
    <n v="1783"/>
    <n v="1230"/>
    <n v="1230"/>
    <n v="1783"/>
    <n v="553"/>
    <s v="Product 85"/>
    <x v="54"/>
    <s v="Kenneth Fields"/>
    <x v="323"/>
    <n v="6"/>
    <x v="5"/>
    <x v="0"/>
    <x v="0"/>
    <x v="0"/>
    <x v="0"/>
  </r>
  <r>
    <s v="AX17452"/>
    <s v="ENX2024"/>
    <s v="A151"/>
    <s v="EMP1019"/>
    <s v="C1251"/>
    <x v="577"/>
    <n v="1"/>
    <n v="356"/>
    <n v="292"/>
    <n v="292"/>
    <n v="356"/>
    <n v="64"/>
    <s v="Product 25"/>
    <x v="1"/>
    <s v="Roger Robertson"/>
    <x v="199"/>
    <n v="6"/>
    <x v="5"/>
    <x v="0"/>
    <x v="0"/>
    <x v="0"/>
    <x v="0"/>
  </r>
  <r>
    <s v="AX17768"/>
    <s v="ENX2041"/>
    <s v="A151"/>
    <s v="EMP1039"/>
    <s v="C1745"/>
    <x v="576"/>
    <n v="1"/>
    <n v="1380"/>
    <n v="1090"/>
    <n v="1090"/>
    <n v="1380"/>
    <n v="290"/>
    <s v="Product 42"/>
    <x v="1"/>
    <s v="Eugene Holmes"/>
    <x v="784"/>
    <n v="6"/>
    <x v="5"/>
    <x v="0"/>
    <x v="0"/>
    <x v="0"/>
    <x v="0"/>
  </r>
  <r>
    <s v="AX18637"/>
    <s v="ENX2076"/>
    <s v="A123"/>
    <s v="EMP1025"/>
    <s v="C1238"/>
    <x v="576"/>
    <n v="1"/>
    <n v="1522"/>
    <n v="791"/>
    <n v="791"/>
    <n v="1522"/>
    <n v="731"/>
    <s v="Product 77"/>
    <x v="34"/>
    <s v="Ernest Wagner"/>
    <x v="627"/>
    <n v="6"/>
    <x v="5"/>
    <x v="0"/>
    <x v="0"/>
    <x v="0"/>
    <x v="0"/>
  </r>
  <r>
    <s v="AX19077"/>
    <s v="ENX2049"/>
    <s v="A115"/>
    <s v="EMP1019"/>
    <s v="C1636"/>
    <x v="575"/>
    <n v="1"/>
    <n v="826"/>
    <n v="562"/>
    <n v="562"/>
    <n v="826"/>
    <n v="264"/>
    <s v="Product 50"/>
    <x v="33"/>
    <s v="Roger Robertson"/>
    <x v="668"/>
    <n v="6"/>
    <x v="5"/>
    <x v="0"/>
    <x v="0"/>
    <x v="0"/>
    <x v="0"/>
  </r>
  <r>
    <s v="AX19171"/>
    <s v="ENX2064"/>
    <s v="A156"/>
    <s v="EMP1027"/>
    <s v="C1532"/>
    <x v="576"/>
    <n v="2"/>
    <n v="1414"/>
    <n v="962"/>
    <n v="1924"/>
    <n v="2828"/>
    <n v="904"/>
    <s v="Product 65"/>
    <x v="14"/>
    <s v="Gary Rodriguez"/>
    <x v="103"/>
    <n v="6"/>
    <x v="5"/>
    <x v="0"/>
    <x v="0"/>
    <x v="0"/>
    <x v="0"/>
  </r>
  <r>
    <s v="AX19386"/>
    <s v="ENX2010"/>
    <s v="A143"/>
    <s v="EMP1035"/>
    <s v="C1728"/>
    <x v="576"/>
    <n v="1"/>
    <n v="1812"/>
    <n v="1305"/>
    <n v="1305"/>
    <n v="1812"/>
    <n v="507"/>
    <s v="Product 11"/>
    <x v="39"/>
    <s v="Roger Ramos"/>
    <x v="446"/>
    <n v="6"/>
    <x v="5"/>
    <x v="0"/>
    <x v="0"/>
    <x v="0"/>
    <x v="0"/>
  </r>
  <r>
    <s v="AX19443"/>
    <s v="ENX2019"/>
    <s v="A103"/>
    <s v="EMP1028"/>
    <s v="C1638"/>
    <x v="578"/>
    <n v="2"/>
    <n v="800"/>
    <n v="536"/>
    <n v="1072"/>
    <n v="1600"/>
    <n v="528"/>
    <s v="Product 20"/>
    <x v="61"/>
    <s v="Howard Sims"/>
    <x v="395"/>
    <n v="6"/>
    <x v="5"/>
    <x v="0"/>
    <x v="0"/>
    <x v="0"/>
    <x v="0"/>
  </r>
  <r>
    <s v="AX19714"/>
    <s v="ENX2043"/>
    <s v="A152"/>
    <s v="EMP1016"/>
    <s v="C1256"/>
    <x v="575"/>
    <n v="1"/>
    <n v="545"/>
    <n v="425"/>
    <n v="425"/>
    <n v="545"/>
    <n v="120"/>
    <s v="Product 44"/>
    <x v="26"/>
    <s v="Henry Nelson"/>
    <x v="524"/>
    <n v="6"/>
    <x v="5"/>
    <x v="0"/>
    <x v="0"/>
    <x v="0"/>
    <x v="0"/>
  </r>
  <r>
    <s v="AX19718"/>
    <s v="ENX2031"/>
    <s v="A156"/>
    <s v="EMP1005"/>
    <s v="C1049"/>
    <x v="578"/>
    <n v="3"/>
    <n v="1638"/>
    <n v="1261"/>
    <n v="3783"/>
    <n v="4914"/>
    <n v="1131"/>
    <s v="Product 32"/>
    <x v="14"/>
    <s v="Ryan Welch"/>
    <x v="305"/>
    <n v="6"/>
    <x v="5"/>
    <x v="0"/>
    <x v="0"/>
    <x v="0"/>
    <x v="0"/>
  </r>
  <r>
    <s v="AX20420"/>
    <s v="ENX2050"/>
    <s v="A101"/>
    <s v="EMP1005"/>
    <s v="C1516"/>
    <x v="575"/>
    <n v="1"/>
    <n v="2391"/>
    <n v="1291"/>
    <n v="1291"/>
    <n v="2391"/>
    <n v="1100"/>
    <s v="Product 51"/>
    <x v="60"/>
    <s v="Ryan Welch"/>
    <x v="568"/>
    <n v="6"/>
    <x v="5"/>
    <x v="0"/>
    <x v="0"/>
    <x v="0"/>
    <x v="0"/>
  </r>
  <r>
    <s v="AX21415"/>
    <s v="ENX2097"/>
    <s v="A137"/>
    <s v="EMP1030"/>
    <s v="C1721"/>
    <x v="576"/>
    <n v="2"/>
    <n v="1052"/>
    <n v="589"/>
    <n v="1178"/>
    <n v="2104"/>
    <n v="926"/>
    <s v="Product 98"/>
    <x v="68"/>
    <s v="Bobby Russell"/>
    <x v="678"/>
    <n v="6"/>
    <x v="5"/>
    <x v="0"/>
    <x v="0"/>
    <x v="0"/>
    <x v="0"/>
  </r>
  <r>
    <s v="AX22188"/>
    <s v="ENX2087"/>
    <s v="A119"/>
    <s v="EMP1019"/>
    <s v="C1731"/>
    <x v="575"/>
    <n v="4"/>
    <n v="1022"/>
    <n v="818"/>
    <n v="3272"/>
    <n v="4088"/>
    <n v="816"/>
    <s v="Product 88"/>
    <x v="16"/>
    <s v="Roger Robertson"/>
    <x v="762"/>
    <n v="6"/>
    <x v="5"/>
    <x v="0"/>
    <x v="0"/>
    <x v="0"/>
    <x v="0"/>
  </r>
  <r>
    <s v="AX22682"/>
    <s v="ENX2097"/>
    <s v="A120"/>
    <s v="EMP1028"/>
    <s v="C1346"/>
    <x v="575"/>
    <n v="1"/>
    <n v="1052"/>
    <n v="589"/>
    <n v="589"/>
    <n v="1052"/>
    <n v="463"/>
    <s v="Product 98"/>
    <x v="20"/>
    <s v="Howard Sims"/>
    <x v="340"/>
    <n v="6"/>
    <x v="5"/>
    <x v="0"/>
    <x v="0"/>
    <x v="0"/>
    <x v="0"/>
  </r>
  <r>
    <s v="AX22837"/>
    <s v="ENX2023"/>
    <s v="A139"/>
    <s v="EMP1007"/>
    <s v="C1219"/>
    <x v="577"/>
    <n v="3"/>
    <n v="818"/>
    <n v="450"/>
    <n v="1350"/>
    <n v="2454"/>
    <n v="1104"/>
    <s v="Product 24"/>
    <x v="38"/>
    <s v="Jeremy Mendoza"/>
    <x v="301"/>
    <n v="6"/>
    <x v="5"/>
    <x v="0"/>
    <x v="0"/>
    <x v="0"/>
    <x v="0"/>
  </r>
  <r>
    <s v="AX23099"/>
    <s v="ENX2015"/>
    <s v="A158"/>
    <s v="EMP1022"/>
    <s v="C1313"/>
    <x v="575"/>
    <n v="1"/>
    <n v="637"/>
    <n v="389"/>
    <n v="389"/>
    <n v="637"/>
    <n v="248"/>
    <s v="Product 16"/>
    <x v="58"/>
    <s v="Walter Cook"/>
    <x v="728"/>
    <n v="6"/>
    <x v="5"/>
    <x v="0"/>
    <x v="0"/>
    <x v="0"/>
    <x v="0"/>
  </r>
  <r>
    <s v="AX23718"/>
    <s v="ENX2058"/>
    <s v="A102"/>
    <s v="EMP1039"/>
    <s v="C1442"/>
    <x v="578"/>
    <n v="1"/>
    <n v="2257"/>
    <n v="1535"/>
    <n v="1535"/>
    <n v="2257"/>
    <n v="722"/>
    <s v="Product 59"/>
    <x v="44"/>
    <s v="Eugene Holmes"/>
    <x v="299"/>
    <n v="6"/>
    <x v="5"/>
    <x v="0"/>
    <x v="0"/>
    <x v="0"/>
    <x v="0"/>
  </r>
  <r>
    <s v="AX23757"/>
    <s v="ENX2002"/>
    <s v="A150"/>
    <s v="EMP1036"/>
    <s v="C1323"/>
    <x v="577"/>
    <n v="2"/>
    <n v="847"/>
    <n v="534"/>
    <n v="1068"/>
    <n v="1694"/>
    <n v="626"/>
    <s v="Product 3"/>
    <x v="30"/>
    <s v="Robert Reed"/>
    <x v="83"/>
    <n v="6"/>
    <x v="5"/>
    <x v="0"/>
    <x v="0"/>
    <x v="0"/>
    <x v="0"/>
  </r>
  <r>
    <s v="AX23852"/>
    <s v="ENX2041"/>
    <s v="A138"/>
    <s v="EMP1036"/>
    <s v="C1057"/>
    <x v="575"/>
    <n v="4"/>
    <n v="1380"/>
    <n v="1090"/>
    <n v="4360"/>
    <n v="5520"/>
    <n v="1160"/>
    <s v="Product 42"/>
    <x v="37"/>
    <s v="Robert Reed"/>
    <x v="635"/>
    <n v="6"/>
    <x v="5"/>
    <x v="0"/>
    <x v="0"/>
    <x v="0"/>
    <x v="0"/>
  </r>
  <r>
    <s v="AX23925"/>
    <s v="ENX2057"/>
    <s v="A131"/>
    <s v="EMP1040"/>
    <s v="C1159"/>
    <x v="577"/>
    <n v="2"/>
    <n v="181"/>
    <n v="130"/>
    <n v="260"/>
    <n v="362"/>
    <n v="102"/>
    <s v="Product 58"/>
    <x v="32"/>
    <s v="Patrick Ruiz"/>
    <x v="793"/>
    <n v="6"/>
    <x v="5"/>
    <x v="0"/>
    <x v="0"/>
    <x v="0"/>
    <x v="0"/>
  </r>
  <r>
    <s v="AX24074"/>
    <s v="ENX2026"/>
    <s v="A112"/>
    <s v="EMP1044"/>
    <s v="C1575"/>
    <x v="577"/>
    <n v="1"/>
    <n v="947"/>
    <n v="786"/>
    <n v="786"/>
    <n v="947"/>
    <n v="161"/>
    <s v="Product 27"/>
    <x v="66"/>
    <s v="Martin Carr"/>
    <x v="99"/>
    <n v="6"/>
    <x v="5"/>
    <x v="0"/>
    <x v="0"/>
    <x v="0"/>
    <x v="0"/>
  </r>
  <r>
    <s v="AX24342"/>
    <s v="ENX2014"/>
    <s v="A145"/>
    <s v="EMP1001"/>
    <s v="C1132"/>
    <x v="576"/>
    <n v="1"/>
    <n v="1809"/>
    <n v="1067"/>
    <n v="1067"/>
    <n v="1809"/>
    <n v="742"/>
    <s v="Product 15"/>
    <x v="35"/>
    <s v="Kevin Butler"/>
    <x v="751"/>
    <n v="6"/>
    <x v="5"/>
    <x v="0"/>
    <x v="0"/>
    <x v="0"/>
    <x v="0"/>
  </r>
  <r>
    <s v="AX24822"/>
    <s v="ENX2041"/>
    <s v="A155"/>
    <s v="EMP1009"/>
    <s v="C1265"/>
    <x v="575"/>
    <n v="1"/>
    <n v="1380"/>
    <n v="1090"/>
    <n v="1090"/>
    <n v="1380"/>
    <n v="290"/>
    <s v="Product 42"/>
    <x v="53"/>
    <s v="Kenneth Fields"/>
    <x v="348"/>
    <n v="6"/>
    <x v="5"/>
    <x v="0"/>
    <x v="0"/>
    <x v="0"/>
    <x v="0"/>
  </r>
  <r>
    <s v="AX24896"/>
    <s v="ENX2001"/>
    <s v="A129"/>
    <s v="EMP1019"/>
    <s v="C1193"/>
    <x v="576"/>
    <n v="4"/>
    <n v="951"/>
    <n v="504"/>
    <n v="2016"/>
    <n v="3804"/>
    <n v="1788"/>
    <s v="Product 2"/>
    <x v="22"/>
    <s v="Roger Robertson"/>
    <x v="219"/>
    <n v="6"/>
    <x v="5"/>
    <x v="0"/>
    <x v="0"/>
    <x v="0"/>
    <x v="0"/>
  </r>
  <r>
    <s v="AX10670"/>
    <s v="ENX2072"/>
    <s v="A140"/>
    <s v="EMP1006"/>
    <s v="C1217"/>
    <x v="579"/>
    <n v="1"/>
    <n v="1887"/>
    <n v="1378"/>
    <n v="1378"/>
    <n v="1887"/>
    <n v="509"/>
    <s v="Product 73"/>
    <x v="18"/>
    <s v="Sean Miller"/>
    <x v="619"/>
    <n v="6"/>
    <x v="5"/>
    <x v="0"/>
    <x v="0"/>
    <x v="0"/>
    <x v="1"/>
  </r>
  <r>
    <s v="AX10685"/>
    <s v="ENX2038"/>
    <s v="A145"/>
    <s v="EMP1026"/>
    <s v="C1583"/>
    <x v="579"/>
    <n v="3"/>
    <n v="392"/>
    <n v="255"/>
    <n v="765"/>
    <n v="1176"/>
    <n v="411"/>
    <s v="Product 39"/>
    <x v="35"/>
    <s v="Martin Perry"/>
    <x v="798"/>
    <n v="6"/>
    <x v="5"/>
    <x v="0"/>
    <x v="0"/>
    <x v="0"/>
    <x v="1"/>
  </r>
  <r>
    <s v="AX10722"/>
    <s v="ENX2027"/>
    <s v="A170"/>
    <s v="EMP1025"/>
    <s v="C1035"/>
    <x v="580"/>
    <n v="3"/>
    <n v="2497"/>
    <n v="1473"/>
    <n v="4419"/>
    <n v="7491"/>
    <n v="3072"/>
    <s v="Product 28"/>
    <x v="47"/>
    <s v="Ernest Wagner"/>
    <x v="95"/>
    <n v="6"/>
    <x v="5"/>
    <x v="0"/>
    <x v="0"/>
    <x v="0"/>
    <x v="1"/>
  </r>
  <r>
    <s v="AX10783"/>
    <s v="ENX2061"/>
    <s v="A168"/>
    <s v="EMP1017"/>
    <s v="C1521"/>
    <x v="581"/>
    <n v="1"/>
    <n v="913"/>
    <n v="584"/>
    <n v="584"/>
    <n v="913"/>
    <n v="329"/>
    <s v="Product 62"/>
    <x v="40"/>
    <s v="Brian Hansen"/>
    <x v="697"/>
    <n v="6"/>
    <x v="5"/>
    <x v="0"/>
    <x v="0"/>
    <x v="0"/>
    <x v="1"/>
  </r>
  <r>
    <s v="AX11213"/>
    <s v="ENX2012"/>
    <s v="A102"/>
    <s v="EMP1043"/>
    <s v="C1477"/>
    <x v="582"/>
    <n v="2"/>
    <n v="1353"/>
    <n v="947"/>
    <n v="1894"/>
    <n v="2706"/>
    <n v="812"/>
    <s v="Product 13"/>
    <x v="44"/>
    <s v="Joshua Taylor"/>
    <x v="408"/>
    <n v="6"/>
    <x v="5"/>
    <x v="0"/>
    <x v="0"/>
    <x v="0"/>
    <x v="1"/>
  </r>
  <r>
    <s v="AX11254"/>
    <s v="ENX2020"/>
    <s v="A160"/>
    <s v="EMP1037"/>
    <s v="C1796"/>
    <x v="583"/>
    <n v="1"/>
    <n v="2005"/>
    <n v="1223"/>
    <n v="1223"/>
    <n v="2005"/>
    <n v="782"/>
    <s v="Product 21"/>
    <x v="9"/>
    <s v="Carl Hall"/>
    <x v="630"/>
    <n v="6"/>
    <x v="5"/>
    <x v="0"/>
    <x v="0"/>
    <x v="0"/>
    <x v="1"/>
  </r>
  <r>
    <s v="AX11289"/>
    <s v="ENX2007"/>
    <s v="A111"/>
    <s v="EMP1019"/>
    <s v="C1355"/>
    <x v="579"/>
    <n v="1"/>
    <n v="1405"/>
    <n v="1054"/>
    <n v="1054"/>
    <n v="1405"/>
    <n v="351"/>
    <s v="Product 8"/>
    <x v="54"/>
    <s v="Roger Robertson"/>
    <x v="710"/>
    <n v="6"/>
    <x v="5"/>
    <x v="0"/>
    <x v="0"/>
    <x v="0"/>
    <x v="1"/>
  </r>
  <r>
    <s v="AX11293"/>
    <s v="ENX2043"/>
    <s v="A104"/>
    <s v="EMP1031"/>
    <s v="C1008"/>
    <x v="581"/>
    <n v="1"/>
    <n v="545"/>
    <n v="425"/>
    <n v="425"/>
    <n v="545"/>
    <n v="120"/>
    <s v="Product 44"/>
    <x v="50"/>
    <s v="Brian Thomas"/>
    <x v="796"/>
    <n v="6"/>
    <x v="5"/>
    <x v="0"/>
    <x v="0"/>
    <x v="0"/>
    <x v="1"/>
  </r>
  <r>
    <s v="AX11564"/>
    <s v="ENX2037"/>
    <s v="A100"/>
    <s v="EMP1025"/>
    <s v="C1080"/>
    <x v="582"/>
    <n v="2"/>
    <n v="880"/>
    <n v="634"/>
    <n v="1268"/>
    <n v="1760"/>
    <n v="492"/>
    <s v="Product 38"/>
    <x v="52"/>
    <s v="Ernest Wagner"/>
    <x v="720"/>
    <n v="6"/>
    <x v="5"/>
    <x v="0"/>
    <x v="0"/>
    <x v="0"/>
    <x v="1"/>
  </r>
  <r>
    <s v="AX11807"/>
    <s v="ENX2023"/>
    <s v="A119"/>
    <s v="EMP1024"/>
    <s v="C1244"/>
    <x v="581"/>
    <n v="3"/>
    <n v="818"/>
    <n v="450"/>
    <n v="1350"/>
    <n v="2454"/>
    <n v="1104"/>
    <s v="Product 24"/>
    <x v="16"/>
    <s v="Ernest Wheeler"/>
    <x v="381"/>
    <n v="6"/>
    <x v="5"/>
    <x v="0"/>
    <x v="0"/>
    <x v="0"/>
    <x v="1"/>
  </r>
  <r>
    <s v="AX12026"/>
    <s v="ENX2025"/>
    <s v="A133"/>
    <s v="EMP1027"/>
    <s v="C1637"/>
    <x v="581"/>
    <n v="1"/>
    <n v="667"/>
    <n v="387"/>
    <n v="387"/>
    <n v="667"/>
    <n v="280"/>
    <s v="Product 26"/>
    <x v="46"/>
    <s v="Gary Rodriguez"/>
    <x v="326"/>
    <n v="6"/>
    <x v="5"/>
    <x v="0"/>
    <x v="0"/>
    <x v="0"/>
    <x v="1"/>
  </r>
  <r>
    <s v="AX12066"/>
    <s v="ENX2078"/>
    <s v="A171"/>
    <s v="EMP1010"/>
    <s v="C1183"/>
    <x v="581"/>
    <n v="1"/>
    <n v="1798"/>
    <n v="971"/>
    <n v="971"/>
    <n v="1798"/>
    <n v="827"/>
    <s v="Product 79"/>
    <x v="0"/>
    <s v="Joshua Cook"/>
    <x v="404"/>
    <n v="6"/>
    <x v="5"/>
    <x v="0"/>
    <x v="0"/>
    <x v="0"/>
    <x v="1"/>
  </r>
  <r>
    <s v="AX12235"/>
    <s v="ENX2057"/>
    <s v="A106"/>
    <s v="EMP1015"/>
    <s v="C1020"/>
    <x v="579"/>
    <n v="1"/>
    <n v="181"/>
    <n v="130"/>
    <n v="130"/>
    <n v="181"/>
    <n v="51"/>
    <s v="Product 58"/>
    <x v="11"/>
    <s v="Justin Lynch"/>
    <x v="423"/>
    <n v="6"/>
    <x v="5"/>
    <x v="0"/>
    <x v="0"/>
    <x v="0"/>
    <x v="1"/>
  </r>
  <r>
    <s v="AX12543"/>
    <s v="ENX2021"/>
    <s v="A106"/>
    <s v="EMP1012"/>
    <s v="C1635"/>
    <x v="579"/>
    <n v="3"/>
    <n v="217"/>
    <n v="171"/>
    <n v="513"/>
    <n v="651"/>
    <n v="138"/>
    <s v="Product 22"/>
    <x v="11"/>
    <s v="John Reyes"/>
    <x v="31"/>
    <n v="6"/>
    <x v="5"/>
    <x v="0"/>
    <x v="0"/>
    <x v="0"/>
    <x v="1"/>
  </r>
  <r>
    <s v="AX12563"/>
    <s v="ENX2038"/>
    <s v="A171"/>
    <s v="EMP1029"/>
    <s v="C1628"/>
    <x v="583"/>
    <n v="3"/>
    <n v="392"/>
    <n v="255"/>
    <n v="765"/>
    <n v="1176"/>
    <n v="411"/>
    <s v="Product 39"/>
    <x v="0"/>
    <s v="Howard Gardner"/>
    <x v="161"/>
    <n v="6"/>
    <x v="5"/>
    <x v="0"/>
    <x v="0"/>
    <x v="0"/>
    <x v="1"/>
  </r>
  <r>
    <s v="AX12586"/>
    <s v="ENX2075"/>
    <s v="A148"/>
    <s v="EMP1013"/>
    <s v="C1470"/>
    <x v="583"/>
    <n v="2"/>
    <n v="400"/>
    <n v="208"/>
    <n v="416"/>
    <n v="800"/>
    <n v="384"/>
    <s v="Product 76"/>
    <x v="62"/>
    <s v="Charles Harper"/>
    <x v="621"/>
    <n v="6"/>
    <x v="5"/>
    <x v="0"/>
    <x v="0"/>
    <x v="0"/>
    <x v="1"/>
  </r>
  <r>
    <s v="AX12639"/>
    <s v="ENX2084"/>
    <s v="A117"/>
    <s v="EMP1036"/>
    <s v="C1007"/>
    <x v="581"/>
    <n v="1"/>
    <n v="1783"/>
    <n v="1230"/>
    <n v="1230"/>
    <n v="1783"/>
    <n v="553"/>
    <s v="Product 85"/>
    <x v="29"/>
    <s v="Robert Reed"/>
    <x v="413"/>
    <n v="6"/>
    <x v="5"/>
    <x v="0"/>
    <x v="0"/>
    <x v="0"/>
    <x v="1"/>
  </r>
  <r>
    <s v="AX12777"/>
    <s v="ENX2049"/>
    <s v="A134"/>
    <s v="EMP1025"/>
    <s v="C1546"/>
    <x v="582"/>
    <n v="1"/>
    <n v="826"/>
    <n v="562"/>
    <n v="562"/>
    <n v="826"/>
    <n v="264"/>
    <s v="Product 50"/>
    <x v="41"/>
    <s v="Ernest Wagner"/>
    <x v="119"/>
    <n v="6"/>
    <x v="5"/>
    <x v="0"/>
    <x v="0"/>
    <x v="0"/>
    <x v="1"/>
  </r>
  <r>
    <s v="AX12827"/>
    <s v="ENX2045"/>
    <s v="A148"/>
    <s v="EMP1016"/>
    <s v="C1604"/>
    <x v="582"/>
    <n v="1"/>
    <n v="556"/>
    <n v="395"/>
    <n v="395"/>
    <n v="556"/>
    <n v="161"/>
    <s v="Product 46"/>
    <x v="62"/>
    <s v="Henry Nelson"/>
    <x v="700"/>
    <n v="6"/>
    <x v="5"/>
    <x v="0"/>
    <x v="0"/>
    <x v="0"/>
    <x v="1"/>
  </r>
  <r>
    <s v="AX13490"/>
    <s v="ENX2097"/>
    <s v="A111"/>
    <s v="EMP1013"/>
    <s v="C1647"/>
    <x v="579"/>
    <n v="1"/>
    <n v="1052"/>
    <n v="589"/>
    <n v="589"/>
    <n v="1052"/>
    <n v="463"/>
    <s v="Product 98"/>
    <x v="54"/>
    <s v="Charles Harper"/>
    <x v="318"/>
    <n v="6"/>
    <x v="5"/>
    <x v="0"/>
    <x v="0"/>
    <x v="0"/>
    <x v="1"/>
  </r>
  <r>
    <s v="AX13700"/>
    <s v="ENX2042"/>
    <s v="A101"/>
    <s v="EMP1012"/>
    <s v="C1459"/>
    <x v="579"/>
    <n v="3"/>
    <n v="203"/>
    <n v="154"/>
    <n v="462"/>
    <n v="609"/>
    <n v="147"/>
    <s v="Product 43"/>
    <x v="60"/>
    <s v="John Reyes"/>
    <x v="330"/>
    <n v="6"/>
    <x v="5"/>
    <x v="0"/>
    <x v="0"/>
    <x v="0"/>
    <x v="1"/>
  </r>
  <r>
    <s v="AX13755"/>
    <s v="ENX2054"/>
    <s v="A168"/>
    <s v="EMP1016"/>
    <s v="C1647"/>
    <x v="579"/>
    <n v="1"/>
    <n v="127"/>
    <n v="79"/>
    <n v="79"/>
    <n v="127"/>
    <n v="48"/>
    <s v="Product 55"/>
    <x v="40"/>
    <s v="Henry Nelson"/>
    <x v="318"/>
    <n v="6"/>
    <x v="5"/>
    <x v="0"/>
    <x v="0"/>
    <x v="0"/>
    <x v="1"/>
  </r>
  <r>
    <s v="AX13940"/>
    <s v="ENX2066"/>
    <s v="A136"/>
    <s v="EMP1039"/>
    <s v="C1110"/>
    <x v="580"/>
    <n v="1"/>
    <n v="2091"/>
    <n v="1485"/>
    <n v="1485"/>
    <n v="2091"/>
    <n v="606"/>
    <s v="Product 67"/>
    <x v="43"/>
    <s v="Eugene Holmes"/>
    <x v="620"/>
    <n v="6"/>
    <x v="5"/>
    <x v="0"/>
    <x v="0"/>
    <x v="0"/>
    <x v="1"/>
  </r>
  <r>
    <s v="AX14212"/>
    <s v="ENX2019"/>
    <s v="A124"/>
    <s v="EMP1014"/>
    <s v="C1551"/>
    <x v="583"/>
    <n v="1"/>
    <n v="800"/>
    <n v="536"/>
    <n v="536"/>
    <n v="800"/>
    <n v="264"/>
    <s v="Product 20"/>
    <x v="67"/>
    <s v="Ronald Reed"/>
    <x v="596"/>
    <n v="6"/>
    <x v="5"/>
    <x v="0"/>
    <x v="0"/>
    <x v="0"/>
    <x v="1"/>
  </r>
  <r>
    <s v="AX14243"/>
    <s v="ENX2064"/>
    <s v="A140"/>
    <s v="EMP1004"/>
    <s v="C1166"/>
    <x v="581"/>
    <n v="3"/>
    <n v="1414"/>
    <n v="962"/>
    <n v="2886"/>
    <n v="4242"/>
    <n v="1356"/>
    <s v="Product 65"/>
    <x v="18"/>
    <s v="Kenneth Bradley"/>
    <x v="733"/>
    <n v="6"/>
    <x v="5"/>
    <x v="0"/>
    <x v="0"/>
    <x v="0"/>
    <x v="1"/>
  </r>
  <r>
    <s v="AX14509"/>
    <s v="ENX2008"/>
    <s v="A103"/>
    <s v="EMP1011"/>
    <s v="C1468"/>
    <x v="582"/>
    <n v="4"/>
    <n v="315"/>
    <n v="208"/>
    <n v="832"/>
    <n v="1260"/>
    <n v="428"/>
    <s v="Product 9"/>
    <x v="61"/>
    <s v="Larry Marshall"/>
    <x v="688"/>
    <n v="6"/>
    <x v="5"/>
    <x v="0"/>
    <x v="0"/>
    <x v="0"/>
    <x v="1"/>
  </r>
  <r>
    <s v="AX14618"/>
    <s v="ENX2051"/>
    <s v="A113"/>
    <s v="EMP1003"/>
    <s v="C1673"/>
    <x v="579"/>
    <n v="3"/>
    <n v="1077"/>
    <n v="732"/>
    <n v="2196"/>
    <n v="3231"/>
    <n v="1035"/>
    <s v="Product 52"/>
    <x v="73"/>
    <s v="Christopher Tucker"/>
    <x v="87"/>
    <n v="6"/>
    <x v="5"/>
    <x v="0"/>
    <x v="0"/>
    <x v="0"/>
    <x v="1"/>
  </r>
  <r>
    <s v="AX15037"/>
    <s v="ENX2073"/>
    <s v="A162"/>
    <s v="EMP1037"/>
    <s v="C1145"/>
    <x v="580"/>
    <n v="1"/>
    <n v="95"/>
    <n v="61"/>
    <n v="61"/>
    <n v="95"/>
    <n v="34"/>
    <s v="Product 74"/>
    <x v="2"/>
    <s v="Carl Hall"/>
    <x v="489"/>
    <n v="6"/>
    <x v="5"/>
    <x v="0"/>
    <x v="0"/>
    <x v="0"/>
    <x v="1"/>
  </r>
  <r>
    <s v="AX15223"/>
    <s v="ENX2032"/>
    <s v="A165"/>
    <s v="EMP1035"/>
    <s v="C1629"/>
    <x v="583"/>
    <n v="1"/>
    <n v="1967"/>
    <n v="1397"/>
    <n v="1397"/>
    <n v="1967"/>
    <n v="570"/>
    <s v="Product 33"/>
    <x v="55"/>
    <s v="Roger Ramos"/>
    <x v="734"/>
    <n v="6"/>
    <x v="5"/>
    <x v="0"/>
    <x v="0"/>
    <x v="0"/>
    <x v="1"/>
  </r>
  <r>
    <s v="AX15533"/>
    <s v="ENX2023"/>
    <s v="A143"/>
    <s v="EMP1004"/>
    <s v="C1198"/>
    <x v="579"/>
    <n v="1"/>
    <n v="818"/>
    <n v="450"/>
    <n v="450"/>
    <n v="818"/>
    <n v="368"/>
    <s v="Product 24"/>
    <x v="39"/>
    <s v="Kenneth Bradley"/>
    <x v="42"/>
    <n v="6"/>
    <x v="5"/>
    <x v="0"/>
    <x v="0"/>
    <x v="0"/>
    <x v="1"/>
  </r>
  <r>
    <s v="AX16248"/>
    <s v="ENX2051"/>
    <s v="A170"/>
    <s v="EMP1023"/>
    <s v="C1092"/>
    <x v="582"/>
    <n v="1"/>
    <n v="1077"/>
    <n v="732"/>
    <n v="732"/>
    <n v="1077"/>
    <n v="345"/>
    <s v="Product 52"/>
    <x v="47"/>
    <s v="Brian Davis"/>
    <x v="572"/>
    <n v="6"/>
    <x v="5"/>
    <x v="0"/>
    <x v="0"/>
    <x v="0"/>
    <x v="1"/>
  </r>
  <r>
    <s v="AX16497"/>
    <s v="ENX2080"/>
    <s v="A172"/>
    <s v="EMP1020"/>
    <s v="C1560"/>
    <x v="581"/>
    <n v="3"/>
    <n v="2353"/>
    <n v="1788"/>
    <n v="5364"/>
    <n v="7059"/>
    <n v="1695"/>
    <s v="Product 81"/>
    <x v="36"/>
    <s v="Ryan Butler"/>
    <x v="208"/>
    <n v="6"/>
    <x v="5"/>
    <x v="0"/>
    <x v="0"/>
    <x v="0"/>
    <x v="1"/>
  </r>
  <r>
    <s v="AX16698"/>
    <s v="ENX2057"/>
    <s v="A115"/>
    <s v="EMP1023"/>
    <s v="C1639"/>
    <x v="579"/>
    <n v="1"/>
    <n v="181"/>
    <n v="130"/>
    <n v="130"/>
    <n v="181"/>
    <n v="51"/>
    <s v="Product 58"/>
    <x v="33"/>
    <s v="Brian Davis"/>
    <x v="30"/>
    <n v="6"/>
    <x v="5"/>
    <x v="0"/>
    <x v="0"/>
    <x v="0"/>
    <x v="1"/>
  </r>
  <r>
    <s v="AX16963"/>
    <s v="ENX2068"/>
    <s v="A140"/>
    <s v="EMP1020"/>
    <s v="C1457"/>
    <x v="582"/>
    <n v="3"/>
    <n v="1500"/>
    <n v="900"/>
    <n v="2700"/>
    <n v="4500"/>
    <n v="1800"/>
    <s v="Product 69"/>
    <x v="18"/>
    <s v="Ryan Butler"/>
    <x v="522"/>
    <n v="6"/>
    <x v="5"/>
    <x v="0"/>
    <x v="0"/>
    <x v="0"/>
    <x v="1"/>
  </r>
  <r>
    <s v="AX17218"/>
    <s v="ENX2066"/>
    <s v="A162"/>
    <s v="EMP1025"/>
    <s v="C1079"/>
    <x v="579"/>
    <n v="1"/>
    <n v="2091"/>
    <n v="1485"/>
    <n v="1485"/>
    <n v="2091"/>
    <n v="606"/>
    <s v="Product 67"/>
    <x v="2"/>
    <s v="Ernest Wagner"/>
    <x v="370"/>
    <n v="6"/>
    <x v="5"/>
    <x v="0"/>
    <x v="0"/>
    <x v="0"/>
    <x v="1"/>
  </r>
  <r>
    <s v="AX17239"/>
    <s v="ENX2065"/>
    <s v="A105"/>
    <s v="EMP1035"/>
    <s v="C1582"/>
    <x v="582"/>
    <n v="4"/>
    <n v="2396"/>
    <n v="1965"/>
    <n v="7860"/>
    <n v="9584"/>
    <n v="1724"/>
    <s v="Product 66"/>
    <x v="45"/>
    <s v="Roger Ramos"/>
    <x v="259"/>
    <n v="6"/>
    <x v="5"/>
    <x v="0"/>
    <x v="0"/>
    <x v="0"/>
    <x v="1"/>
  </r>
  <r>
    <s v="AX17675"/>
    <s v="ENX2051"/>
    <s v="A104"/>
    <s v="EMP1020"/>
    <s v="C1384"/>
    <x v="579"/>
    <n v="3"/>
    <n v="1077"/>
    <n v="732"/>
    <n v="2196"/>
    <n v="3231"/>
    <n v="1035"/>
    <s v="Product 52"/>
    <x v="50"/>
    <s v="Ryan Butler"/>
    <x v="690"/>
    <n v="6"/>
    <x v="5"/>
    <x v="0"/>
    <x v="0"/>
    <x v="0"/>
    <x v="1"/>
  </r>
  <r>
    <s v="AX17683"/>
    <s v="ENX2017"/>
    <s v="A146"/>
    <s v="EMP1027"/>
    <s v="C1721"/>
    <x v="583"/>
    <n v="1"/>
    <n v="35"/>
    <n v="22"/>
    <n v="22"/>
    <n v="35"/>
    <n v="13"/>
    <s v="Product 18"/>
    <x v="27"/>
    <s v="Gary Rodriguez"/>
    <x v="678"/>
    <n v="6"/>
    <x v="5"/>
    <x v="0"/>
    <x v="0"/>
    <x v="0"/>
    <x v="1"/>
  </r>
  <r>
    <s v="AX17748"/>
    <s v="ENX2060"/>
    <s v="A163"/>
    <s v="EMP1027"/>
    <s v="C1620"/>
    <x v="583"/>
    <n v="1"/>
    <n v="1467"/>
    <n v="807"/>
    <n v="807"/>
    <n v="1467"/>
    <n v="660"/>
    <s v="Product 61"/>
    <x v="51"/>
    <s v="Gary Rodriguez"/>
    <x v="445"/>
    <n v="6"/>
    <x v="5"/>
    <x v="0"/>
    <x v="0"/>
    <x v="0"/>
    <x v="1"/>
  </r>
  <r>
    <s v="AX18185"/>
    <s v="ENX2050"/>
    <s v="A159"/>
    <s v="EMP1004"/>
    <s v="C1692"/>
    <x v="581"/>
    <n v="2"/>
    <n v="2391"/>
    <n v="1291"/>
    <n v="2582"/>
    <n v="4782"/>
    <n v="2200"/>
    <s v="Product 51"/>
    <x v="13"/>
    <s v="Kenneth Bradley"/>
    <x v="555"/>
    <n v="6"/>
    <x v="5"/>
    <x v="0"/>
    <x v="0"/>
    <x v="0"/>
    <x v="1"/>
  </r>
  <r>
    <s v="AX18658"/>
    <s v="ENX2055"/>
    <s v="A147"/>
    <s v="EMP1021"/>
    <s v="C1196"/>
    <x v="579"/>
    <n v="1"/>
    <n v="2495"/>
    <n v="1896"/>
    <n v="1896"/>
    <n v="2495"/>
    <n v="599"/>
    <s v="Product 56"/>
    <x v="42"/>
    <s v="Clarence Fox"/>
    <x v="65"/>
    <n v="6"/>
    <x v="5"/>
    <x v="0"/>
    <x v="0"/>
    <x v="0"/>
    <x v="1"/>
  </r>
  <r>
    <s v="AX18672"/>
    <s v="ENX2058"/>
    <s v="A133"/>
    <s v="EMP1022"/>
    <s v="C1079"/>
    <x v="581"/>
    <n v="3"/>
    <n v="2257"/>
    <n v="1535"/>
    <n v="4605"/>
    <n v="6771"/>
    <n v="2166"/>
    <s v="Product 59"/>
    <x v="46"/>
    <s v="Walter Cook"/>
    <x v="370"/>
    <n v="6"/>
    <x v="5"/>
    <x v="0"/>
    <x v="0"/>
    <x v="0"/>
    <x v="1"/>
  </r>
  <r>
    <s v="AX20286"/>
    <s v="ENX2055"/>
    <s v="A145"/>
    <s v="EMP1009"/>
    <s v="C1342"/>
    <x v="579"/>
    <n v="1"/>
    <n v="2495"/>
    <n v="1896"/>
    <n v="1896"/>
    <n v="2495"/>
    <n v="599"/>
    <s v="Product 56"/>
    <x v="35"/>
    <s v="Kenneth Fields"/>
    <x v="62"/>
    <n v="6"/>
    <x v="5"/>
    <x v="0"/>
    <x v="0"/>
    <x v="0"/>
    <x v="1"/>
  </r>
  <r>
    <s v="AX20293"/>
    <s v="ENX2044"/>
    <s v="A137"/>
    <s v="EMP1038"/>
    <s v="C1118"/>
    <x v="579"/>
    <n v="4"/>
    <n v="886"/>
    <n v="478"/>
    <n v="1912"/>
    <n v="3544"/>
    <n v="1632"/>
    <s v="Product 45"/>
    <x v="68"/>
    <s v="Scott Mason"/>
    <x v="633"/>
    <n v="6"/>
    <x v="5"/>
    <x v="0"/>
    <x v="0"/>
    <x v="0"/>
    <x v="1"/>
  </r>
  <r>
    <s v="AX20509"/>
    <s v="ENX2005"/>
    <s v="A157"/>
    <s v="EMP1039"/>
    <s v="C1532"/>
    <x v="581"/>
    <n v="4"/>
    <n v="684"/>
    <n v="561"/>
    <n v="2244"/>
    <n v="2736"/>
    <n v="492"/>
    <s v="Product 6"/>
    <x v="7"/>
    <s v="Eugene Holmes"/>
    <x v="103"/>
    <n v="6"/>
    <x v="5"/>
    <x v="0"/>
    <x v="0"/>
    <x v="0"/>
    <x v="1"/>
  </r>
  <r>
    <s v="AX20683"/>
    <s v="ENX2007"/>
    <s v="A162"/>
    <s v="EMP1024"/>
    <s v="C1590"/>
    <x v="581"/>
    <n v="2"/>
    <n v="1405"/>
    <n v="1054"/>
    <n v="2108"/>
    <n v="2810"/>
    <n v="702"/>
    <s v="Product 8"/>
    <x v="2"/>
    <s v="Ernest Wheeler"/>
    <x v="735"/>
    <n v="6"/>
    <x v="5"/>
    <x v="0"/>
    <x v="0"/>
    <x v="0"/>
    <x v="1"/>
  </r>
  <r>
    <s v="AX20699"/>
    <s v="ENX2066"/>
    <s v="A169"/>
    <s v="EMP1004"/>
    <s v="C1772"/>
    <x v="579"/>
    <n v="4"/>
    <n v="2091"/>
    <n v="1485"/>
    <n v="5940"/>
    <n v="8364"/>
    <n v="2424"/>
    <s v="Product 67"/>
    <x v="17"/>
    <s v="Kenneth Bradley"/>
    <x v="643"/>
    <n v="6"/>
    <x v="5"/>
    <x v="0"/>
    <x v="0"/>
    <x v="0"/>
    <x v="1"/>
  </r>
  <r>
    <s v="AX20763"/>
    <s v="ENX2095"/>
    <s v="A115"/>
    <s v="EMP1008"/>
    <s v="C1034"/>
    <x v="580"/>
    <n v="1"/>
    <n v="1743"/>
    <n v="872"/>
    <n v="872"/>
    <n v="1743"/>
    <n v="871"/>
    <s v="Product 96"/>
    <x v="33"/>
    <s v="Carl Elliott"/>
    <x v="704"/>
    <n v="6"/>
    <x v="5"/>
    <x v="0"/>
    <x v="0"/>
    <x v="0"/>
    <x v="1"/>
  </r>
  <r>
    <s v="AX21127"/>
    <s v="ENX2041"/>
    <s v="A172"/>
    <s v="EMP1044"/>
    <s v="C1179"/>
    <x v="581"/>
    <n v="3"/>
    <n v="1380"/>
    <n v="1090"/>
    <n v="3270"/>
    <n v="4140"/>
    <n v="870"/>
    <s v="Product 42"/>
    <x v="36"/>
    <s v="Martin Carr"/>
    <x v="788"/>
    <n v="6"/>
    <x v="5"/>
    <x v="0"/>
    <x v="0"/>
    <x v="0"/>
    <x v="1"/>
  </r>
  <r>
    <s v="AX21385"/>
    <s v="ENX2095"/>
    <s v="A138"/>
    <s v="EMP1044"/>
    <s v="C1303"/>
    <x v="583"/>
    <n v="1"/>
    <n v="1743"/>
    <n v="872"/>
    <n v="872"/>
    <n v="1743"/>
    <n v="871"/>
    <s v="Product 96"/>
    <x v="37"/>
    <s v="Martin Carr"/>
    <x v="531"/>
    <n v="6"/>
    <x v="5"/>
    <x v="0"/>
    <x v="0"/>
    <x v="0"/>
    <x v="1"/>
  </r>
  <r>
    <s v="AX21678"/>
    <s v="ENX2080"/>
    <s v="A158"/>
    <s v="EMP1008"/>
    <s v="C1332"/>
    <x v="579"/>
    <n v="1"/>
    <n v="2353"/>
    <n v="1788"/>
    <n v="1788"/>
    <n v="2353"/>
    <n v="565"/>
    <s v="Product 81"/>
    <x v="58"/>
    <s v="Carl Elliott"/>
    <x v="7"/>
    <n v="6"/>
    <x v="5"/>
    <x v="0"/>
    <x v="0"/>
    <x v="0"/>
    <x v="1"/>
  </r>
  <r>
    <s v="AX21798"/>
    <s v="ENX2040"/>
    <s v="A109"/>
    <s v="EMP1036"/>
    <s v="C1367"/>
    <x v="581"/>
    <n v="3"/>
    <n v="1889"/>
    <n v="945"/>
    <n v="2835"/>
    <n v="5667"/>
    <n v="2832"/>
    <s v="Product 41"/>
    <x v="57"/>
    <s v="Robert Reed"/>
    <x v="490"/>
    <n v="6"/>
    <x v="5"/>
    <x v="0"/>
    <x v="0"/>
    <x v="0"/>
    <x v="1"/>
  </r>
  <r>
    <s v="AX22394"/>
    <s v="ENX2068"/>
    <s v="A131"/>
    <s v="EMP1016"/>
    <s v="C1733"/>
    <x v="582"/>
    <n v="1"/>
    <n v="1500"/>
    <n v="900"/>
    <n v="900"/>
    <n v="1500"/>
    <n v="600"/>
    <s v="Product 69"/>
    <x v="32"/>
    <s v="Henry Nelson"/>
    <x v="32"/>
    <n v="6"/>
    <x v="5"/>
    <x v="0"/>
    <x v="0"/>
    <x v="0"/>
    <x v="1"/>
  </r>
  <r>
    <s v="AX22634"/>
    <s v="ENX2045"/>
    <s v="A128"/>
    <s v="EMP1022"/>
    <s v="C1349"/>
    <x v="579"/>
    <n v="4"/>
    <n v="556"/>
    <n v="395"/>
    <n v="1580"/>
    <n v="2224"/>
    <n v="644"/>
    <s v="Product 46"/>
    <x v="12"/>
    <s v="Walter Cook"/>
    <x v="501"/>
    <n v="6"/>
    <x v="5"/>
    <x v="0"/>
    <x v="0"/>
    <x v="0"/>
    <x v="1"/>
  </r>
  <r>
    <s v="AX23035"/>
    <s v="ENX2086"/>
    <s v="A100"/>
    <s v="EMP1008"/>
    <s v="C1587"/>
    <x v="583"/>
    <n v="4"/>
    <n v="123"/>
    <n v="84"/>
    <n v="336"/>
    <n v="492"/>
    <n v="156"/>
    <s v="Product 87"/>
    <x v="52"/>
    <s v="Carl Elliott"/>
    <x v="403"/>
    <n v="6"/>
    <x v="5"/>
    <x v="0"/>
    <x v="0"/>
    <x v="0"/>
    <x v="1"/>
  </r>
  <r>
    <s v="AX23255"/>
    <s v="ENX2084"/>
    <s v="A154"/>
    <s v="EMP1006"/>
    <s v="C1371"/>
    <x v="579"/>
    <n v="3"/>
    <n v="1783"/>
    <n v="1230"/>
    <n v="3690"/>
    <n v="5349"/>
    <n v="1659"/>
    <s v="Product 85"/>
    <x v="24"/>
    <s v="Sean Miller"/>
    <x v="180"/>
    <n v="6"/>
    <x v="5"/>
    <x v="0"/>
    <x v="0"/>
    <x v="0"/>
    <x v="1"/>
  </r>
  <r>
    <s v="AX23517"/>
    <s v="ENX2003"/>
    <s v="A121"/>
    <s v="EMP1038"/>
    <s v="C1077"/>
    <x v="580"/>
    <n v="1"/>
    <n v="1783"/>
    <n v="1516"/>
    <n v="1516"/>
    <n v="1783"/>
    <n v="267"/>
    <s v="Product 4"/>
    <x v="72"/>
    <s v="Scott Mason"/>
    <x v="315"/>
    <n v="6"/>
    <x v="5"/>
    <x v="0"/>
    <x v="0"/>
    <x v="0"/>
    <x v="1"/>
  </r>
  <r>
    <s v="AX23805"/>
    <s v="ENX2003"/>
    <s v="A165"/>
    <s v="EMP1015"/>
    <s v="C1385"/>
    <x v="582"/>
    <n v="1"/>
    <n v="1783"/>
    <n v="1516"/>
    <n v="1516"/>
    <n v="1783"/>
    <n v="267"/>
    <s v="Product 4"/>
    <x v="55"/>
    <s v="Justin Lynch"/>
    <x v="523"/>
    <n v="6"/>
    <x v="5"/>
    <x v="0"/>
    <x v="0"/>
    <x v="0"/>
    <x v="1"/>
  </r>
  <r>
    <s v="AX23912"/>
    <s v="ENX2083"/>
    <s v="A140"/>
    <s v="EMP1034"/>
    <s v="C1097"/>
    <x v="582"/>
    <n v="1"/>
    <n v="2141"/>
    <n v="1777"/>
    <n v="1777"/>
    <n v="2141"/>
    <n v="364"/>
    <s v="Product 84"/>
    <x v="18"/>
    <s v="Arthur Mccoy"/>
    <x v="662"/>
    <n v="6"/>
    <x v="5"/>
    <x v="0"/>
    <x v="0"/>
    <x v="0"/>
    <x v="1"/>
  </r>
  <r>
    <s v="AX24684"/>
    <s v="ENX2095"/>
    <s v="A154"/>
    <s v="EMP1013"/>
    <s v="C1568"/>
    <x v="580"/>
    <n v="1"/>
    <n v="1743"/>
    <n v="872"/>
    <n v="872"/>
    <n v="1743"/>
    <n v="871"/>
    <s v="Product 96"/>
    <x v="24"/>
    <s v="Charles Harper"/>
    <x v="551"/>
    <n v="6"/>
    <x v="5"/>
    <x v="0"/>
    <x v="0"/>
    <x v="0"/>
    <x v="1"/>
  </r>
  <r>
    <s v="AX10007"/>
    <s v="ENX2001"/>
    <s v="A122"/>
    <s v="EMP1003"/>
    <s v="C1368"/>
    <x v="584"/>
    <n v="4"/>
    <n v="951"/>
    <n v="504"/>
    <n v="2016"/>
    <n v="3804"/>
    <n v="1788"/>
    <s v="Product 2"/>
    <x v="71"/>
    <s v="Christopher Tucker"/>
    <x v="200"/>
    <n v="6"/>
    <x v="5"/>
    <x v="0"/>
    <x v="0"/>
    <x v="0"/>
    <x v="2"/>
  </r>
  <r>
    <s v="AX10566"/>
    <s v="ENX2031"/>
    <s v="A110"/>
    <s v="EMP1029"/>
    <s v="C1253"/>
    <x v="585"/>
    <n v="4"/>
    <n v="1638"/>
    <n v="1261"/>
    <n v="5044"/>
    <n v="6552"/>
    <n v="1508"/>
    <s v="Product 32"/>
    <x v="63"/>
    <s v="Howard Gardner"/>
    <x v="209"/>
    <n v="6"/>
    <x v="5"/>
    <x v="0"/>
    <x v="0"/>
    <x v="0"/>
    <x v="2"/>
  </r>
  <r>
    <s v="AX11484"/>
    <s v="ENX2003"/>
    <s v="A150"/>
    <s v="EMP1039"/>
    <s v="C1171"/>
    <x v="586"/>
    <n v="1"/>
    <n v="1783"/>
    <n v="1516"/>
    <n v="1516"/>
    <n v="1783"/>
    <n v="267"/>
    <s v="Product 4"/>
    <x v="30"/>
    <s v="Eugene Holmes"/>
    <x v="150"/>
    <n v="6"/>
    <x v="5"/>
    <x v="0"/>
    <x v="0"/>
    <x v="0"/>
    <x v="2"/>
  </r>
  <r>
    <s v="AX11775"/>
    <s v="ENX2070"/>
    <s v="A149"/>
    <s v="EMP1021"/>
    <s v="C1353"/>
    <x v="586"/>
    <n v="1"/>
    <n v="1671"/>
    <n v="1220"/>
    <n v="1220"/>
    <n v="1671"/>
    <n v="451"/>
    <s v="Product 71"/>
    <x v="59"/>
    <s v="Clarence Fox"/>
    <x v="642"/>
    <n v="6"/>
    <x v="5"/>
    <x v="0"/>
    <x v="0"/>
    <x v="0"/>
    <x v="2"/>
  </r>
  <r>
    <s v="AX12124"/>
    <s v="ENX2092"/>
    <s v="A125"/>
    <s v="EMP1002"/>
    <s v="C1260"/>
    <x v="584"/>
    <n v="3"/>
    <n v="1639"/>
    <n v="1295"/>
    <n v="3885"/>
    <n v="4917"/>
    <n v="1032"/>
    <s v="Product 93"/>
    <x v="31"/>
    <s v="Andrew Bowman"/>
    <x v="27"/>
    <n v="6"/>
    <x v="5"/>
    <x v="0"/>
    <x v="0"/>
    <x v="0"/>
    <x v="2"/>
  </r>
  <r>
    <s v="AX12165"/>
    <s v="ENX2005"/>
    <s v="A124"/>
    <s v="EMP1036"/>
    <s v="C1732"/>
    <x v="587"/>
    <n v="1"/>
    <n v="684"/>
    <n v="561"/>
    <n v="561"/>
    <n v="684"/>
    <n v="123"/>
    <s v="Product 6"/>
    <x v="67"/>
    <s v="Robert Reed"/>
    <x v="136"/>
    <n v="6"/>
    <x v="5"/>
    <x v="0"/>
    <x v="0"/>
    <x v="0"/>
    <x v="2"/>
  </r>
  <r>
    <s v="AX12371"/>
    <s v="ENX2053"/>
    <s v="A116"/>
    <s v="EMP1032"/>
    <s v="C1048"/>
    <x v="584"/>
    <n v="1"/>
    <n v="596"/>
    <n v="358"/>
    <n v="358"/>
    <n v="596"/>
    <n v="238"/>
    <s v="Product 54"/>
    <x v="15"/>
    <s v="Larry Castillo"/>
    <x v="391"/>
    <n v="6"/>
    <x v="5"/>
    <x v="0"/>
    <x v="0"/>
    <x v="0"/>
    <x v="2"/>
  </r>
  <r>
    <s v="AX12760"/>
    <s v="ENX2051"/>
    <s v="A124"/>
    <s v="EMP1041"/>
    <s v="C1310"/>
    <x v="584"/>
    <n v="3"/>
    <n v="1077"/>
    <n v="732"/>
    <n v="2196"/>
    <n v="3231"/>
    <n v="1035"/>
    <s v="Product 52"/>
    <x v="67"/>
    <s v="Joe Sims"/>
    <x v="169"/>
    <n v="6"/>
    <x v="5"/>
    <x v="0"/>
    <x v="0"/>
    <x v="0"/>
    <x v="2"/>
  </r>
  <r>
    <s v="AX13270"/>
    <s v="ENX2004"/>
    <s v="A130"/>
    <s v="EMP1035"/>
    <s v="C1262"/>
    <x v="586"/>
    <n v="2"/>
    <n v="1278"/>
    <n v="665"/>
    <n v="1330"/>
    <n v="2556"/>
    <n v="1226"/>
    <s v="Product 5"/>
    <x v="4"/>
    <s v="Roger Ramos"/>
    <x v="363"/>
    <n v="6"/>
    <x v="5"/>
    <x v="0"/>
    <x v="0"/>
    <x v="0"/>
    <x v="2"/>
  </r>
  <r>
    <s v="AX13347"/>
    <s v="ENX2008"/>
    <s v="A157"/>
    <s v="EMP1008"/>
    <s v="C1389"/>
    <x v="584"/>
    <n v="1"/>
    <n v="315"/>
    <n v="208"/>
    <n v="208"/>
    <n v="315"/>
    <n v="107"/>
    <s v="Product 9"/>
    <x v="7"/>
    <s v="Carl Elliott"/>
    <x v="38"/>
    <n v="6"/>
    <x v="5"/>
    <x v="0"/>
    <x v="0"/>
    <x v="0"/>
    <x v="2"/>
  </r>
  <r>
    <s v="AX13415"/>
    <s v="ENX2070"/>
    <s v="A117"/>
    <s v="EMP1004"/>
    <s v="C1082"/>
    <x v="584"/>
    <n v="4"/>
    <n v="1671"/>
    <n v="1220"/>
    <n v="4880"/>
    <n v="6684"/>
    <n v="1804"/>
    <s v="Product 71"/>
    <x v="29"/>
    <s v="Kenneth Bradley"/>
    <x v="145"/>
    <n v="6"/>
    <x v="5"/>
    <x v="0"/>
    <x v="0"/>
    <x v="0"/>
    <x v="2"/>
  </r>
  <r>
    <s v="AX13527"/>
    <s v="ENX2033"/>
    <s v="A134"/>
    <s v="EMP1035"/>
    <s v="C1489"/>
    <x v="584"/>
    <n v="3"/>
    <n v="2182"/>
    <n v="1200"/>
    <n v="3600"/>
    <n v="6546"/>
    <n v="2946"/>
    <s v="Product 34"/>
    <x v="41"/>
    <s v="Roger Ramos"/>
    <x v="19"/>
    <n v="6"/>
    <x v="5"/>
    <x v="0"/>
    <x v="0"/>
    <x v="0"/>
    <x v="2"/>
  </r>
  <r>
    <s v="AX13597"/>
    <s v="ENX2044"/>
    <s v="A170"/>
    <s v="EMP1015"/>
    <s v="C1220"/>
    <x v="587"/>
    <n v="1"/>
    <n v="886"/>
    <n v="478"/>
    <n v="478"/>
    <n v="886"/>
    <n v="408"/>
    <s v="Product 45"/>
    <x v="47"/>
    <s v="Justin Lynch"/>
    <x v="204"/>
    <n v="6"/>
    <x v="5"/>
    <x v="0"/>
    <x v="0"/>
    <x v="0"/>
    <x v="2"/>
  </r>
  <r>
    <s v="AX13634"/>
    <s v="ENX2044"/>
    <s v="A168"/>
    <s v="EMP1018"/>
    <s v="C1121"/>
    <x v="587"/>
    <n v="3"/>
    <n v="886"/>
    <n v="478"/>
    <n v="1434"/>
    <n v="2658"/>
    <n v="1224"/>
    <s v="Product 45"/>
    <x v="40"/>
    <s v="Jimmy Young"/>
    <x v="681"/>
    <n v="6"/>
    <x v="5"/>
    <x v="0"/>
    <x v="0"/>
    <x v="0"/>
    <x v="2"/>
  </r>
  <r>
    <s v="AX13836"/>
    <s v="ENX2091"/>
    <s v="A133"/>
    <s v="EMP1043"/>
    <s v="C1086"/>
    <x v="587"/>
    <n v="1"/>
    <n v="368"/>
    <n v="294"/>
    <n v="294"/>
    <n v="368"/>
    <n v="74"/>
    <s v="Product 92"/>
    <x v="46"/>
    <s v="Joshua Taylor"/>
    <x v="769"/>
    <n v="6"/>
    <x v="5"/>
    <x v="0"/>
    <x v="0"/>
    <x v="0"/>
    <x v="2"/>
  </r>
  <r>
    <s v="AX14943"/>
    <s v="ENX2082"/>
    <s v="A125"/>
    <s v="EMP1011"/>
    <s v="C1356"/>
    <x v="584"/>
    <n v="3"/>
    <n v="1103"/>
    <n v="838"/>
    <n v="2514"/>
    <n v="3309"/>
    <n v="795"/>
    <s v="Product 83"/>
    <x v="31"/>
    <s v="Larry Marshall"/>
    <x v="238"/>
    <n v="6"/>
    <x v="5"/>
    <x v="0"/>
    <x v="0"/>
    <x v="0"/>
    <x v="2"/>
  </r>
  <r>
    <s v="AX15786"/>
    <s v="ENX2069"/>
    <s v="A173"/>
    <s v="EMP1027"/>
    <s v="C1686"/>
    <x v="587"/>
    <n v="1"/>
    <n v="378"/>
    <n v="291"/>
    <n v="291"/>
    <n v="378"/>
    <n v="87"/>
    <s v="Product 70"/>
    <x v="25"/>
    <s v="Gary Rodriguez"/>
    <x v="748"/>
    <n v="6"/>
    <x v="5"/>
    <x v="0"/>
    <x v="0"/>
    <x v="0"/>
    <x v="2"/>
  </r>
  <r>
    <s v="AX16276"/>
    <s v="ENX2084"/>
    <s v="A101"/>
    <s v="EMP1005"/>
    <s v="C1719"/>
    <x v="587"/>
    <n v="2"/>
    <n v="1783"/>
    <n v="1230"/>
    <n v="2460"/>
    <n v="3566"/>
    <n v="1106"/>
    <s v="Product 85"/>
    <x v="60"/>
    <s v="Ryan Welch"/>
    <x v="666"/>
    <n v="6"/>
    <x v="5"/>
    <x v="0"/>
    <x v="0"/>
    <x v="0"/>
    <x v="2"/>
  </r>
  <r>
    <s v="AX16434"/>
    <s v="ENX2000"/>
    <s v="A150"/>
    <s v="EMP1032"/>
    <s v="C1654"/>
    <x v="587"/>
    <n v="1"/>
    <n v="2241"/>
    <n v="1367"/>
    <n v="1367"/>
    <n v="2241"/>
    <n v="874"/>
    <s v="Product 1"/>
    <x v="30"/>
    <s v="Larry Castillo"/>
    <x v="351"/>
    <n v="6"/>
    <x v="5"/>
    <x v="0"/>
    <x v="0"/>
    <x v="0"/>
    <x v="2"/>
  </r>
  <r>
    <s v="AX16558"/>
    <s v="ENX2043"/>
    <s v="A155"/>
    <s v="EMP1013"/>
    <s v="C1644"/>
    <x v="585"/>
    <n v="2"/>
    <n v="545"/>
    <n v="425"/>
    <n v="850"/>
    <n v="1090"/>
    <n v="240"/>
    <s v="Product 44"/>
    <x v="53"/>
    <s v="Charles Harper"/>
    <x v="109"/>
    <n v="6"/>
    <x v="5"/>
    <x v="0"/>
    <x v="0"/>
    <x v="0"/>
    <x v="2"/>
  </r>
  <r>
    <s v="AX16704"/>
    <s v="ENX2060"/>
    <s v="A168"/>
    <s v="EMP1002"/>
    <s v="C1502"/>
    <x v="587"/>
    <n v="1"/>
    <n v="1467"/>
    <n v="807"/>
    <n v="807"/>
    <n v="1467"/>
    <n v="660"/>
    <s v="Product 61"/>
    <x v="40"/>
    <s v="Andrew Bowman"/>
    <x v="364"/>
    <n v="6"/>
    <x v="5"/>
    <x v="0"/>
    <x v="0"/>
    <x v="0"/>
    <x v="2"/>
  </r>
  <r>
    <s v="AX17264"/>
    <s v="ENX2058"/>
    <s v="A126"/>
    <s v="EMP1008"/>
    <s v="C1148"/>
    <x v="584"/>
    <n v="1"/>
    <n v="2257"/>
    <n v="1535"/>
    <n v="1535"/>
    <n v="2257"/>
    <n v="722"/>
    <s v="Product 59"/>
    <x v="5"/>
    <s v="Carl Elliott"/>
    <x v="55"/>
    <n v="6"/>
    <x v="5"/>
    <x v="0"/>
    <x v="0"/>
    <x v="0"/>
    <x v="2"/>
  </r>
  <r>
    <s v="AX17496"/>
    <s v="ENX2085"/>
    <s v="A142"/>
    <s v="EMP1011"/>
    <s v="C1529"/>
    <x v="584"/>
    <n v="1"/>
    <n v="1862"/>
    <n v="1173"/>
    <n v="1173"/>
    <n v="1862"/>
    <n v="689"/>
    <s v="Product 86"/>
    <x v="56"/>
    <s v="Larry Marshall"/>
    <x v="247"/>
    <n v="6"/>
    <x v="5"/>
    <x v="0"/>
    <x v="0"/>
    <x v="0"/>
    <x v="2"/>
  </r>
  <r>
    <s v="AX17735"/>
    <s v="ENX2053"/>
    <s v="A131"/>
    <s v="EMP1012"/>
    <s v="C1605"/>
    <x v="587"/>
    <n v="3"/>
    <n v="596"/>
    <n v="358"/>
    <n v="1074"/>
    <n v="1788"/>
    <n v="714"/>
    <s v="Product 54"/>
    <x v="32"/>
    <s v="John Reyes"/>
    <x v="676"/>
    <n v="6"/>
    <x v="5"/>
    <x v="0"/>
    <x v="0"/>
    <x v="0"/>
    <x v="2"/>
  </r>
  <r>
    <s v="AX17942"/>
    <s v="ENX2034"/>
    <s v="A123"/>
    <s v="EMP1027"/>
    <s v="C1589"/>
    <x v="587"/>
    <n v="1"/>
    <n v="871"/>
    <n v="540"/>
    <n v="540"/>
    <n v="871"/>
    <n v="331"/>
    <s v="Product 35"/>
    <x v="34"/>
    <s v="Gary Rodriguez"/>
    <x v="39"/>
    <n v="6"/>
    <x v="5"/>
    <x v="0"/>
    <x v="0"/>
    <x v="0"/>
    <x v="2"/>
  </r>
  <r>
    <s v="AX18215"/>
    <s v="ENX2092"/>
    <s v="A157"/>
    <s v="EMP1030"/>
    <s v="C1411"/>
    <x v="587"/>
    <n v="1"/>
    <n v="1639"/>
    <n v="1295"/>
    <n v="1295"/>
    <n v="1639"/>
    <n v="344"/>
    <s v="Product 93"/>
    <x v="7"/>
    <s v="Bobby Russell"/>
    <x v="600"/>
    <n v="6"/>
    <x v="5"/>
    <x v="0"/>
    <x v="0"/>
    <x v="0"/>
    <x v="2"/>
  </r>
  <r>
    <s v="AX18546"/>
    <s v="ENX2011"/>
    <s v="A105"/>
    <s v="EMP1028"/>
    <s v="C1586"/>
    <x v="587"/>
    <n v="2"/>
    <n v="530"/>
    <n v="435"/>
    <n v="870"/>
    <n v="1060"/>
    <n v="190"/>
    <s v="Product 12"/>
    <x v="45"/>
    <s v="Howard Sims"/>
    <x v="585"/>
    <n v="6"/>
    <x v="5"/>
    <x v="0"/>
    <x v="0"/>
    <x v="0"/>
    <x v="2"/>
  </r>
  <r>
    <s v="AX18649"/>
    <s v="ENX2005"/>
    <s v="A128"/>
    <s v="EMP1043"/>
    <s v="C1726"/>
    <x v="587"/>
    <n v="3"/>
    <n v="684"/>
    <n v="561"/>
    <n v="1683"/>
    <n v="2052"/>
    <n v="369"/>
    <s v="Product 6"/>
    <x v="12"/>
    <s v="Joshua Taylor"/>
    <x v="755"/>
    <n v="6"/>
    <x v="5"/>
    <x v="0"/>
    <x v="0"/>
    <x v="0"/>
    <x v="2"/>
  </r>
  <r>
    <s v="AX19348"/>
    <s v="ENX2079"/>
    <s v="A130"/>
    <s v="EMP1000"/>
    <s v="C1217"/>
    <x v="586"/>
    <n v="3"/>
    <n v="1725"/>
    <n v="1363"/>
    <n v="4089"/>
    <n v="5175"/>
    <n v="1086"/>
    <s v="Product 80"/>
    <x v="4"/>
    <s v="Fred Robertson"/>
    <x v="619"/>
    <n v="6"/>
    <x v="5"/>
    <x v="0"/>
    <x v="0"/>
    <x v="0"/>
    <x v="2"/>
  </r>
  <r>
    <s v="AX19585"/>
    <s v="ENX2082"/>
    <s v="A139"/>
    <s v="EMP1031"/>
    <s v="C1402"/>
    <x v="586"/>
    <n v="2"/>
    <n v="1103"/>
    <n v="838"/>
    <n v="1676"/>
    <n v="2206"/>
    <n v="530"/>
    <s v="Product 83"/>
    <x v="38"/>
    <s v="Brian Thomas"/>
    <x v="79"/>
    <n v="6"/>
    <x v="5"/>
    <x v="0"/>
    <x v="0"/>
    <x v="0"/>
    <x v="2"/>
  </r>
  <r>
    <s v="AX20415"/>
    <s v="ENX2064"/>
    <s v="A111"/>
    <s v="EMP1008"/>
    <s v="C1360"/>
    <x v="587"/>
    <n v="2"/>
    <n v="1414"/>
    <n v="962"/>
    <n v="1924"/>
    <n v="2828"/>
    <n v="904"/>
    <s v="Product 65"/>
    <x v="54"/>
    <s v="Carl Elliott"/>
    <x v="573"/>
    <n v="6"/>
    <x v="5"/>
    <x v="0"/>
    <x v="0"/>
    <x v="0"/>
    <x v="2"/>
  </r>
  <r>
    <s v="AX20709"/>
    <s v="ENX2097"/>
    <s v="A102"/>
    <s v="EMP1032"/>
    <s v="C1502"/>
    <x v="586"/>
    <n v="1"/>
    <n v="1052"/>
    <n v="589"/>
    <n v="589"/>
    <n v="1052"/>
    <n v="463"/>
    <s v="Product 98"/>
    <x v="44"/>
    <s v="Larry Castillo"/>
    <x v="364"/>
    <n v="6"/>
    <x v="5"/>
    <x v="0"/>
    <x v="0"/>
    <x v="0"/>
    <x v="2"/>
  </r>
  <r>
    <s v="AX20883"/>
    <s v="ENX2026"/>
    <s v="A160"/>
    <s v="EMP1035"/>
    <s v="C1505"/>
    <x v="584"/>
    <n v="1"/>
    <n v="947"/>
    <n v="786"/>
    <n v="786"/>
    <n v="947"/>
    <n v="161"/>
    <s v="Product 27"/>
    <x v="9"/>
    <s v="Roger Ramos"/>
    <x v="632"/>
    <n v="6"/>
    <x v="5"/>
    <x v="0"/>
    <x v="0"/>
    <x v="0"/>
    <x v="2"/>
  </r>
  <r>
    <s v="AX20916"/>
    <s v="ENX2089"/>
    <s v="A153"/>
    <s v="EMP1005"/>
    <s v="C1284"/>
    <x v="585"/>
    <n v="2"/>
    <n v="2294"/>
    <n v="1399"/>
    <n v="2798"/>
    <n v="4588"/>
    <n v="1790"/>
    <s v="Product 90"/>
    <x v="8"/>
    <s v="Ryan Welch"/>
    <x v="713"/>
    <n v="6"/>
    <x v="5"/>
    <x v="0"/>
    <x v="0"/>
    <x v="0"/>
    <x v="2"/>
  </r>
  <r>
    <s v="AX21045"/>
    <s v="ENX2021"/>
    <s v="A110"/>
    <s v="EMP1040"/>
    <s v="C1444"/>
    <x v="586"/>
    <n v="3"/>
    <n v="217"/>
    <n v="171"/>
    <n v="513"/>
    <n v="651"/>
    <n v="138"/>
    <s v="Product 22"/>
    <x v="63"/>
    <s v="Patrick Ruiz"/>
    <x v="454"/>
    <n v="6"/>
    <x v="5"/>
    <x v="0"/>
    <x v="0"/>
    <x v="0"/>
    <x v="2"/>
  </r>
  <r>
    <s v="AX21375"/>
    <s v="ENX2034"/>
    <s v="A165"/>
    <s v="EMP1035"/>
    <s v="C1596"/>
    <x v="585"/>
    <n v="1"/>
    <n v="871"/>
    <n v="540"/>
    <n v="540"/>
    <n v="871"/>
    <n v="331"/>
    <s v="Product 35"/>
    <x v="55"/>
    <s v="Roger Ramos"/>
    <x v="217"/>
    <n v="6"/>
    <x v="5"/>
    <x v="0"/>
    <x v="0"/>
    <x v="0"/>
    <x v="2"/>
  </r>
  <r>
    <s v="AX21490"/>
    <s v="ENX2067"/>
    <s v="A146"/>
    <s v="EMP1042"/>
    <s v="C1652"/>
    <x v="586"/>
    <n v="1"/>
    <n v="1119"/>
    <n v="683"/>
    <n v="683"/>
    <n v="1119"/>
    <n v="436"/>
    <s v="Product 68"/>
    <x v="27"/>
    <s v="Scott Clark"/>
    <x v="737"/>
    <n v="6"/>
    <x v="5"/>
    <x v="0"/>
    <x v="0"/>
    <x v="0"/>
    <x v="2"/>
  </r>
  <r>
    <s v="AX21900"/>
    <s v="ENX2080"/>
    <s v="A120"/>
    <s v="EMP1037"/>
    <s v="C1089"/>
    <x v="586"/>
    <n v="2"/>
    <n v="2353"/>
    <n v="1788"/>
    <n v="3576"/>
    <n v="4706"/>
    <n v="1130"/>
    <s v="Product 81"/>
    <x v="20"/>
    <s v="Carl Hall"/>
    <x v="267"/>
    <n v="6"/>
    <x v="5"/>
    <x v="0"/>
    <x v="0"/>
    <x v="0"/>
    <x v="2"/>
  </r>
  <r>
    <s v="AX22011"/>
    <s v="ENX2078"/>
    <s v="A114"/>
    <s v="EMP1023"/>
    <s v="C1020"/>
    <x v="585"/>
    <n v="1"/>
    <n v="1798"/>
    <n v="971"/>
    <n v="971"/>
    <n v="1798"/>
    <n v="827"/>
    <s v="Product 79"/>
    <x v="28"/>
    <s v="Brian Davis"/>
    <x v="423"/>
    <n v="6"/>
    <x v="5"/>
    <x v="0"/>
    <x v="0"/>
    <x v="0"/>
    <x v="2"/>
  </r>
  <r>
    <s v="AX22143"/>
    <s v="ENX2068"/>
    <s v="A120"/>
    <s v="EMP1040"/>
    <s v="C1134"/>
    <x v="584"/>
    <n v="3"/>
    <n v="1500"/>
    <n v="900"/>
    <n v="2700"/>
    <n v="4500"/>
    <n v="1800"/>
    <s v="Product 69"/>
    <x v="20"/>
    <s v="Patrick Ruiz"/>
    <x v="495"/>
    <n v="6"/>
    <x v="5"/>
    <x v="0"/>
    <x v="0"/>
    <x v="0"/>
    <x v="2"/>
  </r>
  <r>
    <s v="AX22497"/>
    <s v="ENX2080"/>
    <s v="A130"/>
    <s v="EMP1041"/>
    <s v="C1537"/>
    <x v="585"/>
    <n v="1"/>
    <n v="2353"/>
    <n v="1788"/>
    <n v="1788"/>
    <n v="2353"/>
    <n v="565"/>
    <s v="Product 81"/>
    <x v="4"/>
    <s v="Joe Sims"/>
    <x v="141"/>
    <n v="6"/>
    <x v="5"/>
    <x v="0"/>
    <x v="0"/>
    <x v="0"/>
    <x v="2"/>
  </r>
  <r>
    <s v="AX22580"/>
    <s v="ENX2060"/>
    <s v="A119"/>
    <s v="EMP1012"/>
    <s v="C1781"/>
    <x v="585"/>
    <n v="1"/>
    <n v="1467"/>
    <n v="807"/>
    <n v="807"/>
    <n v="1467"/>
    <n v="660"/>
    <s v="Product 61"/>
    <x v="16"/>
    <s v="John Reyes"/>
    <x v="606"/>
    <n v="6"/>
    <x v="5"/>
    <x v="0"/>
    <x v="0"/>
    <x v="0"/>
    <x v="2"/>
  </r>
  <r>
    <s v="AX22669"/>
    <s v="ENX2040"/>
    <s v="A111"/>
    <s v="EMP1042"/>
    <s v="C1284"/>
    <x v="584"/>
    <n v="4"/>
    <n v="1889"/>
    <n v="945"/>
    <n v="3780"/>
    <n v="7556"/>
    <n v="3776"/>
    <s v="Product 41"/>
    <x v="54"/>
    <s v="Scott Clark"/>
    <x v="713"/>
    <n v="6"/>
    <x v="5"/>
    <x v="0"/>
    <x v="0"/>
    <x v="0"/>
    <x v="2"/>
  </r>
  <r>
    <s v="AX22731"/>
    <s v="ENX2078"/>
    <s v="A155"/>
    <s v="EMP1042"/>
    <s v="C1754"/>
    <x v="586"/>
    <n v="1"/>
    <n v="1798"/>
    <n v="971"/>
    <n v="971"/>
    <n v="1798"/>
    <n v="827"/>
    <s v="Product 79"/>
    <x v="53"/>
    <s v="Scott Clark"/>
    <x v="742"/>
    <n v="6"/>
    <x v="5"/>
    <x v="0"/>
    <x v="0"/>
    <x v="0"/>
    <x v="2"/>
  </r>
  <r>
    <s v="AX23107"/>
    <s v="ENX2087"/>
    <s v="A138"/>
    <s v="EMP1023"/>
    <s v="C1313"/>
    <x v="585"/>
    <n v="1"/>
    <n v="1022"/>
    <n v="818"/>
    <n v="818"/>
    <n v="1022"/>
    <n v="204"/>
    <s v="Product 88"/>
    <x v="37"/>
    <s v="Brian Davis"/>
    <x v="728"/>
    <n v="6"/>
    <x v="5"/>
    <x v="0"/>
    <x v="0"/>
    <x v="0"/>
    <x v="2"/>
  </r>
  <r>
    <s v="AX24065"/>
    <s v="ENX2036"/>
    <s v="A139"/>
    <s v="EMP1019"/>
    <s v="C1453"/>
    <x v="587"/>
    <n v="1"/>
    <n v="1582"/>
    <n v="1234"/>
    <n v="1234"/>
    <n v="1582"/>
    <n v="348"/>
    <s v="Product 37"/>
    <x v="38"/>
    <s v="Roger Robertson"/>
    <x v="194"/>
    <n v="6"/>
    <x v="5"/>
    <x v="0"/>
    <x v="0"/>
    <x v="0"/>
    <x v="2"/>
  </r>
  <r>
    <s v="AX24363"/>
    <s v="ENX2048"/>
    <s v="A127"/>
    <s v="EMP1039"/>
    <s v="C1165"/>
    <x v="585"/>
    <n v="1"/>
    <n v="502"/>
    <n v="296"/>
    <n v="296"/>
    <n v="502"/>
    <n v="206"/>
    <s v="Product 49"/>
    <x v="69"/>
    <s v="Eugene Holmes"/>
    <x v="82"/>
    <n v="6"/>
    <x v="5"/>
    <x v="0"/>
    <x v="0"/>
    <x v="0"/>
    <x v="2"/>
  </r>
  <r>
    <s v="AX24396"/>
    <s v="ENX2074"/>
    <s v="A173"/>
    <s v="EMP1006"/>
    <s v="C1334"/>
    <x v="584"/>
    <n v="4"/>
    <n v="504"/>
    <n v="408"/>
    <n v="1632"/>
    <n v="2016"/>
    <n v="384"/>
    <s v="Product 75"/>
    <x v="25"/>
    <s v="Sean Miller"/>
    <x v="53"/>
    <n v="6"/>
    <x v="5"/>
    <x v="0"/>
    <x v="0"/>
    <x v="0"/>
    <x v="2"/>
  </r>
  <r>
    <s v="AX24751"/>
    <s v="ENX2016"/>
    <s v="A121"/>
    <s v="EMP1005"/>
    <s v="C1695"/>
    <x v="587"/>
    <n v="3"/>
    <n v="1351"/>
    <n v="1108"/>
    <n v="3324"/>
    <n v="4053"/>
    <n v="729"/>
    <s v="Product 17"/>
    <x v="72"/>
    <s v="Ryan Welch"/>
    <x v="18"/>
    <n v="6"/>
    <x v="5"/>
    <x v="0"/>
    <x v="0"/>
    <x v="0"/>
    <x v="2"/>
  </r>
  <r>
    <s v="AX24810"/>
    <s v="ENX2065"/>
    <s v="A170"/>
    <s v="EMP1009"/>
    <s v="C1487"/>
    <x v="587"/>
    <n v="3"/>
    <n v="2396"/>
    <n v="1965"/>
    <n v="5895"/>
    <n v="7188"/>
    <n v="1293"/>
    <s v="Product 66"/>
    <x v="47"/>
    <s v="Kenneth Fields"/>
    <x v="461"/>
    <n v="6"/>
    <x v="5"/>
    <x v="0"/>
    <x v="0"/>
    <x v="0"/>
    <x v="2"/>
  </r>
  <r>
    <s v="AX24923"/>
    <s v="ENX2046"/>
    <s v="A125"/>
    <s v="EMP1038"/>
    <s v="C1608"/>
    <x v="586"/>
    <n v="3"/>
    <n v="2410"/>
    <n v="1518"/>
    <n v="4554"/>
    <n v="7230"/>
    <n v="2676"/>
    <s v="Product 47"/>
    <x v="31"/>
    <s v="Scott Mason"/>
    <x v="463"/>
    <n v="6"/>
    <x v="5"/>
    <x v="0"/>
    <x v="0"/>
    <x v="0"/>
    <x v="2"/>
  </r>
  <r>
    <s v="AX10075"/>
    <s v="ENX2029"/>
    <s v="A128"/>
    <s v="EMP1029"/>
    <s v="C1100"/>
    <x v="588"/>
    <n v="2"/>
    <n v="1848"/>
    <n v="1294"/>
    <n v="2588"/>
    <n v="3696"/>
    <n v="1108"/>
    <s v="Product 30"/>
    <x v="12"/>
    <s v="Howard Gardner"/>
    <x v="110"/>
    <n v="6"/>
    <x v="5"/>
    <x v="1"/>
    <x v="1"/>
    <x v="0"/>
    <x v="0"/>
  </r>
  <r>
    <s v="AX10182"/>
    <s v="ENX2062"/>
    <s v="A161"/>
    <s v="EMP1026"/>
    <s v="C1657"/>
    <x v="589"/>
    <n v="3"/>
    <n v="2464"/>
    <n v="1774"/>
    <n v="5322"/>
    <n v="7392"/>
    <n v="2070"/>
    <s v="Product 63"/>
    <x v="6"/>
    <s v="Martin Perry"/>
    <x v="361"/>
    <n v="6"/>
    <x v="5"/>
    <x v="1"/>
    <x v="1"/>
    <x v="0"/>
    <x v="0"/>
  </r>
  <r>
    <s v="AX10627"/>
    <s v="ENX2090"/>
    <s v="A122"/>
    <s v="EMP1038"/>
    <s v="C1092"/>
    <x v="588"/>
    <n v="4"/>
    <n v="1338"/>
    <n v="682"/>
    <n v="2728"/>
    <n v="5352"/>
    <n v="2624"/>
    <s v="Product 91"/>
    <x v="71"/>
    <s v="Scott Mason"/>
    <x v="572"/>
    <n v="6"/>
    <x v="5"/>
    <x v="1"/>
    <x v="1"/>
    <x v="0"/>
    <x v="0"/>
  </r>
  <r>
    <s v="AX10712"/>
    <s v="ENX2035"/>
    <s v="A156"/>
    <s v="EMP1034"/>
    <s v="C1440"/>
    <x v="588"/>
    <n v="1"/>
    <n v="458"/>
    <n v="376"/>
    <n v="376"/>
    <n v="458"/>
    <n v="82"/>
    <s v="Product 36"/>
    <x v="14"/>
    <s v="Arthur Mccoy"/>
    <x v="52"/>
    <n v="6"/>
    <x v="5"/>
    <x v="1"/>
    <x v="1"/>
    <x v="0"/>
    <x v="0"/>
  </r>
  <r>
    <s v="AX10865"/>
    <s v="ENX2014"/>
    <s v="A102"/>
    <s v="EMP1035"/>
    <s v="C1171"/>
    <x v="589"/>
    <n v="3"/>
    <n v="1809"/>
    <n v="1067"/>
    <n v="3201"/>
    <n v="5427"/>
    <n v="2226"/>
    <s v="Product 15"/>
    <x v="44"/>
    <s v="Roger Ramos"/>
    <x v="150"/>
    <n v="6"/>
    <x v="5"/>
    <x v="1"/>
    <x v="1"/>
    <x v="0"/>
    <x v="0"/>
  </r>
  <r>
    <s v="AX10871"/>
    <s v="ENX2085"/>
    <s v="A171"/>
    <s v="EMP1038"/>
    <s v="C1547"/>
    <x v="590"/>
    <n v="1"/>
    <n v="1862"/>
    <n v="1173"/>
    <n v="1173"/>
    <n v="1862"/>
    <n v="689"/>
    <s v="Product 86"/>
    <x v="0"/>
    <s v="Scott Mason"/>
    <x v="800"/>
    <n v="6"/>
    <x v="5"/>
    <x v="1"/>
    <x v="1"/>
    <x v="0"/>
    <x v="0"/>
  </r>
  <r>
    <s v="AX11046"/>
    <s v="ENX2059"/>
    <s v="A137"/>
    <s v="EMP1021"/>
    <s v="C1085"/>
    <x v="588"/>
    <n v="4"/>
    <n v="1494"/>
    <n v="971"/>
    <n v="3884"/>
    <n v="5976"/>
    <n v="2092"/>
    <s v="Product 60"/>
    <x v="68"/>
    <s v="Clarence Fox"/>
    <x v="412"/>
    <n v="6"/>
    <x v="5"/>
    <x v="1"/>
    <x v="1"/>
    <x v="0"/>
    <x v="0"/>
  </r>
  <r>
    <s v="AX11380"/>
    <s v="ENX2078"/>
    <s v="A144"/>
    <s v="EMP1020"/>
    <s v="C1289"/>
    <x v="591"/>
    <n v="4"/>
    <n v="1798"/>
    <n v="971"/>
    <n v="3884"/>
    <n v="7192"/>
    <n v="3308"/>
    <s v="Product 79"/>
    <x v="65"/>
    <s v="Ryan Butler"/>
    <x v="328"/>
    <n v="6"/>
    <x v="5"/>
    <x v="1"/>
    <x v="1"/>
    <x v="0"/>
    <x v="0"/>
  </r>
  <r>
    <s v="AX11448"/>
    <s v="ENX2080"/>
    <s v="A165"/>
    <s v="EMP1026"/>
    <s v="C1305"/>
    <x v="589"/>
    <n v="3"/>
    <n v="2353"/>
    <n v="1788"/>
    <n v="5364"/>
    <n v="7059"/>
    <n v="1695"/>
    <s v="Product 81"/>
    <x v="55"/>
    <s v="Martin Perry"/>
    <x v="344"/>
    <n v="6"/>
    <x v="5"/>
    <x v="1"/>
    <x v="1"/>
    <x v="0"/>
    <x v="0"/>
  </r>
  <r>
    <s v="AX11462"/>
    <s v="ENX2006"/>
    <s v="A127"/>
    <s v="EMP1025"/>
    <s v="C1249"/>
    <x v="588"/>
    <n v="2"/>
    <n v="1826"/>
    <n v="1443"/>
    <n v="2886"/>
    <n v="3652"/>
    <n v="766"/>
    <s v="Product 7"/>
    <x v="69"/>
    <s v="Ernest Wagner"/>
    <x v="709"/>
    <n v="6"/>
    <x v="5"/>
    <x v="1"/>
    <x v="1"/>
    <x v="0"/>
    <x v="0"/>
  </r>
  <r>
    <s v="AX11503"/>
    <s v="ENX2099"/>
    <s v="A121"/>
    <s v="EMP1044"/>
    <s v="C1003"/>
    <x v="591"/>
    <n v="2"/>
    <n v="1367"/>
    <n v="984"/>
    <n v="1968"/>
    <n v="2734"/>
    <n v="766"/>
    <s v="Product 100"/>
    <x v="72"/>
    <s v="Martin Carr"/>
    <x v="494"/>
    <n v="6"/>
    <x v="5"/>
    <x v="1"/>
    <x v="1"/>
    <x v="0"/>
    <x v="0"/>
  </r>
  <r>
    <s v="AX11521"/>
    <s v="ENX2009"/>
    <s v="A171"/>
    <s v="EMP1030"/>
    <s v="C1167"/>
    <x v="591"/>
    <n v="3"/>
    <n v="584"/>
    <n v="420"/>
    <n v="1260"/>
    <n v="1752"/>
    <n v="492"/>
    <s v="Product 10"/>
    <x v="0"/>
    <s v="Bobby Russell"/>
    <x v="481"/>
    <n v="6"/>
    <x v="5"/>
    <x v="1"/>
    <x v="1"/>
    <x v="0"/>
    <x v="0"/>
  </r>
  <r>
    <s v="AX11905"/>
    <s v="ENX2051"/>
    <s v="A148"/>
    <s v="EMP1044"/>
    <s v="C1665"/>
    <x v="588"/>
    <n v="2"/>
    <n v="1077"/>
    <n v="732"/>
    <n v="1464"/>
    <n v="2154"/>
    <n v="690"/>
    <s v="Product 52"/>
    <x v="62"/>
    <s v="Martin Carr"/>
    <x v="615"/>
    <n v="6"/>
    <x v="5"/>
    <x v="1"/>
    <x v="1"/>
    <x v="0"/>
    <x v="0"/>
  </r>
  <r>
    <s v="AX12237"/>
    <s v="ENX2046"/>
    <s v="A160"/>
    <s v="EMP1023"/>
    <s v="C1564"/>
    <x v="588"/>
    <n v="1"/>
    <n v="2410"/>
    <n v="1518"/>
    <n v="1518"/>
    <n v="2410"/>
    <n v="892"/>
    <s v="Product 47"/>
    <x v="9"/>
    <s v="Brian Davis"/>
    <x v="302"/>
    <n v="6"/>
    <x v="5"/>
    <x v="1"/>
    <x v="1"/>
    <x v="0"/>
    <x v="0"/>
  </r>
  <r>
    <s v="AX12458"/>
    <s v="ENX2096"/>
    <s v="A143"/>
    <s v="EMP1002"/>
    <s v="C1069"/>
    <x v="589"/>
    <n v="1"/>
    <n v="1587"/>
    <n v="1301"/>
    <n v="1301"/>
    <n v="1587"/>
    <n v="286"/>
    <s v="Product 97"/>
    <x v="39"/>
    <s v="Andrew Bowman"/>
    <x v="284"/>
    <n v="6"/>
    <x v="5"/>
    <x v="1"/>
    <x v="1"/>
    <x v="0"/>
    <x v="0"/>
  </r>
  <r>
    <s v="AX12468"/>
    <s v="ENX2095"/>
    <s v="A170"/>
    <s v="EMP1023"/>
    <s v="C1561"/>
    <x v="592"/>
    <n v="1"/>
    <n v="1743"/>
    <n v="872"/>
    <n v="872"/>
    <n v="1743"/>
    <n v="871"/>
    <s v="Product 96"/>
    <x v="47"/>
    <s v="Brian Davis"/>
    <x v="114"/>
    <n v="6"/>
    <x v="5"/>
    <x v="1"/>
    <x v="1"/>
    <x v="0"/>
    <x v="0"/>
  </r>
  <r>
    <s v="AX12546"/>
    <s v="ENX2037"/>
    <s v="A132"/>
    <s v="EMP1019"/>
    <s v="C1227"/>
    <x v="589"/>
    <n v="1"/>
    <n v="880"/>
    <n v="634"/>
    <n v="634"/>
    <n v="880"/>
    <n v="246"/>
    <s v="Product 38"/>
    <x v="48"/>
    <s v="Roger Robertson"/>
    <x v="765"/>
    <n v="6"/>
    <x v="5"/>
    <x v="1"/>
    <x v="1"/>
    <x v="0"/>
    <x v="0"/>
  </r>
  <r>
    <s v="AX12592"/>
    <s v="ENX2025"/>
    <s v="A103"/>
    <s v="EMP1035"/>
    <s v="C1331"/>
    <x v="589"/>
    <n v="2"/>
    <n v="667"/>
    <n v="387"/>
    <n v="774"/>
    <n v="1334"/>
    <n v="560"/>
    <s v="Product 26"/>
    <x v="61"/>
    <s v="Roger Ramos"/>
    <x v="482"/>
    <n v="6"/>
    <x v="5"/>
    <x v="1"/>
    <x v="1"/>
    <x v="0"/>
    <x v="0"/>
  </r>
  <r>
    <s v="AX12793"/>
    <s v="ENX2030"/>
    <s v="A160"/>
    <s v="EMP1015"/>
    <s v="C1341"/>
    <x v="589"/>
    <n v="3"/>
    <n v="1899"/>
    <n v="1044"/>
    <n v="3132"/>
    <n v="5697"/>
    <n v="2565"/>
    <s v="Product 31"/>
    <x v="9"/>
    <s v="Justin Lynch"/>
    <x v="750"/>
    <n v="6"/>
    <x v="5"/>
    <x v="1"/>
    <x v="1"/>
    <x v="0"/>
    <x v="0"/>
  </r>
  <r>
    <s v="AX13770"/>
    <s v="ENX2024"/>
    <s v="A120"/>
    <s v="EMP1015"/>
    <s v="C1044"/>
    <x v="589"/>
    <n v="2"/>
    <n v="356"/>
    <n v="292"/>
    <n v="584"/>
    <n v="712"/>
    <n v="128"/>
    <s v="Product 25"/>
    <x v="20"/>
    <s v="Justin Lynch"/>
    <x v="331"/>
    <n v="6"/>
    <x v="5"/>
    <x v="1"/>
    <x v="1"/>
    <x v="0"/>
    <x v="0"/>
  </r>
  <r>
    <s v="AX13834"/>
    <s v="ENX2023"/>
    <s v="A103"/>
    <s v="EMP1036"/>
    <s v="C1422"/>
    <x v="588"/>
    <n v="3"/>
    <n v="818"/>
    <n v="450"/>
    <n v="1350"/>
    <n v="2454"/>
    <n v="1104"/>
    <s v="Product 24"/>
    <x v="61"/>
    <s v="Robert Reed"/>
    <x v="176"/>
    <n v="6"/>
    <x v="5"/>
    <x v="1"/>
    <x v="1"/>
    <x v="0"/>
    <x v="0"/>
  </r>
  <r>
    <s v="AX13933"/>
    <s v="ENX2090"/>
    <s v="A110"/>
    <s v="EMP1017"/>
    <s v="C1244"/>
    <x v="590"/>
    <n v="3"/>
    <n v="1338"/>
    <n v="682"/>
    <n v="2046"/>
    <n v="4014"/>
    <n v="1968"/>
    <s v="Product 91"/>
    <x v="63"/>
    <s v="Brian Hansen"/>
    <x v="381"/>
    <n v="6"/>
    <x v="5"/>
    <x v="1"/>
    <x v="1"/>
    <x v="0"/>
    <x v="0"/>
  </r>
  <r>
    <s v="AX14524"/>
    <s v="ENX2095"/>
    <s v="A165"/>
    <s v="EMP1015"/>
    <s v="C1765"/>
    <x v="590"/>
    <n v="3"/>
    <n v="1743"/>
    <n v="872"/>
    <n v="2616"/>
    <n v="5229"/>
    <n v="2613"/>
    <s v="Product 96"/>
    <x v="55"/>
    <s v="Justin Lynch"/>
    <x v="470"/>
    <n v="6"/>
    <x v="5"/>
    <x v="1"/>
    <x v="1"/>
    <x v="0"/>
    <x v="0"/>
  </r>
  <r>
    <s v="AX14567"/>
    <s v="ENX2068"/>
    <s v="A138"/>
    <s v="EMP1024"/>
    <s v="C1224"/>
    <x v="591"/>
    <n v="1"/>
    <n v="1500"/>
    <n v="900"/>
    <n v="900"/>
    <n v="1500"/>
    <n v="600"/>
    <s v="Product 69"/>
    <x v="37"/>
    <s v="Ernest Wheeler"/>
    <x v="492"/>
    <n v="6"/>
    <x v="5"/>
    <x v="1"/>
    <x v="1"/>
    <x v="0"/>
    <x v="0"/>
  </r>
  <r>
    <s v="AX14739"/>
    <s v="ENX2028"/>
    <s v="A125"/>
    <s v="EMP1018"/>
    <s v="C1204"/>
    <x v="588"/>
    <n v="1"/>
    <n v="2283"/>
    <n v="1484"/>
    <n v="1484"/>
    <n v="2283"/>
    <n v="799"/>
    <s v="Product 29"/>
    <x v="31"/>
    <s v="Jimmy Young"/>
    <x v="654"/>
    <n v="6"/>
    <x v="5"/>
    <x v="1"/>
    <x v="1"/>
    <x v="0"/>
    <x v="0"/>
  </r>
  <r>
    <s v="AX14857"/>
    <s v="ENX2093"/>
    <s v="A147"/>
    <s v="EMP1030"/>
    <s v="C1094"/>
    <x v="590"/>
    <n v="4"/>
    <n v="112"/>
    <n v="90"/>
    <n v="360"/>
    <n v="448"/>
    <n v="88"/>
    <s v="Product 94"/>
    <x v="42"/>
    <s v="Bobby Russell"/>
    <x v="261"/>
    <n v="6"/>
    <x v="5"/>
    <x v="1"/>
    <x v="1"/>
    <x v="0"/>
    <x v="0"/>
  </r>
  <r>
    <s v="AX14939"/>
    <s v="ENX2023"/>
    <s v="A147"/>
    <s v="EMP1037"/>
    <s v="C1485"/>
    <x v="592"/>
    <n v="1"/>
    <n v="818"/>
    <n v="450"/>
    <n v="450"/>
    <n v="818"/>
    <n v="368"/>
    <s v="Product 24"/>
    <x v="42"/>
    <s v="Carl Hall"/>
    <x v="679"/>
    <n v="6"/>
    <x v="5"/>
    <x v="1"/>
    <x v="1"/>
    <x v="0"/>
    <x v="0"/>
  </r>
  <r>
    <s v="AX14970"/>
    <s v="ENX2042"/>
    <s v="A100"/>
    <s v="EMP1010"/>
    <s v="C1535"/>
    <x v="588"/>
    <n v="1"/>
    <n v="203"/>
    <n v="154"/>
    <n v="154"/>
    <n v="203"/>
    <n v="49"/>
    <s v="Product 43"/>
    <x v="52"/>
    <s v="Joshua Cook"/>
    <x v="85"/>
    <n v="6"/>
    <x v="5"/>
    <x v="1"/>
    <x v="1"/>
    <x v="0"/>
    <x v="0"/>
  </r>
  <r>
    <s v="AX15084"/>
    <s v="ENX2035"/>
    <s v="A152"/>
    <s v="EMP1039"/>
    <s v="C1789"/>
    <x v="588"/>
    <n v="1"/>
    <n v="458"/>
    <n v="376"/>
    <n v="376"/>
    <n v="458"/>
    <n v="82"/>
    <s v="Product 36"/>
    <x v="26"/>
    <s v="Eugene Holmes"/>
    <x v="701"/>
    <n v="6"/>
    <x v="5"/>
    <x v="1"/>
    <x v="1"/>
    <x v="0"/>
    <x v="0"/>
  </r>
  <r>
    <s v="AX15209"/>
    <s v="ENX2096"/>
    <s v="A100"/>
    <s v="EMP1043"/>
    <s v="C1382"/>
    <x v="590"/>
    <n v="1"/>
    <n v="1587"/>
    <n v="1301"/>
    <n v="1301"/>
    <n v="1587"/>
    <n v="286"/>
    <s v="Product 97"/>
    <x v="52"/>
    <s v="Joshua Taylor"/>
    <x v="334"/>
    <n v="6"/>
    <x v="5"/>
    <x v="1"/>
    <x v="1"/>
    <x v="0"/>
    <x v="0"/>
  </r>
  <r>
    <s v="AX15379"/>
    <s v="ENX2089"/>
    <s v="A146"/>
    <s v="EMP1013"/>
    <s v="C1370"/>
    <x v="592"/>
    <n v="1"/>
    <n v="2294"/>
    <n v="1399"/>
    <n v="1399"/>
    <n v="2294"/>
    <n v="895"/>
    <s v="Product 90"/>
    <x v="27"/>
    <s v="Charles Harper"/>
    <x v="341"/>
    <n v="6"/>
    <x v="5"/>
    <x v="1"/>
    <x v="1"/>
    <x v="0"/>
    <x v="0"/>
  </r>
  <r>
    <s v="AX15380"/>
    <s v="ENX2090"/>
    <s v="A115"/>
    <s v="EMP1041"/>
    <s v="C1552"/>
    <x v="591"/>
    <n v="2"/>
    <n v="1338"/>
    <n v="682"/>
    <n v="1364"/>
    <n v="2676"/>
    <n v="1312"/>
    <s v="Product 91"/>
    <x v="33"/>
    <s v="Joe Sims"/>
    <x v="92"/>
    <n v="6"/>
    <x v="5"/>
    <x v="1"/>
    <x v="1"/>
    <x v="0"/>
    <x v="0"/>
  </r>
  <r>
    <s v="AX15914"/>
    <s v="ENX2004"/>
    <s v="A150"/>
    <s v="EMP1041"/>
    <s v="C1142"/>
    <x v="588"/>
    <n v="1"/>
    <n v="1278"/>
    <n v="665"/>
    <n v="665"/>
    <n v="1278"/>
    <n v="613"/>
    <s v="Product 5"/>
    <x v="30"/>
    <s v="Joe Sims"/>
    <x v="731"/>
    <n v="6"/>
    <x v="5"/>
    <x v="1"/>
    <x v="1"/>
    <x v="0"/>
    <x v="0"/>
  </r>
  <r>
    <s v="AX15918"/>
    <s v="ENX2018"/>
    <s v="A121"/>
    <s v="EMP1010"/>
    <s v="C1477"/>
    <x v="591"/>
    <n v="3"/>
    <n v="1972"/>
    <n v="1321"/>
    <n v="3963"/>
    <n v="5916"/>
    <n v="1953"/>
    <s v="Product 19"/>
    <x v="72"/>
    <s v="Joshua Cook"/>
    <x v="408"/>
    <n v="6"/>
    <x v="5"/>
    <x v="1"/>
    <x v="1"/>
    <x v="0"/>
    <x v="0"/>
  </r>
  <r>
    <s v="AX16417"/>
    <s v="ENX2038"/>
    <s v="A121"/>
    <s v="EMP1012"/>
    <s v="C1723"/>
    <x v="589"/>
    <n v="4"/>
    <n v="392"/>
    <n v="255"/>
    <n v="1020"/>
    <n v="1568"/>
    <n v="548"/>
    <s v="Product 39"/>
    <x v="72"/>
    <s v="John Reyes"/>
    <x v="118"/>
    <n v="6"/>
    <x v="5"/>
    <x v="1"/>
    <x v="1"/>
    <x v="0"/>
    <x v="0"/>
  </r>
  <r>
    <s v="AX16820"/>
    <s v="ENX2096"/>
    <s v="A153"/>
    <s v="EMP1043"/>
    <s v="C1161"/>
    <x v="589"/>
    <n v="1"/>
    <n v="1587"/>
    <n v="1301"/>
    <n v="1301"/>
    <n v="1587"/>
    <n v="286"/>
    <s v="Product 97"/>
    <x v="8"/>
    <s v="Joshua Taylor"/>
    <x v="732"/>
    <n v="6"/>
    <x v="5"/>
    <x v="1"/>
    <x v="1"/>
    <x v="0"/>
    <x v="0"/>
  </r>
  <r>
    <s v="AX16932"/>
    <s v="ENX2090"/>
    <s v="A117"/>
    <s v="EMP1032"/>
    <s v="C1408"/>
    <x v="588"/>
    <n v="2"/>
    <n v="1338"/>
    <n v="682"/>
    <n v="1364"/>
    <n v="2676"/>
    <n v="1312"/>
    <s v="Product 91"/>
    <x v="29"/>
    <s v="Larry Castillo"/>
    <x v="647"/>
    <n v="6"/>
    <x v="5"/>
    <x v="1"/>
    <x v="1"/>
    <x v="0"/>
    <x v="0"/>
  </r>
  <r>
    <s v="AX17310"/>
    <s v="ENX2036"/>
    <s v="A171"/>
    <s v="EMP1026"/>
    <s v="C1113"/>
    <x v="592"/>
    <n v="1"/>
    <n v="1582"/>
    <n v="1234"/>
    <n v="1234"/>
    <n v="1582"/>
    <n v="348"/>
    <s v="Product 37"/>
    <x v="0"/>
    <s v="Martin Perry"/>
    <x v="101"/>
    <n v="6"/>
    <x v="5"/>
    <x v="1"/>
    <x v="1"/>
    <x v="0"/>
    <x v="0"/>
  </r>
  <r>
    <s v="AX17546"/>
    <s v="ENX2069"/>
    <s v="A170"/>
    <s v="EMP1024"/>
    <s v="C1195"/>
    <x v="589"/>
    <n v="1"/>
    <n v="378"/>
    <n v="291"/>
    <n v="291"/>
    <n v="378"/>
    <n v="87"/>
    <s v="Product 70"/>
    <x v="47"/>
    <s v="Ernest Wheeler"/>
    <x v="188"/>
    <n v="6"/>
    <x v="5"/>
    <x v="1"/>
    <x v="1"/>
    <x v="0"/>
    <x v="0"/>
  </r>
  <r>
    <s v="AX17725"/>
    <s v="ENX2065"/>
    <s v="A133"/>
    <s v="EMP1003"/>
    <s v="C1536"/>
    <x v="588"/>
    <n v="4"/>
    <n v="2396"/>
    <n v="1965"/>
    <n v="7860"/>
    <n v="9584"/>
    <n v="1724"/>
    <s v="Product 66"/>
    <x v="46"/>
    <s v="Christopher Tucker"/>
    <x v="74"/>
    <n v="6"/>
    <x v="5"/>
    <x v="1"/>
    <x v="1"/>
    <x v="0"/>
    <x v="0"/>
  </r>
  <r>
    <s v="AX17737"/>
    <s v="ENX2067"/>
    <s v="A147"/>
    <s v="EMP1011"/>
    <s v="C1212"/>
    <x v="589"/>
    <n v="2"/>
    <n v="1119"/>
    <n v="683"/>
    <n v="1366"/>
    <n v="2238"/>
    <n v="872"/>
    <s v="Product 68"/>
    <x v="42"/>
    <s v="Larry Marshall"/>
    <x v="220"/>
    <n v="6"/>
    <x v="5"/>
    <x v="1"/>
    <x v="1"/>
    <x v="0"/>
    <x v="0"/>
  </r>
  <r>
    <s v="AX18078"/>
    <s v="ENX2020"/>
    <s v="A171"/>
    <s v="EMP1013"/>
    <s v="C1783"/>
    <x v="592"/>
    <n v="2"/>
    <n v="2005"/>
    <n v="1223"/>
    <n v="2446"/>
    <n v="4010"/>
    <n v="1564"/>
    <s v="Product 21"/>
    <x v="0"/>
    <s v="Charles Harper"/>
    <x v="272"/>
    <n v="6"/>
    <x v="5"/>
    <x v="1"/>
    <x v="1"/>
    <x v="0"/>
    <x v="0"/>
  </r>
  <r>
    <s v="AX18448"/>
    <s v="ENX2015"/>
    <s v="A161"/>
    <s v="EMP1003"/>
    <s v="C1025"/>
    <x v="589"/>
    <n v="1"/>
    <n v="637"/>
    <n v="389"/>
    <n v="389"/>
    <n v="637"/>
    <n v="248"/>
    <s v="Product 16"/>
    <x v="6"/>
    <s v="Christopher Tucker"/>
    <x v="350"/>
    <n v="6"/>
    <x v="5"/>
    <x v="1"/>
    <x v="1"/>
    <x v="0"/>
    <x v="0"/>
  </r>
  <r>
    <s v="AX18699"/>
    <s v="ENX2038"/>
    <s v="A170"/>
    <s v="EMP1030"/>
    <s v="C1478"/>
    <x v="590"/>
    <n v="2"/>
    <n v="392"/>
    <n v="255"/>
    <n v="510"/>
    <n v="784"/>
    <n v="274"/>
    <s v="Product 39"/>
    <x v="47"/>
    <s v="Bobby Russell"/>
    <x v="483"/>
    <n v="6"/>
    <x v="5"/>
    <x v="1"/>
    <x v="1"/>
    <x v="0"/>
    <x v="0"/>
  </r>
  <r>
    <s v="AX18962"/>
    <s v="ENX2082"/>
    <s v="A120"/>
    <s v="EMP1027"/>
    <s v="C1032"/>
    <x v="590"/>
    <n v="1"/>
    <n v="1103"/>
    <n v="838"/>
    <n v="838"/>
    <n v="1103"/>
    <n v="265"/>
    <s v="Product 83"/>
    <x v="20"/>
    <s v="Gary Rodriguez"/>
    <x v="270"/>
    <n v="6"/>
    <x v="5"/>
    <x v="1"/>
    <x v="1"/>
    <x v="0"/>
    <x v="0"/>
  </r>
  <r>
    <s v="AX18964"/>
    <s v="ENX2052"/>
    <s v="A114"/>
    <s v="EMP1005"/>
    <s v="C1112"/>
    <x v="590"/>
    <n v="2"/>
    <n v="1526"/>
    <n v="1251"/>
    <n v="2502"/>
    <n v="3052"/>
    <n v="550"/>
    <s v="Product 53"/>
    <x v="28"/>
    <s v="Ryan Welch"/>
    <x v="590"/>
    <n v="6"/>
    <x v="5"/>
    <x v="1"/>
    <x v="1"/>
    <x v="0"/>
    <x v="0"/>
  </r>
  <r>
    <s v="AX19111"/>
    <s v="ENX2025"/>
    <s v="A137"/>
    <s v="EMP1023"/>
    <s v="C1430"/>
    <x v="588"/>
    <n v="1"/>
    <n v="667"/>
    <n v="387"/>
    <n v="387"/>
    <n v="667"/>
    <n v="280"/>
    <s v="Product 26"/>
    <x v="68"/>
    <s v="Brian Davis"/>
    <x v="741"/>
    <n v="6"/>
    <x v="5"/>
    <x v="1"/>
    <x v="1"/>
    <x v="0"/>
    <x v="0"/>
  </r>
  <r>
    <s v="AX19228"/>
    <s v="ENX2084"/>
    <s v="A137"/>
    <s v="EMP1030"/>
    <s v="C1026"/>
    <x v="589"/>
    <n v="3"/>
    <n v="1783"/>
    <n v="1230"/>
    <n v="3690"/>
    <n v="5349"/>
    <n v="1659"/>
    <s v="Product 85"/>
    <x v="68"/>
    <s v="Bobby Russell"/>
    <x v="410"/>
    <n v="6"/>
    <x v="5"/>
    <x v="1"/>
    <x v="1"/>
    <x v="0"/>
    <x v="0"/>
  </r>
  <r>
    <s v="AX19408"/>
    <s v="ENX2072"/>
    <s v="A142"/>
    <s v="EMP1033"/>
    <s v="C1470"/>
    <x v="591"/>
    <n v="1"/>
    <n v="1887"/>
    <n v="1378"/>
    <n v="1378"/>
    <n v="1887"/>
    <n v="509"/>
    <s v="Product 73"/>
    <x v="56"/>
    <s v="Jerry Perry"/>
    <x v="621"/>
    <n v="6"/>
    <x v="5"/>
    <x v="1"/>
    <x v="1"/>
    <x v="0"/>
    <x v="0"/>
  </r>
  <r>
    <s v="AX19483"/>
    <s v="ENX2072"/>
    <s v="A157"/>
    <s v="EMP1014"/>
    <s v="C1175"/>
    <x v="592"/>
    <n v="3"/>
    <n v="1887"/>
    <n v="1378"/>
    <n v="4134"/>
    <n v="5661"/>
    <n v="1527"/>
    <s v="Product 73"/>
    <x v="7"/>
    <s v="Ronald Reed"/>
    <x v="89"/>
    <n v="6"/>
    <x v="5"/>
    <x v="1"/>
    <x v="1"/>
    <x v="0"/>
    <x v="0"/>
  </r>
  <r>
    <s v="AX19604"/>
    <s v="ENX2000"/>
    <s v="A143"/>
    <s v="EMP1002"/>
    <s v="C1549"/>
    <x v="589"/>
    <n v="1"/>
    <n v="2241"/>
    <n v="1367"/>
    <n v="1367"/>
    <n v="2241"/>
    <n v="874"/>
    <s v="Product 1"/>
    <x v="39"/>
    <s v="Andrew Bowman"/>
    <x v="174"/>
    <n v="6"/>
    <x v="5"/>
    <x v="1"/>
    <x v="1"/>
    <x v="0"/>
    <x v="0"/>
  </r>
  <r>
    <s v="AX19659"/>
    <s v="ENX2060"/>
    <s v="A148"/>
    <s v="EMP1031"/>
    <s v="C1408"/>
    <x v="592"/>
    <n v="2"/>
    <n v="1467"/>
    <n v="807"/>
    <n v="1614"/>
    <n v="2934"/>
    <n v="1320"/>
    <s v="Product 61"/>
    <x v="62"/>
    <s v="Brian Thomas"/>
    <x v="647"/>
    <n v="6"/>
    <x v="5"/>
    <x v="1"/>
    <x v="1"/>
    <x v="0"/>
    <x v="0"/>
  </r>
  <r>
    <s v="AX19766"/>
    <s v="ENX2074"/>
    <s v="A122"/>
    <s v="EMP1034"/>
    <s v="C1754"/>
    <x v="589"/>
    <n v="1"/>
    <n v="504"/>
    <n v="408"/>
    <n v="408"/>
    <n v="504"/>
    <n v="96"/>
    <s v="Product 75"/>
    <x v="71"/>
    <s v="Arthur Mccoy"/>
    <x v="742"/>
    <n v="6"/>
    <x v="5"/>
    <x v="1"/>
    <x v="1"/>
    <x v="0"/>
    <x v="0"/>
  </r>
  <r>
    <s v="AX20099"/>
    <s v="ENX2037"/>
    <s v="A115"/>
    <s v="EMP1035"/>
    <s v="C1322"/>
    <x v="591"/>
    <n v="1"/>
    <n v="880"/>
    <n v="634"/>
    <n v="634"/>
    <n v="880"/>
    <n v="246"/>
    <s v="Product 38"/>
    <x v="33"/>
    <s v="Roger Ramos"/>
    <x v="604"/>
    <n v="6"/>
    <x v="5"/>
    <x v="1"/>
    <x v="1"/>
    <x v="0"/>
    <x v="0"/>
  </r>
  <r>
    <s v="AX20176"/>
    <s v="ENX2027"/>
    <s v="A146"/>
    <s v="EMP1034"/>
    <s v="C1077"/>
    <x v="592"/>
    <n v="3"/>
    <n v="2497"/>
    <n v="1473"/>
    <n v="4419"/>
    <n v="7491"/>
    <n v="3072"/>
    <s v="Product 28"/>
    <x v="27"/>
    <s v="Arthur Mccoy"/>
    <x v="315"/>
    <n v="6"/>
    <x v="5"/>
    <x v="1"/>
    <x v="1"/>
    <x v="0"/>
    <x v="0"/>
  </r>
  <r>
    <s v="AX20202"/>
    <s v="ENX2053"/>
    <s v="A121"/>
    <s v="EMP1016"/>
    <s v="C1795"/>
    <x v="592"/>
    <n v="1"/>
    <n v="596"/>
    <n v="358"/>
    <n v="358"/>
    <n v="596"/>
    <n v="238"/>
    <s v="Product 54"/>
    <x v="72"/>
    <s v="Henry Nelson"/>
    <x v="592"/>
    <n v="6"/>
    <x v="5"/>
    <x v="1"/>
    <x v="1"/>
    <x v="0"/>
    <x v="0"/>
  </r>
  <r>
    <s v="AX20279"/>
    <s v="ENX2042"/>
    <s v="A138"/>
    <s v="EMP1016"/>
    <s v="C1353"/>
    <x v="590"/>
    <n v="1"/>
    <n v="203"/>
    <n v="154"/>
    <n v="154"/>
    <n v="203"/>
    <n v="49"/>
    <s v="Product 43"/>
    <x v="37"/>
    <s v="Henry Nelson"/>
    <x v="642"/>
    <n v="6"/>
    <x v="5"/>
    <x v="1"/>
    <x v="1"/>
    <x v="0"/>
    <x v="0"/>
  </r>
  <r>
    <s v="AX20627"/>
    <s v="ENX2023"/>
    <s v="A164"/>
    <s v="EMP1031"/>
    <s v="C1265"/>
    <x v="591"/>
    <n v="2"/>
    <n v="818"/>
    <n v="450"/>
    <n v="900"/>
    <n v="1636"/>
    <n v="736"/>
    <s v="Product 24"/>
    <x v="3"/>
    <s v="Brian Thomas"/>
    <x v="348"/>
    <n v="6"/>
    <x v="5"/>
    <x v="1"/>
    <x v="1"/>
    <x v="0"/>
    <x v="0"/>
  </r>
  <r>
    <s v="AX20631"/>
    <s v="ENX2006"/>
    <s v="A104"/>
    <s v="EMP1008"/>
    <s v="C1287"/>
    <x v="592"/>
    <n v="1"/>
    <n v="1826"/>
    <n v="1443"/>
    <n v="1443"/>
    <n v="1826"/>
    <n v="383"/>
    <s v="Product 7"/>
    <x v="50"/>
    <s v="Carl Elliott"/>
    <x v="443"/>
    <n v="6"/>
    <x v="5"/>
    <x v="1"/>
    <x v="1"/>
    <x v="0"/>
    <x v="0"/>
  </r>
  <r>
    <s v="AX20854"/>
    <s v="ENX2044"/>
    <s v="A120"/>
    <s v="EMP1001"/>
    <s v="C1409"/>
    <x v="590"/>
    <n v="3"/>
    <n v="886"/>
    <n v="478"/>
    <n v="1434"/>
    <n v="2658"/>
    <n v="1224"/>
    <s v="Product 45"/>
    <x v="20"/>
    <s v="Kevin Butler"/>
    <x v="44"/>
    <n v="6"/>
    <x v="5"/>
    <x v="1"/>
    <x v="1"/>
    <x v="0"/>
    <x v="0"/>
  </r>
  <r>
    <s v="AX21337"/>
    <s v="ENX2097"/>
    <s v="A147"/>
    <s v="EMP1040"/>
    <s v="C1027"/>
    <x v="588"/>
    <n v="2"/>
    <n v="1052"/>
    <n v="589"/>
    <n v="1178"/>
    <n v="2104"/>
    <n v="926"/>
    <s v="Product 98"/>
    <x v="42"/>
    <s v="Patrick Ruiz"/>
    <x v="528"/>
    <n v="6"/>
    <x v="5"/>
    <x v="1"/>
    <x v="1"/>
    <x v="0"/>
    <x v="0"/>
  </r>
  <r>
    <s v="AX21429"/>
    <s v="ENX2028"/>
    <s v="A106"/>
    <s v="EMP1042"/>
    <s v="C1201"/>
    <x v="592"/>
    <n v="3"/>
    <n v="2283"/>
    <n v="1484"/>
    <n v="4452"/>
    <n v="6849"/>
    <n v="2397"/>
    <s v="Product 29"/>
    <x v="11"/>
    <s v="Scott Clark"/>
    <x v="760"/>
    <n v="6"/>
    <x v="5"/>
    <x v="1"/>
    <x v="1"/>
    <x v="0"/>
    <x v="0"/>
  </r>
  <r>
    <s v="AX21458"/>
    <s v="ENX2077"/>
    <s v="A166"/>
    <s v="EMP1043"/>
    <s v="C1115"/>
    <x v="590"/>
    <n v="3"/>
    <n v="530"/>
    <n v="424"/>
    <n v="1272"/>
    <n v="1590"/>
    <n v="318"/>
    <s v="Product 78"/>
    <x v="70"/>
    <s v="Joshua Taylor"/>
    <x v="338"/>
    <n v="6"/>
    <x v="5"/>
    <x v="1"/>
    <x v="1"/>
    <x v="0"/>
    <x v="0"/>
  </r>
  <r>
    <s v="AX21855"/>
    <s v="ENX2012"/>
    <s v="A112"/>
    <s v="EMP1044"/>
    <s v="C1079"/>
    <x v="588"/>
    <n v="1"/>
    <n v="1353"/>
    <n v="947"/>
    <n v="947"/>
    <n v="1353"/>
    <n v="406"/>
    <s v="Product 13"/>
    <x v="66"/>
    <s v="Martin Carr"/>
    <x v="370"/>
    <n v="6"/>
    <x v="5"/>
    <x v="1"/>
    <x v="1"/>
    <x v="0"/>
    <x v="0"/>
  </r>
  <r>
    <s v="AX22841"/>
    <s v="ENX2053"/>
    <s v="A153"/>
    <s v="EMP1036"/>
    <s v="C1466"/>
    <x v="592"/>
    <n v="1"/>
    <n v="596"/>
    <n v="358"/>
    <n v="358"/>
    <n v="596"/>
    <n v="238"/>
    <s v="Product 54"/>
    <x v="8"/>
    <s v="Robert Reed"/>
    <x v="132"/>
    <n v="6"/>
    <x v="5"/>
    <x v="1"/>
    <x v="1"/>
    <x v="0"/>
    <x v="0"/>
  </r>
  <r>
    <s v="AX23059"/>
    <s v="ENX2057"/>
    <s v="A151"/>
    <s v="EMP1032"/>
    <s v="C1108"/>
    <x v="592"/>
    <n v="1"/>
    <n v="181"/>
    <n v="130"/>
    <n v="130"/>
    <n v="181"/>
    <n v="51"/>
    <s v="Product 58"/>
    <x v="1"/>
    <s v="Larry Castillo"/>
    <x v="656"/>
    <n v="6"/>
    <x v="5"/>
    <x v="1"/>
    <x v="1"/>
    <x v="0"/>
    <x v="0"/>
  </r>
  <r>
    <s v="AX23067"/>
    <s v="ENX2046"/>
    <s v="A163"/>
    <s v="EMP1019"/>
    <s v="C1429"/>
    <x v="590"/>
    <n v="1"/>
    <n v="2410"/>
    <n v="1518"/>
    <n v="1518"/>
    <n v="2410"/>
    <n v="892"/>
    <s v="Product 47"/>
    <x v="51"/>
    <s v="Roger Robertson"/>
    <x v="651"/>
    <n v="6"/>
    <x v="5"/>
    <x v="1"/>
    <x v="1"/>
    <x v="0"/>
    <x v="0"/>
  </r>
  <r>
    <s v="AX23356"/>
    <s v="ENX2025"/>
    <s v="A117"/>
    <s v="EMP1021"/>
    <s v="C1031"/>
    <x v="589"/>
    <n v="2"/>
    <n v="667"/>
    <n v="387"/>
    <n v="774"/>
    <n v="1334"/>
    <n v="560"/>
    <s v="Product 26"/>
    <x v="29"/>
    <s v="Clarence Fox"/>
    <x v="782"/>
    <n v="6"/>
    <x v="5"/>
    <x v="1"/>
    <x v="1"/>
    <x v="0"/>
    <x v="0"/>
  </r>
  <r>
    <s v="AX24096"/>
    <s v="ENX2070"/>
    <s v="A125"/>
    <s v="EMP1016"/>
    <s v="C1629"/>
    <x v="592"/>
    <n v="2"/>
    <n v="1671"/>
    <n v="1220"/>
    <n v="2440"/>
    <n v="3342"/>
    <n v="902"/>
    <s v="Product 71"/>
    <x v="31"/>
    <s v="Henry Nelson"/>
    <x v="734"/>
    <n v="6"/>
    <x v="5"/>
    <x v="1"/>
    <x v="1"/>
    <x v="0"/>
    <x v="0"/>
  </r>
  <r>
    <s v="AX24595"/>
    <s v="ENX2090"/>
    <s v="A141"/>
    <s v="EMP1017"/>
    <s v="C1046"/>
    <x v="591"/>
    <n v="1"/>
    <n v="1338"/>
    <n v="682"/>
    <n v="682"/>
    <n v="1338"/>
    <n v="656"/>
    <s v="Product 91"/>
    <x v="23"/>
    <s v="Brian Hansen"/>
    <x v="719"/>
    <n v="6"/>
    <x v="5"/>
    <x v="1"/>
    <x v="1"/>
    <x v="0"/>
    <x v="0"/>
  </r>
  <r>
    <s v="AX24623"/>
    <s v="ENX2045"/>
    <s v="A108"/>
    <s v="EMP1022"/>
    <s v="C1512"/>
    <x v="590"/>
    <n v="2"/>
    <n v="556"/>
    <n v="395"/>
    <n v="790"/>
    <n v="1112"/>
    <n v="322"/>
    <s v="Product 46"/>
    <x v="49"/>
    <s v="Walter Cook"/>
    <x v="671"/>
    <n v="6"/>
    <x v="5"/>
    <x v="1"/>
    <x v="1"/>
    <x v="0"/>
    <x v="0"/>
  </r>
  <r>
    <s v="AX24635"/>
    <s v="ENX2032"/>
    <s v="A111"/>
    <s v="EMP1003"/>
    <s v="C1206"/>
    <x v="590"/>
    <n v="1"/>
    <n v="1967"/>
    <n v="1397"/>
    <n v="1397"/>
    <n v="1967"/>
    <n v="570"/>
    <s v="Product 33"/>
    <x v="54"/>
    <s v="Christopher Tucker"/>
    <x v="518"/>
    <n v="6"/>
    <x v="5"/>
    <x v="1"/>
    <x v="1"/>
    <x v="0"/>
    <x v="0"/>
  </r>
  <r>
    <s v="AX10313"/>
    <s v="ENX2012"/>
    <s v="A170"/>
    <s v="EMP1002"/>
    <s v="C1780"/>
    <x v="593"/>
    <n v="3"/>
    <n v="1353"/>
    <n v="947"/>
    <n v="2841"/>
    <n v="4059"/>
    <n v="1218"/>
    <s v="Product 13"/>
    <x v="47"/>
    <s v="Andrew Bowman"/>
    <x v="320"/>
    <n v="6"/>
    <x v="5"/>
    <x v="1"/>
    <x v="1"/>
    <x v="0"/>
    <x v="1"/>
  </r>
  <r>
    <s v="AX10405"/>
    <s v="ENX2062"/>
    <s v="A159"/>
    <s v="EMP1036"/>
    <s v="C1460"/>
    <x v="594"/>
    <n v="3"/>
    <n v="2464"/>
    <n v="1774"/>
    <n v="5322"/>
    <n v="7392"/>
    <n v="2070"/>
    <s v="Product 63"/>
    <x v="13"/>
    <s v="Robert Reed"/>
    <x v="613"/>
    <n v="6"/>
    <x v="5"/>
    <x v="1"/>
    <x v="1"/>
    <x v="0"/>
    <x v="1"/>
  </r>
  <r>
    <s v="AX10411"/>
    <s v="ENX2100"/>
    <s v="A164"/>
    <s v="EMP1010"/>
    <s v="C1252"/>
    <x v="595"/>
    <n v="1"/>
    <n v="799"/>
    <n v="455"/>
    <n v="455"/>
    <n v="799"/>
    <n v="344"/>
    <s v="Product 101"/>
    <x v="3"/>
    <s v="Joshua Cook"/>
    <x v="358"/>
    <n v="6"/>
    <x v="5"/>
    <x v="1"/>
    <x v="1"/>
    <x v="0"/>
    <x v="1"/>
  </r>
  <r>
    <s v="AX11258"/>
    <s v="ENX2091"/>
    <s v="A149"/>
    <s v="EMP1041"/>
    <s v="C1284"/>
    <x v="595"/>
    <n v="1"/>
    <n v="368"/>
    <n v="294"/>
    <n v="294"/>
    <n v="368"/>
    <n v="74"/>
    <s v="Product 92"/>
    <x v="59"/>
    <s v="Joe Sims"/>
    <x v="713"/>
    <n v="6"/>
    <x v="5"/>
    <x v="1"/>
    <x v="1"/>
    <x v="0"/>
    <x v="1"/>
  </r>
  <r>
    <s v="AX11978"/>
    <s v="ENX2000"/>
    <s v="A144"/>
    <s v="EMP1032"/>
    <s v="C1073"/>
    <x v="593"/>
    <n v="1"/>
    <n v="2241"/>
    <n v="1367"/>
    <n v="1367"/>
    <n v="2241"/>
    <n v="874"/>
    <s v="Product 1"/>
    <x v="65"/>
    <s v="Larry Castillo"/>
    <x v="237"/>
    <n v="6"/>
    <x v="5"/>
    <x v="1"/>
    <x v="1"/>
    <x v="0"/>
    <x v="1"/>
  </r>
  <r>
    <s v="AX12042"/>
    <s v="ENX2077"/>
    <s v="A162"/>
    <s v="EMP1032"/>
    <s v="C1367"/>
    <x v="595"/>
    <n v="3"/>
    <n v="530"/>
    <n v="424"/>
    <n v="1272"/>
    <n v="1590"/>
    <n v="318"/>
    <s v="Product 78"/>
    <x v="2"/>
    <s v="Larry Castillo"/>
    <x v="490"/>
    <n v="6"/>
    <x v="5"/>
    <x v="1"/>
    <x v="1"/>
    <x v="0"/>
    <x v="1"/>
  </r>
  <r>
    <s v="AX12215"/>
    <s v="ENX2064"/>
    <s v="A132"/>
    <s v="EMP1040"/>
    <s v="C1717"/>
    <x v="593"/>
    <n v="2"/>
    <n v="1414"/>
    <n v="962"/>
    <n v="1924"/>
    <n v="2828"/>
    <n v="904"/>
    <s v="Product 65"/>
    <x v="48"/>
    <s v="Patrick Ruiz"/>
    <x v="605"/>
    <n v="6"/>
    <x v="5"/>
    <x v="1"/>
    <x v="1"/>
    <x v="0"/>
    <x v="1"/>
  </r>
  <r>
    <s v="AX12288"/>
    <s v="ENX2044"/>
    <s v="A166"/>
    <s v="EMP1013"/>
    <s v="C1368"/>
    <x v="596"/>
    <n v="2"/>
    <n v="886"/>
    <n v="478"/>
    <n v="956"/>
    <n v="1772"/>
    <n v="816"/>
    <s v="Product 45"/>
    <x v="70"/>
    <s v="Charles Harper"/>
    <x v="200"/>
    <n v="6"/>
    <x v="5"/>
    <x v="1"/>
    <x v="1"/>
    <x v="0"/>
    <x v="1"/>
  </r>
  <r>
    <s v="AX12359"/>
    <s v="ENX2010"/>
    <s v="A146"/>
    <s v="EMP1013"/>
    <s v="C1263"/>
    <x v="596"/>
    <n v="4"/>
    <n v="1812"/>
    <n v="1305"/>
    <n v="5220"/>
    <n v="7248"/>
    <n v="2028"/>
    <s v="Product 11"/>
    <x v="27"/>
    <s v="Charles Harper"/>
    <x v="368"/>
    <n v="6"/>
    <x v="5"/>
    <x v="1"/>
    <x v="1"/>
    <x v="0"/>
    <x v="1"/>
  </r>
  <r>
    <s v="AX12369"/>
    <s v="ENX2008"/>
    <s v="A113"/>
    <s v="EMP1036"/>
    <s v="C1762"/>
    <x v="593"/>
    <n v="1"/>
    <n v="315"/>
    <n v="208"/>
    <n v="208"/>
    <n v="315"/>
    <n v="107"/>
    <s v="Product 9"/>
    <x v="73"/>
    <s v="Robert Reed"/>
    <x v="164"/>
    <n v="6"/>
    <x v="5"/>
    <x v="1"/>
    <x v="1"/>
    <x v="0"/>
    <x v="1"/>
  </r>
  <r>
    <s v="AX12391"/>
    <s v="ENX2039"/>
    <s v="A116"/>
    <s v="EMP1016"/>
    <s v="C1357"/>
    <x v="594"/>
    <n v="1"/>
    <n v="817"/>
    <n v="409"/>
    <n v="409"/>
    <n v="817"/>
    <n v="408"/>
    <s v="Product 40"/>
    <x v="15"/>
    <s v="Henry Nelson"/>
    <x v="327"/>
    <n v="6"/>
    <x v="5"/>
    <x v="1"/>
    <x v="1"/>
    <x v="0"/>
    <x v="1"/>
  </r>
  <r>
    <s v="AX12626"/>
    <s v="ENX2033"/>
    <s v="A116"/>
    <s v="EMP1042"/>
    <s v="C1518"/>
    <x v="594"/>
    <n v="4"/>
    <n v="2182"/>
    <n v="1200"/>
    <n v="4800"/>
    <n v="8728"/>
    <n v="3928"/>
    <s v="Product 34"/>
    <x v="15"/>
    <s v="Scott Clark"/>
    <x v="703"/>
    <n v="6"/>
    <x v="5"/>
    <x v="1"/>
    <x v="1"/>
    <x v="0"/>
    <x v="1"/>
  </r>
  <r>
    <s v="AX12664"/>
    <s v="ENX2035"/>
    <s v="A163"/>
    <s v="EMP1028"/>
    <s v="C1524"/>
    <x v="594"/>
    <n v="4"/>
    <n v="458"/>
    <n v="376"/>
    <n v="1504"/>
    <n v="1832"/>
    <n v="328"/>
    <s v="Product 36"/>
    <x v="51"/>
    <s v="Howard Sims"/>
    <x v="263"/>
    <n v="6"/>
    <x v="5"/>
    <x v="1"/>
    <x v="1"/>
    <x v="0"/>
    <x v="1"/>
  </r>
  <r>
    <s v="AX12728"/>
    <s v="ENX2005"/>
    <s v="A101"/>
    <s v="EMP1032"/>
    <s v="C1503"/>
    <x v="594"/>
    <n v="4"/>
    <n v="684"/>
    <n v="561"/>
    <n v="2244"/>
    <n v="2736"/>
    <n v="492"/>
    <s v="Product 6"/>
    <x v="60"/>
    <s v="Larry Castillo"/>
    <x v="569"/>
    <n v="6"/>
    <x v="5"/>
    <x v="1"/>
    <x v="1"/>
    <x v="0"/>
    <x v="1"/>
  </r>
  <r>
    <s v="AX13383"/>
    <s v="ENX2060"/>
    <s v="A113"/>
    <s v="EMP1031"/>
    <s v="C1732"/>
    <x v="594"/>
    <n v="1"/>
    <n v="1467"/>
    <n v="807"/>
    <n v="807"/>
    <n v="1467"/>
    <n v="660"/>
    <s v="Product 61"/>
    <x v="73"/>
    <s v="Brian Thomas"/>
    <x v="136"/>
    <n v="6"/>
    <x v="5"/>
    <x v="1"/>
    <x v="1"/>
    <x v="0"/>
    <x v="1"/>
  </r>
  <r>
    <s v="AX13881"/>
    <s v="ENX2036"/>
    <s v="A116"/>
    <s v="EMP1018"/>
    <s v="C1672"/>
    <x v="593"/>
    <n v="1"/>
    <n v="1582"/>
    <n v="1234"/>
    <n v="1234"/>
    <n v="1582"/>
    <n v="348"/>
    <s v="Product 37"/>
    <x v="15"/>
    <s v="Jimmy Young"/>
    <x v="547"/>
    <n v="6"/>
    <x v="5"/>
    <x v="1"/>
    <x v="1"/>
    <x v="0"/>
    <x v="1"/>
  </r>
  <r>
    <s v="AX14052"/>
    <s v="ENX2067"/>
    <s v="A139"/>
    <s v="EMP1030"/>
    <s v="C1697"/>
    <x v="596"/>
    <n v="1"/>
    <n v="1119"/>
    <n v="683"/>
    <n v="683"/>
    <n v="1119"/>
    <n v="436"/>
    <s v="Product 68"/>
    <x v="38"/>
    <s v="Bobby Russell"/>
    <x v="589"/>
    <n v="6"/>
    <x v="5"/>
    <x v="1"/>
    <x v="1"/>
    <x v="0"/>
    <x v="1"/>
  </r>
  <r>
    <s v="AX14246"/>
    <s v="ENX2050"/>
    <s v="A121"/>
    <s v="EMP1040"/>
    <s v="C1526"/>
    <x v="594"/>
    <n v="1"/>
    <n v="2391"/>
    <n v="1291"/>
    <n v="1291"/>
    <n v="2391"/>
    <n v="1100"/>
    <s v="Product 51"/>
    <x v="72"/>
    <s v="Patrick Ruiz"/>
    <x v="6"/>
    <n v="6"/>
    <x v="5"/>
    <x v="1"/>
    <x v="1"/>
    <x v="0"/>
    <x v="1"/>
  </r>
  <r>
    <s v="AX14899"/>
    <s v="ENX2089"/>
    <s v="A112"/>
    <s v="EMP1025"/>
    <s v="C1215"/>
    <x v="595"/>
    <n v="2"/>
    <n v="2294"/>
    <n v="1399"/>
    <n v="2798"/>
    <n v="4588"/>
    <n v="1790"/>
    <s v="Product 90"/>
    <x v="66"/>
    <s v="Ernest Wagner"/>
    <x v="650"/>
    <n v="6"/>
    <x v="5"/>
    <x v="1"/>
    <x v="1"/>
    <x v="0"/>
    <x v="1"/>
  </r>
  <r>
    <s v="AX15446"/>
    <s v="ENX2083"/>
    <s v="A141"/>
    <s v="EMP1038"/>
    <s v="C1034"/>
    <x v="595"/>
    <n v="1"/>
    <n v="2141"/>
    <n v="1777"/>
    <n v="1777"/>
    <n v="2141"/>
    <n v="364"/>
    <s v="Product 84"/>
    <x v="23"/>
    <s v="Scott Mason"/>
    <x v="704"/>
    <n v="6"/>
    <x v="5"/>
    <x v="1"/>
    <x v="1"/>
    <x v="0"/>
    <x v="1"/>
  </r>
  <r>
    <s v="AX15955"/>
    <s v="ENX2017"/>
    <s v="A157"/>
    <s v="EMP1030"/>
    <s v="C1147"/>
    <x v="596"/>
    <n v="1"/>
    <n v="35"/>
    <n v="22"/>
    <n v="22"/>
    <n v="35"/>
    <n v="13"/>
    <s v="Product 18"/>
    <x v="7"/>
    <s v="Bobby Russell"/>
    <x v="427"/>
    <n v="6"/>
    <x v="5"/>
    <x v="1"/>
    <x v="1"/>
    <x v="0"/>
    <x v="1"/>
  </r>
  <r>
    <s v="AX15959"/>
    <s v="ENX2061"/>
    <s v="A121"/>
    <s v="EMP1006"/>
    <s v="C1029"/>
    <x v="596"/>
    <n v="3"/>
    <n v="913"/>
    <n v="584"/>
    <n v="1752"/>
    <n v="2739"/>
    <n v="987"/>
    <s v="Product 62"/>
    <x v="72"/>
    <s v="Sean Miller"/>
    <x v="601"/>
    <n v="6"/>
    <x v="5"/>
    <x v="1"/>
    <x v="1"/>
    <x v="0"/>
    <x v="1"/>
  </r>
  <r>
    <s v="AX16136"/>
    <s v="ENX2094"/>
    <s v="A130"/>
    <s v="EMP1005"/>
    <s v="C1684"/>
    <x v="594"/>
    <n v="1"/>
    <n v="771"/>
    <n v="648"/>
    <n v="648"/>
    <n v="771"/>
    <n v="123"/>
    <s v="Product 95"/>
    <x v="4"/>
    <s v="Ryan Welch"/>
    <x v="258"/>
    <n v="6"/>
    <x v="5"/>
    <x v="1"/>
    <x v="1"/>
    <x v="0"/>
    <x v="1"/>
  </r>
  <r>
    <s v="AX16210"/>
    <s v="ENX2003"/>
    <s v="A125"/>
    <s v="EMP1009"/>
    <s v="C1418"/>
    <x v="595"/>
    <n v="1"/>
    <n v="1783"/>
    <n v="1516"/>
    <n v="1516"/>
    <n v="1783"/>
    <n v="267"/>
    <s v="Product 4"/>
    <x v="31"/>
    <s v="Kenneth Fields"/>
    <x v="441"/>
    <n v="6"/>
    <x v="5"/>
    <x v="1"/>
    <x v="1"/>
    <x v="0"/>
    <x v="1"/>
  </r>
  <r>
    <s v="AX17372"/>
    <s v="ENX2065"/>
    <s v="A124"/>
    <s v="EMP1041"/>
    <s v="C1655"/>
    <x v="595"/>
    <n v="1"/>
    <n v="2396"/>
    <n v="1965"/>
    <n v="1965"/>
    <n v="2396"/>
    <n v="431"/>
    <s v="Product 66"/>
    <x v="67"/>
    <s v="Joe Sims"/>
    <x v="73"/>
    <n v="6"/>
    <x v="5"/>
    <x v="1"/>
    <x v="1"/>
    <x v="0"/>
    <x v="1"/>
  </r>
  <r>
    <s v="AX17658"/>
    <s v="ENX2049"/>
    <s v="A111"/>
    <s v="EMP1018"/>
    <s v="C1707"/>
    <x v="596"/>
    <n v="3"/>
    <n v="826"/>
    <n v="562"/>
    <n v="1686"/>
    <n v="2478"/>
    <n v="792"/>
    <s v="Product 50"/>
    <x v="54"/>
    <s v="Jimmy Young"/>
    <x v="192"/>
    <n v="6"/>
    <x v="5"/>
    <x v="1"/>
    <x v="1"/>
    <x v="0"/>
    <x v="1"/>
  </r>
  <r>
    <s v="AX17690"/>
    <s v="ENX2061"/>
    <s v="A126"/>
    <s v="EMP1003"/>
    <s v="C1049"/>
    <x v="593"/>
    <n v="3"/>
    <n v="913"/>
    <n v="584"/>
    <n v="1752"/>
    <n v="2739"/>
    <n v="987"/>
    <s v="Product 62"/>
    <x v="5"/>
    <s v="Christopher Tucker"/>
    <x v="305"/>
    <n v="6"/>
    <x v="5"/>
    <x v="1"/>
    <x v="1"/>
    <x v="0"/>
    <x v="1"/>
  </r>
  <r>
    <s v="AX17834"/>
    <s v="ENX2058"/>
    <s v="A129"/>
    <s v="EMP1041"/>
    <s v="C1068"/>
    <x v="593"/>
    <n v="1"/>
    <n v="2257"/>
    <n v="1535"/>
    <n v="1535"/>
    <n v="2257"/>
    <n v="722"/>
    <s v="Product 59"/>
    <x v="22"/>
    <s v="Joe Sims"/>
    <x v="288"/>
    <n v="6"/>
    <x v="5"/>
    <x v="1"/>
    <x v="1"/>
    <x v="0"/>
    <x v="1"/>
  </r>
  <r>
    <s v="AX17913"/>
    <s v="ENX2019"/>
    <s v="A123"/>
    <s v="EMP1036"/>
    <s v="C1000"/>
    <x v="596"/>
    <n v="2"/>
    <n v="800"/>
    <n v="536"/>
    <n v="1072"/>
    <n v="1600"/>
    <n v="528"/>
    <s v="Product 20"/>
    <x v="34"/>
    <s v="Robert Reed"/>
    <x v="57"/>
    <n v="6"/>
    <x v="5"/>
    <x v="1"/>
    <x v="1"/>
    <x v="0"/>
    <x v="1"/>
  </r>
  <r>
    <s v="AX18507"/>
    <s v="ENX2035"/>
    <s v="A164"/>
    <s v="EMP1036"/>
    <s v="C1079"/>
    <x v="593"/>
    <n v="3"/>
    <n v="458"/>
    <n v="376"/>
    <n v="1128"/>
    <n v="1374"/>
    <n v="246"/>
    <s v="Product 36"/>
    <x v="3"/>
    <s v="Robert Reed"/>
    <x v="370"/>
    <n v="6"/>
    <x v="5"/>
    <x v="1"/>
    <x v="1"/>
    <x v="0"/>
    <x v="1"/>
  </r>
  <r>
    <s v="AX18951"/>
    <s v="ENX2040"/>
    <s v="A172"/>
    <s v="EMP1040"/>
    <s v="C1709"/>
    <x v="595"/>
    <n v="1"/>
    <n v="1889"/>
    <n v="945"/>
    <n v="945"/>
    <n v="1889"/>
    <n v="944"/>
    <s v="Product 41"/>
    <x v="36"/>
    <s v="Patrick Ruiz"/>
    <x v="203"/>
    <n v="6"/>
    <x v="5"/>
    <x v="1"/>
    <x v="1"/>
    <x v="0"/>
    <x v="1"/>
  </r>
  <r>
    <s v="AX19433"/>
    <s v="ENX2028"/>
    <s v="A114"/>
    <s v="EMP1014"/>
    <s v="C1162"/>
    <x v="593"/>
    <n v="1"/>
    <n v="2283"/>
    <n v="1484"/>
    <n v="1484"/>
    <n v="2283"/>
    <n v="799"/>
    <s v="Product 29"/>
    <x v="28"/>
    <s v="Ronald Reed"/>
    <x v="177"/>
    <n v="6"/>
    <x v="5"/>
    <x v="1"/>
    <x v="1"/>
    <x v="0"/>
    <x v="1"/>
  </r>
  <r>
    <s v="AX19520"/>
    <s v="ENX2028"/>
    <s v="A138"/>
    <s v="EMP1039"/>
    <s v="C1377"/>
    <x v="596"/>
    <n v="1"/>
    <n v="2283"/>
    <n v="1484"/>
    <n v="1484"/>
    <n v="2283"/>
    <n v="799"/>
    <s v="Product 29"/>
    <x v="37"/>
    <s v="Eugene Holmes"/>
    <x v="214"/>
    <n v="6"/>
    <x v="5"/>
    <x v="1"/>
    <x v="1"/>
    <x v="0"/>
    <x v="1"/>
  </r>
  <r>
    <s v="AX19762"/>
    <s v="ENX2086"/>
    <s v="A143"/>
    <s v="EMP1017"/>
    <s v="C1736"/>
    <x v="594"/>
    <n v="1"/>
    <n v="123"/>
    <n v="84"/>
    <n v="84"/>
    <n v="123"/>
    <n v="39"/>
    <s v="Product 87"/>
    <x v="39"/>
    <s v="Brian Hansen"/>
    <x v="472"/>
    <n v="6"/>
    <x v="5"/>
    <x v="1"/>
    <x v="1"/>
    <x v="0"/>
    <x v="1"/>
  </r>
  <r>
    <s v="AX20322"/>
    <s v="ENX2033"/>
    <s v="A122"/>
    <s v="EMP1042"/>
    <s v="C1255"/>
    <x v="593"/>
    <n v="2"/>
    <n v="2182"/>
    <n v="1200"/>
    <n v="2400"/>
    <n v="4364"/>
    <n v="1964"/>
    <s v="Product 34"/>
    <x v="71"/>
    <s v="Scott Clark"/>
    <x v="111"/>
    <n v="6"/>
    <x v="5"/>
    <x v="1"/>
    <x v="1"/>
    <x v="0"/>
    <x v="1"/>
  </r>
  <r>
    <s v="AX20353"/>
    <s v="ENX2060"/>
    <s v="A125"/>
    <s v="EMP1023"/>
    <s v="C1455"/>
    <x v="595"/>
    <n v="1"/>
    <n v="1467"/>
    <n v="807"/>
    <n v="807"/>
    <n v="1467"/>
    <n v="660"/>
    <s v="Product 61"/>
    <x v="31"/>
    <s v="Brian Davis"/>
    <x v="47"/>
    <n v="6"/>
    <x v="5"/>
    <x v="1"/>
    <x v="1"/>
    <x v="0"/>
    <x v="1"/>
  </r>
  <r>
    <s v="AX20454"/>
    <s v="ENX2071"/>
    <s v="A106"/>
    <s v="EMP1012"/>
    <s v="C1174"/>
    <x v="596"/>
    <n v="3"/>
    <n v="136"/>
    <n v="72"/>
    <n v="216"/>
    <n v="408"/>
    <n v="192"/>
    <s v="Product 72"/>
    <x v="11"/>
    <s v="John Reyes"/>
    <x v="715"/>
    <n v="6"/>
    <x v="5"/>
    <x v="1"/>
    <x v="1"/>
    <x v="0"/>
    <x v="1"/>
  </r>
  <r>
    <s v="AX20657"/>
    <s v="ENX2075"/>
    <s v="A139"/>
    <s v="EMP1034"/>
    <s v="C1209"/>
    <x v="593"/>
    <n v="1"/>
    <n v="400"/>
    <n v="208"/>
    <n v="208"/>
    <n v="400"/>
    <n v="192"/>
    <s v="Product 76"/>
    <x v="38"/>
    <s v="Arthur Mccoy"/>
    <x v="225"/>
    <n v="6"/>
    <x v="5"/>
    <x v="1"/>
    <x v="1"/>
    <x v="0"/>
    <x v="1"/>
  </r>
  <r>
    <s v="AX21126"/>
    <s v="ENX2000"/>
    <s v="A150"/>
    <s v="EMP1038"/>
    <s v="C1506"/>
    <x v="594"/>
    <n v="1"/>
    <n v="2241"/>
    <n v="1367"/>
    <n v="1367"/>
    <n v="2241"/>
    <n v="874"/>
    <s v="Product 1"/>
    <x v="30"/>
    <s v="Scott Mason"/>
    <x v="538"/>
    <n v="6"/>
    <x v="5"/>
    <x v="1"/>
    <x v="1"/>
    <x v="0"/>
    <x v="1"/>
  </r>
  <r>
    <s v="AX21282"/>
    <s v="ENX2090"/>
    <s v="A118"/>
    <s v="EMP1018"/>
    <s v="C1223"/>
    <x v="595"/>
    <n v="2"/>
    <n v="1338"/>
    <n v="682"/>
    <n v="1364"/>
    <n v="2676"/>
    <n v="1312"/>
    <s v="Product 91"/>
    <x v="19"/>
    <s v="Jimmy Young"/>
    <x v="310"/>
    <n v="6"/>
    <x v="5"/>
    <x v="1"/>
    <x v="1"/>
    <x v="0"/>
    <x v="1"/>
  </r>
  <r>
    <s v="AX21460"/>
    <s v="ENX2094"/>
    <s v="A133"/>
    <s v="EMP1031"/>
    <s v="C1525"/>
    <x v="594"/>
    <n v="2"/>
    <n v="771"/>
    <n v="648"/>
    <n v="1296"/>
    <n v="1542"/>
    <n v="246"/>
    <s v="Product 95"/>
    <x v="46"/>
    <s v="Brian Thomas"/>
    <x v="360"/>
    <n v="6"/>
    <x v="5"/>
    <x v="1"/>
    <x v="1"/>
    <x v="0"/>
    <x v="1"/>
  </r>
  <r>
    <s v="AX21840"/>
    <s v="ENX2023"/>
    <s v="A127"/>
    <s v="EMP1016"/>
    <s v="C1057"/>
    <x v="595"/>
    <n v="1"/>
    <n v="818"/>
    <n v="450"/>
    <n v="450"/>
    <n v="818"/>
    <n v="368"/>
    <s v="Product 24"/>
    <x v="69"/>
    <s v="Henry Nelson"/>
    <x v="635"/>
    <n v="6"/>
    <x v="5"/>
    <x v="1"/>
    <x v="1"/>
    <x v="0"/>
    <x v="1"/>
  </r>
  <r>
    <s v="AX22029"/>
    <s v="ENX2057"/>
    <s v="A148"/>
    <s v="EMP1033"/>
    <s v="C1433"/>
    <x v="593"/>
    <n v="3"/>
    <n v="181"/>
    <n v="130"/>
    <n v="390"/>
    <n v="543"/>
    <n v="153"/>
    <s v="Product 58"/>
    <x v="62"/>
    <s v="Jerry Perry"/>
    <x v="525"/>
    <n v="6"/>
    <x v="5"/>
    <x v="1"/>
    <x v="1"/>
    <x v="0"/>
    <x v="1"/>
  </r>
  <r>
    <s v="AX22084"/>
    <s v="ENX2043"/>
    <s v="A121"/>
    <s v="EMP1008"/>
    <s v="C1643"/>
    <x v="596"/>
    <n v="3"/>
    <n v="545"/>
    <n v="425"/>
    <n v="1275"/>
    <n v="1635"/>
    <n v="360"/>
    <s v="Product 44"/>
    <x v="72"/>
    <s v="Carl Elliott"/>
    <x v="142"/>
    <n v="6"/>
    <x v="5"/>
    <x v="1"/>
    <x v="1"/>
    <x v="0"/>
    <x v="1"/>
  </r>
  <r>
    <s v="AX22750"/>
    <s v="ENX2042"/>
    <s v="A105"/>
    <s v="EMP1044"/>
    <s v="C1144"/>
    <x v="594"/>
    <n v="1"/>
    <n v="203"/>
    <n v="154"/>
    <n v="154"/>
    <n v="203"/>
    <n v="49"/>
    <s v="Product 43"/>
    <x v="45"/>
    <s v="Martin Carr"/>
    <x v="478"/>
    <n v="6"/>
    <x v="5"/>
    <x v="1"/>
    <x v="1"/>
    <x v="0"/>
    <x v="1"/>
  </r>
  <r>
    <s v="AX22926"/>
    <s v="ENX2020"/>
    <s v="A137"/>
    <s v="EMP1016"/>
    <s v="C1445"/>
    <x v="593"/>
    <n v="3"/>
    <n v="2005"/>
    <n v="1223"/>
    <n v="3669"/>
    <n v="6015"/>
    <n v="2346"/>
    <s v="Product 21"/>
    <x v="68"/>
    <s v="Henry Nelson"/>
    <x v="239"/>
    <n v="6"/>
    <x v="5"/>
    <x v="1"/>
    <x v="1"/>
    <x v="0"/>
    <x v="1"/>
  </r>
  <r>
    <s v="AX23536"/>
    <s v="ENX2033"/>
    <s v="A126"/>
    <s v="EMP1014"/>
    <s v="C1081"/>
    <x v="595"/>
    <n v="2"/>
    <n v="2182"/>
    <n v="1200"/>
    <n v="2400"/>
    <n v="4364"/>
    <n v="1964"/>
    <s v="Product 34"/>
    <x v="5"/>
    <s v="Ronald Reed"/>
    <x v="168"/>
    <n v="6"/>
    <x v="5"/>
    <x v="1"/>
    <x v="1"/>
    <x v="0"/>
    <x v="1"/>
  </r>
  <r>
    <s v="AX24033"/>
    <s v="ENX2037"/>
    <s v="A104"/>
    <s v="EMP1014"/>
    <s v="C1758"/>
    <x v="593"/>
    <n v="2"/>
    <n v="880"/>
    <n v="634"/>
    <n v="1268"/>
    <n v="1760"/>
    <n v="492"/>
    <s v="Product 38"/>
    <x v="50"/>
    <s v="Ronald Reed"/>
    <x v="329"/>
    <n v="6"/>
    <x v="5"/>
    <x v="1"/>
    <x v="1"/>
    <x v="0"/>
    <x v="1"/>
  </r>
  <r>
    <s v="AX24237"/>
    <s v="ENX2057"/>
    <s v="A109"/>
    <s v="EMP1017"/>
    <s v="C1785"/>
    <x v="595"/>
    <n v="1"/>
    <n v="181"/>
    <n v="130"/>
    <n v="130"/>
    <n v="181"/>
    <n v="51"/>
    <s v="Product 58"/>
    <x v="57"/>
    <s v="Brian Hansen"/>
    <x v="107"/>
    <n v="6"/>
    <x v="5"/>
    <x v="1"/>
    <x v="1"/>
    <x v="0"/>
    <x v="1"/>
  </r>
  <r>
    <s v="AX24327"/>
    <s v="ENX2075"/>
    <s v="A157"/>
    <s v="EMP1002"/>
    <s v="C1084"/>
    <x v="596"/>
    <n v="1"/>
    <n v="400"/>
    <n v="208"/>
    <n v="208"/>
    <n v="400"/>
    <n v="192"/>
    <s v="Product 76"/>
    <x v="7"/>
    <s v="Andrew Bowman"/>
    <x v="631"/>
    <n v="6"/>
    <x v="5"/>
    <x v="1"/>
    <x v="1"/>
    <x v="0"/>
    <x v="1"/>
  </r>
  <r>
    <s v="AX24429"/>
    <s v="ENX2005"/>
    <s v="A154"/>
    <s v="EMP1021"/>
    <s v="C1713"/>
    <x v="596"/>
    <n v="1"/>
    <n v="684"/>
    <n v="561"/>
    <n v="561"/>
    <n v="684"/>
    <n v="123"/>
    <s v="Product 6"/>
    <x v="24"/>
    <s v="Clarence Fox"/>
    <x v="753"/>
    <n v="6"/>
    <x v="5"/>
    <x v="1"/>
    <x v="1"/>
    <x v="0"/>
    <x v="1"/>
  </r>
  <r>
    <s v="AX24510"/>
    <s v="ENX2004"/>
    <s v="A156"/>
    <s v="EMP1000"/>
    <s v="C1779"/>
    <x v="595"/>
    <n v="4"/>
    <n v="1278"/>
    <n v="665"/>
    <n v="2660"/>
    <n v="5112"/>
    <n v="2452"/>
    <s v="Product 5"/>
    <x v="14"/>
    <s v="Fred Robertson"/>
    <x v="648"/>
    <n v="6"/>
    <x v="5"/>
    <x v="1"/>
    <x v="1"/>
    <x v="0"/>
    <x v="1"/>
  </r>
  <r>
    <s v="AX24771"/>
    <s v="ENX2062"/>
    <s v="A115"/>
    <s v="EMP1036"/>
    <s v="C1084"/>
    <x v="596"/>
    <n v="3"/>
    <n v="2464"/>
    <n v="1774"/>
    <n v="5322"/>
    <n v="7392"/>
    <n v="2070"/>
    <s v="Product 63"/>
    <x v="33"/>
    <s v="Robert Reed"/>
    <x v="631"/>
    <n v="6"/>
    <x v="5"/>
    <x v="1"/>
    <x v="1"/>
    <x v="0"/>
    <x v="1"/>
  </r>
  <r>
    <s v="AX24929"/>
    <s v="ENX2050"/>
    <s v="A169"/>
    <s v="EMP1021"/>
    <s v="C1369"/>
    <x v="594"/>
    <n v="4"/>
    <n v="2391"/>
    <n v="1291"/>
    <n v="5164"/>
    <n v="9564"/>
    <n v="4400"/>
    <s v="Product 51"/>
    <x v="17"/>
    <s v="Clarence Fox"/>
    <x v="126"/>
    <n v="6"/>
    <x v="5"/>
    <x v="1"/>
    <x v="1"/>
    <x v="0"/>
    <x v="1"/>
  </r>
  <r>
    <s v="AX10284"/>
    <s v="ENX2028"/>
    <s v="A116"/>
    <s v="EMP1019"/>
    <s v="C1715"/>
    <x v="597"/>
    <n v="4"/>
    <n v="2283"/>
    <n v="1484"/>
    <n v="5936"/>
    <n v="9132"/>
    <n v="3196"/>
    <s v="Product 29"/>
    <x v="15"/>
    <s v="Roger Robertson"/>
    <x v="342"/>
    <n v="6"/>
    <x v="5"/>
    <x v="1"/>
    <x v="1"/>
    <x v="0"/>
    <x v="2"/>
  </r>
  <r>
    <s v="AX10517"/>
    <s v="ENX2018"/>
    <s v="A115"/>
    <s v="EMP1044"/>
    <s v="C1759"/>
    <x v="597"/>
    <n v="3"/>
    <n v="1972"/>
    <n v="1321"/>
    <n v="3963"/>
    <n v="5916"/>
    <n v="1953"/>
    <s v="Product 19"/>
    <x v="33"/>
    <s v="Martin Carr"/>
    <x v="355"/>
    <n v="6"/>
    <x v="5"/>
    <x v="1"/>
    <x v="1"/>
    <x v="0"/>
    <x v="2"/>
  </r>
  <r>
    <s v="AX10708"/>
    <s v="ENX2087"/>
    <s v="A138"/>
    <s v="EMP1017"/>
    <s v="C1297"/>
    <x v="598"/>
    <n v="1"/>
    <n v="1022"/>
    <n v="818"/>
    <n v="818"/>
    <n v="1022"/>
    <n v="204"/>
    <s v="Product 88"/>
    <x v="37"/>
    <s v="Brian Hansen"/>
    <x v="537"/>
    <n v="6"/>
    <x v="5"/>
    <x v="1"/>
    <x v="1"/>
    <x v="0"/>
    <x v="2"/>
  </r>
  <r>
    <s v="AX11382"/>
    <s v="ENX2076"/>
    <s v="A163"/>
    <s v="EMP1035"/>
    <s v="C1396"/>
    <x v="599"/>
    <n v="1"/>
    <n v="1522"/>
    <n v="791"/>
    <n v="791"/>
    <n v="1522"/>
    <n v="731"/>
    <s v="Product 77"/>
    <x v="51"/>
    <s v="Roger Ramos"/>
    <x v="624"/>
    <n v="6"/>
    <x v="5"/>
    <x v="1"/>
    <x v="1"/>
    <x v="0"/>
    <x v="2"/>
  </r>
  <r>
    <s v="AX11646"/>
    <s v="ENX2058"/>
    <s v="A148"/>
    <s v="EMP1031"/>
    <s v="C1371"/>
    <x v="597"/>
    <n v="1"/>
    <n v="2257"/>
    <n v="1535"/>
    <n v="1535"/>
    <n v="2257"/>
    <n v="722"/>
    <s v="Product 59"/>
    <x v="62"/>
    <s v="Brian Thomas"/>
    <x v="180"/>
    <n v="6"/>
    <x v="5"/>
    <x v="1"/>
    <x v="1"/>
    <x v="0"/>
    <x v="2"/>
  </r>
  <r>
    <s v="AX12110"/>
    <s v="ENX2093"/>
    <s v="A115"/>
    <s v="EMP1030"/>
    <s v="C1569"/>
    <x v="600"/>
    <n v="3"/>
    <n v="112"/>
    <n v="90"/>
    <n v="270"/>
    <n v="336"/>
    <n v="66"/>
    <s v="Product 94"/>
    <x v="33"/>
    <s v="Bobby Russell"/>
    <x v="485"/>
    <n v="6"/>
    <x v="5"/>
    <x v="1"/>
    <x v="1"/>
    <x v="0"/>
    <x v="2"/>
  </r>
  <r>
    <s v="AX12221"/>
    <s v="ENX2010"/>
    <s v="A125"/>
    <s v="EMP1044"/>
    <s v="C1133"/>
    <x v="599"/>
    <n v="4"/>
    <n v="1812"/>
    <n v="1305"/>
    <n v="5220"/>
    <n v="7248"/>
    <n v="2028"/>
    <s v="Product 11"/>
    <x v="31"/>
    <s v="Martin Carr"/>
    <x v="468"/>
    <n v="6"/>
    <x v="5"/>
    <x v="1"/>
    <x v="1"/>
    <x v="0"/>
    <x v="2"/>
  </r>
  <r>
    <s v="AX12241"/>
    <s v="ENX2005"/>
    <s v="A103"/>
    <s v="EMP1039"/>
    <s v="C1567"/>
    <x v="597"/>
    <n v="1"/>
    <n v="684"/>
    <n v="561"/>
    <n v="561"/>
    <n v="684"/>
    <n v="123"/>
    <s v="Product 6"/>
    <x v="61"/>
    <s v="Eugene Holmes"/>
    <x v="251"/>
    <n v="6"/>
    <x v="5"/>
    <x v="1"/>
    <x v="1"/>
    <x v="0"/>
    <x v="2"/>
  </r>
  <r>
    <s v="AX12313"/>
    <s v="ENX2066"/>
    <s v="A138"/>
    <s v="EMP1000"/>
    <s v="C1012"/>
    <x v="599"/>
    <n v="2"/>
    <n v="2091"/>
    <n v="1485"/>
    <n v="2970"/>
    <n v="4182"/>
    <n v="1212"/>
    <s v="Product 67"/>
    <x v="37"/>
    <s v="Fred Robertson"/>
    <x v="738"/>
    <n v="6"/>
    <x v="5"/>
    <x v="1"/>
    <x v="1"/>
    <x v="0"/>
    <x v="2"/>
  </r>
  <r>
    <s v="AX12559"/>
    <s v="ENX2049"/>
    <s v="A104"/>
    <s v="EMP1042"/>
    <s v="C1605"/>
    <x v="597"/>
    <n v="4"/>
    <n v="826"/>
    <n v="562"/>
    <n v="2248"/>
    <n v="3304"/>
    <n v="1056"/>
    <s v="Product 50"/>
    <x v="50"/>
    <s v="Scott Clark"/>
    <x v="676"/>
    <n v="6"/>
    <x v="5"/>
    <x v="1"/>
    <x v="1"/>
    <x v="0"/>
    <x v="2"/>
  </r>
  <r>
    <s v="AX12908"/>
    <s v="ENX2038"/>
    <s v="A162"/>
    <s v="EMP1010"/>
    <s v="C1170"/>
    <x v="600"/>
    <n v="2"/>
    <n v="392"/>
    <n v="255"/>
    <n v="510"/>
    <n v="784"/>
    <n v="274"/>
    <s v="Product 39"/>
    <x v="2"/>
    <s v="Joshua Cook"/>
    <x v="616"/>
    <n v="6"/>
    <x v="5"/>
    <x v="1"/>
    <x v="1"/>
    <x v="0"/>
    <x v="2"/>
  </r>
  <r>
    <s v="AX13532"/>
    <s v="ENX2047"/>
    <s v="A165"/>
    <s v="EMP1030"/>
    <s v="C1311"/>
    <x v="600"/>
    <n v="4"/>
    <n v="290"/>
    <n v="200"/>
    <n v="800"/>
    <n v="1160"/>
    <n v="360"/>
    <s v="Product 48"/>
    <x v="55"/>
    <s v="Bobby Russell"/>
    <x v="309"/>
    <n v="6"/>
    <x v="5"/>
    <x v="1"/>
    <x v="1"/>
    <x v="0"/>
    <x v="2"/>
  </r>
  <r>
    <s v="AX13925"/>
    <s v="ENX2061"/>
    <s v="A154"/>
    <s v="EMP1035"/>
    <s v="C1431"/>
    <x v="599"/>
    <n v="1"/>
    <n v="913"/>
    <n v="584"/>
    <n v="584"/>
    <n v="913"/>
    <n v="329"/>
    <s v="Product 62"/>
    <x v="24"/>
    <s v="Roger Ramos"/>
    <x v="587"/>
    <n v="6"/>
    <x v="5"/>
    <x v="1"/>
    <x v="1"/>
    <x v="0"/>
    <x v="2"/>
  </r>
  <r>
    <s v="AX14081"/>
    <s v="ENX2099"/>
    <s v="A156"/>
    <s v="EMP1001"/>
    <s v="C1576"/>
    <x v="597"/>
    <n v="3"/>
    <n v="1367"/>
    <n v="984"/>
    <n v="2952"/>
    <n v="4101"/>
    <n v="1149"/>
    <s v="Product 100"/>
    <x v="14"/>
    <s v="Kevin Butler"/>
    <x v="398"/>
    <n v="6"/>
    <x v="5"/>
    <x v="1"/>
    <x v="1"/>
    <x v="0"/>
    <x v="2"/>
  </r>
  <r>
    <s v="AX14673"/>
    <s v="ENX2005"/>
    <s v="A165"/>
    <s v="EMP1003"/>
    <s v="C1448"/>
    <x v="598"/>
    <n v="2"/>
    <n v="684"/>
    <n v="561"/>
    <n v="1122"/>
    <n v="1368"/>
    <n v="246"/>
    <s v="Product 6"/>
    <x v="55"/>
    <s v="Christopher Tucker"/>
    <x v="716"/>
    <n v="6"/>
    <x v="5"/>
    <x v="1"/>
    <x v="1"/>
    <x v="0"/>
    <x v="2"/>
  </r>
  <r>
    <s v="AX14935"/>
    <s v="ENX2071"/>
    <s v="A105"/>
    <s v="EMP1026"/>
    <s v="C1333"/>
    <x v="599"/>
    <n v="3"/>
    <n v="136"/>
    <n v="72"/>
    <n v="216"/>
    <n v="408"/>
    <n v="192"/>
    <s v="Product 72"/>
    <x v="45"/>
    <s v="Martin Perry"/>
    <x v="673"/>
    <n v="6"/>
    <x v="5"/>
    <x v="1"/>
    <x v="1"/>
    <x v="0"/>
    <x v="2"/>
  </r>
  <r>
    <s v="AX15020"/>
    <s v="ENX2094"/>
    <s v="A104"/>
    <s v="EMP1021"/>
    <s v="C1419"/>
    <x v="599"/>
    <n v="1"/>
    <n v="771"/>
    <n v="648"/>
    <n v="648"/>
    <n v="771"/>
    <n v="123"/>
    <s v="Product 95"/>
    <x v="50"/>
    <s v="Clarence Fox"/>
    <x v="163"/>
    <n v="6"/>
    <x v="5"/>
    <x v="1"/>
    <x v="1"/>
    <x v="0"/>
    <x v="2"/>
  </r>
  <r>
    <s v="AX15675"/>
    <s v="ENX2046"/>
    <s v="A169"/>
    <s v="EMP1007"/>
    <s v="C1624"/>
    <x v="598"/>
    <n v="1"/>
    <n v="2410"/>
    <n v="1518"/>
    <n v="1518"/>
    <n v="2410"/>
    <n v="892"/>
    <s v="Product 47"/>
    <x v="17"/>
    <s v="Jeremy Mendoza"/>
    <x v="339"/>
    <n v="6"/>
    <x v="5"/>
    <x v="1"/>
    <x v="1"/>
    <x v="0"/>
    <x v="2"/>
  </r>
  <r>
    <s v="AX15693"/>
    <s v="ENX2084"/>
    <s v="A114"/>
    <s v="EMP1019"/>
    <s v="C1684"/>
    <x v="600"/>
    <n v="3"/>
    <n v="1783"/>
    <n v="1230"/>
    <n v="3690"/>
    <n v="5349"/>
    <n v="1659"/>
    <s v="Product 85"/>
    <x v="28"/>
    <s v="Roger Robertson"/>
    <x v="258"/>
    <n v="6"/>
    <x v="5"/>
    <x v="1"/>
    <x v="1"/>
    <x v="0"/>
    <x v="2"/>
  </r>
  <r>
    <s v="AX15926"/>
    <s v="ENX2056"/>
    <s v="A162"/>
    <s v="EMP1035"/>
    <s v="C1286"/>
    <x v="597"/>
    <n v="1"/>
    <n v="1635"/>
    <n v="1046"/>
    <n v="1046"/>
    <n v="1635"/>
    <n v="589"/>
    <s v="Product 57"/>
    <x v="2"/>
    <s v="Roger Ramos"/>
    <x v="308"/>
    <n v="6"/>
    <x v="5"/>
    <x v="1"/>
    <x v="1"/>
    <x v="0"/>
    <x v="2"/>
  </r>
  <r>
    <s v="AX15948"/>
    <s v="ENX2081"/>
    <s v="A152"/>
    <s v="EMP1034"/>
    <s v="C1273"/>
    <x v="597"/>
    <n v="2"/>
    <n v="1566"/>
    <n v="1190"/>
    <n v="2380"/>
    <n v="3132"/>
    <n v="752"/>
    <s v="Product 82"/>
    <x v="26"/>
    <s v="Arthur Mccoy"/>
    <x v="469"/>
    <n v="6"/>
    <x v="5"/>
    <x v="1"/>
    <x v="1"/>
    <x v="0"/>
    <x v="2"/>
  </r>
  <r>
    <s v="AX16054"/>
    <s v="ENX2064"/>
    <s v="A141"/>
    <s v="EMP1029"/>
    <s v="C1744"/>
    <x v="599"/>
    <n v="1"/>
    <n v="1414"/>
    <n v="962"/>
    <n v="962"/>
    <n v="1414"/>
    <n v="452"/>
    <s v="Product 65"/>
    <x v="23"/>
    <s v="Howard Gardner"/>
    <x v="500"/>
    <n v="6"/>
    <x v="5"/>
    <x v="1"/>
    <x v="1"/>
    <x v="0"/>
    <x v="2"/>
  </r>
  <r>
    <s v="AX16060"/>
    <s v="ENX2018"/>
    <s v="A134"/>
    <s v="EMP1015"/>
    <s v="C1498"/>
    <x v="599"/>
    <n v="1"/>
    <n v="1972"/>
    <n v="1321"/>
    <n v="1321"/>
    <n v="1972"/>
    <n v="651"/>
    <s v="Product 19"/>
    <x v="41"/>
    <s v="Justin Lynch"/>
    <x v="10"/>
    <n v="6"/>
    <x v="5"/>
    <x v="1"/>
    <x v="1"/>
    <x v="0"/>
    <x v="2"/>
  </r>
  <r>
    <s v="AX16481"/>
    <s v="ENX2048"/>
    <s v="A170"/>
    <s v="EMP1040"/>
    <s v="C1080"/>
    <x v="600"/>
    <n v="1"/>
    <n v="502"/>
    <n v="296"/>
    <n v="296"/>
    <n v="502"/>
    <n v="206"/>
    <s v="Product 49"/>
    <x v="47"/>
    <s v="Patrick Ruiz"/>
    <x v="720"/>
    <n v="6"/>
    <x v="5"/>
    <x v="1"/>
    <x v="1"/>
    <x v="0"/>
    <x v="2"/>
  </r>
  <r>
    <s v="AX16750"/>
    <s v="ENX2071"/>
    <s v="A105"/>
    <s v="EMP1023"/>
    <s v="C1750"/>
    <x v="600"/>
    <n v="1"/>
    <n v="136"/>
    <n v="72"/>
    <n v="72"/>
    <n v="136"/>
    <n v="64"/>
    <s v="Product 72"/>
    <x v="45"/>
    <s v="Brian Davis"/>
    <x v="591"/>
    <n v="6"/>
    <x v="5"/>
    <x v="1"/>
    <x v="1"/>
    <x v="0"/>
    <x v="2"/>
  </r>
  <r>
    <s v="AX17383"/>
    <s v="ENX2084"/>
    <s v="A160"/>
    <s v="EMP1027"/>
    <s v="C1317"/>
    <x v="600"/>
    <n v="3"/>
    <n v="1783"/>
    <n v="1230"/>
    <n v="3690"/>
    <n v="5349"/>
    <n v="1659"/>
    <s v="Product 85"/>
    <x v="9"/>
    <s v="Gary Rodriguez"/>
    <x v="504"/>
    <n v="6"/>
    <x v="5"/>
    <x v="1"/>
    <x v="1"/>
    <x v="0"/>
    <x v="2"/>
  </r>
  <r>
    <s v="AX17454"/>
    <s v="ENX2017"/>
    <s v="A136"/>
    <s v="EMP1003"/>
    <s v="C1602"/>
    <x v="598"/>
    <n v="1"/>
    <n v="35"/>
    <n v="22"/>
    <n v="22"/>
    <n v="35"/>
    <n v="13"/>
    <s v="Product 18"/>
    <x v="43"/>
    <s v="Christopher Tucker"/>
    <x v="749"/>
    <n v="6"/>
    <x v="5"/>
    <x v="1"/>
    <x v="1"/>
    <x v="0"/>
    <x v="2"/>
  </r>
  <r>
    <s v="AX17777"/>
    <s v="ENX2084"/>
    <s v="A110"/>
    <s v="EMP1001"/>
    <s v="C1610"/>
    <x v="597"/>
    <n v="1"/>
    <n v="1783"/>
    <n v="1230"/>
    <n v="1230"/>
    <n v="1783"/>
    <n v="553"/>
    <s v="Product 85"/>
    <x v="63"/>
    <s v="Kevin Butler"/>
    <x v="362"/>
    <n v="6"/>
    <x v="5"/>
    <x v="1"/>
    <x v="1"/>
    <x v="0"/>
    <x v="2"/>
  </r>
  <r>
    <s v="AX18087"/>
    <s v="ENX2094"/>
    <s v="A117"/>
    <s v="EMP1034"/>
    <s v="C1292"/>
    <x v="600"/>
    <n v="1"/>
    <n v="771"/>
    <n v="648"/>
    <n v="648"/>
    <n v="771"/>
    <n v="123"/>
    <s v="Product 95"/>
    <x v="29"/>
    <s v="Arthur Mccoy"/>
    <x v="333"/>
    <n v="6"/>
    <x v="5"/>
    <x v="1"/>
    <x v="1"/>
    <x v="0"/>
    <x v="2"/>
  </r>
  <r>
    <s v="AX18630"/>
    <s v="ENX2092"/>
    <s v="A139"/>
    <s v="EMP1027"/>
    <s v="C1481"/>
    <x v="600"/>
    <n v="1"/>
    <n v="1639"/>
    <n v="1295"/>
    <n v="1295"/>
    <n v="1639"/>
    <n v="344"/>
    <s v="Product 93"/>
    <x v="38"/>
    <s v="Gary Rodriguez"/>
    <x v="764"/>
    <n v="6"/>
    <x v="5"/>
    <x v="1"/>
    <x v="1"/>
    <x v="0"/>
    <x v="2"/>
  </r>
  <r>
    <s v="AX18691"/>
    <s v="ENX2056"/>
    <s v="A124"/>
    <s v="EMP1019"/>
    <s v="C1636"/>
    <x v="598"/>
    <n v="1"/>
    <n v="1635"/>
    <n v="1046"/>
    <n v="1046"/>
    <n v="1635"/>
    <n v="589"/>
    <s v="Product 57"/>
    <x v="67"/>
    <s v="Roger Robertson"/>
    <x v="668"/>
    <n v="6"/>
    <x v="5"/>
    <x v="1"/>
    <x v="1"/>
    <x v="0"/>
    <x v="2"/>
  </r>
  <r>
    <s v="AX19110"/>
    <s v="ENX2076"/>
    <s v="A109"/>
    <s v="EMP1030"/>
    <s v="C1799"/>
    <x v="598"/>
    <n v="1"/>
    <n v="1522"/>
    <n v="791"/>
    <n v="791"/>
    <n v="1522"/>
    <n v="731"/>
    <s v="Product 77"/>
    <x v="57"/>
    <s v="Bobby Russell"/>
    <x v="390"/>
    <n v="6"/>
    <x v="5"/>
    <x v="1"/>
    <x v="1"/>
    <x v="0"/>
    <x v="2"/>
  </r>
  <r>
    <s v="AX19563"/>
    <s v="ENX2026"/>
    <s v="A149"/>
    <s v="EMP1002"/>
    <s v="C1322"/>
    <x v="598"/>
    <n v="1"/>
    <n v="947"/>
    <n v="786"/>
    <n v="786"/>
    <n v="947"/>
    <n v="161"/>
    <s v="Product 27"/>
    <x v="59"/>
    <s v="Andrew Bowman"/>
    <x v="604"/>
    <n v="6"/>
    <x v="5"/>
    <x v="1"/>
    <x v="1"/>
    <x v="0"/>
    <x v="2"/>
  </r>
  <r>
    <s v="AX19658"/>
    <s v="ENX2088"/>
    <s v="A112"/>
    <s v="EMP1009"/>
    <s v="C1468"/>
    <x v="600"/>
    <n v="1"/>
    <n v="603"/>
    <n v="416"/>
    <n v="416"/>
    <n v="603"/>
    <n v="187"/>
    <s v="Product 89"/>
    <x v="66"/>
    <s v="Kenneth Fields"/>
    <x v="688"/>
    <n v="6"/>
    <x v="5"/>
    <x v="1"/>
    <x v="1"/>
    <x v="0"/>
    <x v="2"/>
  </r>
  <r>
    <s v="AX20280"/>
    <s v="ENX2013"/>
    <s v="A162"/>
    <s v="EMP1020"/>
    <s v="C1688"/>
    <x v="598"/>
    <n v="1"/>
    <n v="368"/>
    <n v="269"/>
    <n v="269"/>
    <n v="368"/>
    <n v="99"/>
    <s v="Product 14"/>
    <x v="2"/>
    <s v="Ryan Butler"/>
    <x v="213"/>
    <n v="6"/>
    <x v="5"/>
    <x v="1"/>
    <x v="1"/>
    <x v="0"/>
    <x v="2"/>
  </r>
  <r>
    <s v="AX20313"/>
    <s v="ENX2043"/>
    <s v="A149"/>
    <s v="EMP1015"/>
    <s v="C1007"/>
    <x v="599"/>
    <n v="2"/>
    <n v="545"/>
    <n v="425"/>
    <n v="850"/>
    <n v="1090"/>
    <n v="240"/>
    <s v="Product 44"/>
    <x v="59"/>
    <s v="Justin Lynch"/>
    <x v="413"/>
    <n v="6"/>
    <x v="5"/>
    <x v="1"/>
    <x v="1"/>
    <x v="0"/>
    <x v="2"/>
  </r>
  <r>
    <s v="AX20823"/>
    <s v="ENX2036"/>
    <s v="A132"/>
    <s v="EMP1014"/>
    <s v="C1771"/>
    <x v="598"/>
    <n v="1"/>
    <n v="1582"/>
    <n v="1234"/>
    <n v="1234"/>
    <n v="1582"/>
    <n v="348"/>
    <s v="Product 37"/>
    <x v="48"/>
    <s v="Ronald Reed"/>
    <x v="34"/>
    <n v="6"/>
    <x v="5"/>
    <x v="1"/>
    <x v="1"/>
    <x v="0"/>
    <x v="2"/>
  </r>
  <r>
    <s v="AX21071"/>
    <s v="ENX2026"/>
    <s v="A106"/>
    <s v="EMP1012"/>
    <s v="C1600"/>
    <x v="597"/>
    <n v="3"/>
    <n v="947"/>
    <n v="786"/>
    <n v="2358"/>
    <n v="2841"/>
    <n v="483"/>
    <s v="Product 27"/>
    <x v="11"/>
    <s v="John Reyes"/>
    <x v="266"/>
    <n v="6"/>
    <x v="5"/>
    <x v="1"/>
    <x v="1"/>
    <x v="0"/>
    <x v="2"/>
  </r>
  <r>
    <s v="AX21545"/>
    <s v="ENX2014"/>
    <s v="A100"/>
    <s v="EMP1015"/>
    <s v="C1197"/>
    <x v="599"/>
    <n v="2"/>
    <n v="1809"/>
    <n v="1067"/>
    <n v="2134"/>
    <n v="3618"/>
    <n v="1484"/>
    <s v="Product 15"/>
    <x v="52"/>
    <s v="Justin Lynch"/>
    <x v="718"/>
    <n v="6"/>
    <x v="5"/>
    <x v="1"/>
    <x v="1"/>
    <x v="0"/>
    <x v="2"/>
  </r>
  <r>
    <s v="AX21558"/>
    <s v="ENX2037"/>
    <s v="A142"/>
    <s v="EMP1028"/>
    <s v="C1378"/>
    <x v="600"/>
    <n v="4"/>
    <n v="880"/>
    <n v="634"/>
    <n v="2536"/>
    <n v="3520"/>
    <n v="984"/>
    <s v="Product 38"/>
    <x v="56"/>
    <s v="Howard Sims"/>
    <x v="787"/>
    <n v="6"/>
    <x v="5"/>
    <x v="1"/>
    <x v="1"/>
    <x v="0"/>
    <x v="2"/>
  </r>
  <r>
    <s v="AX21655"/>
    <s v="ENX2098"/>
    <s v="A137"/>
    <s v="EMP1034"/>
    <s v="C1396"/>
    <x v="599"/>
    <n v="3"/>
    <n v="1178"/>
    <n v="683"/>
    <n v="2049"/>
    <n v="3534"/>
    <n v="1485"/>
    <s v="Product 99"/>
    <x v="68"/>
    <s v="Arthur Mccoy"/>
    <x v="624"/>
    <n v="6"/>
    <x v="5"/>
    <x v="1"/>
    <x v="1"/>
    <x v="0"/>
    <x v="2"/>
  </r>
  <r>
    <s v="AX21782"/>
    <s v="ENX2004"/>
    <s v="A145"/>
    <s v="EMP1021"/>
    <s v="C1727"/>
    <x v="597"/>
    <n v="2"/>
    <n v="1278"/>
    <n v="665"/>
    <n v="1330"/>
    <n v="2556"/>
    <n v="1226"/>
    <s v="Product 5"/>
    <x v="35"/>
    <s v="Clarence Fox"/>
    <x v="581"/>
    <n v="6"/>
    <x v="5"/>
    <x v="1"/>
    <x v="1"/>
    <x v="0"/>
    <x v="2"/>
  </r>
  <r>
    <s v="AX22015"/>
    <s v="ENX2096"/>
    <s v="A124"/>
    <s v="EMP1007"/>
    <s v="C1424"/>
    <x v="599"/>
    <n v="1"/>
    <n v="1587"/>
    <n v="1301"/>
    <n v="1301"/>
    <n v="1587"/>
    <n v="286"/>
    <s v="Product 97"/>
    <x v="67"/>
    <s v="Jeremy Mendoza"/>
    <x v="791"/>
    <n v="6"/>
    <x v="5"/>
    <x v="1"/>
    <x v="1"/>
    <x v="0"/>
    <x v="2"/>
  </r>
  <r>
    <s v="AX22044"/>
    <s v="ENX2003"/>
    <s v="A155"/>
    <s v="EMP1023"/>
    <s v="C1798"/>
    <x v="598"/>
    <n v="2"/>
    <n v="1783"/>
    <n v="1516"/>
    <n v="3032"/>
    <n v="3566"/>
    <n v="534"/>
    <s v="Product 4"/>
    <x v="53"/>
    <s v="Brian Davis"/>
    <x v="608"/>
    <n v="6"/>
    <x v="5"/>
    <x v="1"/>
    <x v="1"/>
    <x v="0"/>
    <x v="2"/>
  </r>
  <r>
    <s v="AX22207"/>
    <s v="ENX2037"/>
    <s v="A105"/>
    <s v="EMP1044"/>
    <s v="C1337"/>
    <x v="598"/>
    <n v="2"/>
    <n v="880"/>
    <n v="634"/>
    <n v="1268"/>
    <n v="1760"/>
    <n v="492"/>
    <s v="Product 38"/>
    <x v="45"/>
    <s v="Martin Carr"/>
    <x v="417"/>
    <n v="6"/>
    <x v="5"/>
    <x v="1"/>
    <x v="1"/>
    <x v="0"/>
    <x v="2"/>
  </r>
  <r>
    <s v="AX22482"/>
    <s v="ENX2094"/>
    <s v="A165"/>
    <s v="EMP1032"/>
    <s v="C1633"/>
    <x v="599"/>
    <n v="2"/>
    <n v="771"/>
    <n v="648"/>
    <n v="1296"/>
    <n v="1542"/>
    <n v="246"/>
    <s v="Product 95"/>
    <x v="55"/>
    <s v="Larry Castillo"/>
    <x v="558"/>
    <n v="6"/>
    <x v="5"/>
    <x v="1"/>
    <x v="1"/>
    <x v="0"/>
    <x v="2"/>
  </r>
  <r>
    <s v="AX22969"/>
    <s v="ENX2078"/>
    <s v="A121"/>
    <s v="EMP1039"/>
    <s v="C1632"/>
    <x v="597"/>
    <n v="1"/>
    <n v="1798"/>
    <n v="971"/>
    <n v="971"/>
    <n v="1798"/>
    <n v="827"/>
    <s v="Product 79"/>
    <x v="72"/>
    <s v="Eugene Holmes"/>
    <x v="311"/>
    <n v="6"/>
    <x v="5"/>
    <x v="1"/>
    <x v="1"/>
    <x v="0"/>
    <x v="2"/>
  </r>
  <r>
    <s v="AX23065"/>
    <s v="ENX2091"/>
    <s v="A146"/>
    <s v="EMP1017"/>
    <s v="C1097"/>
    <x v="600"/>
    <n v="1"/>
    <n v="368"/>
    <n v="294"/>
    <n v="294"/>
    <n v="368"/>
    <n v="74"/>
    <s v="Product 92"/>
    <x v="27"/>
    <s v="Brian Hansen"/>
    <x v="662"/>
    <n v="6"/>
    <x v="5"/>
    <x v="1"/>
    <x v="1"/>
    <x v="0"/>
    <x v="2"/>
  </r>
  <r>
    <s v="AX23351"/>
    <s v="ENX2034"/>
    <s v="A127"/>
    <s v="EMP1036"/>
    <s v="C1625"/>
    <x v="599"/>
    <n v="3"/>
    <n v="871"/>
    <n v="540"/>
    <n v="1620"/>
    <n v="2613"/>
    <n v="993"/>
    <s v="Product 35"/>
    <x v="69"/>
    <s v="Robert Reed"/>
    <x v="575"/>
    <n v="6"/>
    <x v="5"/>
    <x v="1"/>
    <x v="1"/>
    <x v="0"/>
    <x v="2"/>
  </r>
  <r>
    <s v="AX23372"/>
    <s v="ENX2032"/>
    <s v="A165"/>
    <s v="EMP1035"/>
    <s v="C1204"/>
    <x v="600"/>
    <n v="4"/>
    <n v="1967"/>
    <n v="1397"/>
    <n v="5588"/>
    <n v="7868"/>
    <n v="2280"/>
    <s v="Product 33"/>
    <x v="55"/>
    <s v="Roger Ramos"/>
    <x v="654"/>
    <n v="6"/>
    <x v="5"/>
    <x v="1"/>
    <x v="1"/>
    <x v="0"/>
    <x v="2"/>
  </r>
  <r>
    <s v="AX23424"/>
    <s v="ENX2032"/>
    <s v="A160"/>
    <s v="EMP1001"/>
    <s v="C1482"/>
    <x v="598"/>
    <n v="3"/>
    <n v="1967"/>
    <n v="1397"/>
    <n v="4191"/>
    <n v="5901"/>
    <n v="1710"/>
    <s v="Product 33"/>
    <x v="9"/>
    <s v="Kevin Butler"/>
    <x v="155"/>
    <n v="6"/>
    <x v="5"/>
    <x v="1"/>
    <x v="1"/>
    <x v="0"/>
    <x v="2"/>
  </r>
  <r>
    <s v="AX23578"/>
    <s v="ENX2073"/>
    <s v="A114"/>
    <s v="EMP1021"/>
    <s v="C1129"/>
    <x v="597"/>
    <n v="1"/>
    <n v="95"/>
    <n v="61"/>
    <n v="61"/>
    <n v="95"/>
    <n v="34"/>
    <s v="Product 74"/>
    <x v="28"/>
    <s v="Clarence Fox"/>
    <x v="281"/>
    <n v="6"/>
    <x v="5"/>
    <x v="1"/>
    <x v="1"/>
    <x v="0"/>
    <x v="2"/>
  </r>
  <r>
    <s v="AX24240"/>
    <s v="ENX2048"/>
    <s v="A166"/>
    <s v="EMP1017"/>
    <s v="C1096"/>
    <x v="597"/>
    <n v="4"/>
    <n v="502"/>
    <n v="296"/>
    <n v="1184"/>
    <n v="2008"/>
    <n v="824"/>
    <s v="Product 49"/>
    <x v="70"/>
    <s v="Brian Hansen"/>
    <x v="91"/>
    <n v="6"/>
    <x v="5"/>
    <x v="1"/>
    <x v="1"/>
    <x v="0"/>
    <x v="2"/>
  </r>
  <r>
    <s v="AX24326"/>
    <s v="ENX2076"/>
    <s v="A167"/>
    <s v="EMP1008"/>
    <s v="C1490"/>
    <x v="600"/>
    <n v="1"/>
    <n v="1522"/>
    <n v="791"/>
    <n v="791"/>
    <n v="1522"/>
    <n v="731"/>
    <s v="Product 77"/>
    <x v="64"/>
    <s v="Carl Elliott"/>
    <x v="61"/>
    <n v="6"/>
    <x v="5"/>
    <x v="1"/>
    <x v="1"/>
    <x v="0"/>
    <x v="2"/>
  </r>
  <r>
    <s v="AX24376"/>
    <s v="ENX2018"/>
    <s v="A164"/>
    <s v="EMP1021"/>
    <s v="C1201"/>
    <x v="597"/>
    <n v="3"/>
    <n v="1972"/>
    <n v="1321"/>
    <n v="3963"/>
    <n v="5916"/>
    <n v="1953"/>
    <s v="Product 19"/>
    <x v="3"/>
    <s v="Clarence Fox"/>
    <x v="760"/>
    <n v="6"/>
    <x v="5"/>
    <x v="1"/>
    <x v="1"/>
    <x v="0"/>
    <x v="2"/>
  </r>
  <r>
    <s v="AX24565"/>
    <s v="ENX2021"/>
    <s v="A129"/>
    <s v="EMP1035"/>
    <s v="C1790"/>
    <x v="598"/>
    <n v="1"/>
    <n v="217"/>
    <n v="171"/>
    <n v="171"/>
    <n v="217"/>
    <n v="46"/>
    <s v="Product 22"/>
    <x v="22"/>
    <s v="Roger Ramos"/>
    <x v="428"/>
    <n v="6"/>
    <x v="5"/>
    <x v="1"/>
    <x v="1"/>
    <x v="0"/>
    <x v="2"/>
  </r>
  <r>
    <s v="AX24937"/>
    <s v="ENX2030"/>
    <s v="A149"/>
    <s v="EMP1025"/>
    <s v="C1307"/>
    <x v="600"/>
    <n v="1"/>
    <n v="1899"/>
    <n v="1044"/>
    <n v="1044"/>
    <n v="1899"/>
    <n v="855"/>
    <s v="Product 31"/>
    <x v="59"/>
    <s v="Ernest Wagner"/>
    <x v="416"/>
    <n v="6"/>
    <x v="5"/>
    <x v="1"/>
    <x v="1"/>
    <x v="0"/>
    <x v="2"/>
  </r>
  <r>
    <s v="AX24955"/>
    <s v="ENX2042"/>
    <s v="A104"/>
    <s v="EMP1034"/>
    <s v="C1425"/>
    <x v="598"/>
    <n v="2"/>
    <n v="203"/>
    <n v="154"/>
    <n v="308"/>
    <n v="406"/>
    <n v="98"/>
    <s v="Product 43"/>
    <x v="50"/>
    <s v="Arthur Mccoy"/>
    <x v="474"/>
    <n v="6"/>
    <x v="5"/>
    <x v="1"/>
    <x v="1"/>
    <x v="0"/>
    <x v="2"/>
  </r>
  <r>
    <s v="AX24978"/>
    <s v="ENX2081"/>
    <s v="A122"/>
    <s v="EMP1030"/>
    <s v="C1676"/>
    <x v="597"/>
    <n v="2"/>
    <n v="1566"/>
    <n v="1190"/>
    <n v="2380"/>
    <n v="3132"/>
    <n v="752"/>
    <s v="Product 82"/>
    <x v="71"/>
    <s v="Bobby Russell"/>
    <x v="497"/>
    <n v="6"/>
    <x v="5"/>
    <x v="1"/>
    <x v="1"/>
    <x v="0"/>
    <x v="2"/>
  </r>
  <r>
    <s v="AX10015"/>
    <s v="ENX2037"/>
    <s v="A103"/>
    <s v="EMP1010"/>
    <s v="C1510"/>
    <x v="601"/>
    <n v="2"/>
    <n v="880"/>
    <n v="634"/>
    <n v="1268"/>
    <n v="1760"/>
    <n v="492"/>
    <s v="Product 38"/>
    <x v="61"/>
    <s v="Joshua Cook"/>
    <x v="113"/>
    <n v="6"/>
    <x v="5"/>
    <x v="2"/>
    <x v="2"/>
    <x v="0"/>
    <x v="0"/>
  </r>
  <r>
    <s v="AX10018"/>
    <s v="ENX2005"/>
    <s v="A158"/>
    <s v="EMP1037"/>
    <s v="C1240"/>
    <x v="602"/>
    <n v="1"/>
    <n v="684"/>
    <n v="561"/>
    <n v="561"/>
    <n v="684"/>
    <n v="123"/>
    <s v="Product 6"/>
    <x v="58"/>
    <s v="Carl Hall"/>
    <x v="455"/>
    <n v="6"/>
    <x v="5"/>
    <x v="2"/>
    <x v="2"/>
    <x v="0"/>
    <x v="0"/>
  </r>
  <r>
    <s v="AX10483"/>
    <s v="ENX2022"/>
    <s v="A123"/>
    <s v="EMP1034"/>
    <s v="C1562"/>
    <x v="601"/>
    <n v="4"/>
    <n v="561"/>
    <n v="421"/>
    <n v="1684"/>
    <n v="2244"/>
    <n v="560"/>
    <s v="Product 23"/>
    <x v="34"/>
    <s v="Arthur Mccoy"/>
    <x v="312"/>
    <n v="6"/>
    <x v="5"/>
    <x v="2"/>
    <x v="2"/>
    <x v="0"/>
    <x v="0"/>
  </r>
  <r>
    <s v="AX10534"/>
    <s v="ENX2077"/>
    <s v="A161"/>
    <s v="EMP1017"/>
    <s v="C1479"/>
    <x v="603"/>
    <n v="1"/>
    <n v="530"/>
    <n v="424"/>
    <n v="424"/>
    <n v="530"/>
    <n v="106"/>
    <s v="Product 78"/>
    <x v="6"/>
    <s v="Brian Hansen"/>
    <x v="385"/>
    <n v="6"/>
    <x v="5"/>
    <x v="2"/>
    <x v="2"/>
    <x v="0"/>
    <x v="0"/>
  </r>
  <r>
    <s v="AX10640"/>
    <s v="ENX2008"/>
    <s v="A116"/>
    <s v="EMP1000"/>
    <s v="C1692"/>
    <x v="603"/>
    <n v="3"/>
    <n v="315"/>
    <n v="208"/>
    <n v="624"/>
    <n v="945"/>
    <n v="321"/>
    <s v="Product 9"/>
    <x v="15"/>
    <s v="Fred Robertson"/>
    <x v="555"/>
    <n v="6"/>
    <x v="5"/>
    <x v="2"/>
    <x v="2"/>
    <x v="0"/>
    <x v="0"/>
  </r>
  <r>
    <s v="AX10987"/>
    <s v="ENX2090"/>
    <s v="A166"/>
    <s v="EMP1028"/>
    <s v="C1664"/>
    <x v="603"/>
    <n v="1"/>
    <n v="1338"/>
    <n v="682"/>
    <n v="682"/>
    <n v="1338"/>
    <n v="656"/>
    <s v="Product 91"/>
    <x v="70"/>
    <s v="Howard Sims"/>
    <x v="12"/>
    <n v="6"/>
    <x v="5"/>
    <x v="2"/>
    <x v="2"/>
    <x v="0"/>
    <x v="0"/>
  </r>
  <r>
    <s v="AX11281"/>
    <s v="ENX2092"/>
    <s v="A103"/>
    <s v="EMP1037"/>
    <s v="C1539"/>
    <x v="601"/>
    <n v="1"/>
    <n v="1639"/>
    <n v="1295"/>
    <n v="1295"/>
    <n v="1639"/>
    <n v="344"/>
    <s v="Product 93"/>
    <x v="61"/>
    <s v="Carl Hall"/>
    <x v="280"/>
    <n v="6"/>
    <x v="5"/>
    <x v="2"/>
    <x v="2"/>
    <x v="0"/>
    <x v="0"/>
  </r>
  <r>
    <s v="AX11761"/>
    <s v="ENX2047"/>
    <s v="A173"/>
    <s v="EMP1018"/>
    <s v="C1476"/>
    <x v="602"/>
    <n v="3"/>
    <n v="290"/>
    <n v="200"/>
    <n v="600"/>
    <n v="870"/>
    <n v="270"/>
    <s v="Product 48"/>
    <x v="25"/>
    <s v="Jimmy Young"/>
    <x v="207"/>
    <n v="6"/>
    <x v="5"/>
    <x v="2"/>
    <x v="2"/>
    <x v="0"/>
    <x v="0"/>
  </r>
  <r>
    <s v="AX11885"/>
    <s v="ENX2064"/>
    <s v="A112"/>
    <s v="EMP1033"/>
    <s v="C1008"/>
    <x v="604"/>
    <n v="3"/>
    <n v="1414"/>
    <n v="962"/>
    <n v="2886"/>
    <n v="4242"/>
    <n v="1356"/>
    <s v="Product 65"/>
    <x v="66"/>
    <s v="Jerry Perry"/>
    <x v="796"/>
    <n v="6"/>
    <x v="5"/>
    <x v="2"/>
    <x v="2"/>
    <x v="0"/>
    <x v="0"/>
  </r>
  <r>
    <s v="AX11918"/>
    <s v="ENX2044"/>
    <s v="A145"/>
    <s v="EMP1035"/>
    <s v="C1741"/>
    <x v="602"/>
    <n v="3"/>
    <n v="886"/>
    <n v="478"/>
    <n v="1434"/>
    <n v="2658"/>
    <n v="1224"/>
    <s v="Product 45"/>
    <x v="35"/>
    <s v="Roger Ramos"/>
    <x v="534"/>
    <n v="6"/>
    <x v="5"/>
    <x v="2"/>
    <x v="2"/>
    <x v="0"/>
    <x v="0"/>
  </r>
  <r>
    <s v="AX12016"/>
    <s v="ENX2054"/>
    <s v="A149"/>
    <s v="EMP1029"/>
    <s v="C1514"/>
    <x v="603"/>
    <n v="1"/>
    <n v="127"/>
    <n v="79"/>
    <n v="79"/>
    <n v="127"/>
    <n v="48"/>
    <s v="Product 55"/>
    <x v="59"/>
    <s v="Howard Gardner"/>
    <x v="307"/>
    <n v="6"/>
    <x v="5"/>
    <x v="2"/>
    <x v="2"/>
    <x v="0"/>
    <x v="0"/>
  </r>
  <r>
    <s v="AX12279"/>
    <s v="ENX2004"/>
    <s v="A128"/>
    <s v="EMP1023"/>
    <s v="C1321"/>
    <x v="604"/>
    <n v="1"/>
    <n v="1278"/>
    <n v="665"/>
    <n v="665"/>
    <n v="1278"/>
    <n v="613"/>
    <s v="Product 5"/>
    <x v="12"/>
    <s v="Brian Davis"/>
    <x v="775"/>
    <n v="6"/>
    <x v="5"/>
    <x v="2"/>
    <x v="2"/>
    <x v="0"/>
    <x v="0"/>
  </r>
  <r>
    <s v="AX12508"/>
    <s v="ENX2063"/>
    <s v="A124"/>
    <s v="EMP1007"/>
    <s v="C1541"/>
    <x v="601"/>
    <n v="3"/>
    <n v="1708"/>
    <n v="871"/>
    <n v="2613"/>
    <n v="5124"/>
    <n v="2511"/>
    <s v="Product 64"/>
    <x v="67"/>
    <s v="Jeremy Mendoza"/>
    <x v="628"/>
    <n v="6"/>
    <x v="5"/>
    <x v="2"/>
    <x v="2"/>
    <x v="0"/>
    <x v="0"/>
  </r>
  <r>
    <s v="AX12634"/>
    <s v="ENX2096"/>
    <s v="A160"/>
    <s v="EMP1042"/>
    <s v="C1678"/>
    <x v="604"/>
    <n v="1"/>
    <n v="1587"/>
    <n v="1301"/>
    <n v="1301"/>
    <n v="1587"/>
    <n v="286"/>
    <s v="Product 97"/>
    <x v="9"/>
    <s v="Scott Clark"/>
    <x v="191"/>
    <n v="6"/>
    <x v="5"/>
    <x v="2"/>
    <x v="2"/>
    <x v="0"/>
    <x v="0"/>
  </r>
  <r>
    <s v="AX12716"/>
    <s v="ENX2042"/>
    <s v="A108"/>
    <s v="EMP1044"/>
    <s v="C1511"/>
    <x v="602"/>
    <n v="1"/>
    <n v="203"/>
    <n v="154"/>
    <n v="154"/>
    <n v="203"/>
    <n v="49"/>
    <s v="Product 43"/>
    <x v="49"/>
    <s v="Martin Carr"/>
    <x v="754"/>
    <n v="6"/>
    <x v="5"/>
    <x v="2"/>
    <x v="2"/>
    <x v="0"/>
    <x v="0"/>
  </r>
  <r>
    <s v="AX12727"/>
    <s v="ENX2019"/>
    <s v="A128"/>
    <s v="EMP1024"/>
    <s v="C1550"/>
    <x v="603"/>
    <n v="1"/>
    <n v="800"/>
    <n v="536"/>
    <n v="536"/>
    <n v="800"/>
    <n v="264"/>
    <s v="Product 20"/>
    <x v="12"/>
    <s v="Ernest Wheeler"/>
    <x v="689"/>
    <n v="6"/>
    <x v="5"/>
    <x v="2"/>
    <x v="2"/>
    <x v="0"/>
    <x v="0"/>
  </r>
  <r>
    <s v="AX12771"/>
    <s v="ENX2052"/>
    <s v="A115"/>
    <s v="EMP1038"/>
    <s v="C1087"/>
    <x v="601"/>
    <n v="2"/>
    <n v="1526"/>
    <n v="1251"/>
    <n v="2502"/>
    <n v="3052"/>
    <n v="550"/>
    <s v="Product 53"/>
    <x v="33"/>
    <s v="Scott Mason"/>
    <x v="156"/>
    <n v="6"/>
    <x v="5"/>
    <x v="2"/>
    <x v="2"/>
    <x v="0"/>
    <x v="0"/>
  </r>
  <r>
    <s v="AX13287"/>
    <s v="ENX2022"/>
    <s v="A126"/>
    <s v="EMP1014"/>
    <s v="C1318"/>
    <x v="602"/>
    <n v="2"/>
    <n v="561"/>
    <n v="421"/>
    <n v="842"/>
    <n v="1122"/>
    <n v="280"/>
    <s v="Product 23"/>
    <x v="5"/>
    <s v="Ronald Reed"/>
    <x v="730"/>
    <n v="6"/>
    <x v="5"/>
    <x v="2"/>
    <x v="2"/>
    <x v="0"/>
    <x v="0"/>
  </r>
  <r>
    <s v="AX13302"/>
    <s v="ENX2078"/>
    <s v="A130"/>
    <s v="EMP1043"/>
    <s v="C1477"/>
    <x v="602"/>
    <n v="1"/>
    <n v="1798"/>
    <n v="971"/>
    <n v="971"/>
    <n v="1798"/>
    <n v="827"/>
    <s v="Product 79"/>
    <x v="4"/>
    <s v="Joshua Taylor"/>
    <x v="408"/>
    <n v="6"/>
    <x v="5"/>
    <x v="2"/>
    <x v="2"/>
    <x v="0"/>
    <x v="0"/>
  </r>
  <r>
    <s v="AX13615"/>
    <s v="ENX2025"/>
    <s v="A126"/>
    <s v="EMP1028"/>
    <s v="C1690"/>
    <x v="601"/>
    <n v="3"/>
    <n v="667"/>
    <n v="387"/>
    <n v="1161"/>
    <n v="2001"/>
    <n v="840"/>
    <s v="Product 26"/>
    <x v="5"/>
    <s v="Howard Sims"/>
    <x v="185"/>
    <n v="6"/>
    <x v="5"/>
    <x v="2"/>
    <x v="2"/>
    <x v="0"/>
    <x v="0"/>
  </r>
  <r>
    <s v="AX13682"/>
    <s v="ENX2060"/>
    <s v="A165"/>
    <s v="EMP1041"/>
    <s v="C1202"/>
    <x v="602"/>
    <n v="4"/>
    <n v="1467"/>
    <n v="807"/>
    <n v="3228"/>
    <n v="5868"/>
    <n v="2640"/>
    <s v="Product 61"/>
    <x v="55"/>
    <s v="Joe Sims"/>
    <x v="3"/>
    <n v="6"/>
    <x v="5"/>
    <x v="2"/>
    <x v="2"/>
    <x v="0"/>
    <x v="0"/>
  </r>
  <r>
    <s v="AX13699"/>
    <s v="ENX2035"/>
    <s v="A102"/>
    <s v="EMP1034"/>
    <s v="C1708"/>
    <x v="601"/>
    <n v="2"/>
    <n v="458"/>
    <n v="376"/>
    <n v="752"/>
    <n v="916"/>
    <n v="164"/>
    <s v="Product 36"/>
    <x v="44"/>
    <s v="Arthur Mccoy"/>
    <x v="579"/>
    <n v="6"/>
    <x v="5"/>
    <x v="2"/>
    <x v="2"/>
    <x v="0"/>
    <x v="0"/>
  </r>
  <r>
    <s v="AX13753"/>
    <s v="ENX2071"/>
    <s v="A129"/>
    <s v="EMP1009"/>
    <s v="C1478"/>
    <x v="601"/>
    <n v="3"/>
    <n v="136"/>
    <n v="72"/>
    <n v="216"/>
    <n v="408"/>
    <n v="192"/>
    <s v="Product 72"/>
    <x v="22"/>
    <s v="Kenneth Fields"/>
    <x v="483"/>
    <n v="6"/>
    <x v="5"/>
    <x v="2"/>
    <x v="2"/>
    <x v="0"/>
    <x v="0"/>
  </r>
  <r>
    <s v="AX13804"/>
    <s v="ENX2071"/>
    <s v="A153"/>
    <s v="EMP1042"/>
    <s v="C1676"/>
    <x v="602"/>
    <n v="1"/>
    <n v="136"/>
    <n v="72"/>
    <n v="72"/>
    <n v="136"/>
    <n v="64"/>
    <s v="Product 72"/>
    <x v="8"/>
    <s v="Scott Clark"/>
    <x v="497"/>
    <n v="6"/>
    <x v="5"/>
    <x v="2"/>
    <x v="2"/>
    <x v="0"/>
    <x v="0"/>
  </r>
  <r>
    <s v="AX14856"/>
    <s v="ENX2075"/>
    <s v="A127"/>
    <s v="EMP1017"/>
    <s v="C1525"/>
    <x v="604"/>
    <n v="2"/>
    <n v="400"/>
    <n v="208"/>
    <n v="416"/>
    <n v="800"/>
    <n v="384"/>
    <s v="Product 76"/>
    <x v="69"/>
    <s v="Brian Hansen"/>
    <x v="360"/>
    <n v="6"/>
    <x v="5"/>
    <x v="2"/>
    <x v="2"/>
    <x v="0"/>
    <x v="0"/>
  </r>
  <r>
    <s v="AX15800"/>
    <s v="ENX2005"/>
    <s v="A141"/>
    <s v="EMP1009"/>
    <s v="C1314"/>
    <x v="602"/>
    <n v="2"/>
    <n v="684"/>
    <n v="561"/>
    <n v="1122"/>
    <n v="1368"/>
    <n v="246"/>
    <s v="Product 6"/>
    <x v="23"/>
    <s v="Kenneth Fields"/>
    <x v="421"/>
    <n v="6"/>
    <x v="5"/>
    <x v="2"/>
    <x v="2"/>
    <x v="0"/>
    <x v="0"/>
  </r>
  <r>
    <s v="AX15820"/>
    <s v="ENX2063"/>
    <s v="A116"/>
    <s v="EMP1032"/>
    <s v="C1609"/>
    <x v="602"/>
    <n v="3"/>
    <n v="1708"/>
    <n v="871"/>
    <n v="2613"/>
    <n v="5124"/>
    <n v="2511"/>
    <s v="Product 64"/>
    <x v="15"/>
    <s v="Larry Castillo"/>
    <x v="757"/>
    <n v="6"/>
    <x v="5"/>
    <x v="2"/>
    <x v="2"/>
    <x v="0"/>
    <x v="0"/>
  </r>
  <r>
    <s v="AX15992"/>
    <s v="ENX2077"/>
    <s v="A173"/>
    <s v="EMP1007"/>
    <s v="C1088"/>
    <x v="603"/>
    <n v="3"/>
    <n v="530"/>
    <n v="424"/>
    <n v="1272"/>
    <n v="1590"/>
    <n v="318"/>
    <s v="Product 78"/>
    <x v="25"/>
    <s v="Jeremy Mendoza"/>
    <x v="498"/>
    <n v="6"/>
    <x v="5"/>
    <x v="2"/>
    <x v="2"/>
    <x v="0"/>
    <x v="0"/>
  </r>
  <r>
    <s v="AX16682"/>
    <s v="ENX2092"/>
    <s v="A152"/>
    <s v="EMP1015"/>
    <s v="C1336"/>
    <x v="602"/>
    <n v="1"/>
    <n v="1639"/>
    <n v="1295"/>
    <n v="1295"/>
    <n v="1639"/>
    <n v="344"/>
    <s v="Product 93"/>
    <x v="26"/>
    <s v="Justin Lynch"/>
    <x v="721"/>
    <n v="6"/>
    <x v="5"/>
    <x v="2"/>
    <x v="2"/>
    <x v="0"/>
    <x v="0"/>
  </r>
  <r>
    <s v="AX17084"/>
    <s v="ENX2024"/>
    <s v="A103"/>
    <s v="EMP1026"/>
    <s v="C1237"/>
    <x v="604"/>
    <n v="1"/>
    <n v="356"/>
    <n v="292"/>
    <n v="292"/>
    <n v="356"/>
    <n v="64"/>
    <s v="Product 25"/>
    <x v="61"/>
    <s v="Martin Perry"/>
    <x v="484"/>
    <n v="6"/>
    <x v="5"/>
    <x v="2"/>
    <x v="2"/>
    <x v="0"/>
    <x v="0"/>
  </r>
  <r>
    <s v="AX17997"/>
    <s v="ENX2041"/>
    <s v="A150"/>
    <s v="EMP1020"/>
    <s v="C1329"/>
    <x v="604"/>
    <n v="1"/>
    <n v="1380"/>
    <n v="1090"/>
    <n v="1090"/>
    <n v="1380"/>
    <n v="290"/>
    <s v="Product 42"/>
    <x v="30"/>
    <s v="Ryan Butler"/>
    <x v="244"/>
    <n v="6"/>
    <x v="5"/>
    <x v="2"/>
    <x v="2"/>
    <x v="0"/>
    <x v="0"/>
  </r>
  <r>
    <s v="AX18260"/>
    <s v="ENX2050"/>
    <s v="A157"/>
    <s v="EMP1030"/>
    <s v="C1263"/>
    <x v="604"/>
    <n v="2"/>
    <n v="2391"/>
    <n v="1291"/>
    <n v="2582"/>
    <n v="4782"/>
    <n v="2200"/>
    <s v="Product 51"/>
    <x v="7"/>
    <s v="Bobby Russell"/>
    <x v="368"/>
    <n v="6"/>
    <x v="5"/>
    <x v="2"/>
    <x v="2"/>
    <x v="0"/>
    <x v="0"/>
  </r>
  <r>
    <s v="AX18927"/>
    <s v="ENX2072"/>
    <s v="A121"/>
    <s v="EMP1026"/>
    <s v="C1304"/>
    <x v="604"/>
    <n v="4"/>
    <n v="1887"/>
    <n v="1378"/>
    <n v="5512"/>
    <n v="7548"/>
    <n v="2036"/>
    <s v="Product 73"/>
    <x v="72"/>
    <s v="Martin Perry"/>
    <x v="298"/>
    <n v="6"/>
    <x v="5"/>
    <x v="2"/>
    <x v="2"/>
    <x v="0"/>
    <x v="0"/>
  </r>
  <r>
    <s v="AX19194"/>
    <s v="ENX2099"/>
    <s v="A144"/>
    <s v="EMP1027"/>
    <s v="C1048"/>
    <x v="602"/>
    <n v="3"/>
    <n v="1367"/>
    <n v="984"/>
    <n v="2952"/>
    <n v="4101"/>
    <n v="1149"/>
    <s v="Product 100"/>
    <x v="65"/>
    <s v="Gary Rodriguez"/>
    <x v="391"/>
    <n v="6"/>
    <x v="5"/>
    <x v="2"/>
    <x v="2"/>
    <x v="0"/>
    <x v="0"/>
  </r>
  <r>
    <s v="AX19346"/>
    <s v="ENX2002"/>
    <s v="A109"/>
    <s v="EMP1029"/>
    <s v="C1145"/>
    <x v="603"/>
    <n v="3"/>
    <n v="847"/>
    <n v="534"/>
    <n v="1602"/>
    <n v="2541"/>
    <n v="939"/>
    <s v="Product 3"/>
    <x v="57"/>
    <s v="Howard Gardner"/>
    <x v="489"/>
    <n v="6"/>
    <x v="5"/>
    <x v="2"/>
    <x v="2"/>
    <x v="0"/>
    <x v="0"/>
  </r>
  <r>
    <s v="AX19436"/>
    <s v="ENX2092"/>
    <s v="A103"/>
    <s v="EMP1002"/>
    <s v="C1421"/>
    <x v="604"/>
    <n v="1"/>
    <n v="1639"/>
    <n v="1295"/>
    <n v="1295"/>
    <n v="1639"/>
    <n v="344"/>
    <s v="Product 93"/>
    <x v="61"/>
    <s v="Andrew Bowman"/>
    <x v="564"/>
    <n v="6"/>
    <x v="5"/>
    <x v="2"/>
    <x v="2"/>
    <x v="0"/>
    <x v="0"/>
  </r>
  <r>
    <s v="AX19528"/>
    <s v="ENX2100"/>
    <s v="A160"/>
    <s v="EMP1001"/>
    <s v="C1513"/>
    <x v="602"/>
    <n v="1"/>
    <n v="799"/>
    <n v="455"/>
    <n v="455"/>
    <n v="799"/>
    <n v="344"/>
    <s v="Product 101"/>
    <x v="9"/>
    <s v="Kevin Butler"/>
    <x v="414"/>
    <n v="6"/>
    <x v="5"/>
    <x v="2"/>
    <x v="2"/>
    <x v="0"/>
    <x v="0"/>
  </r>
  <r>
    <s v="AX19608"/>
    <s v="ENX2099"/>
    <s v="A109"/>
    <s v="EMP1040"/>
    <s v="C1185"/>
    <x v="603"/>
    <n v="1"/>
    <n v="1367"/>
    <n v="984"/>
    <n v="984"/>
    <n v="1367"/>
    <n v="383"/>
    <s v="Product 100"/>
    <x v="57"/>
    <s v="Patrick Ruiz"/>
    <x v="215"/>
    <n v="6"/>
    <x v="5"/>
    <x v="2"/>
    <x v="2"/>
    <x v="0"/>
    <x v="0"/>
  </r>
  <r>
    <s v="AX20287"/>
    <s v="ENX2039"/>
    <s v="A147"/>
    <s v="EMP1025"/>
    <s v="C1180"/>
    <x v="602"/>
    <n v="2"/>
    <n v="817"/>
    <n v="409"/>
    <n v="818"/>
    <n v="1634"/>
    <n v="816"/>
    <s v="Product 40"/>
    <x v="42"/>
    <s v="Ernest Wagner"/>
    <x v="212"/>
    <n v="6"/>
    <x v="5"/>
    <x v="2"/>
    <x v="2"/>
    <x v="0"/>
    <x v="0"/>
  </r>
  <r>
    <s v="AX20588"/>
    <s v="ENX2087"/>
    <s v="A109"/>
    <s v="EMP1021"/>
    <s v="C1525"/>
    <x v="602"/>
    <n v="4"/>
    <n v="1022"/>
    <n v="818"/>
    <n v="3272"/>
    <n v="4088"/>
    <n v="816"/>
    <s v="Product 88"/>
    <x v="57"/>
    <s v="Clarence Fox"/>
    <x v="360"/>
    <n v="6"/>
    <x v="5"/>
    <x v="2"/>
    <x v="2"/>
    <x v="0"/>
    <x v="0"/>
  </r>
  <r>
    <s v="AX21310"/>
    <s v="ENX2057"/>
    <s v="A105"/>
    <s v="EMP1039"/>
    <s v="C1015"/>
    <x v="604"/>
    <n v="1"/>
    <n v="181"/>
    <n v="130"/>
    <n v="130"/>
    <n v="181"/>
    <n v="51"/>
    <s v="Product 58"/>
    <x v="45"/>
    <s v="Eugene Holmes"/>
    <x v="583"/>
    <n v="6"/>
    <x v="5"/>
    <x v="2"/>
    <x v="2"/>
    <x v="0"/>
    <x v="0"/>
  </r>
  <r>
    <s v="AX21616"/>
    <s v="ENX2074"/>
    <s v="A142"/>
    <s v="EMP1039"/>
    <s v="C1464"/>
    <x v="604"/>
    <n v="4"/>
    <n v="504"/>
    <n v="408"/>
    <n v="1632"/>
    <n v="2016"/>
    <n v="384"/>
    <s v="Product 75"/>
    <x v="56"/>
    <s v="Eugene Holmes"/>
    <x v="322"/>
    <n v="6"/>
    <x v="5"/>
    <x v="2"/>
    <x v="2"/>
    <x v="0"/>
    <x v="0"/>
  </r>
  <r>
    <s v="AX21969"/>
    <s v="ENX2089"/>
    <s v="A163"/>
    <s v="EMP1001"/>
    <s v="C1560"/>
    <x v="603"/>
    <n v="1"/>
    <n v="2294"/>
    <n v="1399"/>
    <n v="1399"/>
    <n v="2294"/>
    <n v="895"/>
    <s v="Product 90"/>
    <x v="51"/>
    <s v="Kevin Butler"/>
    <x v="208"/>
    <n v="6"/>
    <x v="5"/>
    <x v="2"/>
    <x v="2"/>
    <x v="0"/>
    <x v="0"/>
  </r>
  <r>
    <s v="AX22127"/>
    <s v="ENX2050"/>
    <s v="A116"/>
    <s v="EMP1013"/>
    <s v="C1678"/>
    <x v="604"/>
    <n v="1"/>
    <n v="2391"/>
    <n v="1291"/>
    <n v="1291"/>
    <n v="2391"/>
    <n v="1100"/>
    <s v="Product 51"/>
    <x v="15"/>
    <s v="Charles Harper"/>
    <x v="191"/>
    <n v="6"/>
    <x v="5"/>
    <x v="2"/>
    <x v="2"/>
    <x v="0"/>
    <x v="0"/>
  </r>
  <r>
    <s v="AX22430"/>
    <s v="ENX2035"/>
    <s v="A124"/>
    <s v="EMP1015"/>
    <s v="C1600"/>
    <x v="602"/>
    <n v="1"/>
    <n v="458"/>
    <n v="376"/>
    <n v="376"/>
    <n v="458"/>
    <n v="82"/>
    <s v="Product 36"/>
    <x v="67"/>
    <s v="Justin Lynch"/>
    <x v="266"/>
    <n v="6"/>
    <x v="5"/>
    <x v="2"/>
    <x v="2"/>
    <x v="0"/>
    <x v="0"/>
  </r>
  <r>
    <s v="AX23543"/>
    <s v="ENX2024"/>
    <s v="A100"/>
    <s v="EMP1026"/>
    <s v="C1229"/>
    <x v="604"/>
    <n v="3"/>
    <n v="356"/>
    <n v="292"/>
    <n v="876"/>
    <n v="1068"/>
    <n v="192"/>
    <s v="Product 25"/>
    <x v="52"/>
    <s v="Martin Perry"/>
    <x v="562"/>
    <n v="6"/>
    <x v="5"/>
    <x v="2"/>
    <x v="2"/>
    <x v="0"/>
    <x v="0"/>
  </r>
  <r>
    <s v="AX23641"/>
    <s v="ENX2072"/>
    <s v="A110"/>
    <s v="EMP1041"/>
    <s v="C1505"/>
    <x v="603"/>
    <n v="4"/>
    <n v="1887"/>
    <n v="1378"/>
    <n v="5512"/>
    <n v="7548"/>
    <n v="2036"/>
    <s v="Product 73"/>
    <x v="63"/>
    <s v="Joe Sims"/>
    <x v="632"/>
    <n v="6"/>
    <x v="5"/>
    <x v="2"/>
    <x v="2"/>
    <x v="0"/>
    <x v="0"/>
  </r>
  <r>
    <s v="AX23779"/>
    <s v="ENX2058"/>
    <s v="A103"/>
    <s v="EMP1042"/>
    <s v="C1365"/>
    <x v="603"/>
    <n v="3"/>
    <n v="2257"/>
    <n v="1535"/>
    <n v="4605"/>
    <n v="6771"/>
    <n v="2166"/>
    <s v="Product 59"/>
    <x v="61"/>
    <s v="Scott Clark"/>
    <x v="450"/>
    <n v="6"/>
    <x v="5"/>
    <x v="2"/>
    <x v="2"/>
    <x v="0"/>
    <x v="0"/>
  </r>
  <r>
    <s v="AX24267"/>
    <s v="ENX2046"/>
    <s v="A135"/>
    <s v="EMP1030"/>
    <s v="C1201"/>
    <x v="602"/>
    <n v="1"/>
    <n v="2410"/>
    <n v="1518"/>
    <n v="1518"/>
    <n v="2410"/>
    <n v="892"/>
    <s v="Product 47"/>
    <x v="10"/>
    <s v="Bobby Russell"/>
    <x v="760"/>
    <n v="6"/>
    <x v="5"/>
    <x v="2"/>
    <x v="2"/>
    <x v="0"/>
    <x v="0"/>
  </r>
  <r>
    <s v="AX24349"/>
    <s v="ENX2054"/>
    <s v="A107"/>
    <s v="EMP1018"/>
    <s v="C1598"/>
    <x v="601"/>
    <n v="4"/>
    <n v="127"/>
    <n v="79"/>
    <n v="316"/>
    <n v="508"/>
    <n v="192"/>
    <s v="Product 55"/>
    <x v="21"/>
    <s v="Jimmy Young"/>
    <x v="125"/>
    <n v="6"/>
    <x v="5"/>
    <x v="2"/>
    <x v="2"/>
    <x v="0"/>
    <x v="0"/>
  </r>
  <r>
    <s v="AX24416"/>
    <s v="ENX2011"/>
    <s v="A126"/>
    <s v="EMP1039"/>
    <s v="C1246"/>
    <x v="604"/>
    <n v="4"/>
    <n v="530"/>
    <n v="435"/>
    <n v="1740"/>
    <n v="2120"/>
    <n v="380"/>
    <s v="Product 12"/>
    <x v="5"/>
    <s v="Eugene Holmes"/>
    <x v="665"/>
    <n v="6"/>
    <x v="5"/>
    <x v="2"/>
    <x v="2"/>
    <x v="0"/>
    <x v="0"/>
  </r>
  <r>
    <s v="AX24764"/>
    <s v="ENX2099"/>
    <s v="A169"/>
    <s v="EMP1009"/>
    <s v="C1152"/>
    <x v="602"/>
    <n v="2"/>
    <n v="1367"/>
    <n v="984"/>
    <n v="1968"/>
    <n v="2734"/>
    <n v="766"/>
    <s v="Product 100"/>
    <x v="17"/>
    <s v="Kenneth Fields"/>
    <x v="198"/>
    <n v="6"/>
    <x v="5"/>
    <x v="2"/>
    <x v="2"/>
    <x v="0"/>
    <x v="0"/>
  </r>
  <r>
    <s v="AX10027"/>
    <s v="ENX2062"/>
    <s v="A126"/>
    <s v="EMP1001"/>
    <s v="C1256"/>
    <x v="605"/>
    <n v="1"/>
    <n v="2464"/>
    <n v="1774"/>
    <n v="1774"/>
    <n v="2464"/>
    <n v="690"/>
    <s v="Product 63"/>
    <x v="5"/>
    <s v="Kevin Butler"/>
    <x v="524"/>
    <n v="6"/>
    <x v="5"/>
    <x v="2"/>
    <x v="2"/>
    <x v="0"/>
    <x v="1"/>
  </r>
  <r>
    <s v="AX10199"/>
    <s v="ENX2100"/>
    <s v="A115"/>
    <s v="EMP1001"/>
    <s v="C1350"/>
    <x v="605"/>
    <n v="2"/>
    <n v="799"/>
    <n v="455"/>
    <n v="910"/>
    <n v="1598"/>
    <n v="688"/>
    <s v="Product 101"/>
    <x v="33"/>
    <s v="Kevin Butler"/>
    <x v="625"/>
    <n v="6"/>
    <x v="5"/>
    <x v="2"/>
    <x v="2"/>
    <x v="0"/>
    <x v="1"/>
  </r>
  <r>
    <s v="AX10295"/>
    <s v="ENX2076"/>
    <s v="A111"/>
    <s v="EMP1003"/>
    <s v="C1552"/>
    <x v="606"/>
    <n v="3"/>
    <n v="1522"/>
    <n v="791"/>
    <n v="2373"/>
    <n v="4566"/>
    <n v="2193"/>
    <s v="Product 77"/>
    <x v="54"/>
    <s v="Christopher Tucker"/>
    <x v="92"/>
    <n v="6"/>
    <x v="5"/>
    <x v="2"/>
    <x v="2"/>
    <x v="0"/>
    <x v="1"/>
  </r>
  <r>
    <s v="AX10771"/>
    <s v="ENX2022"/>
    <s v="A157"/>
    <s v="EMP1026"/>
    <s v="C1007"/>
    <x v="605"/>
    <n v="1"/>
    <n v="561"/>
    <n v="421"/>
    <n v="421"/>
    <n v="561"/>
    <n v="140"/>
    <s v="Product 23"/>
    <x v="7"/>
    <s v="Martin Perry"/>
    <x v="413"/>
    <n v="6"/>
    <x v="5"/>
    <x v="2"/>
    <x v="2"/>
    <x v="0"/>
    <x v="1"/>
  </r>
  <r>
    <s v="AX12463"/>
    <s v="ENX2041"/>
    <s v="A172"/>
    <s v="EMP1038"/>
    <s v="C1177"/>
    <x v="605"/>
    <n v="1"/>
    <n v="1380"/>
    <n v="1090"/>
    <n v="1090"/>
    <n v="1380"/>
    <n v="290"/>
    <s v="Product 42"/>
    <x v="36"/>
    <s v="Scott Mason"/>
    <x v="365"/>
    <n v="6"/>
    <x v="5"/>
    <x v="2"/>
    <x v="2"/>
    <x v="0"/>
    <x v="1"/>
  </r>
  <r>
    <s v="AX15017"/>
    <s v="ENX2080"/>
    <s v="A163"/>
    <s v="EMP1006"/>
    <s v="C1252"/>
    <x v="605"/>
    <n v="2"/>
    <n v="2353"/>
    <n v="1788"/>
    <n v="3576"/>
    <n v="4706"/>
    <n v="1130"/>
    <s v="Product 81"/>
    <x v="51"/>
    <s v="Sean Miller"/>
    <x v="358"/>
    <n v="6"/>
    <x v="5"/>
    <x v="2"/>
    <x v="2"/>
    <x v="0"/>
    <x v="1"/>
  </r>
  <r>
    <s v="AX15292"/>
    <s v="ENX2059"/>
    <s v="A104"/>
    <s v="EMP1039"/>
    <s v="C1450"/>
    <x v="605"/>
    <n v="3"/>
    <n v="1494"/>
    <n v="971"/>
    <n v="2913"/>
    <n v="4482"/>
    <n v="1569"/>
    <s v="Product 60"/>
    <x v="50"/>
    <s v="Eugene Holmes"/>
    <x v="13"/>
    <n v="6"/>
    <x v="5"/>
    <x v="2"/>
    <x v="2"/>
    <x v="0"/>
    <x v="1"/>
  </r>
  <r>
    <s v="AX15934"/>
    <s v="ENX2009"/>
    <s v="A103"/>
    <s v="EMP1044"/>
    <s v="C1436"/>
    <x v="606"/>
    <n v="2"/>
    <n v="584"/>
    <n v="420"/>
    <n v="840"/>
    <n v="1168"/>
    <n v="328"/>
    <s v="Product 10"/>
    <x v="61"/>
    <s v="Martin Carr"/>
    <x v="283"/>
    <n v="6"/>
    <x v="5"/>
    <x v="2"/>
    <x v="2"/>
    <x v="0"/>
    <x v="1"/>
  </r>
  <r>
    <s v="AX15944"/>
    <s v="ENX2052"/>
    <s v="A119"/>
    <s v="EMP1031"/>
    <s v="C1533"/>
    <x v="606"/>
    <n v="4"/>
    <n v="1526"/>
    <n v="1251"/>
    <n v="5004"/>
    <n v="6104"/>
    <n v="1100"/>
    <s v="Product 53"/>
    <x v="16"/>
    <s v="Brian Thomas"/>
    <x v="179"/>
    <n v="6"/>
    <x v="5"/>
    <x v="2"/>
    <x v="2"/>
    <x v="0"/>
    <x v="1"/>
  </r>
  <r>
    <s v="AX16594"/>
    <s v="ENX2034"/>
    <s v="A147"/>
    <s v="EMP1044"/>
    <s v="C1561"/>
    <x v="606"/>
    <n v="1"/>
    <n v="871"/>
    <n v="540"/>
    <n v="540"/>
    <n v="871"/>
    <n v="331"/>
    <s v="Product 35"/>
    <x v="42"/>
    <s v="Martin Carr"/>
    <x v="114"/>
    <n v="6"/>
    <x v="5"/>
    <x v="2"/>
    <x v="2"/>
    <x v="0"/>
    <x v="1"/>
  </r>
  <r>
    <s v="AX16805"/>
    <s v="ENX2050"/>
    <s v="A168"/>
    <s v="EMP1026"/>
    <s v="C1192"/>
    <x v="606"/>
    <n v="1"/>
    <n v="2391"/>
    <n v="1291"/>
    <n v="1291"/>
    <n v="2391"/>
    <n v="1100"/>
    <s v="Product 51"/>
    <x v="40"/>
    <s v="Martin Perry"/>
    <x v="746"/>
    <n v="6"/>
    <x v="5"/>
    <x v="2"/>
    <x v="2"/>
    <x v="0"/>
    <x v="1"/>
  </r>
  <r>
    <s v="AX16995"/>
    <s v="ENX2087"/>
    <s v="A115"/>
    <s v="EMP1028"/>
    <s v="C1044"/>
    <x v="605"/>
    <n v="1"/>
    <n v="1022"/>
    <n v="818"/>
    <n v="818"/>
    <n v="1022"/>
    <n v="204"/>
    <s v="Product 88"/>
    <x v="33"/>
    <s v="Howard Sims"/>
    <x v="331"/>
    <n v="6"/>
    <x v="5"/>
    <x v="2"/>
    <x v="2"/>
    <x v="0"/>
    <x v="1"/>
  </r>
  <r>
    <s v="AX17039"/>
    <s v="ENX2000"/>
    <s v="A127"/>
    <s v="EMP1013"/>
    <s v="C1692"/>
    <x v="605"/>
    <n v="1"/>
    <n v="2241"/>
    <n v="1367"/>
    <n v="1367"/>
    <n v="2241"/>
    <n v="874"/>
    <s v="Product 1"/>
    <x v="69"/>
    <s v="Charles Harper"/>
    <x v="555"/>
    <n v="6"/>
    <x v="5"/>
    <x v="2"/>
    <x v="2"/>
    <x v="0"/>
    <x v="1"/>
  </r>
  <r>
    <s v="AX17075"/>
    <s v="ENX2077"/>
    <s v="A108"/>
    <s v="EMP1033"/>
    <s v="C1304"/>
    <x v="606"/>
    <n v="1"/>
    <n v="530"/>
    <n v="424"/>
    <n v="424"/>
    <n v="530"/>
    <n v="106"/>
    <s v="Product 78"/>
    <x v="49"/>
    <s v="Jerry Perry"/>
    <x v="298"/>
    <n v="6"/>
    <x v="5"/>
    <x v="2"/>
    <x v="2"/>
    <x v="0"/>
    <x v="1"/>
  </r>
  <r>
    <s v="AX17308"/>
    <s v="ENX2093"/>
    <s v="A138"/>
    <s v="EMP1033"/>
    <s v="C1199"/>
    <x v="605"/>
    <n v="1"/>
    <n v="112"/>
    <n v="90"/>
    <n v="90"/>
    <n v="112"/>
    <n v="22"/>
    <s v="Product 94"/>
    <x v="37"/>
    <s v="Jerry Perry"/>
    <x v="245"/>
    <n v="6"/>
    <x v="5"/>
    <x v="2"/>
    <x v="2"/>
    <x v="0"/>
    <x v="1"/>
  </r>
  <r>
    <s v="AX17488"/>
    <s v="ENX2035"/>
    <s v="A126"/>
    <s v="EMP1015"/>
    <s v="C1011"/>
    <x v="606"/>
    <n v="1"/>
    <n v="458"/>
    <n v="376"/>
    <n v="376"/>
    <n v="458"/>
    <n v="82"/>
    <s v="Product 36"/>
    <x v="5"/>
    <s v="Justin Lynch"/>
    <x v="275"/>
    <n v="6"/>
    <x v="5"/>
    <x v="2"/>
    <x v="2"/>
    <x v="0"/>
    <x v="1"/>
  </r>
  <r>
    <s v="AX18081"/>
    <s v="ENX2069"/>
    <s v="A108"/>
    <s v="EMP1017"/>
    <s v="C1002"/>
    <x v="605"/>
    <n v="1"/>
    <n v="378"/>
    <n v="291"/>
    <n v="291"/>
    <n v="378"/>
    <n v="87"/>
    <s v="Product 70"/>
    <x v="49"/>
    <s v="Brian Hansen"/>
    <x v="49"/>
    <n v="6"/>
    <x v="5"/>
    <x v="2"/>
    <x v="2"/>
    <x v="0"/>
    <x v="1"/>
  </r>
  <r>
    <s v="AX18987"/>
    <s v="ENX2061"/>
    <s v="A114"/>
    <s v="EMP1011"/>
    <s v="C1155"/>
    <x v="605"/>
    <n v="1"/>
    <n v="913"/>
    <n v="584"/>
    <n v="584"/>
    <n v="913"/>
    <n v="329"/>
    <s v="Product 62"/>
    <x v="28"/>
    <s v="Larry Marshall"/>
    <x v="711"/>
    <n v="6"/>
    <x v="5"/>
    <x v="2"/>
    <x v="2"/>
    <x v="0"/>
    <x v="1"/>
  </r>
  <r>
    <s v="AX19173"/>
    <s v="ENX2002"/>
    <s v="A142"/>
    <s v="EMP1024"/>
    <s v="C1102"/>
    <x v="605"/>
    <n v="2"/>
    <n v="847"/>
    <n v="534"/>
    <n v="1068"/>
    <n v="1694"/>
    <n v="626"/>
    <s v="Product 3"/>
    <x v="56"/>
    <s v="Ernest Wheeler"/>
    <x v="766"/>
    <n v="6"/>
    <x v="5"/>
    <x v="2"/>
    <x v="2"/>
    <x v="0"/>
    <x v="1"/>
  </r>
  <r>
    <s v="AX20265"/>
    <s v="ENX2062"/>
    <s v="A114"/>
    <s v="EMP1005"/>
    <s v="C1164"/>
    <x v="605"/>
    <n v="3"/>
    <n v="2464"/>
    <n v="1774"/>
    <n v="5322"/>
    <n v="7392"/>
    <n v="2070"/>
    <s v="Product 63"/>
    <x v="28"/>
    <s v="Ryan Welch"/>
    <x v="149"/>
    <n v="6"/>
    <x v="5"/>
    <x v="2"/>
    <x v="2"/>
    <x v="0"/>
    <x v="1"/>
  </r>
  <r>
    <s v="AX20986"/>
    <s v="ENX2055"/>
    <s v="A112"/>
    <s v="EMP1044"/>
    <s v="C1007"/>
    <x v="605"/>
    <n v="1"/>
    <n v="2495"/>
    <n v="1896"/>
    <n v="1896"/>
    <n v="2495"/>
    <n v="599"/>
    <s v="Product 56"/>
    <x v="66"/>
    <s v="Martin Carr"/>
    <x v="413"/>
    <n v="6"/>
    <x v="5"/>
    <x v="2"/>
    <x v="2"/>
    <x v="0"/>
    <x v="1"/>
  </r>
  <r>
    <s v="AX21423"/>
    <s v="ENX2040"/>
    <s v="A172"/>
    <s v="EMP1018"/>
    <s v="C1578"/>
    <x v="606"/>
    <n v="1"/>
    <n v="1889"/>
    <n v="945"/>
    <n v="945"/>
    <n v="1889"/>
    <n v="944"/>
    <s v="Product 41"/>
    <x v="36"/>
    <s v="Jimmy Young"/>
    <x v="17"/>
    <n v="6"/>
    <x v="5"/>
    <x v="2"/>
    <x v="2"/>
    <x v="0"/>
    <x v="1"/>
  </r>
  <r>
    <s v="AX22189"/>
    <s v="ENX2027"/>
    <s v="A118"/>
    <s v="EMP1031"/>
    <s v="C1523"/>
    <x v="605"/>
    <n v="1"/>
    <n v="2497"/>
    <n v="1473"/>
    <n v="1473"/>
    <n v="2497"/>
    <n v="1024"/>
    <s v="Product 28"/>
    <x v="19"/>
    <s v="Brian Thomas"/>
    <x v="543"/>
    <n v="6"/>
    <x v="5"/>
    <x v="2"/>
    <x v="2"/>
    <x v="0"/>
    <x v="1"/>
  </r>
  <r>
    <s v="AX22407"/>
    <s v="ENX2034"/>
    <s v="A122"/>
    <s v="EMP1025"/>
    <s v="C1712"/>
    <x v="606"/>
    <n v="4"/>
    <n v="871"/>
    <n v="540"/>
    <n v="2160"/>
    <n v="3484"/>
    <n v="1324"/>
    <s v="Product 35"/>
    <x v="71"/>
    <s v="Ernest Wagner"/>
    <x v="21"/>
    <n v="6"/>
    <x v="5"/>
    <x v="2"/>
    <x v="2"/>
    <x v="0"/>
    <x v="1"/>
  </r>
  <r>
    <s v="AX22437"/>
    <s v="ENX2078"/>
    <s v="A109"/>
    <s v="EMP1040"/>
    <s v="C1115"/>
    <x v="606"/>
    <n v="4"/>
    <n v="1798"/>
    <n v="971"/>
    <n v="3884"/>
    <n v="7192"/>
    <n v="3308"/>
    <s v="Product 79"/>
    <x v="57"/>
    <s v="Patrick Ruiz"/>
    <x v="338"/>
    <n v="6"/>
    <x v="5"/>
    <x v="2"/>
    <x v="2"/>
    <x v="0"/>
    <x v="1"/>
  </r>
  <r>
    <s v="AX22583"/>
    <s v="ENX2072"/>
    <s v="A167"/>
    <s v="EMP1002"/>
    <s v="C1237"/>
    <x v="605"/>
    <n v="1"/>
    <n v="1887"/>
    <n v="1378"/>
    <n v="1378"/>
    <n v="1887"/>
    <n v="509"/>
    <s v="Product 73"/>
    <x v="64"/>
    <s v="Andrew Bowman"/>
    <x v="484"/>
    <n v="6"/>
    <x v="5"/>
    <x v="2"/>
    <x v="2"/>
    <x v="0"/>
    <x v="1"/>
  </r>
  <r>
    <s v="AX22782"/>
    <s v="ENX2009"/>
    <s v="A110"/>
    <s v="EMP1002"/>
    <s v="C1458"/>
    <x v="605"/>
    <n v="2"/>
    <n v="584"/>
    <n v="420"/>
    <n v="840"/>
    <n v="1168"/>
    <n v="328"/>
    <s v="Product 10"/>
    <x v="63"/>
    <s v="Andrew Bowman"/>
    <x v="291"/>
    <n v="6"/>
    <x v="5"/>
    <x v="2"/>
    <x v="2"/>
    <x v="0"/>
    <x v="1"/>
  </r>
  <r>
    <s v="AX23039"/>
    <s v="ENX2075"/>
    <s v="A123"/>
    <s v="EMP1000"/>
    <s v="C1091"/>
    <x v="605"/>
    <n v="3"/>
    <n v="400"/>
    <n v="208"/>
    <n v="624"/>
    <n v="1200"/>
    <n v="576"/>
    <s v="Product 76"/>
    <x v="34"/>
    <s v="Fred Robertson"/>
    <x v="513"/>
    <n v="6"/>
    <x v="5"/>
    <x v="2"/>
    <x v="2"/>
    <x v="0"/>
    <x v="1"/>
  </r>
  <r>
    <s v="AX23086"/>
    <s v="ENX2034"/>
    <s v="A153"/>
    <s v="EMP1032"/>
    <s v="C1708"/>
    <x v="606"/>
    <n v="2"/>
    <n v="871"/>
    <n v="540"/>
    <n v="1080"/>
    <n v="1742"/>
    <n v="662"/>
    <s v="Product 35"/>
    <x v="8"/>
    <s v="Larry Castillo"/>
    <x v="579"/>
    <n v="6"/>
    <x v="5"/>
    <x v="2"/>
    <x v="2"/>
    <x v="0"/>
    <x v="1"/>
  </r>
  <r>
    <s v="AX23181"/>
    <s v="ENX2044"/>
    <s v="A121"/>
    <s v="EMP1026"/>
    <s v="C1021"/>
    <x v="606"/>
    <n v="1"/>
    <n v="886"/>
    <n v="478"/>
    <n v="478"/>
    <n v="886"/>
    <n v="408"/>
    <s v="Product 45"/>
    <x v="72"/>
    <s v="Martin Perry"/>
    <x v="246"/>
    <n v="6"/>
    <x v="5"/>
    <x v="2"/>
    <x v="2"/>
    <x v="0"/>
    <x v="1"/>
  </r>
  <r>
    <s v="AX23568"/>
    <s v="ENX2043"/>
    <s v="A142"/>
    <s v="EMP1020"/>
    <s v="C1148"/>
    <x v="605"/>
    <n v="1"/>
    <n v="545"/>
    <n v="425"/>
    <n v="425"/>
    <n v="545"/>
    <n v="120"/>
    <s v="Product 44"/>
    <x v="56"/>
    <s v="Ryan Butler"/>
    <x v="55"/>
    <n v="6"/>
    <x v="5"/>
    <x v="2"/>
    <x v="2"/>
    <x v="0"/>
    <x v="1"/>
  </r>
  <r>
    <s v="AX24090"/>
    <s v="ENX2009"/>
    <s v="A172"/>
    <s v="EMP1037"/>
    <s v="C1443"/>
    <x v="606"/>
    <n v="1"/>
    <n v="584"/>
    <n v="420"/>
    <n v="420"/>
    <n v="584"/>
    <n v="164"/>
    <s v="Product 10"/>
    <x v="36"/>
    <s v="Carl Hall"/>
    <x v="683"/>
    <n v="6"/>
    <x v="5"/>
    <x v="2"/>
    <x v="2"/>
    <x v="0"/>
    <x v="1"/>
  </r>
  <r>
    <s v="AX24762"/>
    <s v="ENX2048"/>
    <s v="A104"/>
    <s v="EMP1038"/>
    <s v="C1652"/>
    <x v="605"/>
    <n v="3"/>
    <n v="502"/>
    <n v="296"/>
    <n v="888"/>
    <n v="1506"/>
    <n v="618"/>
    <s v="Product 49"/>
    <x v="50"/>
    <s v="Scott Mason"/>
    <x v="737"/>
    <n v="6"/>
    <x v="5"/>
    <x v="2"/>
    <x v="2"/>
    <x v="0"/>
    <x v="1"/>
  </r>
  <r>
    <s v="AX10215"/>
    <s v="ENX2089"/>
    <s v="A118"/>
    <s v="EMP1033"/>
    <s v="C1018"/>
    <x v="607"/>
    <n v="2"/>
    <n v="2294"/>
    <n v="1399"/>
    <n v="2798"/>
    <n v="4588"/>
    <n v="1790"/>
    <s v="Product 90"/>
    <x v="19"/>
    <s v="Jerry Perry"/>
    <x v="138"/>
    <n v="6"/>
    <x v="5"/>
    <x v="2"/>
    <x v="2"/>
    <x v="0"/>
    <x v="2"/>
  </r>
  <r>
    <s v="AX10278"/>
    <s v="ENX2054"/>
    <s v="A160"/>
    <s v="EMP1023"/>
    <s v="C1620"/>
    <x v="608"/>
    <n v="1"/>
    <n v="127"/>
    <n v="79"/>
    <n v="79"/>
    <n v="127"/>
    <n v="48"/>
    <s v="Product 55"/>
    <x v="9"/>
    <s v="Brian Davis"/>
    <x v="445"/>
    <n v="6"/>
    <x v="5"/>
    <x v="2"/>
    <x v="2"/>
    <x v="0"/>
    <x v="2"/>
  </r>
  <r>
    <s v="AX10305"/>
    <s v="ENX2080"/>
    <s v="A114"/>
    <s v="EMP1042"/>
    <s v="C1095"/>
    <x v="608"/>
    <n v="3"/>
    <n v="2353"/>
    <n v="1788"/>
    <n v="5364"/>
    <n v="7059"/>
    <n v="1695"/>
    <s v="Product 81"/>
    <x v="28"/>
    <s v="Scott Clark"/>
    <x v="240"/>
    <n v="6"/>
    <x v="5"/>
    <x v="2"/>
    <x v="2"/>
    <x v="0"/>
    <x v="2"/>
  </r>
  <r>
    <s v="AX10487"/>
    <s v="ENX2091"/>
    <s v="A143"/>
    <s v="EMP1015"/>
    <s v="C1654"/>
    <x v="609"/>
    <n v="3"/>
    <n v="368"/>
    <n v="294"/>
    <n v="882"/>
    <n v="1104"/>
    <n v="222"/>
    <s v="Product 92"/>
    <x v="39"/>
    <s v="Justin Lynch"/>
    <x v="351"/>
    <n v="6"/>
    <x v="5"/>
    <x v="2"/>
    <x v="2"/>
    <x v="0"/>
    <x v="2"/>
  </r>
  <r>
    <s v="AX10552"/>
    <s v="ENX2095"/>
    <s v="A121"/>
    <s v="EMP1002"/>
    <s v="C1466"/>
    <x v="608"/>
    <n v="1"/>
    <n v="1743"/>
    <n v="872"/>
    <n v="872"/>
    <n v="1743"/>
    <n v="871"/>
    <s v="Product 96"/>
    <x v="72"/>
    <s v="Andrew Bowman"/>
    <x v="132"/>
    <n v="6"/>
    <x v="5"/>
    <x v="2"/>
    <x v="2"/>
    <x v="0"/>
    <x v="2"/>
  </r>
  <r>
    <s v="AX10762"/>
    <s v="ENX2009"/>
    <s v="A148"/>
    <s v="EMP1001"/>
    <s v="C1517"/>
    <x v="610"/>
    <n v="3"/>
    <n v="584"/>
    <n v="420"/>
    <n v="1260"/>
    <n v="1752"/>
    <n v="492"/>
    <s v="Product 10"/>
    <x v="62"/>
    <s v="Kevin Butler"/>
    <x v="359"/>
    <n v="6"/>
    <x v="5"/>
    <x v="2"/>
    <x v="2"/>
    <x v="0"/>
    <x v="2"/>
  </r>
  <r>
    <s v="AX11156"/>
    <s v="ENX2024"/>
    <s v="A110"/>
    <s v="EMP1044"/>
    <s v="C1220"/>
    <x v="610"/>
    <n v="4"/>
    <n v="356"/>
    <n v="292"/>
    <n v="1168"/>
    <n v="1424"/>
    <n v="256"/>
    <s v="Product 25"/>
    <x v="63"/>
    <s v="Martin Carr"/>
    <x v="204"/>
    <n v="6"/>
    <x v="5"/>
    <x v="2"/>
    <x v="2"/>
    <x v="0"/>
    <x v="2"/>
  </r>
  <r>
    <s v="AX11486"/>
    <s v="ENX2005"/>
    <s v="A126"/>
    <s v="EMP1042"/>
    <s v="C1618"/>
    <x v="610"/>
    <n v="1"/>
    <n v="684"/>
    <n v="561"/>
    <n v="561"/>
    <n v="684"/>
    <n v="123"/>
    <s v="Product 6"/>
    <x v="5"/>
    <s v="Scott Clark"/>
    <x v="292"/>
    <n v="6"/>
    <x v="5"/>
    <x v="2"/>
    <x v="2"/>
    <x v="0"/>
    <x v="2"/>
  </r>
  <r>
    <s v="AX12303"/>
    <s v="ENX2005"/>
    <s v="A149"/>
    <s v="EMP1036"/>
    <s v="C1375"/>
    <x v="607"/>
    <n v="1"/>
    <n v="684"/>
    <n v="561"/>
    <n v="561"/>
    <n v="684"/>
    <n v="123"/>
    <s v="Product 6"/>
    <x v="59"/>
    <s v="Robert Reed"/>
    <x v="9"/>
    <n v="6"/>
    <x v="5"/>
    <x v="2"/>
    <x v="2"/>
    <x v="0"/>
    <x v="2"/>
  </r>
  <r>
    <s v="AX12781"/>
    <s v="ENX2094"/>
    <s v="A109"/>
    <s v="EMP1018"/>
    <s v="C1113"/>
    <x v="609"/>
    <n v="1"/>
    <n v="771"/>
    <n v="648"/>
    <n v="648"/>
    <n v="771"/>
    <n v="123"/>
    <s v="Product 95"/>
    <x v="57"/>
    <s v="Jimmy Young"/>
    <x v="101"/>
    <n v="6"/>
    <x v="5"/>
    <x v="2"/>
    <x v="2"/>
    <x v="0"/>
    <x v="2"/>
  </r>
  <r>
    <s v="AX13007"/>
    <s v="ENX2056"/>
    <s v="A154"/>
    <s v="EMP1003"/>
    <s v="C1166"/>
    <x v="607"/>
    <n v="1"/>
    <n v="1635"/>
    <n v="1046"/>
    <n v="1046"/>
    <n v="1635"/>
    <n v="589"/>
    <s v="Product 57"/>
    <x v="24"/>
    <s v="Christopher Tucker"/>
    <x v="733"/>
    <n v="6"/>
    <x v="5"/>
    <x v="2"/>
    <x v="2"/>
    <x v="0"/>
    <x v="2"/>
  </r>
  <r>
    <s v="AX13015"/>
    <s v="ENX2077"/>
    <s v="A149"/>
    <s v="EMP1017"/>
    <s v="C1153"/>
    <x v="609"/>
    <n v="1"/>
    <n v="530"/>
    <n v="424"/>
    <n v="424"/>
    <n v="530"/>
    <n v="106"/>
    <s v="Product 78"/>
    <x v="59"/>
    <s v="Brian Hansen"/>
    <x v="382"/>
    <n v="6"/>
    <x v="5"/>
    <x v="2"/>
    <x v="2"/>
    <x v="0"/>
    <x v="2"/>
  </r>
  <r>
    <s v="AX13190"/>
    <s v="ENX2058"/>
    <s v="A133"/>
    <s v="EMP1043"/>
    <s v="C1727"/>
    <x v="611"/>
    <n v="4"/>
    <n v="2257"/>
    <n v="1535"/>
    <n v="6140"/>
    <n v="9028"/>
    <n v="2888"/>
    <s v="Product 59"/>
    <x v="46"/>
    <s v="Joshua Taylor"/>
    <x v="581"/>
    <n v="6"/>
    <x v="5"/>
    <x v="2"/>
    <x v="2"/>
    <x v="0"/>
    <x v="2"/>
  </r>
  <r>
    <s v="AX13290"/>
    <s v="ENX2100"/>
    <s v="A157"/>
    <s v="EMP1012"/>
    <s v="C1374"/>
    <x v="607"/>
    <n v="3"/>
    <n v="799"/>
    <n v="455"/>
    <n v="1365"/>
    <n v="2397"/>
    <n v="1032"/>
    <s v="Product 101"/>
    <x v="7"/>
    <s v="John Reyes"/>
    <x v="189"/>
    <n v="6"/>
    <x v="5"/>
    <x v="2"/>
    <x v="2"/>
    <x v="0"/>
    <x v="2"/>
  </r>
  <r>
    <s v="AX13371"/>
    <s v="ENX2026"/>
    <s v="A126"/>
    <s v="EMP1016"/>
    <s v="C1641"/>
    <x v="611"/>
    <n v="2"/>
    <n v="947"/>
    <n v="786"/>
    <n v="1572"/>
    <n v="1894"/>
    <n v="322"/>
    <s v="Product 27"/>
    <x v="5"/>
    <s v="Henry Nelson"/>
    <x v="761"/>
    <n v="6"/>
    <x v="5"/>
    <x v="2"/>
    <x v="2"/>
    <x v="0"/>
    <x v="2"/>
  </r>
  <r>
    <s v="AX13546"/>
    <s v="ENX2054"/>
    <s v="A166"/>
    <s v="EMP1010"/>
    <s v="C1143"/>
    <x v="608"/>
    <n v="2"/>
    <n v="127"/>
    <n v="79"/>
    <n v="158"/>
    <n v="254"/>
    <n v="96"/>
    <s v="Product 55"/>
    <x v="70"/>
    <s v="Joshua Cook"/>
    <x v="557"/>
    <n v="6"/>
    <x v="5"/>
    <x v="2"/>
    <x v="2"/>
    <x v="0"/>
    <x v="2"/>
  </r>
  <r>
    <s v="AX13640"/>
    <s v="ENX2073"/>
    <s v="A135"/>
    <s v="EMP1015"/>
    <s v="C1014"/>
    <x v="608"/>
    <n v="4"/>
    <n v="95"/>
    <n v="61"/>
    <n v="244"/>
    <n v="380"/>
    <n v="136"/>
    <s v="Product 74"/>
    <x v="10"/>
    <s v="Justin Lynch"/>
    <x v="26"/>
    <n v="6"/>
    <x v="5"/>
    <x v="2"/>
    <x v="2"/>
    <x v="0"/>
    <x v="2"/>
  </r>
  <r>
    <s v="AX13837"/>
    <s v="ENX2072"/>
    <s v="A149"/>
    <s v="EMP1013"/>
    <s v="C1437"/>
    <x v="609"/>
    <n v="2"/>
    <n v="1887"/>
    <n v="1378"/>
    <n v="2756"/>
    <n v="3774"/>
    <n v="1018"/>
    <s v="Product 73"/>
    <x v="59"/>
    <s v="Charles Harper"/>
    <x v="640"/>
    <n v="6"/>
    <x v="5"/>
    <x v="2"/>
    <x v="2"/>
    <x v="0"/>
    <x v="2"/>
  </r>
  <r>
    <s v="AX13849"/>
    <s v="ENX2000"/>
    <s v="A115"/>
    <s v="EMP1017"/>
    <s v="C1275"/>
    <x v="609"/>
    <n v="1"/>
    <n v="2241"/>
    <n v="1367"/>
    <n v="1367"/>
    <n v="2241"/>
    <n v="874"/>
    <s v="Product 1"/>
    <x v="33"/>
    <s v="Brian Hansen"/>
    <x v="144"/>
    <n v="6"/>
    <x v="5"/>
    <x v="2"/>
    <x v="2"/>
    <x v="0"/>
    <x v="2"/>
  </r>
  <r>
    <s v="AX13896"/>
    <s v="ENX2084"/>
    <s v="A133"/>
    <s v="EMP1023"/>
    <s v="C1444"/>
    <x v="607"/>
    <n v="3"/>
    <n v="1783"/>
    <n v="1230"/>
    <n v="3690"/>
    <n v="5349"/>
    <n v="1659"/>
    <s v="Product 85"/>
    <x v="46"/>
    <s v="Brian Davis"/>
    <x v="454"/>
    <n v="6"/>
    <x v="5"/>
    <x v="2"/>
    <x v="2"/>
    <x v="0"/>
    <x v="2"/>
  </r>
  <r>
    <s v="AX14387"/>
    <s v="ENX2073"/>
    <s v="A172"/>
    <s v="EMP1023"/>
    <s v="C1759"/>
    <x v="608"/>
    <n v="4"/>
    <n v="95"/>
    <n v="61"/>
    <n v="244"/>
    <n v="380"/>
    <n v="136"/>
    <s v="Product 74"/>
    <x v="36"/>
    <s v="Brian Davis"/>
    <x v="355"/>
    <n v="6"/>
    <x v="5"/>
    <x v="2"/>
    <x v="2"/>
    <x v="0"/>
    <x v="2"/>
  </r>
  <r>
    <s v="AX14695"/>
    <s v="ENX2075"/>
    <s v="A110"/>
    <s v="EMP1019"/>
    <s v="C1670"/>
    <x v="611"/>
    <n v="1"/>
    <n v="400"/>
    <n v="208"/>
    <n v="208"/>
    <n v="400"/>
    <n v="192"/>
    <s v="Product 76"/>
    <x v="63"/>
    <s v="Roger Robertson"/>
    <x v="663"/>
    <n v="6"/>
    <x v="5"/>
    <x v="2"/>
    <x v="2"/>
    <x v="0"/>
    <x v="2"/>
  </r>
  <r>
    <s v="AX14755"/>
    <s v="ENX2017"/>
    <s v="A148"/>
    <s v="EMP1028"/>
    <s v="C1472"/>
    <x v="610"/>
    <n v="2"/>
    <n v="35"/>
    <n v="22"/>
    <n v="44"/>
    <n v="70"/>
    <n v="26"/>
    <s v="Product 18"/>
    <x v="62"/>
    <s v="Howard Sims"/>
    <x v="626"/>
    <n v="6"/>
    <x v="5"/>
    <x v="2"/>
    <x v="2"/>
    <x v="0"/>
    <x v="2"/>
  </r>
  <r>
    <s v="AX14824"/>
    <s v="ENX2022"/>
    <s v="A114"/>
    <s v="EMP1012"/>
    <s v="C1630"/>
    <x v="607"/>
    <n v="3"/>
    <n v="561"/>
    <n v="421"/>
    <n v="1263"/>
    <n v="1683"/>
    <n v="420"/>
    <s v="Product 23"/>
    <x v="28"/>
    <s v="John Reyes"/>
    <x v="154"/>
    <n v="6"/>
    <x v="5"/>
    <x v="2"/>
    <x v="2"/>
    <x v="0"/>
    <x v="2"/>
  </r>
  <r>
    <s v="AX14880"/>
    <s v="ENX2015"/>
    <s v="A118"/>
    <s v="EMP1021"/>
    <s v="C1107"/>
    <x v="607"/>
    <n v="1"/>
    <n v="637"/>
    <n v="389"/>
    <n v="389"/>
    <n v="637"/>
    <n v="248"/>
    <s v="Product 16"/>
    <x v="19"/>
    <s v="Clarence Fox"/>
    <x v="278"/>
    <n v="6"/>
    <x v="5"/>
    <x v="2"/>
    <x v="2"/>
    <x v="0"/>
    <x v="2"/>
  </r>
  <r>
    <s v="AX15048"/>
    <s v="ENX2054"/>
    <s v="A119"/>
    <s v="EMP1028"/>
    <s v="C1302"/>
    <x v="611"/>
    <n v="1"/>
    <n v="127"/>
    <n v="79"/>
    <n v="79"/>
    <n v="127"/>
    <n v="48"/>
    <s v="Product 55"/>
    <x v="16"/>
    <s v="Howard Sims"/>
    <x v="451"/>
    <n v="6"/>
    <x v="5"/>
    <x v="2"/>
    <x v="2"/>
    <x v="0"/>
    <x v="2"/>
  </r>
  <r>
    <s v="AX15077"/>
    <s v="ENX2026"/>
    <s v="A147"/>
    <s v="EMP1022"/>
    <s v="C1436"/>
    <x v="609"/>
    <n v="1"/>
    <n v="947"/>
    <n v="786"/>
    <n v="786"/>
    <n v="947"/>
    <n v="161"/>
    <s v="Product 27"/>
    <x v="42"/>
    <s v="Walter Cook"/>
    <x v="283"/>
    <n v="6"/>
    <x v="5"/>
    <x v="2"/>
    <x v="2"/>
    <x v="0"/>
    <x v="2"/>
  </r>
  <r>
    <s v="AX15284"/>
    <s v="ENX2039"/>
    <s v="A122"/>
    <s v="EMP1008"/>
    <s v="C1440"/>
    <x v="610"/>
    <n v="1"/>
    <n v="817"/>
    <n v="409"/>
    <n v="409"/>
    <n v="817"/>
    <n v="408"/>
    <s v="Product 40"/>
    <x v="71"/>
    <s v="Carl Elliott"/>
    <x v="52"/>
    <n v="6"/>
    <x v="5"/>
    <x v="2"/>
    <x v="2"/>
    <x v="0"/>
    <x v="2"/>
  </r>
  <r>
    <s v="AX15442"/>
    <s v="ENX2003"/>
    <s v="A173"/>
    <s v="EMP1023"/>
    <s v="C1129"/>
    <x v="609"/>
    <n v="4"/>
    <n v="1783"/>
    <n v="1516"/>
    <n v="6064"/>
    <n v="7132"/>
    <n v="1068"/>
    <s v="Product 4"/>
    <x v="25"/>
    <s v="Brian Davis"/>
    <x v="281"/>
    <n v="6"/>
    <x v="5"/>
    <x v="2"/>
    <x v="2"/>
    <x v="0"/>
    <x v="2"/>
  </r>
  <r>
    <s v="AX15494"/>
    <s v="ENX2046"/>
    <s v="A171"/>
    <s v="EMP1029"/>
    <s v="C1272"/>
    <x v="611"/>
    <n v="1"/>
    <n v="2410"/>
    <n v="1518"/>
    <n v="1518"/>
    <n v="2410"/>
    <n v="892"/>
    <s v="Product 47"/>
    <x v="0"/>
    <s v="Howard Gardner"/>
    <x v="491"/>
    <n v="6"/>
    <x v="5"/>
    <x v="2"/>
    <x v="2"/>
    <x v="0"/>
    <x v="2"/>
  </r>
  <r>
    <s v="AX15580"/>
    <s v="ENX2092"/>
    <s v="A171"/>
    <s v="EMP1021"/>
    <s v="C1451"/>
    <x v="608"/>
    <n v="3"/>
    <n v="1639"/>
    <n v="1295"/>
    <n v="3885"/>
    <n v="4917"/>
    <n v="1032"/>
    <s v="Product 93"/>
    <x v="0"/>
    <s v="Clarence Fox"/>
    <x v="80"/>
    <n v="6"/>
    <x v="5"/>
    <x v="2"/>
    <x v="2"/>
    <x v="0"/>
    <x v="2"/>
  </r>
  <r>
    <s v="AX15621"/>
    <s v="ENX2028"/>
    <s v="A111"/>
    <s v="EMP1034"/>
    <s v="C1044"/>
    <x v="611"/>
    <n v="1"/>
    <n v="2283"/>
    <n v="1484"/>
    <n v="1484"/>
    <n v="2283"/>
    <n v="799"/>
    <s v="Product 29"/>
    <x v="54"/>
    <s v="Arthur Mccoy"/>
    <x v="331"/>
    <n v="6"/>
    <x v="5"/>
    <x v="2"/>
    <x v="2"/>
    <x v="0"/>
    <x v="2"/>
  </r>
  <r>
    <s v="AX15724"/>
    <s v="ENX2000"/>
    <s v="A148"/>
    <s v="EMP1036"/>
    <s v="C1456"/>
    <x v="610"/>
    <n v="2"/>
    <n v="2241"/>
    <n v="1367"/>
    <n v="2734"/>
    <n v="4482"/>
    <n v="1748"/>
    <s v="Product 1"/>
    <x v="62"/>
    <s v="Robert Reed"/>
    <x v="366"/>
    <n v="6"/>
    <x v="5"/>
    <x v="2"/>
    <x v="2"/>
    <x v="0"/>
    <x v="2"/>
  </r>
  <r>
    <s v="AX16104"/>
    <s v="ENX2074"/>
    <s v="A145"/>
    <s v="EMP1021"/>
    <s v="C1399"/>
    <x v="610"/>
    <n v="1"/>
    <n v="504"/>
    <n v="408"/>
    <n v="408"/>
    <n v="504"/>
    <n v="96"/>
    <s v="Product 75"/>
    <x v="35"/>
    <s v="Clarence Fox"/>
    <x v="776"/>
    <n v="6"/>
    <x v="5"/>
    <x v="2"/>
    <x v="2"/>
    <x v="0"/>
    <x v="2"/>
  </r>
  <r>
    <s v="AX16325"/>
    <s v="ENX2039"/>
    <s v="A111"/>
    <s v="EMP1036"/>
    <s v="C1020"/>
    <x v="608"/>
    <n v="4"/>
    <n v="817"/>
    <n v="409"/>
    <n v="1636"/>
    <n v="3268"/>
    <n v="1632"/>
    <s v="Product 40"/>
    <x v="54"/>
    <s v="Robert Reed"/>
    <x v="423"/>
    <n v="6"/>
    <x v="5"/>
    <x v="2"/>
    <x v="2"/>
    <x v="0"/>
    <x v="2"/>
  </r>
  <r>
    <s v="AX16431"/>
    <s v="ENX2020"/>
    <s v="A138"/>
    <s v="EMP1040"/>
    <s v="C1100"/>
    <x v="608"/>
    <n v="1"/>
    <n v="2005"/>
    <n v="1223"/>
    <n v="1223"/>
    <n v="2005"/>
    <n v="782"/>
    <s v="Product 21"/>
    <x v="37"/>
    <s v="Patrick Ruiz"/>
    <x v="110"/>
    <n v="6"/>
    <x v="5"/>
    <x v="2"/>
    <x v="2"/>
    <x v="0"/>
    <x v="2"/>
  </r>
  <r>
    <s v="AX16504"/>
    <s v="ENX2031"/>
    <s v="A131"/>
    <s v="EMP1043"/>
    <s v="C1559"/>
    <x v="610"/>
    <n v="1"/>
    <n v="1638"/>
    <n v="1261"/>
    <n v="1261"/>
    <n v="1638"/>
    <n v="377"/>
    <s v="Product 32"/>
    <x v="32"/>
    <s v="Joshua Taylor"/>
    <x v="43"/>
    <n v="6"/>
    <x v="5"/>
    <x v="2"/>
    <x v="2"/>
    <x v="0"/>
    <x v="2"/>
  </r>
  <r>
    <s v="AX17029"/>
    <s v="ENX2066"/>
    <s v="A142"/>
    <s v="EMP1042"/>
    <s v="C1040"/>
    <x v="610"/>
    <n v="1"/>
    <n v="2091"/>
    <n v="1485"/>
    <n v="1485"/>
    <n v="2091"/>
    <n v="606"/>
    <s v="Product 67"/>
    <x v="56"/>
    <s v="Scott Clark"/>
    <x v="221"/>
    <n v="6"/>
    <x v="5"/>
    <x v="2"/>
    <x v="2"/>
    <x v="0"/>
    <x v="2"/>
  </r>
  <r>
    <s v="AX17172"/>
    <s v="ENX2093"/>
    <s v="A171"/>
    <s v="EMP1010"/>
    <s v="C1301"/>
    <x v="609"/>
    <n v="2"/>
    <n v="112"/>
    <n v="90"/>
    <n v="180"/>
    <n v="224"/>
    <n v="44"/>
    <s v="Product 94"/>
    <x v="0"/>
    <s v="Joshua Cook"/>
    <x v="231"/>
    <n v="6"/>
    <x v="5"/>
    <x v="2"/>
    <x v="2"/>
    <x v="0"/>
    <x v="2"/>
  </r>
  <r>
    <s v="AX17212"/>
    <s v="ENX2074"/>
    <s v="A103"/>
    <s v="EMP1038"/>
    <s v="C1650"/>
    <x v="611"/>
    <n v="1"/>
    <n v="504"/>
    <n v="408"/>
    <n v="408"/>
    <n v="504"/>
    <n v="96"/>
    <s v="Product 75"/>
    <x v="61"/>
    <s v="Scott Mason"/>
    <x v="645"/>
    <n v="6"/>
    <x v="5"/>
    <x v="2"/>
    <x v="2"/>
    <x v="0"/>
    <x v="2"/>
  </r>
  <r>
    <s v="AX17217"/>
    <s v="ENX2014"/>
    <s v="A136"/>
    <s v="EMP1018"/>
    <s v="C1133"/>
    <x v="611"/>
    <n v="3"/>
    <n v="1809"/>
    <n v="1067"/>
    <n v="3201"/>
    <n v="5427"/>
    <n v="2226"/>
    <s v="Product 15"/>
    <x v="43"/>
    <s v="Jimmy Young"/>
    <x v="468"/>
    <n v="6"/>
    <x v="5"/>
    <x v="2"/>
    <x v="2"/>
    <x v="0"/>
    <x v="2"/>
  </r>
  <r>
    <s v="AX17355"/>
    <s v="ENX2089"/>
    <s v="A168"/>
    <s v="EMP1019"/>
    <s v="C1079"/>
    <x v="609"/>
    <n v="3"/>
    <n v="2294"/>
    <n v="1399"/>
    <n v="4197"/>
    <n v="6882"/>
    <n v="2685"/>
    <s v="Product 90"/>
    <x v="40"/>
    <s v="Roger Robertson"/>
    <x v="370"/>
    <n v="6"/>
    <x v="5"/>
    <x v="2"/>
    <x v="2"/>
    <x v="0"/>
    <x v="2"/>
  </r>
  <r>
    <s v="AX17503"/>
    <s v="ENX2095"/>
    <s v="A144"/>
    <s v="EMP1010"/>
    <s v="C1721"/>
    <x v="608"/>
    <n v="1"/>
    <n v="1743"/>
    <n v="872"/>
    <n v="872"/>
    <n v="1743"/>
    <n v="871"/>
    <s v="Product 96"/>
    <x v="65"/>
    <s v="Joshua Cook"/>
    <x v="678"/>
    <n v="6"/>
    <x v="5"/>
    <x v="2"/>
    <x v="2"/>
    <x v="0"/>
    <x v="2"/>
  </r>
  <r>
    <s v="AX17784"/>
    <s v="ENX2054"/>
    <s v="A160"/>
    <s v="EMP1013"/>
    <s v="C1229"/>
    <x v="608"/>
    <n v="1"/>
    <n v="127"/>
    <n v="79"/>
    <n v="79"/>
    <n v="127"/>
    <n v="48"/>
    <s v="Product 55"/>
    <x v="9"/>
    <s v="Charles Harper"/>
    <x v="562"/>
    <n v="6"/>
    <x v="5"/>
    <x v="2"/>
    <x v="2"/>
    <x v="0"/>
    <x v="2"/>
  </r>
  <r>
    <s v="AX18504"/>
    <s v="ENX2015"/>
    <s v="A171"/>
    <s v="EMP1042"/>
    <s v="C1068"/>
    <x v="608"/>
    <n v="1"/>
    <n v="637"/>
    <n v="389"/>
    <n v="389"/>
    <n v="637"/>
    <n v="248"/>
    <s v="Product 16"/>
    <x v="0"/>
    <s v="Scott Clark"/>
    <x v="288"/>
    <n v="6"/>
    <x v="5"/>
    <x v="2"/>
    <x v="2"/>
    <x v="0"/>
    <x v="2"/>
  </r>
  <r>
    <s v="AX18602"/>
    <s v="ENX2027"/>
    <s v="A115"/>
    <s v="EMP1029"/>
    <s v="C1318"/>
    <x v="611"/>
    <n v="1"/>
    <n v="2497"/>
    <n v="1473"/>
    <n v="1473"/>
    <n v="2497"/>
    <n v="1024"/>
    <s v="Product 28"/>
    <x v="33"/>
    <s v="Howard Gardner"/>
    <x v="730"/>
    <n v="6"/>
    <x v="5"/>
    <x v="2"/>
    <x v="2"/>
    <x v="0"/>
    <x v="2"/>
  </r>
  <r>
    <s v="AX18791"/>
    <s v="ENX2074"/>
    <s v="A130"/>
    <s v="EMP1004"/>
    <s v="C1168"/>
    <x v="609"/>
    <n v="1"/>
    <n v="504"/>
    <n v="408"/>
    <n v="408"/>
    <n v="504"/>
    <n v="96"/>
    <s v="Product 75"/>
    <x v="4"/>
    <s v="Kenneth Bradley"/>
    <x v="532"/>
    <n v="6"/>
    <x v="5"/>
    <x v="2"/>
    <x v="2"/>
    <x v="0"/>
    <x v="2"/>
  </r>
  <r>
    <s v="AX19330"/>
    <s v="ENX2065"/>
    <s v="A116"/>
    <s v="EMP1022"/>
    <s v="C1418"/>
    <x v="611"/>
    <n v="1"/>
    <n v="2396"/>
    <n v="1965"/>
    <n v="1965"/>
    <n v="2396"/>
    <n v="431"/>
    <s v="Product 66"/>
    <x v="15"/>
    <s v="Walter Cook"/>
    <x v="441"/>
    <n v="6"/>
    <x v="5"/>
    <x v="2"/>
    <x v="2"/>
    <x v="0"/>
    <x v="2"/>
  </r>
  <r>
    <s v="AX19426"/>
    <s v="ENX2061"/>
    <s v="A136"/>
    <s v="EMP1035"/>
    <s v="C1409"/>
    <x v="611"/>
    <n v="2"/>
    <n v="913"/>
    <n v="584"/>
    <n v="1168"/>
    <n v="1826"/>
    <n v="658"/>
    <s v="Product 62"/>
    <x v="43"/>
    <s v="Roger Ramos"/>
    <x v="44"/>
    <n v="6"/>
    <x v="5"/>
    <x v="2"/>
    <x v="2"/>
    <x v="0"/>
    <x v="2"/>
  </r>
  <r>
    <s v="AX19768"/>
    <s v="ENX2079"/>
    <s v="A105"/>
    <s v="EMP1016"/>
    <s v="C1573"/>
    <x v="611"/>
    <n v="1"/>
    <n v="1725"/>
    <n v="1363"/>
    <n v="1363"/>
    <n v="1725"/>
    <n v="362"/>
    <s v="Product 80"/>
    <x v="45"/>
    <s v="Henry Nelson"/>
    <x v="383"/>
    <n v="6"/>
    <x v="5"/>
    <x v="2"/>
    <x v="2"/>
    <x v="0"/>
    <x v="2"/>
  </r>
  <r>
    <s v="AX20315"/>
    <s v="ENX2033"/>
    <s v="A161"/>
    <s v="EMP1033"/>
    <s v="C1751"/>
    <x v="608"/>
    <n v="1"/>
    <n v="2182"/>
    <n v="1200"/>
    <n v="1200"/>
    <n v="2182"/>
    <n v="982"/>
    <s v="Product 34"/>
    <x v="6"/>
    <s v="Jerry Perry"/>
    <x v="332"/>
    <n v="6"/>
    <x v="5"/>
    <x v="2"/>
    <x v="2"/>
    <x v="0"/>
    <x v="2"/>
  </r>
  <r>
    <s v="AX20847"/>
    <s v="ENX2019"/>
    <s v="A128"/>
    <s v="EMP1016"/>
    <s v="C1479"/>
    <x v="611"/>
    <n v="2"/>
    <n v="800"/>
    <n v="536"/>
    <n v="1072"/>
    <n v="1600"/>
    <n v="528"/>
    <s v="Product 20"/>
    <x v="12"/>
    <s v="Henry Nelson"/>
    <x v="385"/>
    <n v="6"/>
    <x v="5"/>
    <x v="2"/>
    <x v="2"/>
    <x v="0"/>
    <x v="2"/>
  </r>
  <r>
    <s v="AX20897"/>
    <s v="ENX2040"/>
    <s v="A147"/>
    <s v="EMP1024"/>
    <s v="C1429"/>
    <x v="611"/>
    <n v="1"/>
    <n v="1889"/>
    <n v="945"/>
    <n v="945"/>
    <n v="1889"/>
    <n v="944"/>
    <s v="Product 41"/>
    <x v="42"/>
    <s v="Ernest Wheeler"/>
    <x v="651"/>
    <n v="6"/>
    <x v="5"/>
    <x v="2"/>
    <x v="2"/>
    <x v="0"/>
    <x v="2"/>
  </r>
  <r>
    <s v="AX21643"/>
    <s v="ENX2088"/>
    <s v="A151"/>
    <s v="EMP1003"/>
    <s v="C1501"/>
    <x v="609"/>
    <n v="1"/>
    <n v="603"/>
    <n v="416"/>
    <n v="416"/>
    <n v="603"/>
    <n v="187"/>
    <s v="Product 89"/>
    <x v="1"/>
    <s v="Christopher Tucker"/>
    <x v="387"/>
    <n v="6"/>
    <x v="5"/>
    <x v="2"/>
    <x v="2"/>
    <x v="0"/>
    <x v="2"/>
  </r>
  <r>
    <s v="AX21758"/>
    <s v="ENX2015"/>
    <s v="A115"/>
    <s v="EMP1021"/>
    <s v="C1447"/>
    <x v="608"/>
    <n v="1"/>
    <n v="637"/>
    <n v="389"/>
    <n v="389"/>
    <n v="637"/>
    <n v="248"/>
    <s v="Product 16"/>
    <x v="33"/>
    <s v="Clarence Fox"/>
    <x v="702"/>
    <n v="6"/>
    <x v="5"/>
    <x v="2"/>
    <x v="2"/>
    <x v="0"/>
    <x v="2"/>
  </r>
  <r>
    <s v="AX21850"/>
    <s v="ENX2084"/>
    <s v="A126"/>
    <s v="EMP1022"/>
    <s v="C1472"/>
    <x v="608"/>
    <n v="2"/>
    <n v="1783"/>
    <n v="1230"/>
    <n v="2460"/>
    <n v="3566"/>
    <n v="1106"/>
    <s v="Product 85"/>
    <x v="5"/>
    <s v="Walter Cook"/>
    <x v="626"/>
    <n v="6"/>
    <x v="5"/>
    <x v="2"/>
    <x v="2"/>
    <x v="0"/>
    <x v="2"/>
  </r>
  <r>
    <s v="AX21930"/>
    <s v="ENX2037"/>
    <s v="A153"/>
    <s v="EMP1026"/>
    <s v="C1434"/>
    <x v="608"/>
    <n v="1"/>
    <n v="880"/>
    <n v="634"/>
    <n v="634"/>
    <n v="880"/>
    <n v="246"/>
    <s v="Product 38"/>
    <x v="8"/>
    <s v="Martin Perry"/>
    <x v="722"/>
    <n v="6"/>
    <x v="5"/>
    <x v="2"/>
    <x v="2"/>
    <x v="0"/>
    <x v="2"/>
  </r>
  <r>
    <s v="AX21935"/>
    <s v="ENX2043"/>
    <s v="A154"/>
    <s v="EMP1026"/>
    <s v="C1065"/>
    <x v="611"/>
    <n v="2"/>
    <n v="545"/>
    <n v="425"/>
    <n v="850"/>
    <n v="1090"/>
    <n v="240"/>
    <s v="Product 44"/>
    <x v="24"/>
    <s v="Martin Perry"/>
    <x v="637"/>
    <n v="6"/>
    <x v="5"/>
    <x v="2"/>
    <x v="2"/>
    <x v="0"/>
    <x v="2"/>
  </r>
  <r>
    <s v="AX21960"/>
    <s v="ENX2051"/>
    <s v="A128"/>
    <s v="EMP1033"/>
    <s v="C1525"/>
    <x v="608"/>
    <n v="1"/>
    <n v="1077"/>
    <n v="732"/>
    <n v="732"/>
    <n v="1077"/>
    <n v="345"/>
    <s v="Product 52"/>
    <x v="12"/>
    <s v="Jerry Perry"/>
    <x v="360"/>
    <n v="6"/>
    <x v="5"/>
    <x v="2"/>
    <x v="2"/>
    <x v="0"/>
    <x v="2"/>
  </r>
  <r>
    <s v="AX22186"/>
    <s v="ENX2015"/>
    <s v="A115"/>
    <s v="EMP1001"/>
    <s v="C1288"/>
    <x v="608"/>
    <n v="3"/>
    <n v="637"/>
    <n v="389"/>
    <n v="1167"/>
    <n v="1911"/>
    <n v="744"/>
    <s v="Product 16"/>
    <x v="33"/>
    <s v="Kevin Butler"/>
    <x v="674"/>
    <n v="6"/>
    <x v="5"/>
    <x v="2"/>
    <x v="2"/>
    <x v="0"/>
    <x v="2"/>
  </r>
  <r>
    <s v="AX22233"/>
    <s v="ENX2036"/>
    <s v="A142"/>
    <s v="EMP1036"/>
    <s v="C1335"/>
    <x v="608"/>
    <n v="3"/>
    <n v="1582"/>
    <n v="1234"/>
    <n v="3702"/>
    <n v="4746"/>
    <n v="1044"/>
    <s v="Product 37"/>
    <x v="56"/>
    <s v="Robert Reed"/>
    <x v="2"/>
    <n v="6"/>
    <x v="5"/>
    <x v="2"/>
    <x v="2"/>
    <x v="0"/>
    <x v="2"/>
  </r>
  <r>
    <s v="AX22955"/>
    <s v="ENX2021"/>
    <s v="A149"/>
    <s v="EMP1030"/>
    <s v="C1347"/>
    <x v="607"/>
    <n v="1"/>
    <n v="217"/>
    <n v="171"/>
    <n v="171"/>
    <n v="217"/>
    <n v="46"/>
    <s v="Product 22"/>
    <x v="59"/>
    <s v="Bobby Russell"/>
    <x v="686"/>
    <n v="6"/>
    <x v="5"/>
    <x v="2"/>
    <x v="2"/>
    <x v="0"/>
    <x v="2"/>
  </r>
  <r>
    <s v="AX23427"/>
    <s v="ENX2071"/>
    <s v="A108"/>
    <s v="EMP1030"/>
    <s v="C1334"/>
    <x v="609"/>
    <n v="3"/>
    <n v="136"/>
    <n v="72"/>
    <n v="216"/>
    <n v="408"/>
    <n v="192"/>
    <s v="Product 72"/>
    <x v="49"/>
    <s v="Bobby Russell"/>
    <x v="53"/>
    <n v="6"/>
    <x v="5"/>
    <x v="2"/>
    <x v="2"/>
    <x v="0"/>
    <x v="2"/>
  </r>
  <r>
    <s v="AX24111"/>
    <s v="ENX2047"/>
    <s v="A145"/>
    <s v="EMP1016"/>
    <s v="C1661"/>
    <x v="607"/>
    <n v="4"/>
    <n v="290"/>
    <n v="200"/>
    <n v="800"/>
    <n v="1160"/>
    <n v="360"/>
    <s v="Product 48"/>
    <x v="35"/>
    <s v="Henry Nelson"/>
    <x v="767"/>
    <n v="6"/>
    <x v="5"/>
    <x v="2"/>
    <x v="2"/>
    <x v="0"/>
    <x v="2"/>
  </r>
  <r>
    <s v="AX24469"/>
    <s v="ENX2022"/>
    <s v="A107"/>
    <s v="EMP1030"/>
    <s v="C1265"/>
    <x v="609"/>
    <n v="4"/>
    <n v="561"/>
    <n v="421"/>
    <n v="1684"/>
    <n v="2244"/>
    <n v="560"/>
    <s v="Product 23"/>
    <x v="21"/>
    <s v="Bobby Russell"/>
    <x v="348"/>
    <n v="6"/>
    <x v="5"/>
    <x v="2"/>
    <x v="2"/>
    <x v="0"/>
    <x v="2"/>
  </r>
  <r>
    <s v="AX24637"/>
    <s v="ENX2044"/>
    <s v="A122"/>
    <s v="EMP1017"/>
    <s v="C1539"/>
    <x v="609"/>
    <n v="3"/>
    <n v="886"/>
    <n v="478"/>
    <n v="1434"/>
    <n v="2658"/>
    <n v="1224"/>
    <s v="Product 45"/>
    <x v="71"/>
    <s v="Brian Hansen"/>
    <x v="280"/>
    <n v="6"/>
    <x v="5"/>
    <x v="2"/>
    <x v="2"/>
    <x v="0"/>
    <x v="2"/>
  </r>
  <r>
    <s v="AX10067"/>
    <s v="ENX2018"/>
    <s v="A107"/>
    <s v="EMP1027"/>
    <s v="C1358"/>
    <x v="612"/>
    <n v="3"/>
    <n v="1972"/>
    <n v="1321"/>
    <n v="3963"/>
    <n v="5916"/>
    <n v="1953"/>
    <s v="Product 19"/>
    <x v="21"/>
    <s v="Gary Rodriguez"/>
    <x v="242"/>
    <n v="6"/>
    <x v="5"/>
    <x v="3"/>
    <x v="3"/>
    <x v="1"/>
    <x v="0"/>
  </r>
  <r>
    <s v="AX11064"/>
    <s v="ENX2067"/>
    <s v="A145"/>
    <s v="EMP1023"/>
    <s v="C1080"/>
    <x v="612"/>
    <n v="2"/>
    <n v="1119"/>
    <n v="683"/>
    <n v="1366"/>
    <n v="2238"/>
    <n v="872"/>
    <s v="Product 68"/>
    <x v="35"/>
    <s v="Brian Davis"/>
    <x v="720"/>
    <n v="6"/>
    <x v="5"/>
    <x v="3"/>
    <x v="3"/>
    <x v="1"/>
    <x v="0"/>
  </r>
  <r>
    <s v="AX11140"/>
    <s v="ENX2024"/>
    <s v="A137"/>
    <s v="EMP1031"/>
    <s v="C1549"/>
    <x v="613"/>
    <n v="2"/>
    <n v="356"/>
    <n v="292"/>
    <n v="584"/>
    <n v="712"/>
    <n v="128"/>
    <s v="Product 25"/>
    <x v="68"/>
    <s v="Brian Thomas"/>
    <x v="174"/>
    <n v="6"/>
    <x v="5"/>
    <x v="3"/>
    <x v="3"/>
    <x v="1"/>
    <x v="0"/>
  </r>
  <r>
    <s v="AX11388"/>
    <s v="ENX2065"/>
    <s v="A121"/>
    <s v="EMP1040"/>
    <s v="C1774"/>
    <x v="612"/>
    <n v="1"/>
    <n v="2396"/>
    <n v="1965"/>
    <n v="1965"/>
    <n v="2396"/>
    <n v="431"/>
    <s v="Product 66"/>
    <x v="72"/>
    <s v="Patrick Ruiz"/>
    <x v="232"/>
    <n v="6"/>
    <x v="5"/>
    <x v="3"/>
    <x v="3"/>
    <x v="1"/>
    <x v="0"/>
  </r>
  <r>
    <s v="AX11430"/>
    <s v="ENX2064"/>
    <s v="A149"/>
    <s v="EMP1026"/>
    <s v="C1792"/>
    <x v="612"/>
    <n v="3"/>
    <n v="1414"/>
    <n v="962"/>
    <n v="2886"/>
    <n v="4242"/>
    <n v="1356"/>
    <s v="Product 65"/>
    <x v="59"/>
    <s v="Martin Perry"/>
    <x v="536"/>
    <n v="6"/>
    <x v="5"/>
    <x v="3"/>
    <x v="3"/>
    <x v="1"/>
    <x v="0"/>
  </r>
  <r>
    <s v="AX11470"/>
    <s v="ENX2027"/>
    <s v="A115"/>
    <s v="EMP1001"/>
    <s v="C1249"/>
    <x v="614"/>
    <n v="1"/>
    <n v="2497"/>
    <n v="1473"/>
    <n v="1473"/>
    <n v="2497"/>
    <n v="1024"/>
    <s v="Product 28"/>
    <x v="33"/>
    <s v="Kevin Butler"/>
    <x v="709"/>
    <n v="6"/>
    <x v="5"/>
    <x v="3"/>
    <x v="3"/>
    <x v="1"/>
    <x v="0"/>
  </r>
  <r>
    <s v="AX11698"/>
    <s v="ENX2049"/>
    <s v="A113"/>
    <s v="EMP1030"/>
    <s v="C1551"/>
    <x v="612"/>
    <n v="4"/>
    <n v="826"/>
    <n v="562"/>
    <n v="2248"/>
    <n v="3304"/>
    <n v="1056"/>
    <s v="Product 50"/>
    <x v="73"/>
    <s v="Bobby Russell"/>
    <x v="596"/>
    <n v="6"/>
    <x v="5"/>
    <x v="3"/>
    <x v="3"/>
    <x v="1"/>
    <x v="0"/>
  </r>
  <r>
    <s v="AX11746"/>
    <s v="ENX2024"/>
    <s v="A105"/>
    <s v="EMP1039"/>
    <s v="C1494"/>
    <x v="613"/>
    <n v="1"/>
    <n v="356"/>
    <n v="292"/>
    <n v="292"/>
    <n v="356"/>
    <n v="64"/>
    <s v="Product 25"/>
    <x v="45"/>
    <s v="Eugene Holmes"/>
    <x v="698"/>
    <n v="6"/>
    <x v="5"/>
    <x v="3"/>
    <x v="3"/>
    <x v="1"/>
    <x v="0"/>
  </r>
  <r>
    <s v="AX11861"/>
    <s v="ENX2085"/>
    <s v="A156"/>
    <s v="EMP1004"/>
    <s v="C1109"/>
    <x v="615"/>
    <n v="1"/>
    <n v="1862"/>
    <n v="1173"/>
    <n v="1173"/>
    <n v="1862"/>
    <n v="689"/>
    <s v="Product 86"/>
    <x v="14"/>
    <s v="Kenneth Bradley"/>
    <x v="756"/>
    <n v="6"/>
    <x v="5"/>
    <x v="3"/>
    <x v="3"/>
    <x v="1"/>
    <x v="0"/>
  </r>
  <r>
    <s v="AX11872"/>
    <s v="ENX2070"/>
    <s v="A169"/>
    <s v="EMP1007"/>
    <s v="C1193"/>
    <x v="614"/>
    <n v="4"/>
    <n v="1671"/>
    <n v="1220"/>
    <n v="4880"/>
    <n v="6684"/>
    <n v="1804"/>
    <s v="Product 71"/>
    <x v="17"/>
    <s v="Jeremy Mendoza"/>
    <x v="219"/>
    <n v="6"/>
    <x v="5"/>
    <x v="3"/>
    <x v="3"/>
    <x v="1"/>
    <x v="0"/>
  </r>
  <r>
    <s v="AX12308"/>
    <s v="ENX2098"/>
    <s v="A124"/>
    <s v="EMP1003"/>
    <s v="C1277"/>
    <x v="614"/>
    <n v="1"/>
    <n v="1178"/>
    <n v="683"/>
    <n v="683"/>
    <n v="1178"/>
    <n v="495"/>
    <s v="Product 99"/>
    <x v="67"/>
    <s v="Christopher Tucker"/>
    <x v="151"/>
    <n v="6"/>
    <x v="5"/>
    <x v="3"/>
    <x v="3"/>
    <x v="1"/>
    <x v="0"/>
  </r>
  <r>
    <s v="AX12480"/>
    <s v="ENX2062"/>
    <s v="A163"/>
    <s v="EMP1044"/>
    <s v="C1269"/>
    <x v="614"/>
    <n v="1"/>
    <n v="2464"/>
    <n v="1774"/>
    <n v="1774"/>
    <n v="2464"/>
    <n v="690"/>
    <s v="Product 63"/>
    <x v="51"/>
    <s v="Martin Carr"/>
    <x v="661"/>
    <n v="6"/>
    <x v="5"/>
    <x v="3"/>
    <x v="3"/>
    <x v="1"/>
    <x v="0"/>
  </r>
  <r>
    <s v="AX12663"/>
    <s v="ENX2020"/>
    <s v="A156"/>
    <s v="EMP1033"/>
    <s v="C1596"/>
    <x v="614"/>
    <n v="1"/>
    <n v="2005"/>
    <n v="1223"/>
    <n v="1223"/>
    <n v="2005"/>
    <n v="782"/>
    <s v="Product 21"/>
    <x v="14"/>
    <s v="Jerry Perry"/>
    <x v="217"/>
    <n v="6"/>
    <x v="5"/>
    <x v="3"/>
    <x v="3"/>
    <x v="1"/>
    <x v="0"/>
  </r>
  <r>
    <s v="AX12877"/>
    <s v="ENX2017"/>
    <s v="A171"/>
    <s v="EMP1010"/>
    <s v="C1269"/>
    <x v="613"/>
    <n v="1"/>
    <n v="35"/>
    <n v="22"/>
    <n v="22"/>
    <n v="35"/>
    <n v="13"/>
    <s v="Product 18"/>
    <x v="0"/>
    <s v="Joshua Cook"/>
    <x v="661"/>
    <n v="6"/>
    <x v="5"/>
    <x v="3"/>
    <x v="3"/>
    <x v="1"/>
    <x v="0"/>
  </r>
  <r>
    <s v="AX12916"/>
    <s v="ENX2057"/>
    <s v="A108"/>
    <s v="EMP1043"/>
    <s v="C1392"/>
    <x v="612"/>
    <n v="1"/>
    <n v="181"/>
    <n v="130"/>
    <n v="130"/>
    <n v="181"/>
    <n v="51"/>
    <s v="Product 58"/>
    <x v="49"/>
    <s v="Joshua Taylor"/>
    <x v="78"/>
    <n v="6"/>
    <x v="5"/>
    <x v="3"/>
    <x v="3"/>
    <x v="1"/>
    <x v="0"/>
  </r>
  <r>
    <s v="AX14522"/>
    <s v="ENX2062"/>
    <s v="A111"/>
    <s v="EMP1015"/>
    <s v="C1031"/>
    <x v="614"/>
    <n v="2"/>
    <n v="2464"/>
    <n v="1774"/>
    <n v="3548"/>
    <n v="4928"/>
    <n v="1380"/>
    <s v="Product 63"/>
    <x v="54"/>
    <s v="Justin Lynch"/>
    <x v="782"/>
    <n v="6"/>
    <x v="5"/>
    <x v="3"/>
    <x v="3"/>
    <x v="1"/>
    <x v="0"/>
  </r>
  <r>
    <s v="AX14569"/>
    <s v="ENX2068"/>
    <s v="A134"/>
    <s v="EMP1004"/>
    <s v="C1650"/>
    <x v="613"/>
    <n v="3"/>
    <n v="1500"/>
    <n v="900"/>
    <n v="2700"/>
    <n v="4500"/>
    <n v="1800"/>
    <s v="Product 69"/>
    <x v="41"/>
    <s v="Kenneth Bradley"/>
    <x v="645"/>
    <n v="6"/>
    <x v="5"/>
    <x v="3"/>
    <x v="3"/>
    <x v="1"/>
    <x v="0"/>
  </r>
  <r>
    <s v="AX14963"/>
    <s v="ENX2039"/>
    <s v="A115"/>
    <s v="EMP1023"/>
    <s v="C1498"/>
    <x v="615"/>
    <n v="1"/>
    <n v="817"/>
    <n v="409"/>
    <n v="409"/>
    <n v="817"/>
    <n v="408"/>
    <s v="Product 40"/>
    <x v="33"/>
    <s v="Brian Davis"/>
    <x v="10"/>
    <n v="6"/>
    <x v="5"/>
    <x v="3"/>
    <x v="3"/>
    <x v="1"/>
    <x v="0"/>
  </r>
  <r>
    <s v="AX15097"/>
    <s v="ENX2096"/>
    <s v="A113"/>
    <s v="EMP1029"/>
    <s v="C1790"/>
    <x v="613"/>
    <n v="4"/>
    <n v="1587"/>
    <n v="1301"/>
    <n v="5204"/>
    <n v="6348"/>
    <n v="1144"/>
    <s v="Product 97"/>
    <x v="73"/>
    <s v="Howard Gardner"/>
    <x v="428"/>
    <n v="6"/>
    <x v="5"/>
    <x v="3"/>
    <x v="3"/>
    <x v="1"/>
    <x v="0"/>
  </r>
  <r>
    <s v="AX15550"/>
    <s v="ENX2095"/>
    <s v="A145"/>
    <s v="EMP1032"/>
    <s v="C1498"/>
    <x v="615"/>
    <n v="1"/>
    <n v="1743"/>
    <n v="872"/>
    <n v="872"/>
    <n v="1743"/>
    <n v="871"/>
    <s v="Product 96"/>
    <x v="35"/>
    <s v="Larry Castillo"/>
    <x v="10"/>
    <n v="6"/>
    <x v="5"/>
    <x v="3"/>
    <x v="3"/>
    <x v="1"/>
    <x v="0"/>
  </r>
  <r>
    <s v="AX16131"/>
    <s v="ENX2094"/>
    <s v="A170"/>
    <s v="EMP1027"/>
    <s v="C1460"/>
    <x v="615"/>
    <n v="1"/>
    <n v="771"/>
    <n v="648"/>
    <n v="648"/>
    <n v="771"/>
    <n v="123"/>
    <s v="Product 95"/>
    <x v="47"/>
    <s v="Gary Rodriguez"/>
    <x v="613"/>
    <n v="6"/>
    <x v="5"/>
    <x v="3"/>
    <x v="3"/>
    <x v="1"/>
    <x v="0"/>
  </r>
  <r>
    <s v="AX17276"/>
    <s v="ENX2017"/>
    <s v="A113"/>
    <s v="EMP1043"/>
    <s v="C1543"/>
    <x v="613"/>
    <n v="2"/>
    <n v="35"/>
    <n v="22"/>
    <n v="44"/>
    <n v="70"/>
    <n v="26"/>
    <s v="Product 18"/>
    <x v="73"/>
    <s v="Joshua Taylor"/>
    <x v="337"/>
    <n v="6"/>
    <x v="5"/>
    <x v="3"/>
    <x v="3"/>
    <x v="1"/>
    <x v="0"/>
  </r>
  <r>
    <s v="AX17605"/>
    <s v="ENX2059"/>
    <s v="A151"/>
    <s v="EMP1007"/>
    <s v="C1026"/>
    <x v="612"/>
    <n v="1"/>
    <n v="1494"/>
    <n v="971"/>
    <n v="971"/>
    <n v="1494"/>
    <n v="523"/>
    <s v="Product 60"/>
    <x v="1"/>
    <s v="Jeremy Mendoza"/>
    <x v="410"/>
    <n v="6"/>
    <x v="5"/>
    <x v="3"/>
    <x v="3"/>
    <x v="1"/>
    <x v="0"/>
  </r>
  <r>
    <s v="AX17698"/>
    <s v="ENX2029"/>
    <s v="A154"/>
    <s v="EMP1005"/>
    <s v="C1649"/>
    <x v="614"/>
    <n v="1"/>
    <n v="1848"/>
    <n v="1294"/>
    <n v="1294"/>
    <n v="1848"/>
    <n v="554"/>
    <s v="Product 30"/>
    <x v="24"/>
    <s v="Ryan Welch"/>
    <x v="790"/>
    <n v="6"/>
    <x v="5"/>
    <x v="3"/>
    <x v="3"/>
    <x v="1"/>
    <x v="0"/>
  </r>
  <r>
    <s v="AX17922"/>
    <s v="ENX2049"/>
    <s v="A120"/>
    <s v="EMP1009"/>
    <s v="C1505"/>
    <x v="614"/>
    <n v="1"/>
    <n v="826"/>
    <n v="562"/>
    <n v="562"/>
    <n v="826"/>
    <n v="264"/>
    <s v="Product 50"/>
    <x v="20"/>
    <s v="Kenneth Fields"/>
    <x v="632"/>
    <n v="6"/>
    <x v="5"/>
    <x v="3"/>
    <x v="3"/>
    <x v="1"/>
    <x v="0"/>
  </r>
  <r>
    <s v="AX18069"/>
    <s v="ENX2090"/>
    <s v="A152"/>
    <s v="EMP1017"/>
    <s v="C1102"/>
    <x v="614"/>
    <n v="2"/>
    <n v="1338"/>
    <n v="682"/>
    <n v="1364"/>
    <n v="2676"/>
    <n v="1312"/>
    <s v="Product 91"/>
    <x v="26"/>
    <s v="Brian Hansen"/>
    <x v="766"/>
    <n v="6"/>
    <x v="5"/>
    <x v="3"/>
    <x v="3"/>
    <x v="1"/>
    <x v="0"/>
  </r>
  <r>
    <s v="AX18088"/>
    <s v="ENX2061"/>
    <s v="A153"/>
    <s v="EMP1003"/>
    <s v="C1652"/>
    <x v="615"/>
    <n v="2"/>
    <n v="913"/>
    <n v="584"/>
    <n v="1168"/>
    <n v="1826"/>
    <n v="658"/>
    <s v="Product 62"/>
    <x v="8"/>
    <s v="Christopher Tucker"/>
    <x v="737"/>
    <n v="6"/>
    <x v="5"/>
    <x v="3"/>
    <x v="3"/>
    <x v="1"/>
    <x v="0"/>
  </r>
  <r>
    <s v="AX18342"/>
    <s v="ENX2090"/>
    <s v="A103"/>
    <s v="EMP1018"/>
    <s v="C1477"/>
    <x v="612"/>
    <n v="1"/>
    <n v="1338"/>
    <n v="682"/>
    <n v="682"/>
    <n v="1338"/>
    <n v="656"/>
    <s v="Product 91"/>
    <x v="61"/>
    <s v="Jimmy Young"/>
    <x v="408"/>
    <n v="6"/>
    <x v="5"/>
    <x v="3"/>
    <x v="3"/>
    <x v="1"/>
    <x v="0"/>
  </r>
  <r>
    <s v="AX18503"/>
    <s v="ENX2080"/>
    <s v="A143"/>
    <s v="EMP1021"/>
    <s v="C1475"/>
    <x v="614"/>
    <n v="1"/>
    <n v="2353"/>
    <n v="1788"/>
    <n v="1788"/>
    <n v="2353"/>
    <n v="565"/>
    <s v="Product 81"/>
    <x v="39"/>
    <s v="Clarence Fox"/>
    <x v="527"/>
    <n v="6"/>
    <x v="5"/>
    <x v="3"/>
    <x v="3"/>
    <x v="1"/>
    <x v="0"/>
  </r>
  <r>
    <s v="AX18619"/>
    <s v="ENX2060"/>
    <s v="A171"/>
    <s v="EMP1024"/>
    <s v="C1583"/>
    <x v="615"/>
    <n v="1"/>
    <n v="1467"/>
    <n v="807"/>
    <n v="807"/>
    <n v="1467"/>
    <n v="660"/>
    <s v="Product 61"/>
    <x v="0"/>
    <s v="Ernest Wheeler"/>
    <x v="798"/>
    <n v="6"/>
    <x v="5"/>
    <x v="3"/>
    <x v="3"/>
    <x v="1"/>
    <x v="0"/>
  </r>
  <r>
    <s v="AX18942"/>
    <s v="ENX2019"/>
    <s v="A145"/>
    <s v="EMP1043"/>
    <s v="C1723"/>
    <x v="613"/>
    <n v="3"/>
    <n v="800"/>
    <n v="536"/>
    <n v="1608"/>
    <n v="2400"/>
    <n v="792"/>
    <s v="Product 20"/>
    <x v="35"/>
    <s v="Joshua Taylor"/>
    <x v="118"/>
    <n v="6"/>
    <x v="5"/>
    <x v="3"/>
    <x v="3"/>
    <x v="1"/>
    <x v="0"/>
  </r>
  <r>
    <s v="AX19148"/>
    <s v="ENX2085"/>
    <s v="A173"/>
    <s v="EMP1009"/>
    <s v="C1116"/>
    <x v="614"/>
    <n v="4"/>
    <n v="1862"/>
    <n v="1173"/>
    <n v="4692"/>
    <n v="7448"/>
    <n v="2756"/>
    <s v="Product 86"/>
    <x v="25"/>
    <s v="Kenneth Fields"/>
    <x v="747"/>
    <n v="6"/>
    <x v="5"/>
    <x v="3"/>
    <x v="3"/>
    <x v="1"/>
    <x v="0"/>
  </r>
  <r>
    <s v="AX19159"/>
    <s v="ENX2061"/>
    <s v="A121"/>
    <s v="EMP1011"/>
    <s v="C1284"/>
    <x v="615"/>
    <n v="1"/>
    <n v="913"/>
    <n v="584"/>
    <n v="584"/>
    <n v="913"/>
    <n v="329"/>
    <s v="Product 62"/>
    <x v="72"/>
    <s v="Larry Marshall"/>
    <x v="713"/>
    <n v="6"/>
    <x v="5"/>
    <x v="3"/>
    <x v="3"/>
    <x v="1"/>
    <x v="0"/>
  </r>
  <r>
    <s v="AX19305"/>
    <s v="ENX2088"/>
    <s v="A125"/>
    <s v="EMP1042"/>
    <s v="C1677"/>
    <x v="612"/>
    <n v="2"/>
    <n v="603"/>
    <n v="416"/>
    <n v="832"/>
    <n v="1206"/>
    <n v="374"/>
    <s v="Product 89"/>
    <x v="31"/>
    <s v="Scott Clark"/>
    <x v="641"/>
    <n v="6"/>
    <x v="5"/>
    <x v="3"/>
    <x v="3"/>
    <x v="1"/>
    <x v="0"/>
  </r>
  <r>
    <s v="AX19660"/>
    <s v="ENX2057"/>
    <s v="A156"/>
    <s v="EMP1040"/>
    <s v="C1193"/>
    <x v="614"/>
    <n v="1"/>
    <n v="181"/>
    <n v="130"/>
    <n v="130"/>
    <n v="181"/>
    <n v="51"/>
    <s v="Product 58"/>
    <x v="14"/>
    <s v="Patrick Ruiz"/>
    <x v="219"/>
    <n v="6"/>
    <x v="5"/>
    <x v="3"/>
    <x v="3"/>
    <x v="1"/>
    <x v="0"/>
  </r>
  <r>
    <s v="AX19773"/>
    <s v="ENX2051"/>
    <s v="A173"/>
    <s v="EMP1037"/>
    <s v="C1654"/>
    <x v="613"/>
    <n v="4"/>
    <n v="1077"/>
    <n v="732"/>
    <n v="2928"/>
    <n v="4308"/>
    <n v="1380"/>
    <s v="Product 52"/>
    <x v="25"/>
    <s v="Carl Hall"/>
    <x v="351"/>
    <n v="6"/>
    <x v="5"/>
    <x v="3"/>
    <x v="3"/>
    <x v="1"/>
    <x v="0"/>
  </r>
  <r>
    <s v="AX20542"/>
    <s v="ENX2062"/>
    <s v="A136"/>
    <s v="EMP1020"/>
    <s v="C1117"/>
    <x v="613"/>
    <n v="1"/>
    <n v="2464"/>
    <n v="1774"/>
    <n v="1774"/>
    <n v="2464"/>
    <n v="690"/>
    <s v="Product 63"/>
    <x v="43"/>
    <s v="Ryan Butler"/>
    <x v="519"/>
    <n v="6"/>
    <x v="5"/>
    <x v="3"/>
    <x v="3"/>
    <x v="1"/>
    <x v="0"/>
  </r>
  <r>
    <s v="AX20741"/>
    <s v="ENX2002"/>
    <s v="A147"/>
    <s v="EMP1005"/>
    <s v="C1459"/>
    <x v="612"/>
    <n v="1"/>
    <n v="847"/>
    <n v="534"/>
    <n v="534"/>
    <n v="847"/>
    <n v="313"/>
    <s v="Product 3"/>
    <x v="42"/>
    <s v="Ryan Welch"/>
    <x v="330"/>
    <n v="6"/>
    <x v="5"/>
    <x v="3"/>
    <x v="3"/>
    <x v="1"/>
    <x v="0"/>
  </r>
  <r>
    <s v="AX21033"/>
    <s v="ENX2003"/>
    <s v="A152"/>
    <s v="EMP1016"/>
    <s v="C1667"/>
    <x v="612"/>
    <n v="3"/>
    <n v="1783"/>
    <n v="1516"/>
    <n v="4548"/>
    <n v="5349"/>
    <n v="801"/>
    <s v="Product 4"/>
    <x v="26"/>
    <s v="Henry Nelson"/>
    <x v="462"/>
    <n v="6"/>
    <x v="5"/>
    <x v="3"/>
    <x v="3"/>
    <x v="1"/>
    <x v="0"/>
  </r>
  <r>
    <s v="AX21400"/>
    <s v="ENX2023"/>
    <s v="A145"/>
    <s v="EMP1006"/>
    <s v="C1656"/>
    <x v="613"/>
    <n v="1"/>
    <n v="818"/>
    <n v="450"/>
    <n v="450"/>
    <n v="818"/>
    <n v="368"/>
    <s v="Product 24"/>
    <x v="35"/>
    <s v="Sean Miller"/>
    <x v="115"/>
    <n v="6"/>
    <x v="5"/>
    <x v="3"/>
    <x v="3"/>
    <x v="1"/>
    <x v="0"/>
  </r>
  <r>
    <s v="AX21564"/>
    <s v="ENX2083"/>
    <s v="A164"/>
    <s v="EMP1021"/>
    <s v="C1627"/>
    <x v="615"/>
    <n v="1"/>
    <n v="2141"/>
    <n v="1777"/>
    <n v="1777"/>
    <n v="2141"/>
    <n v="364"/>
    <s v="Product 84"/>
    <x v="3"/>
    <s v="Clarence Fox"/>
    <x v="785"/>
    <n v="6"/>
    <x v="5"/>
    <x v="3"/>
    <x v="3"/>
    <x v="1"/>
    <x v="0"/>
  </r>
  <r>
    <s v="AX21794"/>
    <s v="ENX2023"/>
    <s v="A116"/>
    <s v="EMP1019"/>
    <s v="C1133"/>
    <x v="615"/>
    <n v="1"/>
    <n v="818"/>
    <n v="450"/>
    <n v="450"/>
    <n v="818"/>
    <n v="368"/>
    <s v="Product 24"/>
    <x v="15"/>
    <s v="Roger Robertson"/>
    <x v="468"/>
    <n v="6"/>
    <x v="5"/>
    <x v="3"/>
    <x v="3"/>
    <x v="1"/>
    <x v="0"/>
  </r>
  <r>
    <s v="AX22195"/>
    <s v="ENX2076"/>
    <s v="A115"/>
    <s v="EMP1017"/>
    <s v="C1753"/>
    <x v="614"/>
    <n v="1"/>
    <n v="1522"/>
    <n v="791"/>
    <n v="791"/>
    <n v="1522"/>
    <n v="731"/>
    <s v="Product 77"/>
    <x v="33"/>
    <s v="Brian Hansen"/>
    <x v="696"/>
    <n v="6"/>
    <x v="5"/>
    <x v="3"/>
    <x v="3"/>
    <x v="1"/>
    <x v="0"/>
  </r>
  <r>
    <s v="AX22644"/>
    <s v="ENX2091"/>
    <s v="A101"/>
    <s v="EMP1021"/>
    <s v="C1492"/>
    <x v="613"/>
    <n v="1"/>
    <n v="368"/>
    <n v="294"/>
    <n v="294"/>
    <n v="368"/>
    <n v="74"/>
    <s v="Product 92"/>
    <x v="60"/>
    <s v="Clarence Fox"/>
    <x v="533"/>
    <n v="6"/>
    <x v="5"/>
    <x v="3"/>
    <x v="3"/>
    <x v="1"/>
    <x v="0"/>
  </r>
  <r>
    <s v="AX22779"/>
    <s v="ENX2000"/>
    <s v="A100"/>
    <s v="EMP1031"/>
    <s v="C1377"/>
    <x v="614"/>
    <n v="1"/>
    <n v="2241"/>
    <n v="1367"/>
    <n v="1367"/>
    <n v="2241"/>
    <n v="874"/>
    <s v="Product 1"/>
    <x v="52"/>
    <s v="Brian Thomas"/>
    <x v="214"/>
    <n v="6"/>
    <x v="5"/>
    <x v="3"/>
    <x v="3"/>
    <x v="1"/>
    <x v="0"/>
  </r>
  <r>
    <s v="AX23647"/>
    <s v="ENX2001"/>
    <s v="A132"/>
    <s v="EMP1025"/>
    <s v="C1135"/>
    <x v="612"/>
    <n v="1"/>
    <n v="951"/>
    <n v="504"/>
    <n v="504"/>
    <n v="951"/>
    <n v="447"/>
    <s v="Product 2"/>
    <x v="48"/>
    <s v="Ernest Wagner"/>
    <x v="669"/>
    <n v="6"/>
    <x v="5"/>
    <x v="3"/>
    <x v="3"/>
    <x v="1"/>
    <x v="0"/>
  </r>
  <r>
    <s v="AX23720"/>
    <s v="ENX2016"/>
    <s v="A127"/>
    <s v="EMP1033"/>
    <s v="C1335"/>
    <x v="613"/>
    <n v="4"/>
    <n v="1351"/>
    <n v="1108"/>
    <n v="4432"/>
    <n v="5404"/>
    <n v="972"/>
    <s v="Product 17"/>
    <x v="69"/>
    <s v="Jerry Perry"/>
    <x v="2"/>
    <n v="6"/>
    <x v="5"/>
    <x v="3"/>
    <x v="3"/>
    <x v="1"/>
    <x v="0"/>
  </r>
  <r>
    <s v="AX23920"/>
    <s v="ENX2076"/>
    <s v="A136"/>
    <s v="EMP1007"/>
    <s v="C1226"/>
    <x v="613"/>
    <n v="1"/>
    <n v="1522"/>
    <n v="791"/>
    <n v="791"/>
    <n v="1522"/>
    <n v="731"/>
    <s v="Product 77"/>
    <x v="43"/>
    <s v="Jeremy Mendoza"/>
    <x v="598"/>
    <n v="6"/>
    <x v="5"/>
    <x v="3"/>
    <x v="3"/>
    <x v="1"/>
    <x v="0"/>
  </r>
  <r>
    <s v="AX24008"/>
    <s v="ENX2088"/>
    <s v="A131"/>
    <s v="EMP1027"/>
    <s v="C1364"/>
    <x v="613"/>
    <n v="1"/>
    <n v="603"/>
    <n v="416"/>
    <n v="416"/>
    <n v="603"/>
    <n v="187"/>
    <s v="Product 89"/>
    <x v="32"/>
    <s v="Gary Rodriguez"/>
    <x v="477"/>
    <n v="6"/>
    <x v="5"/>
    <x v="3"/>
    <x v="3"/>
    <x v="1"/>
    <x v="0"/>
  </r>
  <r>
    <s v="AX24107"/>
    <s v="ENX2073"/>
    <s v="A114"/>
    <s v="EMP1029"/>
    <s v="C1659"/>
    <x v="613"/>
    <n v="2"/>
    <n v="95"/>
    <n v="61"/>
    <n v="122"/>
    <n v="190"/>
    <n v="68"/>
    <s v="Product 74"/>
    <x v="28"/>
    <s v="Howard Gardner"/>
    <x v="51"/>
    <n v="6"/>
    <x v="5"/>
    <x v="3"/>
    <x v="3"/>
    <x v="1"/>
    <x v="0"/>
  </r>
  <r>
    <s v="AX24181"/>
    <s v="ENX2079"/>
    <s v="A119"/>
    <s v="EMP1034"/>
    <s v="C1002"/>
    <x v="615"/>
    <n v="4"/>
    <n v="1725"/>
    <n v="1363"/>
    <n v="5452"/>
    <n v="6900"/>
    <n v="1448"/>
    <s v="Product 80"/>
    <x v="16"/>
    <s v="Arthur Mccoy"/>
    <x v="49"/>
    <n v="6"/>
    <x v="5"/>
    <x v="3"/>
    <x v="3"/>
    <x v="1"/>
    <x v="0"/>
  </r>
  <r>
    <s v="AX24386"/>
    <s v="ENX2051"/>
    <s v="A127"/>
    <s v="EMP1013"/>
    <s v="C1346"/>
    <x v="612"/>
    <n v="1"/>
    <n v="1077"/>
    <n v="732"/>
    <n v="732"/>
    <n v="1077"/>
    <n v="345"/>
    <s v="Product 52"/>
    <x v="69"/>
    <s v="Charles Harper"/>
    <x v="340"/>
    <n v="6"/>
    <x v="5"/>
    <x v="3"/>
    <x v="3"/>
    <x v="1"/>
    <x v="0"/>
  </r>
  <r>
    <s v="AX24572"/>
    <s v="ENX2054"/>
    <s v="A166"/>
    <s v="EMP1023"/>
    <s v="C1463"/>
    <x v="615"/>
    <n v="2"/>
    <n v="127"/>
    <n v="79"/>
    <n v="158"/>
    <n v="254"/>
    <n v="96"/>
    <s v="Product 55"/>
    <x v="70"/>
    <s v="Brian Davis"/>
    <x v="535"/>
    <n v="6"/>
    <x v="5"/>
    <x v="3"/>
    <x v="3"/>
    <x v="1"/>
    <x v="0"/>
  </r>
  <r>
    <s v="AX24748"/>
    <s v="ENX2084"/>
    <s v="A169"/>
    <s v="EMP1021"/>
    <s v="C1088"/>
    <x v="612"/>
    <n v="3"/>
    <n v="1783"/>
    <n v="1230"/>
    <n v="3690"/>
    <n v="5349"/>
    <n v="1659"/>
    <s v="Product 85"/>
    <x v="17"/>
    <s v="Clarence Fox"/>
    <x v="498"/>
    <n v="6"/>
    <x v="5"/>
    <x v="3"/>
    <x v="3"/>
    <x v="1"/>
    <x v="0"/>
  </r>
  <r>
    <s v="AX24931"/>
    <s v="ENX2021"/>
    <s v="A173"/>
    <s v="EMP1025"/>
    <s v="C1694"/>
    <x v="613"/>
    <n v="1"/>
    <n v="217"/>
    <n v="171"/>
    <n v="171"/>
    <n v="217"/>
    <n v="46"/>
    <s v="Product 22"/>
    <x v="25"/>
    <s v="Ernest Wagner"/>
    <x v="506"/>
    <n v="6"/>
    <x v="5"/>
    <x v="3"/>
    <x v="3"/>
    <x v="1"/>
    <x v="0"/>
  </r>
  <r>
    <s v="AX10011"/>
    <s v="ENX2004"/>
    <s v="A156"/>
    <s v="EMP1007"/>
    <s v="C1348"/>
    <x v="616"/>
    <n v="3"/>
    <n v="1278"/>
    <n v="665"/>
    <n v="1995"/>
    <n v="3834"/>
    <n v="1839"/>
    <s v="Product 5"/>
    <x v="14"/>
    <s v="Jeremy Mendoza"/>
    <x v="236"/>
    <n v="6"/>
    <x v="5"/>
    <x v="3"/>
    <x v="3"/>
    <x v="1"/>
    <x v="2"/>
  </r>
  <r>
    <s v="AX10174"/>
    <s v="ENX2033"/>
    <s v="A105"/>
    <s v="EMP1007"/>
    <s v="C1199"/>
    <x v="617"/>
    <n v="4"/>
    <n v="2182"/>
    <n v="1200"/>
    <n v="4800"/>
    <n v="8728"/>
    <n v="3928"/>
    <s v="Product 34"/>
    <x v="45"/>
    <s v="Jeremy Mendoza"/>
    <x v="245"/>
    <n v="6"/>
    <x v="5"/>
    <x v="3"/>
    <x v="3"/>
    <x v="1"/>
    <x v="2"/>
  </r>
  <r>
    <s v="AX10740"/>
    <s v="ENX2024"/>
    <s v="A105"/>
    <s v="EMP1019"/>
    <s v="C1135"/>
    <x v="618"/>
    <n v="2"/>
    <n v="356"/>
    <n v="292"/>
    <n v="584"/>
    <n v="712"/>
    <n v="128"/>
    <s v="Product 25"/>
    <x v="45"/>
    <s v="Roger Robertson"/>
    <x v="669"/>
    <n v="6"/>
    <x v="5"/>
    <x v="3"/>
    <x v="3"/>
    <x v="1"/>
    <x v="2"/>
  </r>
  <r>
    <s v="AX11069"/>
    <s v="ENX2051"/>
    <s v="A153"/>
    <s v="EMP1000"/>
    <s v="C1478"/>
    <x v="616"/>
    <n v="2"/>
    <n v="1077"/>
    <n v="732"/>
    <n v="1464"/>
    <n v="2154"/>
    <n v="690"/>
    <s v="Product 52"/>
    <x v="8"/>
    <s v="Fred Robertson"/>
    <x v="483"/>
    <n v="6"/>
    <x v="5"/>
    <x v="3"/>
    <x v="3"/>
    <x v="1"/>
    <x v="2"/>
  </r>
  <r>
    <s v="AX11106"/>
    <s v="ENX2063"/>
    <s v="A150"/>
    <s v="EMP1008"/>
    <s v="C1152"/>
    <x v="619"/>
    <n v="1"/>
    <n v="1708"/>
    <n v="871"/>
    <n v="871"/>
    <n v="1708"/>
    <n v="837"/>
    <s v="Product 64"/>
    <x v="30"/>
    <s v="Carl Elliott"/>
    <x v="198"/>
    <n v="6"/>
    <x v="5"/>
    <x v="3"/>
    <x v="3"/>
    <x v="1"/>
    <x v="2"/>
  </r>
  <r>
    <s v="AX11255"/>
    <s v="ENX2098"/>
    <s v="A173"/>
    <s v="EMP1013"/>
    <s v="C1293"/>
    <x v="619"/>
    <n v="3"/>
    <n v="1178"/>
    <n v="683"/>
    <n v="2049"/>
    <n v="3534"/>
    <n v="1485"/>
    <s v="Product 99"/>
    <x v="25"/>
    <s v="Charles Harper"/>
    <x v="512"/>
    <n v="6"/>
    <x v="5"/>
    <x v="3"/>
    <x v="3"/>
    <x v="1"/>
    <x v="2"/>
  </r>
  <r>
    <s v="AX11957"/>
    <s v="ENX2037"/>
    <s v="A122"/>
    <s v="EMP1020"/>
    <s v="C1127"/>
    <x v="616"/>
    <n v="1"/>
    <n v="880"/>
    <n v="634"/>
    <n v="634"/>
    <n v="880"/>
    <n v="246"/>
    <s v="Product 38"/>
    <x v="71"/>
    <s v="Ryan Butler"/>
    <x v="438"/>
    <n v="6"/>
    <x v="5"/>
    <x v="3"/>
    <x v="3"/>
    <x v="1"/>
    <x v="2"/>
  </r>
  <r>
    <s v="AX12114"/>
    <s v="ENX2048"/>
    <s v="A133"/>
    <s v="EMP1013"/>
    <s v="C1046"/>
    <x v="619"/>
    <n v="1"/>
    <n v="502"/>
    <n v="296"/>
    <n v="296"/>
    <n v="502"/>
    <n v="206"/>
    <s v="Product 49"/>
    <x v="46"/>
    <s v="Charles Harper"/>
    <x v="719"/>
    <n v="6"/>
    <x v="5"/>
    <x v="3"/>
    <x v="3"/>
    <x v="1"/>
    <x v="2"/>
  </r>
  <r>
    <s v="AX12283"/>
    <s v="ENX2073"/>
    <s v="A166"/>
    <s v="EMP1032"/>
    <s v="C1016"/>
    <x v="619"/>
    <n v="1"/>
    <n v="95"/>
    <n v="61"/>
    <n v="61"/>
    <n v="95"/>
    <n v="34"/>
    <s v="Product 74"/>
    <x v="70"/>
    <s v="Larry Castillo"/>
    <x v="335"/>
    <n v="6"/>
    <x v="5"/>
    <x v="3"/>
    <x v="3"/>
    <x v="1"/>
    <x v="2"/>
  </r>
  <r>
    <s v="AX12315"/>
    <s v="ENX2091"/>
    <s v="A113"/>
    <s v="EMP1035"/>
    <s v="C1217"/>
    <x v="617"/>
    <n v="1"/>
    <n v="368"/>
    <n v="294"/>
    <n v="294"/>
    <n v="368"/>
    <n v="74"/>
    <s v="Product 92"/>
    <x v="73"/>
    <s v="Roger Ramos"/>
    <x v="619"/>
    <n v="6"/>
    <x v="5"/>
    <x v="3"/>
    <x v="3"/>
    <x v="1"/>
    <x v="2"/>
  </r>
  <r>
    <s v="AX12513"/>
    <s v="ENX2013"/>
    <s v="A162"/>
    <s v="EMP1016"/>
    <s v="C1571"/>
    <x v="618"/>
    <n v="2"/>
    <n v="368"/>
    <n v="269"/>
    <n v="538"/>
    <n v="736"/>
    <n v="198"/>
    <s v="Product 14"/>
    <x v="2"/>
    <s v="Henry Nelson"/>
    <x v="316"/>
    <n v="6"/>
    <x v="5"/>
    <x v="3"/>
    <x v="3"/>
    <x v="1"/>
    <x v="2"/>
  </r>
  <r>
    <s v="AX14401"/>
    <s v="ENX2018"/>
    <s v="A170"/>
    <s v="EMP1039"/>
    <s v="C1559"/>
    <x v="617"/>
    <n v="1"/>
    <n v="1972"/>
    <n v="1321"/>
    <n v="1321"/>
    <n v="1972"/>
    <n v="651"/>
    <s v="Product 19"/>
    <x v="47"/>
    <s v="Eugene Holmes"/>
    <x v="43"/>
    <n v="6"/>
    <x v="5"/>
    <x v="3"/>
    <x v="3"/>
    <x v="1"/>
    <x v="2"/>
  </r>
  <r>
    <s v="AX14451"/>
    <s v="ENX2003"/>
    <s v="A158"/>
    <s v="EMP1035"/>
    <s v="C1685"/>
    <x v="617"/>
    <n v="1"/>
    <n v="1783"/>
    <n v="1516"/>
    <n v="1516"/>
    <n v="1783"/>
    <n v="267"/>
    <s v="Product 4"/>
    <x v="58"/>
    <s v="Roger Ramos"/>
    <x v="90"/>
    <n v="6"/>
    <x v="5"/>
    <x v="3"/>
    <x v="3"/>
    <x v="1"/>
    <x v="2"/>
  </r>
  <r>
    <s v="AX14482"/>
    <s v="ENX2019"/>
    <s v="A172"/>
    <s v="EMP1023"/>
    <s v="C1563"/>
    <x v="616"/>
    <n v="1"/>
    <n v="800"/>
    <n v="536"/>
    <n v="536"/>
    <n v="800"/>
    <n v="264"/>
    <s v="Product 20"/>
    <x v="36"/>
    <s v="Brian Davis"/>
    <x v="130"/>
    <n v="6"/>
    <x v="5"/>
    <x v="3"/>
    <x v="3"/>
    <x v="1"/>
    <x v="2"/>
  </r>
  <r>
    <s v="AX14486"/>
    <s v="ENX2081"/>
    <s v="A165"/>
    <s v="EMP1042"/>
    <s v="C1210"/>
    <x v="619"/>
    <n v="3"/>
    <n v="1566"/>
    <n v="1190"/>
    <n v="3570"/>
    <n v="4698"/>
    <n v="1128"/>
    <s v="Product 82"/>
    <x v="55"/>
    <s v="Scott Clark"/>
    <x v="629"/>
    <n v="6"/>
    <x v="5"/>
    <x v="3"/>
    <x v="3"/>
    <x v="1"/>
    <x v="2"/>
  </r>
  <r>
    <s v="AX14784"/>
    <s v="ENX2099"/>
    <s v="A128"/>
    <s v="EMP1002"/>
    <s v="C1433"/>
    <x v="618"/>
    <n v="1"/>
    <n v="1367"/>
    <n v="984"/>
    <n v="984"/>
    <n v="1367"/>
    <n v="383"/>
    <s v="Product 100"/>
    <x v="12"/>
    <s v="Andrew Bowman"/>
    <x v="525"/>
    <n v="6"/>
    <x v="5"/>
    <x v="3"/>
    <x v="3"/>
    <x v="1"/>
    <x v="2"/>
  </r>
  <r>
    <s v="AX15276"/>
    <s v="ENX2098"/>
    <s v="A125"/>
    <s v="EMP1027"/>
    <s v="C1344"/>
    <x v="616"/>
    <n v="3"/>
    <n v="1178"/>
    <n v="683"/>
    <n v="2049"/>
    <n v="3534"/>
    <n v="1485"/>
    <s v="Product 99"/>
    <x v="31"/>
    <s v="Gary Rodriguez"/>
    <x v="22"/>
    <n v="6"/>
    <x v="5"/>
    <x v="3"/>
    <x v="3"/>
    <x v="1"/>
    <x v="2"/>
  </r>
  <r>
    <s v="AX15658"/>
    <s v="ENX2050"/>
    <s v="A172"/>
    <s v="EMP1009"/>
    <s v="C1670"/>
    <x v="618"/>
    <n v="1"/>
    <n v="2391"/>
    <n v="1291"/>
    <n v="1291"/>
    <n v="2391"/>
    <n v="1100"/>
    <s v="Product 51"/>
    <x v="36"/>
    <s v="Kenneth Fields"/>
    <x v="663"/>
    <n v="6"/>
    <x v="5"/>
    <x v="3"/>
    <x v="3"/>
    <x v="1"/>
    <x v="2"/>
  </r>
  <r>
    <s v="AX15873"/>
    <s v="ENX2072"/>
    <s v="A101"/>
    <s v="EMP1030"/>
    <s v="C1426"/>
    <x v="618"/>
    <n v="1"/>
    <n v="1887"/>
    <n v="1378"/>
    <n v="1378"/>
    <n v="1887"/>
    <n v="509"/>
    <s v="Product 73"/>
    <x v="60"/>
    <s v="Bobby Russell"/>
    <x v="127"/>
    <n v="6"/>
    <x v="5"/>
    <x v="3"/>
    <x v="3"/>
    <x v="1"/>
    <x v="2"/>
  </r>
  <r>
    <s v="AX16588"/>
    <s v="ENX2092"/>
    <s v="A168"/>
    <s v="EMP1020"/>
    <s v="C1280"/>
    <x v="617"/>
    <n v="4"/>
    <n v="1639"/>
    <n v="1295"/>
    <n v="5180"/>
    <n v="6556"/>
    <n v="1376"/>
    <s v="Product 93"/>
    <x v="40"/>
    <s v="Ryan Butler"/>
    <x v="349"/>
    <n v="6"/>
    <x v="5"/>
    <x v="3"/>
    <x v="3"/>
    <x v="1"/>
    <x v="2"/>
  </r>
  <r>
    <s v="AX16979"/>
    <s v="ENX2014"/>
    <s v="A137"/>
    <s v="EMP1039"/>
    <s v="C1568"/>
    <x v="617"/>
    <n v="1"/>
    <n v="1809"/>
    <n v="1067"/>
    <n v="1067"/>
    <n v="1809"/>
    <n v="742"/>
    <s v="Product 15"/>
    <x v="68"/>
    <s v="Eugene Holmes"/>
    <x v="551"/>
    <n v="6"/>
    <x v="5"/>
    <x v="3"/>
    <x v="3"/>
    <x v="1"/>
    <x v="2"/>
  </r>
  <r>
    <s v="AX17211"/>
    <s v="ENX2067"/>
    <s v="A122"/>
    <s v="EMP1035"/>
    <s v="C1542"/>
    <x v="616"/>
    <n v="1"/>
    <n v="1119"/>
    <n v="683"/>
    <n v="683"/>
    <n v="1119"/>
    <n v="436"/>
    <s v="Product 68"/>
    <x v="71"/>
    <s v="Roger Ramos"/>
    <x v="712"/>
    <n v="6"/>
    <x v="5"/>
    <x v="3"/>
    <x v="3"/>
    <x v="1"/>
    <x v="2"/>
  </r>
  <r>
    <s v="AX17329"/>
    <s v="ENX2002"/>
    <s v="A172"/>
    <s v="EMP1021"/>
    <s v="C1030"/>
    <x v="616"/>
    <n v="2"/>
    <n v="847"/>
    <n v="534"/>
    <n v="1068"/>
    <n v="1694"/>
    <n v="626"/>
    <s v="Product 3"/>
    <x v="36"/>
    <s v="Clarence Fox"/>
    <x v="106"/>
    <n v="6"/>
    <x v="5"/>
    <x v="3"/>
    <x v="3"/>
    <x v="1"/>
    <x v="2"/>
  </r>
  <r>
    <s v="AX17362"/>
    <s v="ENX2059"/>
    <s v="A125"/>
    <s v="EMP1019"/>
    <s v="C1043"/>
    <x v="617"/>
    <n v="4"/>
    <n v="1494"/>
    <n v="971"/>
    <n v="3884"/>
    <n v="5976"/>
    <n v="2092"/>
    <s v="Product 60"/>
    <x v="31"/>
    <s v="Roger Robertson"/>
    <x v="546"/>
    <n v="6"/>
    <x v="5"/>
    <x v="3"/>
    <x v="3"/>
    <x v="1"/>
    <x v="2"/>
  </r>
  <r>
    <s v="AX18025"/>
    <s v="ENX2060"/>
    <s v="A119"/>
    <s v="EMP1009"/>
    <s v="C1341"/>
    <x v="618"/>
    <n v="1"/>
    <n v="1467"/>
    <n v="807"/>
    <n v="807"/>
    <n v="1467"/>
    <n v="660"/>
    <s v="Product 61"/>
    <x v="16"/>
    <s v="Kenneth Fields"/>
    <x v="750"/>
    <n v="6"/>
    <x v="5"/>
    <x v="3"/>
    <x v="3"/>
    <x v="1"/>
    <x v="2"/>
  </r>
  <r>
    <s v="AX18221"/>
    <s v="ENX2068"/>
    <s v="A149"/>
    <s v="EMP1011"/>
    <s v="C1093"/>
    <x v="618"/>
    <n v="4"/>
    <n v="1500"/>
    <n v="900"/>
    <n v="3600"/>
    <n v="6000"/>
    <n v="2400"/>
    <s v="Product 69"/>
    <x v="59"/>
    <s v="Larry Marshall"/>
    <x v="290"/>
    <n v="6"/>
    <x v="5"/>
    <x v="3"/>
    <x v="3"/>
    <x v="1"/>
    <x v="2"/>
  </r>
  <r>
    <s v="AX18447"/>
    <s v="ENX2032"/>
    <s v="A116"/>
    <s v="EMP1037"/>
    <s v="C1146"/>
    <x v="618"/>
    <n v="1"/>
    <n v="1967"/>
    <n v="1397"/>
    <n v="1397"/>
    <n v="1967"/>
    <n v="570"/>
    <s v="Product 33"/>
    <x v="15"/>
    <s v="Carl Hall"/>
    <x v="274"/>
    <n v="6"/>
    <x v="5"/>
    <x v="3"/>
    <x v="3"/>
    <x v="1"/>
    <x v="2"/>
  </r>
  <r>
    <s v="AX19550"/>
    <s v="ENX2073"/>
    <s v="A146"/>
    <s v="EMP1042"/>
    <s v="C1385"/>
    <x v="617"/>
    <n v="1"/>
    <n v="95"/>
    <n v="61"/>
    <n v="61"/>
    <n v="95"/>
    <n v="34"/>
    <s v="Product 74"/>
    <x v="27"/>
    <s v="Scott Clark"/>
    <x v="523"/>
    <n v="6"/>
    <x v="5"/>
    <x v="3"/>
    <x v="3"/>
    <x v="1"/>
    <x v="2"/>
  </r>
  <r>
    <s v="AX19902"/>
    <s v="ENX2060"/>
    <s v="A133"/>
    <s v="EMP1028"/>
    <s v="C1761"/>
    <x v="619"/>
    <n v="2"/>
    <n v="1467"/>
    <n v="807"/>
    <n v="1614"/>
    <n v="2934"/>
    <n v="1320"/>
    <s v="Product 61"/>
    <x v="46"/>
    <s v="Howard Sims"/>
    <x v="618"/>
    <n v="6"/>
    <x v="5"/>
    <x v="3"/>
    <x v="3"/>
    <x v="1"/>
    <x v="2"/>
  </r>
  <r>
    <s v="AX20018"/>
    <s v="ENX2050"/>
    <s v="A159"/>
    <s v="EMP1024"/>
    <s v="C1495"/>
    <x v="616"/>
    <n v="1"/>
    <n v="2391"/>
    <n v="1291"/>
    <n v="1291"/>
    <n v="2391"/>
    <n v="1100"/>
    <s v="Product 51"/>
    <x v="13"/>
    <s v="Ernest Wheeler"/>
    <x v="780"/>
    <n v="6"/>
    <x v="5"/>
    <x v="3"/>
    <x v="3"/>
    <x v="1"/>
    <x v="2"/>
  </r>
  <r>
    <s v="AX20319"/>
    <s v="ENX2042"/>
    <s v="A133"/>
    <s v="EMP1043"/>
    <s v="C1476"/>
    <x v="618"/>
    <n v="1"/>
    <n v="203"/>
    <n v="154"/>
    <n v="154"/>
    <n v="203"/>
    <n v="49"/>
    <s v="Product 43"/>
    <x v="46"/>
    <s v="Joshua Taylor"/>
    <x v="207"/>
    <n v="6"/>
    <x v="5"/>
    <x v="3"/>
    <x v="3"/>
    <x v="1"/>
    <x v="2"/>
  </r>
  <r>
    <s v="AX21016"/>
    <s v="ENX2055"/>
    <s v="A122"/>
    <s v="EMP1026"/>
    <s v="C1061"/>
    <x v="618"/>
    <n v="1"/>
    <n v="2495"/>
    <n v="1896"/>
    <n v="1896"/>
    <n v="2495"/>
    <n v="599"/>
    <s v="Product 56"/>
    <x v="71"/>
    <s v="Martin Perry"/>
    <x v="228"/>
    <n v="6"/>
    <x v="5"/>
    <x v="3"/>
    <x v="3"/>
    <x v="1"/>
    <x v="2"/>
  </r>
  <r>
    <s v="AX21297"/>
    <s v="ENX2048"/>
    <s v="A138"/>
    <s v="EMP1034"/>
    <s v="C1203"/>
    <x v="618"/>
    <n v="1"/>
    <n v="502"/>
    <n v="296"/>
    <n v="296"/>
    <n v="502"/>
    <n v="206"/>
    <s v="Product 49"/>
    <x v="37"/>
    <s v="Arthur Mccoy"/>
    <x v="792"/>
    <n v="6"/>
    <x v="5"/>
    <x v="3"/>
    <x v="3"/>
    <x v="1"/>
    <x v="2"/>
  </r>
  <r>
    <s v="AX21459"/>
    <s v="ENX2046"/>
    <s v="A140"/>
    <s v="EMP1031"/>
    <s v="C1549"/>
    <x v="617"/>
    <n v="3"/>
    <n v="2410"/>
    <n v="1518"/>
    <n v="4554"/>
    <n v="7230"/>
    <n v="2676"/>
    <s v="Product 47"/>
    <x v="18"/>
    <s v="Brian Thomas"/>
    <x v="174"/>
    <n v="6"/>
    <x v="5"/>
    <x v="3"/>
    <x v="3"/>
    <x v="1"/>
    <x v="2"/>
  </r>
  <r>
    <s v="AX22117"/>
    <s v="ENX2089"/>
    <s v="A170"/>
    <s v="EMP1029"/>
    <s v="C1364"/>
    <x v="617"/>
    <n v="1"/>
    <n v="2294"/>
    <n v="1399"/>
    <n v="1399"/>
    <n v="2294"/>
    <n v="895"/>
    <s v="Product 90"/>
    <x v="47"/>
    <s v="Howard Gardner"/>
    <x v="477"/>
    <n v="6"/>
    <x v="5"/>
    <x v="3"/>
    <x v="3"/>
    <x v="1"/>
    <x v="2"/>
  </r>
  <r>
    <s v="AX22280"/>
    <s v="ENX2039"/>
    <s v="A111"/>
    <s v="EMP1002"/>
    <s v="C1474"/>
    <x v="619"/>
    <n v="3"/>
    <n v="817"/>
    <n v="409"/>
    <n v="1227"/>
    <n v="2451"/>
    <n v="1224"/>
    <s v="Product 40"/>
    <x v="54"/>
    <s v="Andrew Bowman"/>
    <x v="265"/>
    <n v="6"/>
    <x v="5"/>
    <x v="3"/>
    <x v="3"/>
    <x v="1"/>
    <x v="2"/>
  </r>
  <r>
    <s v="AX22301"/>
    <s v="ENX2044"/>
    <s v="A148"/>
    <s v="EMP1018"/>
    <s v="C1693"/>
    <x v="617"/>
    <n v="1"/>
    <n v="886"/>
    <n v="478"/>
    <n v="478"/>
    <n v="886"/>
    <n v="408"/>
    <s v="Product 45"/>
    <x v="62"/>
    <s v="Jimmy Young"/>
    <x v="724"/>
    <n v="6"/>
    <x v="5"/>
    <x v="3"/>
    <x v="3"/>
    <x v="1"/>
    <x v="2"/>
  </r>
  <r>
    <s v="AX22325"/>
    <s v="ENX2022"/>
    <s v="A101"/>
    <s v="EMP1016"/>
    <s v="C1678"/>
    <x v="618"/>
    <n v="1"/>
    <n v="561"/>
    <n v="421"/>
    <n v="421"/>
    <n v="561"/>
    <n v="140"/>
    <s v="Product 23"/>
    <x v="60"/>
    <s v="Henry Nelson"/>
    <x v="191"/>
    <n v="6"/>
    <x v="5"/>
    <x v="3"/>
    <x v="3"/>
    <x v="1"/>
    <x v="2"/>
  </r>
  <r>
    <s v="AX23073"/>
    <s v="ENX2042"/>
    <s v="A150"/>
    <s v="EMP1003"/>
    <s v="C1711"/>
    <x v="616"/>
    <n v="4"/>
    <n v="203"/>
    <n v="154"/>
    <n v="616"/>
    <n v="812"/>
    <n v="196"/>
    <s v="Product 43"/>
    <x v="30"/>
    <s v="Christopher Tucker"/>
    <x v="66"/>
    <n v="6"/>
    <x v="5"/>
    <x v="3"/>
    <x v="3"/>
    <x v="1"/>
    <x v="2"/>
  </r>
  <r>
    <s v="AX23194"/>
    <s v="ENX2042"/>
    <s v="A136"/>
    <s v="EMP1002"/>
    <s v="C1321"/>
    <x v="617"/>
    <n v="1"/>
    <n v="203"/>
    <n v="154"/>
    <n v="154"/>
    <n v="203"/>
    <n v="49"/>
    <s v="Product 43"/>
    <x v="43"/>
    <s v="Andrew Bowman"/>
    <x v="775"/>
    <n v="6"/>
    <x v="5"/>
    <x v="3"/>
    <x v="3"/>
    <x v="1"/>
    <x v="2"/>
  </r>
  <r>
    <s v="AX23856"/>
    <s v="ENX2072"/>
    <s v="A166"/>
    <s v="EMP1026"/>
    <s v="C1134"/>
    <x v="617"/>
    <n v="4"/>
    <n v="1887"/>
    <n v="1378"/>
    <n v="5512"/>
    <n v="7548"/>
    <n v="2036"/>
    <s v="Product 73"/>
    <x v="70"/>
    <s v="Martin Perry"/>
    <x v="495"/>
    <n v="6"/>
    <x v="5"/>
    <x v="3"/>
    <x v="3"/>
    <x v="1"/>
    <x v="2"/>
  </r>
  <r>
    <s v="AX24664"/>
    <s v="ENX2076"/>
    <s v="A152"/>
    <s v="EMP1005"/>
    <s v="C1347"/>
    <x v="619"/>
    <n v="4"/>
    <n v="1522"/>
    <n v="791"/>
    <n v="3164"/>
    <n v="6088"/>
    <n v="2924"/>
    <s v="Product 77"/>
    <x v="26"/>
    <s v="Ryan Welch"/>
    <x v="686"/>
    <n v="6"/>
    <x v="5"/>
    <x v="3"/>
    <x v="3"/>
    <x v="1"/>
    <x v="2"/>
  </r>
  <r>
    <s v="AX10327"/>
    <s v="ENX2050"/>
    <s v="A112"/>
    <s v="EMP1039"/>
    <s v="C1773"/>
    <x v="620"/>
    <n v="4"/>
    <n v="2391"/>
    <n v="1291"/>
    <n v="5164"/>
    <n v="9564"/>
    <n v="4400"/>
    <s v="Product 51"/>
    <x v="66"/>
    <s v="Eugene Holmes"/>
    <x v="723"/>
    <n v="6"/>
    <x v="5"/>
    <x v="4"/>
    <x v="4"/>
    <x v="1"/>
    <x v="0"/>
  </r>
  <r>
    <s v="AX10674"/>
    <s v="ENX2055"/>
    <s v="A133"/>
    <s v="EMP1029"/>
    <s v="C1414"/>
    <x v="621"/>
    <n v="2"/>
    <n v="2495"/>
    <n v="1896"/>
    <n v="3792"/>
    <n v="4990"/>
    <n v="1198"/>
    <s v="Product 56"/>
    <x v="46"/>
    <s v="Howard Gardner"/>
    <x v="140"/>
    <n v="6"/>
    <x v="5"/>
    <x v="4"/>
    <x v="4"/>
    <x v="1"/>
    <x v="0"/>
  </r>
  <r>
    <s v="AX10695"/>
    <s v="ENX2042"/>
    <s v="A131"/>
    <s v="EMP1016"/>
    <s v="C1541"/>
    <x v="620"/>
    <n v="1"/>
    <n v="203"/>
    <n v="154"/>
    <n v="154"/>
    <n v="203"/>
    <n v="49"/>
    <s v="Product 43"/>
    <x v="32"/>
    <s v="Henry Nelson"/>
    <x v="628"/>
    <n v="6"/>
    <x v="5"/>
    <x v="4"/>
    <x v="4"/>
    <x v="1"/>
    <x v="0"/>
  </r>
  <r>
    <s v="AX11922"/>
    <s v="ENX2085"/>
    <s v="A170"/>
    <s v="EMP1031"/>
    <s v="C1324"/>
    <x v="622"/>
    <n v="1"/>
    <n v="1862"/>
    <n v="1173"/>
    <n v="1173"/>
    <n v="1862"/>
    <n v="689"/>
    <s v="Product 86"/>
    <x v="47"/>
    <s v="Brian Thomas"/>
    <x v="252"/>
    <n v="6"/>
    <x v="5"/>
    <x v="4"/>
    <x v="4"/>
    <x v="1"/>
    <x v="0"/>
  </r>
  <r>
    <s v="AX12270"/>
    <s v="ENX2087"/>
    <s v="A144"/>
    <s v="EMP1016"/>
    <s v="C1309"/>
    <x v="620"/>
    <n v="1"/>
    <n v="1022"/>
    <n v="818"/>
    <n v="818"/>
    <n v="1022"/>
    <n v="204"/>
    <s v="Product 88"/>
    <x v="65"/>
    <s v="Henry Nelson"/>
    <x v="139"/>
    <n v="6"/>
    <x v="5"/>
    <x v="4"/>
    <x v="4"/>
    <x v="1"/>
    <x v="0"/>
  </r>
  <r>
    <s v="AX12424"/>
    <s v="ENX2033"/>
    <s v="A121"/>
    <s v="EMP1028"/>
    <s v="C1039"/>
    <x v="623"/>
    <n v="1"/>
    <n v="2182"/>
    <n v="1200"/>
    <n v="1200"/>
    <n v="2182"/>
    <n v="982"/>
    <s v="Product 34"/>
    <x v="72"/>
    <s v="Howard Sims"/>
    <x v="574"/>
    <n v="6"/>
    <x v="5"/>
    <x v="4"/>
    <x v="4"/>
    <x v="1"/>
    <x v="0"/>
  </r>
  <r>
    <s v="AX12601"/>
    <s v="ENX2047"/>
    <s v="A164"/>
    <s v="EMP1028"/>
    <s v="C1122"/>
    <x v="621"/>
    <n v="2"/>
    <n v="290"/>
    <n v="200"/>
    <n v="400"/>
    <n v="580"/>
    <n v="180"/>
    <s v="Product 48"/>
    <x v="3"/>
    <s v="Howard Sims"/>
    <x v="84"/>
    <n v="6"/>
    <x v="5"/>
    <x v="4"/>
    <x v="4"/>
    <x v="1"/>
    <x v="0"/>
  </r>
  <r>
    <s v="AX12684"/>
    <s v="ENX2021"/>
    <s v="A154"/>
    <s v="EMP1038"/>
    <s v="C1262"/>
    <x v="621"/>
    <n v="1"/>
    <n v="217"/>
    <n v="171"/>
    <n v="171"/>
    <n v="217"/>
    <n v="46"/>
    <s v="Product 22"/>
    <x v="24"/>
    <s v="Scott Mason"/>
    <x v="363"/>
    <n v="6"/>
    <x v="5"/>
    <x v="4"/>
    <x v="4"/>
    <x v="1"/>
    <x v="0"/>
  </r>
  <r>
    <s v="AX12803"/>
    <s v="ENX2083"/>
    <s v="A119"/>
    <s v="EMP1019"/>
    <s v="C1030"/>
    <x v="623"/>
    <n v="1"/>
    <n v="2141"/>
    <n v="1777"/>
    <n v="1777"/>
    <n v="2141"/>
    <n v="364"/>
    <s v="Product 84"/>
    <x v="16"/>
    <s v="Roger Robertson"/>
    <x v="106"/>
    <n v="6"/>
    <x v="5"/>
    <x v="4"/>
    <x v="4"/>
    <x v="1"/>
    <x v="0"/>
  </r>
  <r>
    <s v="AX12911"/>
    <s v="ENX2020"/>
    <s v="A103"/>
    <s v="EMP1016"/>
    <s v="C1102"/>
    <x v="620"/>
    <n v="1"/>
    <n v="2005"/>
    <n v="1223"/>
    <n v="1223"/>
    <n v="2005"/>
    <n v="782"/>
    <s v="Product 21"/>
    <x v="61"/>
    <s v="Henry Nelson"/>
    <x v="766"/>
    <n v="6"/>
    <x v="5"/>
    <x v="4"/>
    <x v="4"/>
    <x v="1"/>
    <x v="0"/>
  </r>
  <r>
    <s v="AX12960"/>
    <s v="ENX2093"/>
    <s v="A108"/>
    <s v="EMP1008"/>
    <s v="C1328"/>
    <x v="624"/>
    <n v="1"/>
    <n v="112"/>
    <n v="90"/>
    <n v="90"/>
    <n v="112"/>
    <n v="22"/>
    <s v="Product 94"/>
    <x v="49"/>
    <s v="Carl Elliott"/>
    <x v="488"/>
    <n v="6"/>
    <x v="5"/>
    <x v="4"/>
    <x v="4"/>
    <x v="1"/>
    <x v="0"/>
  </r>
  <r>
    <s v="AX12961"/>
    <s v="ENX2046"/>
    <s v="A116"/>
    <s v="EMP1033"/>
    <s v="C1229"/>
    <x v="623"/>
    <n v="3"/>
    <n v="2410"/>
    <n v="1518"/>
    <n v="4554"/>
    <n v="7230"/>
    <n v="2676"/>
    <s v="Product 47"/>
    <x v="15"/>
    <s v="Jerry Perry"/>
    <x v="562"/>
    <n v="6"/>
    <x v="5"/>
    <x v="4"/>
    <x v="4"/>
    <x v="1"/>
    <x v="0"/>
  </r>
  <r>
    <s v="AX13050"/>
    <s v="ENX2090"/>
    <s v="A105"/>
    <s v="EMP1032"/>
    <s v="C1181"/>
    <x v="623"/>
    <n v="1"/>
    <n v="1338"/>
    <n v="682"/>
    <n v="682"/>
    <n v="1338"/>
    <n v="656"/>
    <s v="Product 91"/>
    <x v="45"/>
    <s v="Larry Castillo"/>
    <x v="449"/>
    <n v="6"/>
    <x v="5"/>
    <x v="4"/>
    <x v="4"/>
    <x v="1"/>
    <x v="0"/>
  </r>
  <r>
    <s v="AX13552"/>
    <s v="ENX2094"/>
    <s v="A143"/>
    <s v="EMP1011"/>
    <s v="C1664"/>
    <x v="621"/>
    <n v="1"/>
    <n v="771"/>
    <n v="648"/>
    <n v="648"/>
    <n v="771"/>
    <n v="123"/>
    <s v="Product 95"/>
    <x v="39"/>
    <s v="Larry Marshall"/>
    <x v="12"/>
    <n v="6"/>
    <x v="5"/>
    <x v="4"/>
    <x v="4"/>
    <x v="1"/>
    <x v="0"/>
  </r>
  <r>
    <s v="AX13606"/>
    <s v="ENX2085"/>
    <s v="A123"/>
    <s v="EMP1002"/>
    <s v="C1667"/>
    <x v="624"/>
    <n v="3"/>
    <n v="1862"/>
    <n v="1173"/>
    <n v="3519"/>
    <n v="5586"/>
    <n v="2067"/>
    <s v="Product 86"/>
    <x v="34"/>
    <s v="Andrew Bowman"/>
    <x v="462"/>
    <n v="6"/>
    <x v="5"/>
    <x v="4"/>
    <x v="4"/>
    <x v="1"/>
    <x v="0"/>
  </r>
  <r>
    <s v="AX13678"/>
    <s v="ENX2051"/>
    <s v="A129"/>
    <s v="EMP1027"/>
    <s v="C1714"/>
    <x v="624"/>
    <n v="2"/>
    <n v="1077"/>
    <n v="732"/>
    <n v="1464"/>
    <n v="2154"/>
    <n v="690"/>
    <s v="Product 52"/>
    <x v="22"/>
    <s v="Gary Rodriguez"/>
    <x v="317"/>
    <n v="6"/>
    <x v="5"/>
    <x v="4"/>
    <x v="4"/>
    <x v="1"/>
    <x v="0"/>
  </r>
  <r>
    <s v="AX14009"/>
    <s v="ENX2020"/>
    <s v="A168"/>
    <s v="EMP1025"/>
    <s v="C1719"/>
    <x v="621"/>
    <n v="1"/>
    <n v="2005"/>
    <n v="1223"/>
    <n v="1223"/>
    <n v="2005"/>
    <n v="782"/>
    <s v="Product 21"/>
    <x v="40"/>
    <s v="Ernest Wagner"/>
    <x v="666"/>
    <n v="6"/>
    <x v="5"/>
    <x v="4"/>
    <x v="4"/>
    <x v="1"/>
    <x v="0"/>
  </r>
  <r>
    <s v="AX14236"/>
    <s v="ENX2006"/>
    <s v="A141"/>
    <s v="EMP1037"/>
    <s v="C1226"/>
    <x v="624"/>
    <n v="1"/>
    <n v="1826"/>
    <n v="1443"/>
    <n v="1443"/>
    <n v="1826"/>
    <n v="383"/>
    <s v="Product 7"/>
    <x v="23"/>
    <s v="Carl Hall"/>
    <x v="598"/>
    <n v="6"/>
    <x v="5"/>
    <x v="4"/>
    <x v="4"/>
    <x v="1"/>
    <x v="0"/>
  </r>
  <r>
    <s v="AX14402"/>
    <s v="ENX2042"/>
    <s v="A128"/>
    <s v="EMP1001"/>
    <s v="C1717"/>
    <x v="623"/>
    <n v="1"/>
    <n v="203"/>
    <n v="154"/>
    <n v="154"/>
    <n v="203"/>
    <n v="49"/>
    <s v="Product 43"/>
    <x v="12"/>
    <s v="Kevin Butler"/>
    <x v="605"/>
    <n v="6"/>
    <x v="5"/>
    <x v="4"/>
    <x v="4"/>
    <x v="1"/>
    <x v="0"/>
  </r>
  <r>
    <s v="AX14891"/>
    <s v="ENX2061"/>
    <s v="A129"/>
    <s v="EMP1037"/>
    <s v="C1153"/>
    <x v="624"/>
    <n v="2"/>
    <n v="913"/>
    <n v="584"/>
    <n v="1168"/>
    <n v="1826"/>
    <n v="658"/>
    <s v="Product 62"/>
    <x v="22"/>
    <s v="Carl Hall"/>
    <x v="382"/>
    <n v="6"/>
    <x v="5"/>
    <x v="4"/>
    <x v="4"/>
    <x v="1"/>
    <x v="0"/>
  </r>
  <r>
    <s v="AX14994"/>
    <s v="ENX2030"/>
    <s v="A127"/>
    <s v="EMP1041"/>
    <s v="C1641"/>
    <x v="621"/>
    <n v="1"/>
    <n v="1899"/>
    <n v="1044"/>
    <n v="1044"/>
    <n v="1899"/>
    <n v="855"/>
    <s v="Product 31"/>
    <x v="69"/>
    <s v="Joe Sims"/>
    <x v="761"/>
    <n v="6"/>
    <x v="5"/>
    <x v="4"/>
    <x v="4"/>
    <x v="1"/>
    <x v="0"/>
  </r>
  <r>
    <s v="AX15085"/>
    <s v="ENX2042"/>
    <s v="A170"/>
    <s v="EMP1031"/>
    <s v="C1529"/>
    <x v="621"/>
    <n v="3"/>
    <n v="203"/>
    <n v="154"/>
    <n v="462"/>
    <n v="609"/>
    <n v="147"/>
    <s v="Product 43"/>
    <x v="47"/>
    <s v="Brian Thomas"/>
    <x v="247"/>
    <n v="6"/>
    <x v="5"/>
    <x v="4"/>
    <x v="4"/>
    <x v="1"/>
    <x v="0"/>
  </r>
  <r>
    <s v="AX15319"/>
    <s v="ENX2097"/>
    <s v="A114"/>
    <s v="EMP1015"/>
    <s v="C1008"/>
    <x v="624"/>
    <n v="3"/>
    <n v="1052"/>
    <n v="589"/>
    <n v="1767"/>
    <n v="3156"/>
    <n v="1389"/>
    <s v="Product 98"/>
    <x v="28"/>
    <s v="Justin Lynch"/>
    <x v="796"/>
    <n v="6"/>
    <x v="5"/>
    <x v="4"/>
    <x v="4"/>
    <x v="1"/>
    <x v="0"/>
  </r>
  <r>
    <s v="AX15348"/>
    <s v="ENX2080"/>
    <s v="A157"/>
    <s v="EMP1005"/>
    <s v="C1181"/>
    <x v="622"/>
    <n v="1"/>
    <n v="2353"/>
    <n v="1788"/>
    <n v="1788"/>
    <n v="2353"/>
    <n v="565"/>
    <s v="Product 81"/>
    <x v="7"/>
    <s v="Ryan Welch"/>
    <x v="449"/>
    <n v="6"/>
    <x v="5"/>
    <x v="4"/>
    <x v="4"/>
    <x v="1"/>
    <x v="0"/>
  </r>
  <r>
    <s v="AX15591"/>
    <s v="ENX2077"/>
    <s v="A153"/>
    <s v="EMP1002"/>
    <s v="C1574"/>
    <x v="621"/>
    <n v="1"/>
    <n v="530"/>
    <n v="424"/>
    <n v="424"/>
    <n v="530"/>
    <n v="106"/>
    <s v="Product 78"/>
    <x v="8"/>
    <s v="Andrew Bowman"/>
    <x v="521"/>
    <n v="6"/>
    <x v="5"/>
    <x v="4"/>
    <x v="4"/>
    <x v="1"/>
    <x v="0"/>
  </r>
  <r>
    <s v="AX15787"/>
    <s v="ENX2082"/>
    <s v="A167"/>
    <s v="EMP1012"/>
    <s v="C1418"/>
    <x v="620"/>
    <n v="1"/>
    <n v="1103"/>
    <n v="838"/>
    <n v="838"/>
    <n v="1103"/>
    <n v="265"/>
    <s v="Product 83"/>
    <x v="64"/>
    <s v="John Reyes"/>
    <x v="441"/>
    <n v="6"/>
    <x v="5"/>
    <x v="4"/>
    <x v="4"/>
    <x v="1"/>
    <x v="0"/>
  </r>
  <r>
    <s v="AX16278"/>
    <s v="ENX2053"/>
    <s v="A117"/>
    <s v="EMP1035"/>
    <s v="C1548"/>
    <x v="620"/>
    <n v="1"/>
    <n v="596"/>
    <n v="358"/>
    <n v="358"/>
    <n v="596"/>
    <n v="238"/>
    <s v="Product 54"/>
    <x v="29"/>
    <s v="Roger Ramos"/>
    <x v="241"/>
    <n v="6"/>
    <x v="5"/>
    <x v="4"/>
    <x v="4"/>
    <x v="1"/>
    <x v="0"/>
  </r>
  <r>
    <s v="AX16650"/>
    <s v="ENX2072"/>
    <s v="A138"/>
    <s v="EMP1006"/>
    <s v="C1025"/>
    <x v="622"/>
    <n v="3"/>
    <n v="1887"/>
    <n v="1378"/>
    <n v="4134"/>
    <n v="5661"/>
    <n v="1527"/>
    <s v="Product 73"/>
    <x v="37"/>
    <s v="Sean Miller"/>
    <x v="350"/>
    <n v="6"/>
    <x v="5"/>
    <x v="4"/>
    <x v="4"/>
    <x v="1"/>
    <x v="0"/>
  </r>
  <r>
    <s v="AX16666"/>
    <s v="ENX2100"/>
    <s v="A170"/>
    <s v="EMP1022"/>
    <s v="C1324"/>
    <x v="620"/>
    <n v="1"/>
    <n v="799"/>
    <n v="455"/>
    <n v="455"/>
    <n v="799"/>
    <n v="344"/>
    <s v="Product 101"/>
    <x v="47"/>
    <s v="Walter Cook"/>
    <x v="252"/>
    <n v="6"/>
    <x v="5"/>
    <x v="4"/>
    <x v="4"/>
    <x v="1"/>
    <x v="0"/>
  </r>
  <r>
    <s v="AX16885"/>
    <s v="ENX2069"/>
    <s v="A162"/>
    <s v="EMP1042"/>
    <s v="C1791"/>
    <x v="624"/>
    <n v="1"/>
    <n v="378"/>
    <n v="291"/>
    <n v="291"/>
    <n v="378"/>
    <n v="87"/>
    <s v="Product 70"/>
    <x v="2"/>
    <s v="Scott Clark"/>
    <x v="193"/>
    <n v="6"/>
    <x v="5"/>
    <x v="4"/>
    <x v="4"/>
    <x v="1"/>
    <x v="0"/>
  </r>
  <r>
    <s v="AX17110"/>
    <s v="ENX2095"/>
    <s v="A155"/>
    <s v="EMP1027"/>
    <s v="C1667"/>
    <x v="624"/>
    <n v="2"/>
    <n v="1743"/>
    <n v="872"/>
    <n v="1744"/>
    <n v="3486"/>
    <n v="1742"/>
    <s v="Product 96"/>
    <x v="53"/>
    <s v="Gary Rodriguez"/>
    <x v="462"/>
    <n v="6"/>
    <x v="5"/>
    <x v="4"/>
    <x v="4"/>
    <x v="1"/>
    <x v="0"/>
  </r>
  <r>
    <s v="AX17243"/>
    <s v="ENX2090"/>
    <s v="A117"/>
    <s v="EMP1044"/>
    <s v="C1295"/>
    <x v="622"/>
    <n v="1"/>
    <n v="1338"/>
    <n v="682"/>
    <n v="682"/>
    <n v="1338"/>
    <n v="656"/>
    <s v="Product 91"/>
    <x v="29"/>
    <s v="Martin Carr"/>
    <x v="373"/>
    <n v="6"/>
    <x v="5"/>
    <x v="4"/>
    <x v="4"/>
    <x v="1"/>
    <x v="0"/>
  </r>
  <r>
    <s v="AX17635"/>
    <s v="ENX2079"/>
    <s v="A152"/>
    <s v="EMP1012"/>
    <s v="C1421"/>
    <x v="620"/>
    <n v="1"/>
    <n v="1725"/>
    <n v="1363"/>
    <n v="1363"/>
    <n v="1725"/>
    <n v="362"/>
    <s v="Product 80"/>
    <x v="26"/>
    <s v="John Reyes"/>
    <x v="564"/>
    <n v="6"/>
    <x v="5"/>
    <x v="4"/>
    <x v="4"/>
    <x v="1"/>
    <x v="0"/>
  </r>
  <r>
    <s v="AX18176"/>
    <s v="ENX2084"/>
    <s v="A121"/>
    <s v="EMP1009"/>
    <s v="C1080"/>
    <x v="622"/>
    <n v="4"/>
    <n v="1783"/>
    <n v="1230"/>
    <n v="4920"/>
    <n v="7132"/>
    <n v="2212"/>
    <s v="Product 85"/>
    <x v="72"/>
    <s v="Kenneth Fields"/>
    <x v="720"/>
    <n v="6"/>
    <x v="5"/>
    <x v="4"/>
    <x v="4"/>
    <x v="1"/>
    <x v="0"/>
  </r>
  <r>
    <s v="AX18243"/>
    <s v="ENX2071"/>
    <s v="A105"/>
    <s v="EMP1015"/>
    <s v="C1216"/>
    <x v="620"/>
    <n v="1"/>
    <n v="136"/>
    <n v="72"/>
    <n v="72"/>
    <n v="136"/>
    <n v="64"/>
    <s v="Product 72"/>
    <x v="45"/>
    <s v="Justin Lynch"/>
    <x v="580"/>
    <n v="6"/>
    <x v="5"/>
    <x v="4"/>
    <x v="4"/>
    <x v="1"/>
    <x v="0"/>
  </r>
  <r>
    <s v="AX18310"/>
    <s v="ENX2082"/>
    <s v="A134"/>
    <s v="EMP1015"/>
    <s v="C1658"/>
    <x v="624"/>
    <n v="1"/>
    <n v="1103"/>
    <n v="838"/>
    <n v="838"/>
    <n v="1103"/>
    <n v="265"/>
    <s v="Product 83"/>
    <x v="41"/>
    <s v="Justin Lynch"/>
    <x v="612"/>
    <n v="6"/>
    <x v="5"/>
    <x v="4"/>
    <x v="4"/>
    <x v="1"/>
    <x v="0"/>
  </r>
  <r>
    <s v="AX18703"/>
    <s v="ENX2013"/>
    <s v="A145"/>
    <s v="EMP1015"/>
    <s v="C1676"/>
    <x v="622"/>
    <n v="2"/>
    <n v="368"/>
    <n v="269"/>
    <n v="538"/>
    <n v="736"/>
    <n v="198"/>
    <s v="Product 14"/>
    <x v="35"/>
    <s v="Justin Lynch"/>
    <x v="497"/>
    <n v="6"/>
    <x v="5"/>
    <x v="4"/>
    <x v="4"/>
    <x v="1"/>
    <x v="0"/>
  </r>
  <r>
    <s v="AX18772"/>
    <s v="ENX2072"/>
    <s v="A104"/>
    <s v="EMP1001"/>
    <s v="C1157"/>
    <x v="623"/>
    <n v="1"/>
    <n v="1887"/>
    <n v="1378"/>
    <n v="1378"/>
    <n v="1887"/>
    <n v="509"/>
    <s v="Product 73"/>
    <x v="50"/>
    <s v="Kevin Butler"/>
    <x v="415"/>
    <n v="6"/>
    <x v="5"/>
    <x v="4"/>
    <x v="4"/>
    <x v="1"/>
    <x v="0"/>
  </r>
  <r>
    <s v="AX18802"/>
    <s v="ENX2054"/>
    <s v="A100"/>
    <s v="EMP1014"/>
    <s v="C1674"/>
    <x v="623"/>
    <n v="1"/>
    <n v="127"/>
    <n v="79"/>
    <n v="79"/>
    <n v="127"/>
    <n v="48"/>
    <s v="Product 55"/>
    <x v="52"/>
    <s v="Ronald Reed"/>
    <x v="774"/>
    <n v="6"/>
    <x v="5"/>
    <x v="4"/>
    <x v="4"/>
    <x v="1"/>
    <x v="0"/>
  </r>
  <r>
    <s v="AX19793"/>
    <s v="ENX2068"/>
    <s v="A124"/>
    <s v="EMP1017"/>
    <s v="C1042"/>
    <x v="621"/>
    <n v="2"/>
    <n v="1500"/>
    <n v="900"/>
    <n v="1800"/>
    <n v="3000"/>
    <n v="1200"/>
    <s v="Product 69"/>
    <x v="67"/>
    <s v="Brian Hansen"/>
    <x v="459"/>
    <n v="6"/>
    <x v="5"/>
    <x v="4"/>
    <x v="4"/>
    <x v="1"/>
    <x v="0"/>
  </r>
  <r>
    <s v="AX19816"/>
    <s v="ENX2055"/>
    <s v="A136"/>
    <s v="EMP1022"/>
    <s v="C1796"/>
    <x v="623"/>
    <n v="1"/>
    <n v="2495"/>
    <n v="1896"/>
    <n v="1896"/>
    <n v="2495"/>
    <n v="599"/>
    <s v="Product 56"/>
    <x v="43"/>
    <s v="Walter Cook"/>
    <x v="630"/>
    <n v="6"/>
    <x v="5"/>
    <x v="4"/>
    <x v="4"/>
    <x v="1"/>
    <x v="0"/>
  </r>
  <r>
    <s v="AX19838"/>
    <s v="ENX2036"/>
    <s v="A165"/>
    <s v="EMP1031"/>
    <s v="C1659"/>
    <x v="624"/>
    <n v="1"/>
    <n v="1582"/>
    <n v="1234"/>
    <n v="1234"/>
    <n v="1582"/>
    <n v="348"/>
    <s v="Product 37"/>
    <x v="55"/>
    <s v="Brian Thomas"/>
    <x v="51"/>
    <n v="6"/>
    <x v="5"/>
    <x v="4"/>
    <x v="4"/>
    <x v="1"/>
    <x v="0"/>
  </r>
  <r>
    <s v="AX20053"/>
    <s v="ENX2009"/>
    <s v="A147"/>
    <s v="EMP1041"/>
    <s v="C1017"/>
    <x v="621"/>
    <n v="1"/>
    <n v="584"/>
    <n v="420"/>
    <n v="420"/>
    <n v="584"/>
    <n v="164"/>
    <s v="Product 10"/>
    <x v="42"/>
    <s v="Joe Sims"/>
    <x v="402"/>
    <n v="6"/>
    <x v="5"/>
    <x v="4"/>
    <x v="4"/>
    <x v="1"/>
    <x v="0"/>
  </r>
  <r>
    <s v="AX20088"/>
    <s v="ENX2088"/>
    <s v="A120"/>
    <s v="EMP1011"/>
    <s v="C1453"/>
    <x v="620"/>
    <n v="1"/>
    <n v="603"/>
    <n v="416"/>
    <n v="416"/>
    <n v="603"/>
    <n v="187"/>
    <s v="Product 89"/>
    <x v="20"/>
    <s v="Larry Marshall"/>
    <x v="194"/>
    <n v="6"/>
    <x v="5"/>
    <x v="4"/>
    <x v="4"/>
    <x v="1"/>
    <x v="0"/>
  </r>
  <r>
    <s v="AX20207"/>
    <s v="ENX2024"/>
    <s v="A101"/>
    <s v="EMP1010"/>
    <s v="C1084"/>
    <x v="624"/>
    <n v="1"/>
    <n v="356"/>
    <n v="292"/>
    <n v="292"/>
    <n v="356"/>
    <n v="64"/>
    <s v="Product 25"/>
    <x v="60"/>
    <s v="Joshua Cook"/>
    <x v="631"/>
    <n v="6"/>
    <x v="5"/>
    <x v="4"/>
    <x v="4"/>
    <x v="1"/>
    <x v="0"/>
  </r>
  <r>
    <s v="AX20422"/>
    <s v="ENX2038"/>
    <s v="A120"/>
    <s v="EMP1027"/>
    <s v="C1745"/>
    <x v="624"/>
    <n v="1"/>
    <n v="392"/>
    <n v="255"/>
    <n v="255"/>
    <n v="392"/>
    <n v="137"/>
    <s v="Product 39"/>
    <x v="20"/>
    <s v="Gary Rodriguez"/>
    <x v="784"/>
    <n v="6"/>
    <x v="5"/>
    <x v="4"/>
    <x v="4"/>
    <x v="1"/>
    <x v="0"/>
  </r>
  <r>
    <s v="AX20737"/>
    <s v="ENX2000"/>
    <s v="A102"/>
    <s v="EMP1003"/>
    <s v="C1448"/>
    <x v="624"/>
    <n v="1"/>
    <n v="2241"/>
    <n v="1367"/>
    <n v="1367"/>
    <n v="2241"/>
    <n v="874"/>
    <s v="Product 1"/>
    <x v="44"/>
    <s v="Christopher Tucker"/>
    <x v="716"/>
    <n v="6"/>
    <x v="5"/>
    <x v="4"/>
    <x v="4"/>
    <x v="1"/>
    <x v="0"/>
  </r>
  <r>
    <s v="AX20813"/>
    <s v="ENX2051"/>
    <s v="A132"/>
    <s v="EMP1004"/>
    <s v="C1293"/>
    <x v="623"/>
    <n v="1"/>
    <n v="1077"/>
    <n v="732"/>
    <n v="732"/>
    <n v="1077"/>
    <n v="345"/>
    <s v="Product 52"/>
    <x v="48"/>
    <s v="Kenneth Bradley"/>
    <x v="512"/>
    <n v="6"/>
    <x v="5"/>
    <x v="4"/>
    <x v="4"/>
    <x v="1"/>
    <x v="0"/>
  </r>
  <r>
    <s v="AX20860"/>
    <s v="ENX2066"/>
    <s v="A140"/>
    <s v="EMP1004"/>
    <s v="C1059"/>
    <x v="621"/>
    <n v="3"/>
    <n v="2091"/>
    <n v="1485"/>
    <n v="4455"/>
    <n v="6273"/>
    <n v="1818"/>
    <s v="Product 67"/>
    <x v="18"/>
    <s v="Kenneth Bradley"/>
    <x v="297"/>
    <n v="6"/>
    <x v="5"/>
    <x v="4"/>
    <x v="4"/>
    <x v="1"/>
    <x v="0"/>
  </r>
  <r>
    <s v="AX21089"/>
    <s v="ENX2054"/>
    <s v="A128"/>
    <s v="EMP1020"/>
    <s v="C1605"/>
    <x v="620"/>
    <n v="1"/>
    <n v="127"/>
    <n v="79"/>
    <n v="79"/>
    <n v="127"/>
    <n v="48"/>
    <s v="Product 55"/>
    <x v="12"/>
    <s v="Ryan Butler"/>
    <x v="676"/>
    <n v="6"/>
    <x v="5"/>
    <x v="4"/>
    <x v="4"/>
    <x v="1"/>
    <x v="0"/>
  </r>
  <r>
    <s v="AX21949"/>
    <s v="ENX2008"/>
    <s v="A165"/>
    <s v="EMP1010"/>
    <s v="C1004"/>
    <x v="621"/>
    <n v="3"/>
    <n v="315"/>
    <n v="208"/>
    <n v="624"/>
    <n v="945"/>
    <n v="321"/>
    <s v="Product 9"/>
    <x v="55"/>
    <s v="Joshua Cook"/>
    <x v="708"/>
    <n v="6"/>
    <x v="5"/>
    <x v="4"/>
    <x v="4"/>
    <x v="1"/>
    <x v="0"/>
  </r>
  <r>
    <s v="AX22536"/>
    <s v="ENX2014"/>
    <s v="A152"/>
    <s v="EMP1005"/>
    <s v="C1513"/>
    <x v="623"/>
    <n v="3"/>
    <n v="1809"/>
    <n v="1067"/>
    <n v="3201"/>
    <n v="5427"/>
    <n v="2226"/>
    <s v="Product 15"/>
    <x v="26"/>
    <s v="Ryan Welch"/>
    <x v="414"/>
    <n v="6"/>
    <x v="5"/>
    <x v="4"/>
    <x v="4"/>
    <x v="1"/>
    <x v="0"/>
  </r>
  <r>
    <s v="AX22796"/>
    <s v="ENX2077"/>
    <s v="A135"/>
    <s v="EMP1044"/>
    <s v="C1490"/>
    <x v="621"/>
    <n v="4"/>
    <n v="530"/>
    <n v="424"/>
    <n v="1696"/>
    <n v="2120"/>
    <n v="424"/>
    <s v="Product 78"/>
    <x v="10"/>
    <s v="Martin Carr"/>
    <x v="61"/>
    <n v="6"/>
    <x v="5"/>
    <x v="4"/>
    <x v="4"/>
    <x v="1"/>
    <x v="0"/>
  </r>
  <r>
    <s v="AX23266"/>
    <s v="ENX2035"/>
    <s v="A165"/>
    <s v="EMP1036"/>
    <s v="C1610"/>
    <x v="622"/>
    <n v="1"/>
    <n v="458"/>
    <n v="376"/>
    <n v="376"/>
    <n v="458"/>
    <n v="82"/>
    <s v="Product 36"/>
    <x v="55"/>
    <s v="Robert Reed"/>
    <x v="362"/>
    <n v="6"/>
    <x v="5"/>
    <x v="4"/>
    <x v="4"/>
    <x v="1"/>
    <x v="0"/>
  </r>
  <r>
    <s v="AX23321"/>
    <s v="ENX2088"/>
    <s v="A146"/>
    <s v="EMP1038"/>
    <s v="C1668"/>
    <x v="623"/>
    <n v="1"/>
    <n v="603"/>
    <n v="416"/>
    <n v="416"/>
    <n v="603"/>
    <n v="187"/>
    <s v="Product 89"/>
    <x v="27"/>
    <s v="Scott Mason"/>
    <x v="727"/>
    <n v="6"/>
    <x v="5"/>
    <x v="4"/>
    <x v="4"/>
    <x v="1"/>
    <x v="0"/>
  </r>
  <r>
    <s v="AX23501"/>
    <s v="ENX2072"/>
    <s v="A140"/>
    <s v="EMP1043"/>
    <s v="C1320"/>
    <x v="620"/>
    <n v="1"/>
    <n v="1887"/>
    <n v="1378"/>
    <n v="1378"/>
    <n v="1887"/>
    <n v="509"/>
    <s v="Product 73"/>
    <x v="18"/>
    <s v="Joshua Taylor"/>
    <x v="480"/>
    <n v="6"/>
    <x v="5"/>
    <x v="4"/>
    <x v="4"/>
    <x v="1"/>
    <x v="0"/>
  </r>
  <r>
    <s v="AX23663"/>
    <s v="ENX2010"/>
    <s v="A162"/>
    <s v="EMP1037"/>
    <s v="C1548"/>
    <x v="620"/>
    <n v="2"/>
    <n v="1812"/>
    <n v="1305"/>
    <n v="2610"/>
    <n v="3624"/>
    <n v="1014"/>
    <s v="Product 11"/>
    <x v="2"/>
    <s v="Carl Hall"/>
    <x v="241"/>
    <n v="6"/>
    <x v="5"/>
    <x v="4"/>
    <x v="4"/>
    <x v="1"/>
    <x v="0"/>
  </r>
  <r>
    <s v="AX23986"/>
    <s v="ENX2030"/>
    <s v="A144"/>
    <s v="EMP1025"/>
    <s v="C1192"/>
    <x v="624"/>
    <n v="2"/>
    <n v="1899"/>
    <n v="1044"/>
    <n v="2088"/>
    <n v="3798"/>
    <n v="1710"/>
    <s v="Product 31"/>
    <x v="65"/>
    <s v="Ernest Wagner"/>
    <x v="746"/>
    <n v="6"/>
    <x v="5"/>
    <x v="4"/>
    <x v="4"/>
    <x v="1"/>
    <x v="0"/>
  </r>
  <r>
    <s v="AX24656"/>
    <s v="ENX2078"/>
    <s v="A171"/>
    <s v="EMP1005"/>
    <s v="C1300"/>
    <x v="620"/>
    <n v="2"/>
    <n v="1798"/>
    <n v="971"/>
    <n v="1942"/>
    <n v="3596"/>
    <n v="1654"/>
    <s v="Product 79"/>
    <x v="0"/>
    <s v="Ryan Welch"/>
    <x v="201"/>
    <n v="6"/>
    <x v="5"/>
    <x v="4"/>
    <x v="4"/>
    <x v="1"/>
    <x v="0"/>
  </r>
  <r>
    <s v="AX24916"/>
    <s v="ENX2066"/>
    <s v="A152"/>
    <s v="EMP1037"/>
    <s v="C1780"/>
    <x v="620"/>
    <n v="2"/>
    <n v="2091"/>
    <n v="1485"/>
    <n v="2970"/>
    <n v="4182"/>
    <n v="1212"/>
    <s v="Product 67"/>
    <x v="26"/>
    <s v="Carl Hall"/>
    <x v="320"/>
    <n v="6"/>
    <x v="5"/>
    <x v="4"/>
    <x v="4"/>
    <x v="1"/>
    <x v="0"/>
  </r>
  <r>
    <s v="AX10520"/>
    <s v="ENX2015"/>
    <s v="A166"/>
    <s v="EMP1033"/>
    <s v="C1170"/>
    <x v="625"/>
    <n v="1"/>
    <n v="637"/>
    <n v="389"/>
    <n v="389"/>
    <n v="637"/>
    <n v="248"/>
    <s v="Product 16"/>
    <x v="70"/>
    <s v="Jerry Perry"/>
    <x v="616"/>
    <n v="6"/>
    <x v="5"/>
    <x v="4"/>
    <x v="4"/>
    <x v="1"/>
    <x v="2"/>
  </r>
  <r>
    <s v="AX10580"/>
    <s v="ENX2080"/>
    <s v="A115"/>
    <s v="EMP1029"/>
    <s v="C1660"/>
    <x v="625"/>
    <n v="4"/>
    <n v="2353"/>
    <n v="1788"/>
    <n v="7152"/>
    <n v="9412"/>
    <n v="2260"/>
    <s v="Product 81"/>
    <x v="33"/>
    <s v="Howard Gardner"/>
    <x v="146"/>
    <n v="6"/>
    <x v="5"/>
    <x v="4"/>
    <x v="4"/>
    <x v="1"/>
    <x v="2"/>
  </r>
  <r>
    <s v="AX10977"/>
    <s v="ENX2027"/>
    <s v="A144"/>
    <s v="EMP1030"/>
    <s v="C1125"/>
    <x v="626"/>
    <n v="4"/>
    <n v="2497"/>
    <n v="1473"/>
    <n v="5892"/>
    <n v="9988"/>
    <n v="4096"/>
    <s v="Product 28"/>
    <x v="65"/>
    <s v="Bobby Russell"/>
    <x v="539"/>
    <n v="6"/>
    <x v="5"/>
    <x v="4"/>
    <x v="4"/>
    <x v="1"/>
    <x v="2"/>
  </r>
  <r>
    <s v="AX11079"/>
    <s v="ENX2041"/>
    <s v="A117"/>
    <s v="EMP1031"/>
    <s v="C1409"/>
    <x v="626"/>
    <n v="1"/>
    <n v="1380"/>
    <n v="1090"/>
    <n v="1090"/>
    <n v="1380"/>
    <n v="290"/>
    <s v="Product 42"/>
    <x v="29"/>
    <s v="Brian Thomas"/>
    <x v="44"/>
    <n v="6"/>
    <x v="5"/>
    <x v="4"/>
    <x v="4"/>
    <x v="1"/>
    <x v="2"/>
  </r>
  <r>
    <s v="AX11494"/>
    <s v="ENX2028"/>
    <s v="A160"/>
    <s v="EMP1044"/>
    <s v="C1243"/>
    <x v="626"/>
    <n v="1"/>
    <n v="2283"/>
    <n v="1484"/>
    <n v="1484"/>
    <n v="2283"/>
    <n v="799"/>
    <s v="Product 29"/>
    <x v="9"/>
    <s v="Martin Carr"/>
    <x v="129"/>
    <n v="6"/>
    <x v="5"/>
    <x v="4"/>
    <x v="4"/>
    <x v="1"/>
    <x v="2"/>
  </r>
  <r>
    <s v="AX11651"/>
    <s v="ENX2047"/>
    <s v="A136"/>
    <s v="EMP1041"/>
    <s v="C1097"/>
    <x v="625"/>
    <n v="4"/>
    <n v="290"/>
    <n v="200"/>
    <n v="800"/>
    <n v="1160"/>
    <n v="360"/>
    <s v="Product 48"/>
    <x v="43"/>
    <s v="Joe Sims"/>
    <x v="662"/>
    <n v="6"/>
    <x v="5"/>
    <x v="4"/>
    <x v="4"/>
    <x v="1"/>
    <x v="2"/>
  </r>
  <r>
    <s v="AX12234"/>
    <s v="ENX2006"/>
    <s v="A113"/>
    <s v="EMP1038"/>
    <s v="C1610"/>
    <x v="626"/>
    <n v="1"/>
    <n v="1826"/>
    <n v="1443"/>
    <n v="1443"/>
    <n v="1826"/>
    <n v="383"/>
    <s v="Product 7"/>
    <x v="73"/>
    <s v="Scott Mason"/>
    <x v="362"/>
    <n v="6"/>
    <x v="5"/>
    <x v="4"/>
    <x v="4"/>
    <x v="1"/>
    <x v="2"/>
  </r>
  <r>
    <s v="AX13014"/>
    <s v="ENX2094"/>
    <s v="A134"/>
    <s v="EMP1022"/>
    <s v="C1629"/>
    <x v="625"/>
    <n v="1"/>
    <n v="771"/>
    <n v="648"/>
    <n v="648"/>
    <n v="771"/>
    <n v="123"/>
    <s v="Product 95"/>
    <x v="41"/>
    <s v="Walter Cook"/>
    <x v="734"/>
    <n v="6"/>
    <x v="5"/>
    <x v="4"/>
    <x v="4"/>
    <x v="1"/>
    <x v="2"/>
  </r>
  <r>
    <s v="AX13138"/>
    <s v="ENX2100"/>
    <s v="A106"/>
    <s v="EMP1017"/>
    <s v="C1039"/>
    <x v="627"/>
    <n v="1"/>
    <n v="799"/>
    <n v="455"/>
    <n v="455"/>
    <n v="799"/>
    <n v="344"/>
    <s v="Product 101"/>
    <x v="11"/>
    <s v="Brian Hansen"/>
    <x v="574"/>
    <n v="6"/>
    <x v="5"/>
    <x v="4"/>
    <x v="4"/>
    <x v="1"/>
    <x v="2"/>
  </r>
  <r>
    <s v="AX13250"/>
    <s v="ENX2039"/>
    <s v="A169"/>
    <s v="EMP1007"/>
    <s v="C1722"/>
    <x v="627"/>
    <n v="1"/>
    <n v="817"/>
    <n v="409"/>
    <n v="409"/>
    <n v="817"/>
    <n v="408"/>
    <s v="Product 40"/>
    <x v="17"/>
    <s v="Jeremy Mendoza"/>
    <x v="257"/>
    <n v="6"/>
    <x v="5"/>
    <x v="4"/>
    <x v="4"/>
    <x v="1"/>
    <x v="2"/>
  </r>
  <r>
    <s v="AX13318"/>
    <s v="ENX2002"/>
    <s v="A144"/>
    <s v="EMP1018"/>
    <s v="C1347"/>
    <x v="627"/>
    <n v="1"/>
    <n v="847"/>
    <n v="534"/>
    <n v="534"/>
    <n v="847"/>
    <n v="313"/>
    <s v="Product 3"/>
    <x v="65"/>
    <s v="Jimmy Young"/>
    <x v="686"/>
    <n v="6"/>
    <x v="5"/>
    <x v="4"/>
    <x v="4"/>
    <x v="1"/>
    <x v="2"/>
  </r>
  <r>
    <s v="AX13424"/>
    <s v="ENX2036"/>
    <s v="A126"/>
    <s v="EMP1023"/>
    <s v="C1799"/>
    <x v="627"/>
    <n v="1"/>
    <n v="1582"/>
    <n v="1234"/>
    <n v="1234"/>
    <n v="1582"/>
    <n v="348"/>
    <s v="Product 37"/>
    <x v="5"/>
    <s v="Brian Davis"/>
    <x v="390"/>
    <n v="6"/>
    <x v="5"/>
    <x v="4"/>
    <x v="4"/>
    <x v="1"/>
    <x v="2"/>
  </r>
  <r>
    <s v="AX13618"/>
    <s v="ENX2039"/>
    <s v="A139"/>
    <s v="EMP1016"/>
    <s v="C1065"/>
    <x v="628"/>
    <n v="1"/>
    <n v="817"/>
    <n v="409"/>
    <n v="409"/>
    <n v="817"/>
    <n v="408"/>
    <s v="Product 40"/>
    <x v="38"/>
    <s v="Henry Nelson"/>
    <x v="637"/>
    <n v="6"/>
    <x v="5"/>
    <x v="4"/>
    <x v="4"/>
    <x v="1"/>
    <x v="2"/>
  </r>
  <r>
    <s v="AX13672"/>
    <s v="ENX2014"/>
    <s v="A131"/>
    <s v="EMP1027"/>
    <s v="C1643"/>
    <x v="628"/>
    <n v="1"/>
    <n v="1809"/>
    <n v="1067"/>
    <n v="1067"/>
    <n v="1809"/>
    <n v="742"/>
    <s v="Product 15"/>
    <x v="32"/>
    <s v="Gary Rodriguez"/>
    <x v="142"/>
    <n v="6"/>
    <x v="5"/>
    <x v="4"/>
    <x v="4"/>
    <x v="1"/>
    <x v="2"/>
  </r>
  <r>
    <s v="AX13711"/>
    <s v="ENX2082"/>
    <s v="A136"/>
    <s v="EMP1024"/>
    <s v="C1683"/>
    <x v="626"/>
    <n v="3"/>
    <n v="1103"/>
    <n v="838"/>
    <n v="2514"/>
    <n v="3309"/>
    <n v="795"/>
    <s v="Product 83"/>
    <x v="43"/>
    <s v="Ernest Wheeler"/>
    <x v="379"/>
    <n v="6"/>
    <x v="5"/>
    <x v="4"/>
    <x v="4"/>
    <x v="1"/>
    <x v="2"/>
  </r>
  <r>
    <s v="AX14447"/>
    <s v="ENX2043"/>
    <s v="A171"/>
    <s v="EMP1023"/>
    <s v="C1473"/>
    <x v="627"/>
    <n v="1"/>
    <n v="545"/>
    <n v="425"/>
    <n v="425"/>
    <n v="545"/>
    <n v="120"/>
    <s v="Product 44"/>
    <x v="0"/>
    <s v="Brian Davis"/>
    <x v="100"/>
    <n v="6"/>
    <x v="5"/>
    <x v="4"/>
    <x v="4"/>
    <x v="1"/>
    <x v="2"/>
  </r>
  <r>
    <s v="AX15099"/>
    <s v="ENX2046"/>
    <s v="A150"/>
    <s v="EMP1027"/>
    <s v="C1179"/>
    <x v="626"/>
    <n v="1"/>
    <n v="2410"/>
    <n v="1518"/>
    <n v="1518"/>
    <n v="2410"/>
    <n v="892"/>
    <s v="Product 47"/>
    <x v="30"/>
    <s v="Gary Rodriguez"/>
    <x v="788"/>
    <n v="6"/>
    <x v="5"/>
    <x v="4"/>
    <x v="4"/>
    <x v="1"/>
    <x v="2"/>
  </r>
  <r>
    <s v="AX15269"/>
    <s v="ENX2074"/>
    <s v="A164"/>
    <s v="EMP1004"/>
    <s v="C1536"/>
    <x v="626"/>
    <n v="4"/>
    <n v="504"/>
    <n v="408"/>
    <n v="1632"/>
    <n v="2016"/>
    <n v="384"/>
    <s v="Product 75"/>
    <x v="3"/>
    <s v="Kenneth Bradley"/>
    <x v="74"/>
    <n v="6"/>
    <x v="5"/>
    <x v="4"/>
    <x v="4"/>
    <x v="1"/>
    <x v="2"/>
  </r>
  <r>
    <s v="AX16386"/>
    <s v="ENX2060"/>
    <s v="A121"/>
    <s v="EMP1024"/>
    <s v="C1370"/>
    <x v="626"/>
    <n v="4"/>
    <n v="1467"/>
    <n v="807"/>
    <n v="3228"/>
    <n v="5868"/>
    <n v="2640"/>
    <s v="Product 61"/>
    <x v="72"/>
    <s v="Ernest Wheeler"/>
    <x v="341"/>
    <n v="6"/>
    <x v="5"/>
    <x v="4"/>
    <x v="4"/>
    <x v="1"/>
    <x v="2"/>
  </r>
  <r>
    <s v="AX16492"/>
    <s v="ENX2080"/>
    <s v="A136"/>
    <s v="EMP1030"/>
    <s v="C1483"/>
    <x v="625"/>
    <n v="1"/>
    <n v="2353"/>
    <n v="1788"/>
    <n v="1788"/>
    <n v="2353"/>
    <n v="565"/>
    <s v="Product 81"/>
    <x v="43"/>
    <s v="Bobby Russell"/>
    <x v="255"/>
    <n v="6"/>
    <x v="5"/>
    <x v="4"/>
    <x v="4"/>
    <x v="1"/>
    <x v="2"/>
  </r>
  <r>
    <s v="AX16724"/>
    <s v="ENX2074"/>
    <s v="A161"/>
    <s v="EMP1020"/>
    <s v="C1483"/>
    <x v="626"/>
    <n v="1"/>
    <n v="504"/>
    <n v="408"/>
    <n v="408"/>
    <n v="504"/>
    <n v="96"/>
    <s v="Product 75"/>
    <x v="6"/>
    <s v="Ryan Butler"/>
    <x v="255"/>
    <n v="6"/>
    <x v="5"/>
    <x v="4"/>
    <x v="4"/>
    <x v="1"/>
    <x v="2"/>
  </r>
  <r>
    <s v="AX16816"/>
    <s v="ENX2039"/>
    <s v="A155"/>
    <s v="EMP1030"/>
    <s v="C1478"/>
    <x v="627"/>
    <n v="4"/>
    <n v="817"/>
    <n v="409"/>
    <n v="1636"/>
    <n v="3268"/>
    <n v="1632"/>
    <s v="Product 40"/>
    <x v="53"/>
    <s v="Bobby Russell"/>
    <x v="483"/>
    <n v="6"/>
    <x v="5"/>
    <x v="4"/>
    <x v="4"/>
    <x v="1"/>
    <x v="2"/>
  </r>
  <r>
    <s v="AX16859"/>
    <s v="ENX2061"/>
    <s v="A132"/>
    <s v="EMP1018"/>
    <s v="C1002"/>
    <x v="625"/>
    <n v="4"/>
    <n v="913"/>
    <n v="584"/>
    <n v="2336"/>
    <n v="3652"/>
    <n v="1316"/>
    <s v="Product 62"/>
    <x v="48"/>
    <s v="Jimmy Young"/>
    <x v="49"/>
    <n v="6"/>
    <x v="5"/>
    <x v="4"/>
    <x v="4"/>
    <x v="1"/>
    <x v="2"/>
  </r>
  <r>
    <s v="AX16924"/>
    <s v="ENX2011"/>
    <s v="A108"/>
    <s v="EMP1008"/>
    <s v="C1185"/>
    <x v="628"/>
    <n v="1"/>
    <n v="530"/>
    <n v="435"/>
    <n v="435"/>
    <n v="530"/>
    <n v="95"/>
    <s v="Product 12"/>
    <x v="49"/>
    <s v="Carl Elliott"/>
    <x v="215"/>
    <n v="6"/>
    <x v="5"/>
    <x v="4"/>
    <x v="4"/>
    <x v="1"/>
    <x v="2"/>
  </r>
  <r>
    <s v="AX17117"/>
    <s v="ENX2095"/>
    <s v="A134"/>
    <s v="EMP1004"/>
    <s v="C1245"/>
    <x v="627"/>
    <n v="4"/>
    <n v="1743"/>
    <n v="872"/>
    <n v="3488"/>
    <n v="6972"/>
    <n v="3484"/>
    <s v="Product 96"/>
    <x v="41"/>
    <s v="Kenneth Bradley"/>
    <x v="165"/>
    <n v="6"/>
    <x v="5"/>
    <x v="4"/>
    <x v="4"/>
    <x v="1"/>
    <x v="2"/>
  </r>
  <r>
    <s v="AX17387"/>
    <s v="ENX2015"/>
    <s v="A102"/>
    <s v="EMP1033"/>
    <s v="C1483"/>
    <x v="625"/>
    <n v="3"/>
    <n v="637"/>
    <n v="389"/>
    <n v="1167"/>
    <n v="1911"/>
    <n v="744"/>
    <s v="Product 16"/>
    <x v="44"/>
    <s v="Jerry Perry"/>
    <x v="255"/>
    <n v="6"/>
    <x v="5"/>
    <x v="4"/>
    <x v="4"/>
    <x v="1"/>
    <x v="2"/>
  </r>
  <r>
    <s v="AX17628"/>
    <s v="ENX2035"/>
    <s v="A114"/>
    <s v="EMP1013"/>
    <s v="C1591"/>
    <x v="627"/>
    <n v="3"/>
    <n v="458"/>
    <n v="376"/>
    <n v="1128"/>
    <n v="1374"/>
    <n v="246"/>
    <s v="Product 36"/>
    <x v="28"/>
    <s v="Charles Harper"/>
    <x v="289"/>
    <n v="6"/>
    <x v="5"/>
    <x v="4"/>
    <x v="4"/>
    <x v="1"/>
    <x v="2"/>
  </r>
  <r>
    <s v="AX17806"/>
    <s v="ENX2040"/>
    <s v="A160"/>
    <s v="EMP1024"/>
    <s v="C1612"/>
    <x v="627"/>
    <n v="1"/>
    <n v="1889"/>
    <n v="945"/>
    <n v="945"/>
    <n v="1889"/>
    <n v="944"/>
    <s v="Product 41"/>
    <x v="9"/>
    <s v="Ernest Wheeler"/>
    <x v="46"/>
    <n v="6"/>
    <x v="5"/>
    <x v="4"/>
    <x v="4"/>
    <x v="1"/>
    <x v="2"/>
  </r>
  <r>
    <s v="AX17988"/>
    <s v="ENX2055"/>
    <s v="A116"/>
    <s v="EMP1003"/>
    <s v="C1156"/>
    <x v="627"/>
    <n v="3"/>
    <n v="2495"/>
    <n v="1896"/>
    <n v="5688"/>
    <n v="7485"/>
    <n v="1797"/>
    <s v="Product 56"/>
    <x v="15"/>
    <s v="Christopher Tucker"/>
    <x v="740"/>
    <n v="6"/>
    <x v="5"/>
    <x v="4"/>
    <x v="4"/>
    <x v="1"/>
    <x v="2"/>
  </r>
  <r>
    <s v="AX18083"/>
    <s v="ENX2076"/>
    <s v="A129"/>
    <s v="EMP1006"/>
    <s v="C1729"/>
    <x v="625"/>
    <n v="1"/>
    <n v="1522"/>
    <n v="791"/>
    <n v="791"/>
    <n v="1522"/>
    <n v="731"/>
    <s v="Product 77"/>
    <x v="22"/>
    <s v="Sean Miller"/>
    <x v="268"/>
    <n v="6"/>
    <x v="5"/>
    <x v="4"/>
    <x v="4"/>
    <x v="1"/>
    <x v="2"/>
  </r>
  <r>
    <s v="AX18084"/>
    <s v="ENX2072"/>
    <s v="A103"/>
    <s v="EMP1044"/>
    <s v="C1455"/>
    <x v="628"/>
    <n v="1"/>
    <n v="1887"/>
    <n v="1378"/>
    <n v="1378"/>
    <n v="1887"/>
    <n v="509"/>
    <s v="Product 73"/>
    <x v="61"/>
    <s v="Martin Carr"/>
    <x v="47"/>
    <n v="6"/>
    <x v="5"/>
    <x v="4"/>
    <x v="4"/>
    <x v="1"/>
    <x v="2"/>
  </r>
  <r>
    <s v="AX18111"/>
    <s v="ENX2098"/>
    <s v="A125"/>
    <s v="EMP1019"/>
    <s v="C1719"/>
    <x v="625"/>
    <n v="2"/>
    <n v="1178"/>
    <n v="683"/>
    <n v="1366"/>
    <n v="2356"/>
    <n v="990"/>
    <s v="Product 99"/>
    <x v="31"/>
    <s v="Roger Robertson"/>
    <x v="666"/>
    <n v="6"/>
    <x v="5"/>
    <x v="4"/>
    <x v="4"/>
    <x v="1"/>
    <x v="2"/>
  </r>
  <r>
    <s v="AX18264"/>
    <s v="ENX2066"/>
    <s v="A143"/>
    <s v="EMP1036"/>
    <s v="C1080"/>
    <x v="626"/>
    <n v="4"/>
    <n v="2091"/>
    <n v="1485"/>
    <n v="5940"/>
    <n v="8364"/>
    <n v="2424"/>
    <s v="Product 67"/>
    <x v="39"/>
    <s v="Robert Reed"/>
    <x v="720"/>
    <n v="6"/>
    <x v="5"/>
    <x v="4"/>
    <x v="4"/>
    <x v="1"/>
    <x v="2"/>
  </r>
  <r>
    <s v="AX18698"/>
    <s v="ENX2060"/>
    <s v="A131"/>
    <s v="EMP1020"/>
    <s v="C1596"/>
    <x v="628"/>
    <n v="1"/>
    <n v="1467"/>
    <n v="807"/>
    <n v="807"/>
    <n v="1467"/>
    <n v="660"/>
    <s v="Product 61"/>
    <x v="32"/>
    <s v="Ryan Butler"/>
    <x v="217"/>
    <n v="6"/>
    <x v="5"/>
    <x v="4"/>
    <x v="4"/>
    <x v="1"/>
    <x v="2"/>
  </r>
  <r>
    <s v="AX18869"/>
    <s v="ENX2021"/>
    <s v="A120"/>
    <s v="EMP1041"/>
    <s v="C1483"/>
    <x v="626"/>
    <n v="3"/>
    <n v="217"/>
    <n v="171"/>
    <n v="513"/>
    <n v="651"/>
    <n v="138"/>
    <s v="Product 22"/>
    <x v="20"/>
    <s v="Joe Sims"/>
    <x v="255"/>
    <n v="6"/>
    <x v="5"/>
    <x v="4"/>
    <x v="4"/>
    <x v="1"/>
    <x v="2"/>
  </r>
  <r>
    <s v="AX19185"/>
    <s v="ENX2039"/>
    <s v="A119"/>
    <s v="EMP1009"/>
    <s v="C1672"/>
    <x v="627"/>
    <n v="4"/>
    <n v="817"/>
    <n v="409"/>
    <n v="1636"/>
    <n v="3268"/>
    <n v="1632"/>
    <s v="Product 40"/>
    <x v="16"/>
    <s v="Kenneth Fields"/>
    <x v="547"/>
    <n v="6"/>
    <x v="5"/>
    <x v="4"/>
    <x v="4"/>
    <x v="1"/>
    <x v="2"/>
  </r>
  <r>
    <s v="AX19322"/>
    <s v="ENX2054"/>
    <s v="A130"/>
    <s v="EMP1037"/>
    <s v="C1324"/>
    <x v="628"/>
    <n v="1"/>
    <n v="127"/>
    <n v="79"/>
    <n v="79"/>
    <n v="127"/>
    <n v="48"/>
    <s v="Product 55"/>
    <x v="4"/>
    <s v="Carl Hall"/>
    <x v="252"/>
    <n v="6"/>
    <x v="5"/>
    <x v="4"/>
    <x v="4"/>
    <x v="1"/>
    <x v="2"/>
  </r>
  <r>
    <s v="AX19619"/>
    <s v="ENX2021"/>
    <s v="A153"/>
    <s v="EMP1025"/>
    <s v="C1721"/>
    <x v="626"/>
    <n v="2"/>
    <n v="217"/>
    <n v="171"/>
    <n v="342"/>
    <n v="434"/>
    <n v="92"/>
    <s v="Product 22"/>
    <x v="8"/>
    <s v="Ernest Wagner"/>
    <x v="678"/>
    <n v="6"/>
    <x v="5"/>
    <x v="4"/>
    <x v="4"/>
    <x v="1"/>
    <x v="2"/>
  </r>
  <r>
    <s v="AX19909"/>
    <s v="ENX2041"/>
    <s v="A173"/>
    <s v="EMP1020"/>
    <s v="C1507"/>
    <x v="626"/>
    <n v="1"/>
    <n v="1380"/>
    <n v="1090"/>
    <n v="1090"/>
    <n v="1380"/>
    <n v="290"/>
    <s v="Product 42"/>
    <x v="25"/>
    <s v="Ryan Butler"/>
    <x v="227"/>
    <n v="6"/>
    <x v="5"/>
    <x v="4"/>
    <x v="4"/>
    <x v="1"/>
    <x v="2"/>
  </r>
  <r>
    <s v="AX20436"/>
    <s v="ENX2003"/>
    <s v="A161"/>
    <s v="EMP1022"/>
    <s v="C1363"/>
    <x v="626"/>
    <n v="3"/>
    <n v="1783"/>
    <n v="1516"/>
    <n v="4548"/>
    <n v="5349"/>
    <n v="801"/>
    <s v="Product 4"/>
    <x v="6"/>
    <s v="Walter Cook"/>
    <x v="505"/>
    <n v="6"/>
    <x v="5"/>
    <x v="4"/>
    <x v="4"/>
    <x v="1"/>
    <x v="2"/>
  </r>
  <r>
    <s v="AX20540"/>
    <s v="ENX2081"/>
    <s v="A122"/>
    <s v="EMP1012"/>
    <s v="C1112"/>
    <x v="628"/>
    <n v="1"/>
    <n v="1566"/>
    <n v="1190"/>
    <n v="1190"/>
    <n v="1566"/>
    <n v="376"/>
    <s v="Product 82"/>
    <x v="71"/>
    <s v="John Reyes"/>
    <x v="590"/>
    <n v="6"/>
    <x v="5"/>
    <x v="4"/>
    <x v="4"/>
    <x v="1"/>
    <x v="2"/>
  </r>
  <r>
    <s v="AX20626"/>
    <s v="ENX2011"/>
    <s v="A138"/>
    <s v="EMP1044"/>
    <s v="C1396"/>
    <x v="625"/>
    <n v="4"/>
    <n v="530"/>
    <n v="435"/>
    <n v="1740"/>
    <n v="2120"/>
    <n v="380"/>
    <s v="Product 12"/>
    <x v="37"/>
    <s v="Martin Carr"/>
    <x v="624"/>
    <n v="6"/>
    <x v="5"/>
    <x v="4"/>
    <x v="4"/>
    <x v="1"/>
    <x v="2"/>
  </r>
  <r>
    <s v="AX20906"/>
    <s v="ENX2030"/>
    <s v="A129"/>
    <s v="EMP1035"/>
    <s v="C1242"/>
    <x v="628"/>
    <n v="3"/>
    <n v="1899"/>
    <n v="1044"/>
    <n v="3132"/>
    <n v="5697"/>
    <n v="2565"/>
    <s v="Product 31"/>
    <x v="22"/>
    <s v="Roger Ramos"/>
    <x v="781"/>
    <n v="6"/>
    <x v="5"/>
    <x v="4"/>
    <x v="4"/>
    <x v="1"/>
    <x v="2"/>
  </r>
  <r>
    <s v="AX21285"/>
    <s v="ENX2042"/>
    <s v="A104"/>
    <s v="EMP1038"/>
    <s v="C1794"/>
    <x v="628"/>
    <n v="1"/>
    <n v="203"/>
    <n v="154"/>
    <n v="154"/>
    <n v="203"/>
    <n v="49"/>
    <s v="Product 43"/>
    <x v="50"/>
    <s v="Scott Mason"/>
    <x v="411"/>
    <n v="6"/>
    <x v="5"/>
    <x v="4"/>
    <x v="4"/>
    <x v="1"/>
    <x v="2"/>
  </r>
  <r>
    <s v="AX21552"/>
    <s v="ENX2050"/>
    <s v="A108"/>
    <s v="EMP1038"/>
    <s v="C1312"/>
    <x v="625"/>
    <n v="4"/>
    <n v="2391"/>
    <n v="1291"/>
    <n v="5164"/>
    <n v="9564"/>
    <n v="4400"/>
    <s v="Product 51"/>
    <x v="49"/>
    <s v="Scott Mason"/>
    <x v="609"/>
    <n v="6"/>
    <x v="5"/>
    <x v="4"/>
    <x v="4"/>
    <x v="1"/>
    <x v="2"/>
  </r>
  <r>
    <s v="AX21585"/>
    <s v="ENX2004"/>
    <s v="A161"/>
    <s v="EMP1000"/>
    <s v="C1382"/>
    <x v="628"/>
    <n v="1"/>
    <n v="1278"/>
    <n v="665"/>
    <n v="665"/>
    <n v="1278"/>
    <n v="613"/>
    <s v="Product 5"/>
    <x v="6"/>
    <s v="Fred Robertson"/>
    <x v="334"/>
    <n v="6"/>
    <x v="5"/>
    <x v="4"/>
    <x v="4"/>
    <x v="1"/>
    <x v="2"/>
  </r>
  <r>
    <s v="AX22131"/>
    <s v="ENX2049"/>
    <s v="A116"/>
    <s v="EMP1032"/>
    <s v="C1338"/>
    <x v="626"/>
    <n v="1"/>
    <n v="826"/>
    <n v="562"/>
    <n v="562"/>
    <n v="826"/>
    <n v="264"/>
    <s v="Product 50"/>
    <x v="15"/>
    <s v="Larry Castillo"/>
    <x v="542"/>
    <n v="6"/>
    <x v="5"/>
    <x v="4"/>
    <x v="4"/>
    <x v="1"/>
    <x v="2"/>
  </r>
  <r>
    <s v="AX22465"/>
    <s v="ENX2041"/>
    <s v="A150"/>
    <s v="EMP1001"/>
    <s v="C1348"/>
    <x v="626"/>
    <n v="3"/>
    <n v="1380"/>
    <n v="1090"/>
    <n v="3270"/>
    <n v="4140"/>
    <n v="870"/>
    <s v="Product 42"/>
    <x v="30"/>
    <s v="Kevin Butler"/>
    <x v="236"/>
    <n v="6"/>
    <x v="5"/>
    <x v="4"/>
    <x v="4"/>
    <x v="1"/>
    <x v="2"/>
  </r>
  <r>
    <s v="AX23005"/>
    <s v="ENX2026"/>
    <s v="A173"/>
    <s v="EMP1005"/>
    <s v="C1107"/>
    <x v="626"/>
    <n v="4"/>
    <n v="947"/>
    <n v="786"/>
    <n v="3144"/>
    <n v="3788"/>
    <n v="644"/>
    <s v="Product 27"/>
    <x v="25"/>
    <s v="Ryan Welch"/>
    <x v="278"/>
    <n v="6"/>
    <x v="5"/>
    <x v="4"/>
    <x v="4"/>
    <x v="1"/>
    <x v="2"/>
  </r>
  <r>
    <s v="AX23169"/>
    <s v="ENX2024"/>
    <s v="A114"/>
    <s v="EMP1043"/>
    <s v="C1076"/>
    <x v="628"/>
    <n v="1"/>
    <n v="356"/>
    <n v="292"/>
    <n v="292"/>
    <n v="356"/>
    <n v="64"/>
    <s v="Product 25"/>
    <x v="28"/>
    <s v="Joshua Taylor"/>
    <x v="772"/>
    <n v="6"/>
    <x v="5"/>
    <x v="4"/>
    <x v="4"/>
    <x v="1"/>
    <x v="2"/>
  </r>
  <r>
    <s v="AX23196"/>
    <s v="ENX2098"/>
    <s v="A151"/>
    <s v="EMP1044"/>
    <s v="C1736"/>
    <x v="625"/>
    <n v="1"/>
    <n v="1178"/>
    <n v="683"/>
    <n v="683"/>
    <n v="1178"/>
    <n v="495"/>
    <s v="Product 99"/>
    <x v="1"/>
    <s v="Martin Carr"/>
    <x v="472"/>
    <n v="6"/>
    <x v="5"/>
    <x v="4"/>
    <x v="4"/>
    <x v="1"/>
    <x v="2"/>
  </r>
  <r>
    <s v="AX23239"/>
    <s v="ENX2017"/>
    <s v="A122"/>
    <s v="EMP1027"/>
    <s v="C1682"/>
    <x v="626"/>
    <n v="2"/>
    <n v="35"/>
    <n v="22"/>
    <n v="44"/>
    <n v="70"/>
    <n v="26"/>
    <s v="Product 18"/>
    <x v="71"/>
    <s v="Gary Rodriguez"/>
    <x v="313"/>
    <n v="6"/>
    <x v="5"/>
    <x v="4"/>
    <x v="4"/>
    <x v="1"/>
    <x v="2"/>
  </r>
  <r>
    <s v="AX23406"/>
    <s v="ENX2033"/>
    <s v="A156"/>
    <s v="EMP1000"/>
    <s v="C1169"/>
    <x v="625"/>
    <n v="2"/>
    <n v="2182"/>
    <n v="1200"/>
    <n v="2400"/>
    <n v="4364"/>
    <n v="1964"/>
    <s v="Product 34"/>
    <x v="14"/>
    <s v="Fred Robertson"/>
    <x v="293"/>
    <n v="6"/>
    <x v="5"/>
    <x v="4"/>
    <x v="4"/>
    <x v="1"/>
    <x v="2"/>
  </r>
  <r>
    <s v="AX23430"/>
    <s v="ENX2031"/>
    <s v="A165"/>
    <s v="EMP1043"/>
    <s v="C1790"/>
    <x v="627"/>
    <n v="2"/>
    <n v="1638"/>
    <n v="1261"/>
    <n v="2522"/>
    <n v="3276"/>
    <n v="754"/>
    <s v="Product 32"/>
    <x v="55"/>
    <s v="Joshua Taylor"/>
    <x v="428"/>
    <n v="6"/>
    <x v="5"/>
    <x v="4"/>
    <x v="4"/>
    <x v="1"/>
    <x v="2"/>
  </r>
  <r>
    <s v="AX24000"/>
    <s v="ENX2073"/>
    <s v="A158"/>
    <s v="EMP1028"/>
    <s v="C1510"/>
    <x v="628"/>
    <n v="4"/>
    <n v="95"/>
    <n v="61"/>
    <n v="244"/>
    <n v="380"/>
    <n v="136"/>
    <s v="Product 74"/>
    <x v="58"/>
    <s v="Howard Sims"/>
    <x v="113"/>
    <n v="6"/>
    <x v="5"/>
    <x v="4"/>
    <x v="4"/>
    <x v="1"/>
    <x v="2"/>
  </r>
  <r>
    <s v="AX24105"/>
    <s v="ENX2062"/>
    <s v="A103"/>
    <s v="EMP1010"/>
    <s v="C1200"/>
    <x v="628"/>
    <n v="3"/>
    <n v="2464"/>
    <n v="1774"/>
    <n v="5322"/>
    <n v="7392"/>
    <n v="2070"/>
    <s v="Product 63"/>
    <x v="61"/>
    <s v="Joshua Cook"/>
    <x v="778"/>
    <n v="6"/>
    <x v="5"/>
    <x v="4"/>
    <x v="4"/>
    <x v="1"/>
    <x v="2"/>
  </r>
  <r>
    <s v="AX24180"/>
    <s v="ENX2032"/>
    <s v="A167"/>
    <s v="EMP1027"/>
    <s v="C1294"/>
    <x v="628"/>
    <n v="3"/>
    <n v="1967"/>
    <n v="1397"/>
    <n v="4191"/>
    <n v="5901"/>
    <n v="1710"/>
    <s v="Product 33"/>
    <x v="64"/>
    <s v="Gary Rodriguez"/>
    <x v="419"/>
    <n v="6"/>
    <x v="5"/>
    <x v="4"/>
    <x v="4"/>
    <x v="1"/>
    <x v="2"/>
  </r>
  <r>
    <s v="AX24341"/>
    <s v="ENX2064"/>
    <s v="A164"/>
    <s v="EMP1020"/>
    <s v="C1585"/>
    <x v="628"/>
    <n v="1"/>
    <n v="1414"/>
    <n v="962"/>
    <n v="962"/>
    <n v="1414"/>
    <n v="452"/>
    <s v="Product 65"/>
    <x v="3"/>
    <s v="Ryan Butler"/>
    <x v="400"/>
    <n v="6"/>
    <x v="5"/>
    <x v="4"/>
    <x v="4"/>
    <x v="1"/>
    <x v="2"/>
  </r>
  <r>
    <s v="AX24617"/>
    <s v="ENX2010"/>
    <s v="A145"/>
    <s v="EMP1026"/>
    <s v="C1030"/>
    <x v="628"/>
    <n v="4"/>
    <n v="1812"/>
    <n v="1305"/>
    <n v="5220"/>
    <n v="7248"/>
    <n v="2028"/>
    <s v="Product 11"/>
    <x v="35"/>
    <s v="Martin Perry"/>
    <x v="106"/>
    <n v="6"/>
    <x v="5"/>
    <x v="4"/>
    <x v="4"/>
    <x v="1"/>
    <x v="2"/>
  </r>
  <r>
    <s v="AX24703"/>
    <s v="ENX2060"/>
    <s v="A109"/>
    <s v="EMP1019"/>
    <s v="C1439"/>
    <x v="625"/>
    <n v="4"/>
    <n v="1467"/>
    <n v="807"/>
    <n v="3228"/>
    <n v="5868"/>
    <n v="2640"/>
    <s v="Product 61"/>
    <x v="57"/>
    <s v="Roger Robertson"/>
    <x v="172"/>
    <n v="6"/>
    <x v="5"/>
    <x v="4"/>
    <x v="4"/>
    <x v="1"/>
    <x v="2"/>
  </r>
  <r>
    <s v="AX24758"/>
    <s v="ENX2076"/>
    <s v="A173"/>
    <s v="EMP1028"/>
    <s v="C1308"/>
    <x v="627"/>
    <n v="3"/>
    <n v="1522"/>
    <n v="791"/>
    <n v="2373"/>
    <n v="4566"/>
    <n v="2193"/>
    <s v="Product 77"/>
    <x v="25"/>
    <s v="Howard Sims"/>
    <x v="226"/>
    <n v="6"/>
    <x v="5"/>
    <x v="4"/>
    <x v="4"/>
    <x v="1"/>
    <x v="2"/>
  </r>
  <r>
    <s v="AX24804"/>
    <s v="ENX2088"/>
    <s v="A167"/>
    <s v="EMP1044"/>
    <s v="C1088"/>
    <x v="625"/>
    <n v="1"/>
    <n v="603"/>
    <n v="416"/>
    <n v="416"/>
    <n v="603"/>
    <n v="187"/>
    <s v="Product 89"/>
    <x v="64"/>
    <s v="Martin Carr"/>
    <x v="498"/>
    <n v="6"/>
    <x v="5"/>
    <x v="4"/>
    <x v="4"/>
    <x v="1"/>
    <x v="2"/>
  </r>
  <r>
    <s v="AX11051"/>
    <s v="ENX2005"/>
    <s v="A127"/>
    <s v="EMP1014"/>
    <s v="C1207"/>
    <x v="629"/>
    <n v="1"/>
    <n v="684"/>
    <n v="561"/>
    <n v="561"/>
    <n v="684"/>
    <n v="123"/>
    <s v="Product 6"/>
    <x v="69"/>
    <s v="Ronald Reed"/>
    <x v="694"/>
    <n v="6"/>
    <x v="5"/>
    <x v="5"/>
    <x v="5"/>
    <x v="1"/>
    <x v="0"/>
  </r>
  <r>
    <s v="AX11434"/>
    <s v="ENX2095"/>
    <s v="A115"/>
    <s v="EMP1014"/>
    <s v="C1728"/>
    <x v="629"/>
    <n v="4"/>
    <n v="1743"/>
    <n v="872"/>
    <n v="3488"/>
    <n v="6972"/>
    <n v="3484"/>
    <s v="Product 96"/>
    <x v="33"/>
    <s v="Ronald Reed"/>
    <x v="446"/>
    <n v="6"/>
    <x v="5"/>
    <x v="5"/>
    <x v="5"/>
    <x v="1"/>
    <x v="0"/>
  </r>
  <r>
    <s v="AX11580"/>
    <s v="ENX2080"/>
    <s v="A158"/>
    <s v="EMP1018"/>
    <s v="C1374"/>
    <x v="630"/>
    <n v="1"/>
    <n v="2353"/>
    <n v="1788"/>
    <n v="1788"/>
    <n v="2353"/>
    <n v="565"/>
    <s v="Product 81"/>
    <x v="58"/>
    <s v="Jimmy Young"/>
    <x v="189"/>
    <n v="6"/>
    <x v="5"/>
    <x v="5"/>
    <x v="5"/>
    <x v="1"/>
    <x v="0"/>
  </r>
  <r>
    <s v="AX12178"/>
    <s v="ENX2077"/>
    <s v="A105"/>
    <s v="EMP1012"/>
    <s v="C1057"/>
    <x v="631"/>
    <n v="1"/>
    <n v="530"/>
    <n v="424"/>
    <n v="424"/>
    <n v="530"/>
    <n v="106"/>
    <s v="Product 78"/>
    <x v="45"/>
    <s v="John Reyes"/>
    <x v="635"/>
    <n v="6"/>
    <x v="5"/>
    <x v="5"/>
    <x v="5"/>
    <x v="1"/>
    <x v="0"/>
  </r>
  <r>
    <s v="AX12247"/>
    <s v="ENX2023"/>
    <s v="A162"/>
    <s v="EMP1027"/>
    <s v="C1093"/>
    <x v="630"/>
    <n v="4"/>
    <n v="818"/>
    <n v="450"/>
    <n v="1800"/>
    <n v="3272"/>
    <n v="1472"/>
    <s v="Product 24"/>
    <x v="2"/>
    <s v="Gary Rodriguez"/>
    <x v="290"/>
    <n v="6"/>
    <x v="5"/>
    <x v="5"/>
    <x v="5"/>
    <x v="1"/>
    <x v="0"/>
  </r>
  <r>
    <s v="AX12349"/>
    <s v="ENX2002"/>
    <s v="A106"/>
    <s v="EMP1026"/>
    <s v="C1433"/>
    <x v="629"/>
    <n v="3"/>
    <n v="847"/>
    <n v="534"/>
    <n v="1602"/>
    <n v="2541"/>
    <n v="939"/>
    <s v="Product 3"/>
    <x v="11"/>
    <s v="Martin Perry"/>
    <x v="525"/>
    <n v="6"/>
    <x v="5"/>
    <x v="5"/>
    <x v="5"/>
    <x v="1"/>
    <x v="0"/>
  </r>
  <r>
    <s v="AX12542"/>
    <s v="ENX2093"/>
    <s v="A127"/>
    <s v="EMP1016"/>
    <s v="C1548"/>
    <x v="631"/>
    <n v="3"/>
    <n v="112"/>
    <n v="90"/>
    <n v="270"/>
    <n v="336"/>
    <n v="66"/>
    <s v="Product 94"/>
    <x v="69"/>
    <s v="Henry Nelson"/>
    <x v="241"/>
    <n v="6"/>
    <x v="5"/>
    <x v="5"/>
    <x v="5"/>
    <x v="1"/>
    <x v="0"/>
  </r>
  <r>
    <s v="AX12926"/>
    <s v="ENX2040"/>
    <s v="A159"/>
    <s v="EMP1004"/>
    <s v="C1097"/>
    <x v="629"/>
    <n v="2"/>
    <n v="1889"/>
    <n v="945"/>
    <n v="1890"/>
    <n v="3778"/>
    <n v="1888"/>
    <s v="Product 41"/>
    <x v="13"/>
    <s v="Kenneth Bradley"/>
    <x v="662"/>
    <n v="6"/>
    <x v="5"/>
    <x v="5"/>
    <x v="5"/>
    <x v="1"/>
    <x v="0"/>
  </r>
  <r>
    <s v="AX13012"/>
    <s v="ENX2055"/>
    <s v="A142"/>
    <s v="EMP1011"/>
    <s v="C1794"/>
    <x v="632"/>
    <n v="2"/>
    <n v="2495"/>
    <n v="1896"/>
    <n v="3792"/>
    <n v="4990"/>
    <n v="1198"/>
    <s v="Product 56"/>
    <x v="56"/>
    <s v="Larry Marshall"/>
    <x v="411"/>
    <n v="6"/>
    <x v="5"/>
    <x v="5"/>
    <x v="5"/>
    <x v="1"/>
    <x v="0"/>
  </r>
  <r>
    <s v="AX13883"/>
    <s v="ENX2040"/>
    <s v="A157"/>
    <s v="EMP1013"/>
    <s v="C1405"/>
    <x v="631"/>
    <n v="1"/>
    <n v="1889"/>
    <n v="945"/>
    <n v="945"/>
    <n v="1889"/>
    <n v="944"/>
    <s v="Product 41"/>
    <x v="7"/>
    <s v="Charles Harper"/>
    <x v="544"/>
    <n v="6"/>
    <x v="5"/>
    <x v="5"/>
    <x v="5"/>
    <x v="1"/>
    <x v="0"/>
  </r>
  <r>
    <s v="AX14373"/>
    <s v="ENX2003"/>
    <s v="A166"/>
    <s v="EMP1007"/>
    <s v="C1778"/>
    <x v="630"/>
    <n v="4"/>
    <n v="1783"/>
    <n v="1516"/>
    <n v="6064"/>
    <n v="7132"/>
    <n v="1068"/>
    <s v="Product 4"/>
    <x v="70"/>
    <s v="Jeremy Mendoza"/>
    <x v="420"/>
    <n v="6"/>
    <x v="5"/>
    <x v="5"/>
    <x v="5"/>
    <x v="1"/>
    <x v="0"/>
  </r>
  <r>
    <s v="AX14395"/>
    <s v="ENX2011"/>
    <s v="A141"/>
    <s v="EMP1036"/>
    <s v="C1619"/>
    <x v="629"/>
    <n v="3"/>
    <n v="530"/>
    <n v="435"/>
    <n v="1305"/>
    <n v="1590"/>
    <n v="285"/>
    <s v="Product 12"/>
    <x v="23"/>
    <s v="Robert Reed"/>
    <x v="77"/>
    <n v="6"/>
    <x v="5"/>
    <x v="5"/>
    <x v="5"/>
    <x v="1"/>
    <x v="0"/>
  </r>
  <r>
    <s v="AX14536"/>
    <s v="ENX2070"/>
    <s v="A146"/>
    <s v="EMP1029"/>
    <s v="C1543"/>
    <x v="629"/>
    <n v="2"/>
    <n v="1671"/>
    <n v="1220"/>
    <n v="2440"/>
    <n v="3342"/>
    <n v="902"/>
    <s v="Product 71"/>
    <x v="27"/>
    <s v="Howard Gardner"/>
    <x v="337"/>
    <n v="6"/>
    <x v="5"/>
    <x v="5"/>
    <x v="5"/>
    <x v="1"/>
    <x v="0"/>
  </r>
  <r>
    <s v="AX15301"/>
    <s v="ENX2053"/>
    <s v="A110"/>
    <s v="EMP1027"/>
    <s v="C1560"/>
    <x v="632"/>
    <n v="4"/>
    <n v="596"/>
    <n v="358"/>
    <n v="1432"/>
    <n v="2384"/>
    <n v="952"/>
    <s v="Product 54"/>
    <x v="63"/>
    <s v="Gary Rodriguez"/>
    <x v="208"/>
    <n v="6"/>
    <x v="5"/>
    <x v="5"/>
    <x v="5"/>
    <x v="1"/>
    <x v="0"/>
  </r>
  <r>
    <s v="AX15822"/>
    <s v="ENX2028"/>
    <s v="A128"/>
    <s v="EMP1044"/>
    <s v="C1021"/>
    <x v="632"/>
    <n v="1"/>
    <n v="2283"/>
    <n v="1484"/>
    <n v="1484"/>
    <n v="2283"/>
    <n v="799"/>
    <s v="Product 29"/>
    <x v="12"/>
    <s v="Martin Carr"/>
    <x v="246"/>
    <n v="6"/>
    <x v="5"/>
    <x v="5"/>
    <x v="5"/>
    <x v="1"/>
    <x v="0"/>
  </r>
  <r>
    <s v="AX16203"/>
    <s v="ENX2020"/>
    <s v="A164"/>
    <s v="EMP1027"/>
    <s v="C1408"/>
    <x v="630"/>
    <n v="3"/>
    <n v="2005"/>
    <n v="1223"/>
    <n v="3669"/>
    <n v="6015"/>
    <n v="2346"/>
    <s v="Product 21"/>
    <x v="3"/>
    <s v="Gary Rodriguez"/>
    <x v="647"/>
    <n v="6"/>
    <x v="5"/>
    <x v="5"/>
    <x v="5"/>
    <x v="1"/>
    <x v="0"/>
  </r>
  <r>
    <s v="AX16244"/>
    <s v="ENX2006"/>
    <s v="A104"/>
    <s v="EMP1015"/>
    <s v="C1633"/>
    <x v="632"/>
    <n v="1"/>
    <n v="1826"/>
    <n v="1443"/>
    <n v="1443"/>
    <n v="1826"/>
    <n v="383"/>
    <s v="Product 7"/>
    <x v="50"/>
    <s v="Justin Lynch"/>
    <x v="558"/>
    <n v="6"/>
    <x v="5"/>
    <x v="5"/>
    <x v="5"/>
    <x v="1"/>
    <x v="0"/>
  </r>
  <r>
    <s v="AX16313"/>
    <s v="ENX2008"/>
    <s v="A159"/>
    <s v="EMP1016"/>
    <s v="C1451"/>
    <x v="632"/>
    <n v="4"/>
    <n v="315"/>
    <n v="208"/>
    <n v="832"/>
    <n v="1260"/>
    <n v="428"/>
    <s v="Product 9"/>
    <x v="13"/>
    <s v="Henry Nelson"/>
    <x v="80"/>
    <n v="6"/>
    <x v="5"/>
    <x v="5"/>
    <x v="5"/>
    <x v="1"/>
    <x v="0"/>
  </r>
  <r>
    <s v="AX16559"/>
    <s v="ENX2066"/>
    <s v="A148"/>
    <s v="EMP1012"/>
    <s v="C1083"/>
    <x v="631"/>
    <n v="1"/>
    <n v="2091"/>
    <n v="1485"/>
    <n v="1485"/>
    <n v="2091"/>
    <n v="606"/>
    <s v="Product 67"/>
    <x v="62"/>
    <s v="John Reyes"/>
    <x v="550"/>
    <n v="6"/>
    <x v="5"/>
    <x v="5"/>
    <x v="5"/>
    <x v="1"/>
    <x v="0"/>
  </r>
  <r>
    <s v="AX16604"/>
    <s v="ENX2050"/>
    <s v="A146"/>
    <s v="EMP1034"/>
    <s v="C1020"/>
    <x v="630"/>
    <n v="2"/>
    <n v="2391"/>
    <n v="1291"/>
    <n v="2582"/>
    <n v="4782"/>
    <n v="2200"/>
    <s v="Product 51"/>
    <x v="27"/>
    <s v="Arthur Mccoy"/>
    <x v="423"/>
    <n v="6"/>
    <x v="5"/>
    <x v="5"/>
    <x v="5"/>
    <x v="1"/>
    <x v="0"/>
  </r>
  <r>
    <s v="AX17090"/>
    <s v="ENX2100"/>
    <s v="A123"/>
    <s v="EMP1019"/>
    <s v="C1068"/>
    <x v="632"/>
    <n v="1"/>
    <n v="799"/>
    <n v="455"/>
    <n v="455"/>
    <n v="799"/>
    <n v="344"/>
    <s v="Product 101"/>
    <x v="34"/>
    <s v="Roger Robertson"/>
    <x v="288"/>
    <n v="6"/>
    <x v="5"/>
    <x v="5"/>
    <x v="5"/>
    <x v="1"/>
    <x v="0"/>
  </r>
  <r>
    <s v="AX17099"/>
    <s v="ENX2025"/>
    <s v="A112"/>
    <s v="EMP1043"/>
    <s v="C1628"/>
    <x v="631"/>
    <n v="2"/>
    <n v="667"/>
    <n v="387"/>
    <n v="774"/>
    <n v="1334"/>
    <n v="560"/>
    <s v="Product 26"/>
    <x v="66"/>
    <s v="Joshua Taylor"/>
    <x v="161"/>
    <n v="6"/>
    <x v="5"/>
    <x v="5"/>
    <x v="5"/>
    <x v="1"/>
    <x v="0"/>
  </r>
  <r>
    <s v="AX17554"/>
    <s v="ENX2003"/>
    <s v="A106"/>
    <s v="EMP1005"/>
    <s v="C1380"/>
    <x v="632"/>
    <n v="1"/>
    <n v="1783"/>
    <n v="1516"/>
    <n v="1516"/>
    <n v="1783"/>
    <n v="267"/>
    <s v="Product 4"/>
    <x v="11"/>
    <s v="Ryan Welch"/>
    <x v="540"/>
    <n v="6"/>
    <x v="5"/>
    <x v="5"/>
    <x v="5"/>
    <x v="1"/>
    <x v="0"/>
  </r>
  <r>
    <s v="AX17576"/>
    <s v="ENX2016"/>
    <s v="A172"/>
    <s v="EMP1011"/>
    <s v="C1508"/>
    <x v="631"/>
    <n v="1"/>
    <n v="1351"/>
    <n v="1108"/>
    <n v="1108"/>
    <n v="1351"/>
    <n v="243"/>
    <s v="Product 17"/>
    <x v="36"/>
    <s v="Larry Marshall"/>
    <x v="37"/>
    <n v="6"/>
    <x v="5"/>
    <x v="5"/>
    <x v="5"/>
    <x v="1"/>
    <x v="0"/>
  </r>
  <r>
    <s v="AX17994"/>
    <s v="ENX2072"/>
    <s v="A157"/>
    <s v="EMP1014"/>
    <s v="C1151"/>
    <x v="631"/>
    <n v="1"/>
    <n v="1887"/>
    <n v="1378"/>
    <n v="1378"/>
    <n v="1887"/>
    <n v="509"/>
    <s v="Product 73"/>
    <x v="7"/>
    <s v="Ronald Reed"/>
    <x v="56"/>
    <n v="6"/>
    <x v="5"/>
    <x v="5"/>
    <x v="5"/>
    <x v="1"/>
    <x v="0"/>
  </r>
  <r>
    <s v="AX18339"/>
    <s v="ENX2069"/>
    <s v="A155"/>
    <s v="EMP1003"/>
    <s v="C1012"/>
    <x v="632"/>
    <n v="1"/>
    <n v="378"/>
    <n v="291"/>
    <n v="291"/>
    <n v="378"/>
    <n v="87"/>
    <s v="Product 70"/>
    <x v="53"/>
    <s v="Christopher Tucker"/>
    <x v="738"/>
    <n v="6"/>
    <x v="5"/>
    <x v="5"/>
    <x v="5"/>
    <x v="1"/>
    <x v="0"/>
  </r>
  <r>
    <s v="AX18556"/>
    <s v="ENX2061"/>
    <s v="A153"/>
    <s v="EMP1005"/>
    <s v="C1607"/>
    <x v="632"/>
    <n v="1"/>
    <n v="913"/>
    <n v="584"/>
    <n v="584"/>
    <n v="913"/>
    <n v="329"/>
    <s v="Product 62"/>
    <x v="8"/>
    <s v="Ryan Welch"/>
    <x v="211"/>
    <n v="6"/>
    <x v="5"/>
    <x v="5"/>
    <x v="5"/>
    <x v="1"/>
    <x v="0"/>
  </r>
  <r>
    <s v="AX18642"/>
    <s v="ENX2005"/>
    <s v="A125"/>
    <s v="EMP1039"/>
    <s v="C1297"/>
    <x v="630"/>
    <n v="1"/>
    <n v="684"/>
    <n v="561"/>
    <n v="561"/>
    <n v="684"/>
    <n v="123"/>
    <s v="Product 6"/>
    <x v="31"/>
    <s v="Eugene Holmes"/>
    <x v="537"/>
    <n v="6"/>
    <x v="5"/>
    <x v="5"/>
    <x v="5"/>
    <x v="1"/>
    <x v="0"/>
  </r>
  <r>
    <s v="AX19169"/>
    <s v="ENX2035"/>
    <s v="A113"/>
    <s v="EMP1037"/>
    <s v="C1502"/>
    <x v="632"/>
    <n v="2"/>
    <n v="458"/>
    <n v="376"/>
    <n v="752"/>
    <n v="916"/>
    <n v="164"/>
    <s v="Product 36"/>
    <x v="73"/>
    <s v="Carl Hall"/>
    <x v="364"/>
    <n v="6"/>
    <x v="5"/>
    <x v="5"/>
    <x v="5"/>
    <x v="1"/>
    <x v="0"/>
  </r>
  <r>
    <s v="AX19366"/>
    <s v="ENX2062"/>
    <s v="A151"/>
    <s v="EMP1029"/>
    <s v="C1564"/>
    <x v="629"/>
    <n v="1"/>
    <n v="2464"/>
    <n v="1774"/>
    <n v="1774"/>
    <n v="2464"/>
    <n v="690"/>
    <s v="Product 63"/>
    <x v="1"/>
    <s v="Howard Gardner"/>
    <x v="302"/>
    <n v="6"/>
    <x v="5"/>
    <x v="5"/>
    <x v="5"/>
    <x v="1"/>
    <x v="0"/>
  </r>
  <r>
    <s v="AX19371"/>
    <s v="ENX2023"/>
    <s v="A110"/>
    <s v="EMP1009"/>
    <s v="C1558"/>
    <x v="630"/>
    <n v="1"/>
    <n v="818"/>
    <n v="450"/>
    <n v="450"/>
    <n v="818"/>
    <n v="368"/>
    <s v="Product 24"/>
    <x v="63"/>
    <s v="Kenneth Fields"/>
    <x v="170"/>
    <n v="6"/>
    <x v="5"/>
    <x v="5"/>
    <x v="5"/>
    <x v="1"/>
    <x v="0"/>
  </r>
  <r>
    <s v="AX19716"/>
    <s v="ENX2060"/>
    <s v="A162"/>
    <s v="EMP1004"/>
    <s v="C1054"/>
    <x v="629"/>
    <n v="1"/>
    <n v="1467"/>
    <n v="807"/>
    <n v="807"/>
    <n v="1467"/>
    <n v="660"/>
    <s v="Product 61"/>
    <x v="2"/>
    <s v="Kenneth Bradley"/>
    <x v="58"/>
    <n v="6"/>
    <x v="5"/>
    <x v="5"/>
    <x v="5"/>
    <x v="1"/>
    <x v="0"/>
  </r>
  <r>
    <s v="AX20529"/>
    <s v="ENX2010"/>
    <s v="A155"/>
    <s v="EMP1041"/>
    <s v="C1350"/>
    <x v="629"/>
    <n v="3"/>
    <n v="1812"/>
    <n v="1305"/>
    <n v="3915"/>
    <n v="5436"/>
    <n v="1521"/>
    <s v="Product 11"/>
    <x v="53"/>
    <s v="Joe Sims"/>
    <x v="625"/>
    <n v="6"/>
    <x v="5"/>
    <x v="5"/>
    <x v="5"/>
    <x v="1"/>
    <x v="0"/>
  </r>
  <r>
    <s v="AX20555"/>
    <s v="ENX2049"/>
    <s v="A169"/>
    <s v="EMP1029"/>
    <s v="C1594"/>
    <x v="629"/>
    <n v="3"/>
    <n v="826"/>
    <n v="562"/>
    <n v="1686"/>
    <n v="2478"/>
    <n v="792"/>
    <s v="Product 50"/>
    <x v="17"/>
    <s v="Howard Gardner"/>
    <x v="770"/>
    <n v="6"/>
    <x v="5"/>
    <x v="5"/>
    <x v="5"/>
    <x v="1"/>
    <x v="0"/>
  </r>
  <r>
    <s v="AX20569"/>
    <s v="ENX2016"/>
    <s v="A169"/>
    <s v="EMP1015"/>
    <s v="C1494"/>
    <x v="629"/>
    <n v="4"/>
    <n v="1351"/>
    <n v="1108"/>
    <n v="4432"/>
    <n v="5404"/>
    <n v="972"/>
    <s v="Product 17"/>
    <x v="17"/>
    <s v="Justin Lynch"/>
    <x v="698"/>
    <n v="6"/>
    <x v="5"/>
    <x v="5"/>
    <x v="5"/>
    <x v="1"/>
    <x v="0"/>
  </r>
  <r>
    <s v="AX20907"/>
    <s v="ENX2027"/>
    <s v="A137"/>
    <s v="EMP1001"/>
    <s v="C1396"/>
    <x v="631"/>
    <n v="3"/>
    <n v="2497"/>
    <n v="1473"/>
    <n v="4419"/>
    <n v="7491"/>
    <n v="3072"/>
    <s v="Product 28"/>
    <x v="68"/>
    <s v="Kevin Butler"/>
    <x v="624"/>
    <n v="6"/>
    <x v="5"/>
    <x v="5"/>
    <x v="5"/>
    <x v="1"/>
    <x v="0"/>
  </r>
  <r>
    <s v="AX21034"/>
    <s v="ENX2070"/>
    <s v="A118"/>
    <s v="EMP1006"/>
    <s v="C1524"/>
    <x v="631"/>
    <n v="2"/>
    <n v="1671"/>
    <n v="1220"/>
    <n v="2440"/>
    <n v="3342"/>
    <n v="902"/>
    <s v="Product 71"/>
    <x v="19"/>
    <s v="Sean Miller"/>
    <x v="263"/>
    <n v="6"/>
    <x v="5"/>
    <x v="5"/>
    <x v="5"/>
    <x v="1"/>
    <x v="0"/>
  </r>
  <r>
    <s v="AX21036"/>
    <s v="ENX2019"/>
    <s v="A120"/>
    <s v="EMP1040"/>
    <s v="C1394"/>
    <x v="630"/>
    <n v="1"/>
    <n v="800"/>
    <n v="536"/>
    <n v="536"/>
    <n v="800"/>
    <n v="264"/>
    <s v="Product 20"/>
    <x v="20"/>
    <s v="Patrick Ruiz"/>
    <x v="116"/>
    <n v="6"/>
    <x v="5"/>
    <x v="5"/>
    <x v="5"/>
    <x v="1"/>
    <x v="0"/>
  </r>
  <r>
    <s v="AX21246"/>
    <s v="ENX2040"/>
    <s v="A137"/>
    <s v="EMP1040"/>
    <s v="C1216"/>
    <x v="630"/>
    <n v="4"/>
    <n v="1889"/>
    <n v="945"/>
    <n v="3780"/>
    <n v="7556"/>
    <n v="3776"/>
    <s v="Product 41"/>
    <x v="68"/>
    <s v="Patrick Ruiz"/>
    <x v="580"/>
    <n v="6"/>
    <x v="5"/>
    <x v="5"/>
    <x v="5"/>
    <x v="1"/>
    <x v="0"/>
  </r>
  <r>
    <s v="AX21519"/>
    <s v="ENX2033"/>
    <s v="A116"/>
    <s v="EMP1010"/>
    <s v="C1331"/>
    <x v="631"/>
    <n v="1"/>
    <n v="2182"/>
    <n v="1200"/>
    <n v="1200"/>
    <n v="2182"/>
    <n v="982"/>
    <s v="Product 34"/>
    <x v="15"/>
    <s v="Joshua Cook"/>
    <x v="482"/>
    <n v="6"/>
    <x v="5"/>
    <x v="5"/>
    <x v="5"/>
    <x v="1"/>
    <x v="0"/>
  </r>
  <r>
    <s v="AX21538"/>
    <s v="ENX2097"/>
    <s v="A132"/>
    <s v="EMP1014"/>
    <s v="C1297"/>
    <x v="630"/>
    <n v="2"/>
    <n v="1052"/>
    <n v="589"/>
    <n v="1178"/>
    <n v="2104"/>
    <n v="926"/>
    <s v="Product 98"/>
    <x v="48"/>
    <s v="Ronald Reed"/>
    <x v="537"/>
    <n v="6"/>
    <x v="5"/>
    <x v="5"/>
    <x v="5"/>
    <x v="1"/>
    <x v="0"/>
  </r>
  <r>
    <s v="AX21719"/>
    <s v="ENX2078"/>
    <s v="A169"/>
    <s v="EMP1026"/>
    <s v="C1663"/>
    <x v="631"/>
    <n v="3"/>
    <n v="1798"/>
    <n v="971"/>
    <n v="2913"/>
    <n v="5394"/>
    <n v="2481"/>
    <s v="Product 79"/>
    <x v="17"/>
    <s v="Martin Perry"/>
    <x v="602"/>
    <n v="6"/>
    <x v="5"/>
    <x v="5"/>
    <x v="5"/>
    <x v="1"/>
    <x v="0"/>
  </r>
  <r>
    <s v="AX21759"/>
    <s v="ENX2010"/>
    <s v="A144"/>
    <s v="EMP1025"/>
    <s v="C1589"/>
    <x v="629"/>
    <n v="2"/>
    <n v="1812"/>
    <n v="1305"/>
    <n v="2610"/>
    <n v="3624"/>
    <n v="1014"/>
    <s v="Product 11"/>
    <x v="65"/>
    <s v="Ernest Wagner"/>
    <x v="39"/>
    <n v="6"/>
    <x v="5"/>
    <x v="5"/>
    <x v="5"/>
    <x v="1"/>
    <x v="0"/>
  </r>
  <r>
    <s v="AX21821"/>
    <s v="ENX2037"/>
    <s v="A129"/>
    <s v="EMP1026"/>
    <s v="C1771"/>
    <x v="632"/>
    <n v="3"/>
    <n v="880"/>
    <n v="634"/>
    <n v="1902"/>
    <n v="2640"/>
    <n v="738"/>
    <s v="Product 38"/>
    <x v="22"/>
    <s v="Martin Perry"/>
    <x v="34"/>
    <n v="6"/>
    <x v="5"/>
    <x v="5"/>
    <x v="5"/>
    <x v="1"/>
    <x v="0"/>
  </r>
  <r>
    <s v="AX22569"/>
    <s v="ENX2055"/>
    <s v="A161"/>
    <s v="EMP1023"/>
    <s v="C1208"/>
    <x v="632"/>
    <n v="1"/>
    <n v="2495"/>
    <n v="1896"/>
    <n v="1896"/>
    <n v="2495"/>
    <n v="599"/>
    <s v="Product 56"/>
    <x v="6"/>
    <s v="Brian Davis"/>
    <x v="582"/>
    <n v="6"/>
    <x v="5"/>
    <x v="5"/>
    <x v="5"/>
    <x v="1"/>
    <x v="0"/>
  </r>
  <r>
    <s v="AX22661"/>
    <s v="ENX2010"/>
    <s v="A104"/>
    <s v="EMP1008"/>
    <s v="C1203"/>
    <x v="629"/>
    <n v="2"/>
    <n v="1812"/>
    <n v="1305"/>
    <n v="2610"/>
    <n v="3624"/>
    <n v="1014"/>
    <s v="Product 11"/>
    <x v="50"/>
    <s v="Carl Elliott"/>
    <x v="792"/>
    <n v="6"/>
    <x v="5"/>
    <x v="5"/>
    <x v="5"/>
    <x v="1"/>
    <x v="0"/>
  </r>
  <r>
    <s v="AX22793"/>
    <s v="ENX2091"/>
    <s v="A150"/>
    <s v="EMP1030"/>
    <s v="C1314"/>
    <x v="629"/>
    <n v="1"/>
    <n v="368"/>
    <n v="294"/>
    <n v="294"/>
    <n v="368"/>
    <n v="74"/>
    <s v="Product 92"/>
    <x v="30"/>
    <s v="Bobby Russell"/>
    <x v="421"/>
    <n v="6"/>
    <x v="5"/>
    <x v="5"/>
    <x v="5"/>
    <x v="1"/>
    <x v="0"/>
  </r>
  <r>
    <s v="AX23051"/>
    <s v="ENX2003"/>
    <s v="A132"/>
    <s v="EMP1015"/>
    <s v="C1461"/>
    <x v="632"/>
    <n v="4"/>
    <n v="1783"/>
    <n v="1516"/>
    <n v="6064"/>
    <n v="7132"/>
    <n v="1068"/>
    <s v="Product 4"/>
    <x v="48"/>
    <s v="Justin Lynch"/>
    <x v="634"/>
    <n v="6"/>
    <x v="5"/>
    <x v="5"/>
    <x v="5"/>
    <x v="1"/>
    <x v="0"/>
  </r>
  <r>
    <s v="AX23108"/>
    <s v="ENX2078"/>
    <s v="A115"/>
    <s v="EMP1004"/>
    <s v="C1264"/>
    <x v="630"/>
    <n v="2"/>
    <n v="1798"/>
    <n v="971"/>
    <n v="1942"/>
    <n v="3596"/>
    <n v="1654"/>
    <s v="Product 79"/>
    <x v="33"/>
    <s v="Kenneth Bradley"/>
    <x v="206"/>
    <n v="6"/>
    <x v="5"/>
    <x v="5"/>
    <x v="5"/>
    <x v="1"/>
    <x v="0"/>
  </r>
  <r>
    <s v="AX23209"/>
    <s v="ENX2027"/>
    <s v="A125"/>
    <s v="EMP1032"/>
    <s v="C1542"/>
    <x v="629"/>
    <n v="1"/>
    <n v="2497"/>
    <n v="1473"/>
    <n v="1473"/>
    <n v="2497"/>
    <n v="1024"/>
    <s v="Product 28"/>
    <x v="31"/>
    <s v="Larry Castillo"/>
    <x v="712"/>
    <n v="6"/>
    <x v="5"/>
    <x v="5"/>
    <x v="5"/>
    <x v="1"/>
    <x v="0"/>
  </r>
  <r>
    <s v="AX23364"/>
    <s v="ENX2043"/>
    <s v="A122"/>
    <s v="EMP1029"/>
    <s v="C1226"/>
    <x v="632"/>
    <n v="1"/>
    <n v="545"/>
    <n v="425"/>
    <n v="425"/>
    <n v="545"/>
    <n v="120"/>
    <s v="Product 44"/>
    <x v="71"/>
    <s v="Howard Gardner"/>
    <x v="598"/>
    <n v="6"/>
    <x v="5"/>
    <x v="5"/>
    <x v="5"/>
    <x v="1"/>
    <x v="0"/>
  </r>
  <r>
    <s v="AX23401"/>
    <s v="ENX2081"/>
    <s v="A172"/>
    <s v="EMP1041"/>
    <s v="C1171"/>
    <x v="632"/>
    <n v="1"/>
    <n v="1566"/>
    <n v="1190"/>
    <n v="1190"/>
    <n v="1566"/>
    <n v="376"/>
    <s v="Product 82"/>
    <x v="36"/>
    <s v="Joe Sims"/>
    <x v="150"/>
    <n v="6"/>
    <x v="5"/>
    <x v="5"/>
    <x v="5"/>
    <x v="1"/>
    <x v="0"/>
  </r>
  <r>
    <s v="AX10196"/>
    <s v="ENX2083"/>
    <s v="A129"/>
    <s v="EMP1008"/>
    <s v="C1141"/>
    <x v="633"/>
    <n v="1"/>
    <n v="2141"/>
    <n v="1777"/>
    <n v="1777"/>
    <n v="2141"/>
    <n v="364"/>
    <s v="Product 84"/>
    <x v="22"/>
    <s v="Carl Elliott"/>
    <x v="166"/>
    <n v="6"/>
    <x v="5"/>
    <x v="5"/>
    <x v="5"/>
    <x v="1"/>
    <x v="2"/>
  </r>
  <r>
    <s v="AX10401"/>
    <s v="ENX2019"/>
    <s v="A156"/>
    <s v="EMP1011"/>
    <s v="C1618"/>
    <x v="634"/>
    <n v="1"/>
    <n v="800"/>
    <n v="536"/>
    <n v="536"/>
    <n v="800"/>
    <n v="264"/>
    <s v="Product 20"/>
    <x v="14"/>
    <s v="Larry Marshall"/>
    <x v="292"/>
    <n v="6"/>
    <x v="5"/>
    <x v="5"/>
    <x v="5"/>
    <x v="1"/>
    <x v="2"/>
  </r>
  <r>
    <s v="AX10496"/>
    <s v="ENX2076"/>
    <s v="A144"/>
    <s v="EMP1026"/>
    <s v="C1514"/>
    <x v="635"/>
    <n v="4"/>
    <n v="1522"/>
    <n v="791"/>
    <n v="3164"/>
    <n v="6088"/>
    <n v="2924"/>
    <s v="Product 77"/>
    <x v="65"/>
    <s v="Martin Perry"/>
    <x v="307"/>
    <n v="6"/>
    <x v="5"/>
    <x v="5"/>
    <x v="5"/>
    <x v="1"/>
    <x v="2"/>
  </r>
  <r>
    <s v="AX10606"/>
    <s v="ENX2055"/>
    <s v="A159"/>
    <s v="EMP1043"/>
    <s v="C1077"/>
    <x v="636"/>
    <n v="1"/>
    <n v="2495"/>
    <n v="1896"/>
    <n v="1896"/>
    <n v="2495"/>
    <n v="599"/>
    <s v="Product 56"/>
    <x v="13"/>
    <s v="Joshua Taylor"/>
    <x v="315"/>
    <n v="6"/>
    <x v="5"/>
    <x v="5"/>
    <x v="5"/>
    <x v="1"/>
    <x v="2"/>
  </r>
  <r>
    <s v="AX11132"/>
    <s v="ENX2070"/>
    <s v="A169"/>
    <s v="EMP1017"/>
    <s v="C1386"/>
    <x v="636"/>
    <n v="1"/>
    <n v="1671"/>
    <n v="1220"/>
    <n v="1220"/>
    <n v="1671"/>
    <n v="451"/>
    <s v="Product 71"/>
    <x v="17"/>
    <s v="Brian Hansen"/>
    <x v="123"/>
    <n v="6"/>
    <x v="5"/>
    <x v="5"/>
    <x v="5"/>
    <x v="1"/>
    <x v="2"/>
  </r>
  <r>
    <s v="AX11155"/>
    <s v="ENX2061"/>
    <s v="A110"/>
    <s v="EMP1042"/>
    <s v="C1287"/>
    <x v="633"/>
    <n v="1"/>
    <n v="913"/>
    <n v="584"/>
    <n v="584"/>
    <n v="913"/>
    <n v="329"/>
    <s v="Product 62"/>
    <x v="63"/>
    <s v="Scott Clark"/>
    <x v="443"/>
    <n v="6"/>
    <x v="5"/>
    <x v="5"/>
    <x v="5"/>
    <x v="1"/>
    <x v="2"/>
  </r>
  <r>
    <s v="AX11513"/>
    <s v="ENX2018"/>
    <s v="A171"/>
    <s v="EMP1004"/>
    <s v="C1508"/>
    <x v="633"/>
    <n v="2"/>
    <n v="1972"/>
    <n v="1321"/>
    <n v="2642"/>
    <n v="3944"/>
    <n v="1302"/>
    <s v="Product 19"/>
    <x v="0"/>
    <s v="Kenneth Bradley"/>
    <x v="37"/>
    <n v="6"/>
    <x v="5"/>
    <x v="5"/>
    <x v="5"/>
    <x v="1"/>
    <x v="2"/>
  </r>
  <r>
    <s v="AX12476"/>
    <s v="ENX2034"/>
    <s v="A120"/>
    <s v="EMP1016"/>
    <s v="C1087"/>
    <x v="637"/>
    <n v="1"/>
    <n v="871"/>
    <n v="540"/>
    <n v="540"/>
    <n v="871"/>
    <n v="331"/>
    <s v="Product 35"/>
    <x v="20"/>
    <s v="Henry Nelson"/>
    <x v="156"/>
    <n v="6"/>
    <x v="5"/>
    <x v="5"/>
    <x v="5"/>
    <x v="1"/>
    <x v="2"/>
  </r>
  <r>
    <s v="AX12538"/>
    <s v="ENX2067"/>
    <s v="A142"/>
    <s v="EMP1011"/>
    <s v="C1083"/>
    <x v="633"/>
    <n v="1"/>
    <n v="1119"/>
    <n v="683"/>
    <n v="683"/>
    <n v="1119"/>
    <n v="436"/>
    <s v="Product 68"/>
    <x v="56"/>
    <s v="Larry Marshall"/>
    <x v="550"/>
    <n v="6"/>
    <x v="5"/>
    <x v="5"/>
    <x v="5"/>
    <x v="1"/>
    <x v="2"/>
  </r>
  <r>
    <s v="AX12655"/>
    <s v="ENX2032"/>
    <s v="A134"/>
    <s v="EMP1007"/>
    <s v="C1367"/>
    <x v="634"/>
    <n v="3"/>
    <n v="1967"/>
    <n v="1397"/>
    <n v="4191"/>
    <n v="5901"/>
    <n v="1710"/>
    <s v="Product 33"/>
    <x v="41"/>
    <s v="Jeremy Mendoza"/>
    <x v="490"/>
    <n v="6"/>
    <x v="5"/>
    <x v="5"/>
    <x v="5"/>
    <x v="1"/>
    <x v="2"/>
  </r>
  <r>
    <s v="AX12667"/>
    <s v="ENX2032"/>
    <s v="A123"/>
    <s v="EMP1018"/>
    <s v="C1731"/>
    <x v="636"/>
    <n v="2"/>
    <n v="1967"/>
    <n v="1397"/>
    <n v="2794"/>
    <n v="3934"/>
    <n v="1140"/>
    <s v="Product 33"/>
    <x v="34"/>
    <s v="Jimmy Young"/>
    <x v="762"/>
    <n v="6"/>
    <x v="5"/>
    <x v="5"/>
    <x v="5"/>
    <x v="1"/>
    <x v="2"/>
  </r>
  <r>
    <s v="AX12737"/>
    <s v="ENX2007"/>
    <s v="A149"/>
    <s v="EMP1001"/>
    <s v="C1710"/>
    <x v="636"/>
    <n v="1"/>
    <n v="1405"/>
    <n v="1054"/>
    <n v="1054"/>
    <n v="1405"/>
    <n v="351"/>
    <s v="Product 8"/>
    <x v="59"/>
    <s v="Kevin Butler"/>
    <x v="197"/>
    <n v="6"/>
    <x v="5"/>
    <x v="5"/>
    <x v="5"/>
    <x v="1"/>
    <x v="2"/>
  </r>
  <r>
    <s v="AX12815"/>
    <s v="ENX2006"/>
    <s v="A104"/>
    <s v="EMP1009"/>
    <s v="C1548"/>
    <x v="635"/>
    <n v="2"/>
    <n v="1826"/>
    <n v="1443"/>
    <n v="2886"/>
    <n v="3652"/>
    <n v="766"/>
    <s v="Product 7"/>
    <x v="50"/>
    <s v="Kenneth Fields"/>
    <x v="241"/>
    <n v="6"/>
    <x v="5"/>
    <x v="5"/>
    <x v="5"/>
    <x v="1"/>
    <x v="2"/>
  </r>
  <r>
    <s v="AX13387"/>
    <s v="ENX2088"/>
    <s v="A144"/>
    <s v="EMP1025"/>
    <s v="C1696"/>
    <x v="633"/>
    <n v="1"/>
    <n v="603"/>
    <n v="416"/>
    <n v="416"/>
    <n v="603"/>
    <n v="187"/>
    <s v="Product 89"/>
    <x v="65"/>
    <s v="Ernest Wagner"/>
    <x v="436"/>
    <n v="6"/>
    <x v="5"/>
    <x v="5"/>
    <x v="5"/>
    <x v="1"/>
    <x v="2"/>
  </r>
  <r>
    <s v="AX13654"/>
    <s v="ENX2016"/>
    <s v="A105"/>
    <s v="EMP1015"/>
    <s v="C1042"/>
    <x v="634"/>
    <n v="1"/>
    <n v="1351"/>
    <n v="1108"/>
    <n v="1108"/>
    <n v="1351"/>
    <n v="243"/>
    <s v="Product 17"/>
    <x v="45"/>
    <s v="Justin Lynch"/>
    <x v="459"/>
    <n v="6"/>
    <x v="5"/>
    <x v="5"/>
    <x v="5"/>
    <x v="1"/>
    <x v="2"/>
  </r>
  <r>
    <s v="AX13996"/>
    <s v="ENX2009"/>
    <s v="A111"/>
    <s v="EMP1008"/>
    <s v="C1146"/>
    <x v="637"/>
    <n v="1"/>
    <n v="584"/>
    <n v="420"/>
    <n v="420"/>
    <n v="584"/>
    <n v="164"/>
    <s v="Product 10"/>
    <x v="54"/>
    <s v="Carl Elliott"/>
    <x v="274"/>
    <n v="6"/>
    <x v="5"/>
    <x v="5"/>
    <x v="5"/>
    <x v="1"/>
    <x v="2"/>
  </r>
  <r>
    <s v="AX14270"/>
    <s v="ENX2053"/>
    <s v="A136"/>
    <s v="EMP1044"/>
    <s v="C1594"/>
    <x v="635"/>
    <n v="3"/>
    <n v="596"/>
    <n v="358"/>
    <n v="1074"/>
    <n v="1788"/>
    <n v="714"/>
    <s v="Product 54"/>
    <x v="43"/>
    <s v="Martin Carr"/>
    <x v="770"/>
    <n v="6"/>
    <x v="5"/>
    <x v="5"/>
    <x v="5"/>
    <x v="1"/>
    <x v="2"/>
  </r>
  <r>
    <s v="AX14277"/>
    <s v="ENX2091"/>
    <s v="A135"/>
    <s v="EMP1030"/>
    <s v="C1500"/>
    <x v="636"/>
    <n v="1"/>
    <n v="368"/>
    <n v="294"/>
    <n v="294"/>
    <n v="368"/>
    <n v="74"/>
    <s v="Product 92"/>
    <x v="10"/>
    <s v="Bobby Russell"/>
    <x v="639"/>
    <n v="6"/>
    <x v="5"/>
    <x v="5"/>
    <x v="5"/>
    <x v="1"/>
    <x v="2"/>
  </r>
  <r>
    <s v="AX14343"/>
    <s v="ENX2011"/>
    <s v="A157"/>
    <s v="EMP1021"/>
    <s v="C1732"/>
    <x v="633"/>
    <n v="1"/>
    <n v="530"/>
    <n v="435"/>
    <n v="435"/>
    <n v="530"/>
    <n v="95"/>
    <s v="Product 12"/>
    <x v="7"/>
    <s v="Clarence Fox"/>
    <x v="136"/>
    <n v="6"/>
    <x v="5"/>
    <x v="5"/>
    <x v="5"/>
    <x v="1"/>
    <x v="2"/>
  </r>
  <r>
    <s v="AX14505"/>
    <s v="ENX2074"/>
    <s v="A109"/>
    <s v="EMP1009"/>
    <s v="C1360"/>
    <x v="637"/>
    <n v="1"/>
    <n v="504"/>
    <n v="408"/>
    <n v="408"/>
    <n v="504"/>
    <n v="96"/>
    <s v="Product 75"/>
    <x v="57"/>
    <s v="Kenneth Fields"/>
    <x v="573"/>
    <n v="6"/>
    <x v="5"/>
    <x v="5"/>
    <x v="5"/>
    <x v="1"/>
    <x v="2"/>
  </r>
  <r>
    <s v="AX14593"/>
    <s v="ENX2015"/>
    <s v="A113"/>
    <s v="EMP1040"/>
    <s v="C1328"/>
    <x v="637"/>
    <n v="1"/>
    <n v="637"/>
    <n v="389"/>
    <n v="389"/>
    <n v="637"/>
    <n v="248"/>
    <s v="Product 16"/>
    <x v="73"/>
    <s v="Patrick Ruiz"/>
    <x v="488"/>
    <n v="6"/>
    <x v="5"/>
    <x v="5"/>
    <x v="5"/>
    <x v="1"/>
    <x v="2"/>
  </r>
  <r>
    <s v="AX14938"/>
    <s v="ENX2050"/>
    <s v="A145"/>
    <s v="EMP1029"/>
    <s v="C1282"/>
    <x v="636"/>
    <n v="2"/>
    <n v="2391"/>
    <n v="1291"/>
    <n v="2582"/>
    <n v="4782"/>
    <n v="2200"/>
    <s v="Product 51"/>
    <x v="35"/>
    <s v="Howard Gardner"/>
    <x v="520"/>
    <n v="6"/>
    <x v="5"/>
    <x v="5"/>
    <x v="5"/>
    <x v="1"/>
    <x v="2"/>
  </r>
  <r>
    <s v="AX15350"/>
    <s v="ENX2036"/>
    <s v="A159"/>
    <s v="EMP1004"/>
    <s v="C1158"/>
    <x v="633"/>
    <n v="3"/>
    <n v="1582"/>
    <n v="1234"/>
    <n v="3702"/>
    <n v="4746"/>
    <n v="1044"/>
    <s v="Product 37"/>
    <x v="13"/>
    <s v="Kenneth Bradley"/>
    <x v="541"/>
    <n v="6"/>
    <x v="5"/>
    <x v="5"/>
    <x v="5"/>
    <x v="1"/>
    <x v="2"/>
  </r>
  <r>
    <s v="AX15360"/>
    <s v="ENX2080"/>
    <s v="A133"/>
    <s v="EMP1011"/>
    <s v="C1615"/>
    <x v="637"/>
    <n v="1"/>
    <n v="2353"/>
    <n v="1788"/>
    <n v="1788"/>
    <n v="2353"/>
    <n v="565"/>
    <s v="Product 81"/>
    <x v="46"/>
    <s v="Larry Marshall"/>
    <x v="457"/>
    <n v="6"/>
    <x v="5"/>
    <x v="5"/>
    <x v="5"/>
    <x v="1"/>
    <x v="2"/>
  </r>
  <r>
    <s v="AX15419"/>
    <s v="ENX2020"/>
    <s v="A114"/>
    <s v="EMP1023"/>
    <s v="C1798"/>
    <x v="636"/>
    <n v="1"/>
    <n v="2005"/>
    <n v="1223"/>
    <n v="1223"/>
    <n v="2005"/>
    <n v="782"/>
    <s v="Product 21"/>
    <x v="28"/>
    <s v="Brian Davis"/>
    <x v="608"/>
    <n v="6"/>
    <x v="5"/>
    <x v="5"/>
    <x v="5"/>
    <x v="1"/>
    <x v="2"/>
  </r>
  <r>
    <s v="AX15571"/>
    <s v="ENX2030"/>
    <s v="A162"/>
    <s v="EMP1043"/>
    <s v="C1428"/>
    <x v="634"/>
    <n v="3"/>
    <n v="1899"/>
    <n v="1044"/>
    <n v="3132"/>
    <n v="5697"/>
    <n v="2565"/>
    <s v="Product 31"/>
    <x v="2"/>
    <s v="Joshua Taylor"/>
    <x v="509"/>
    <n v="6"/>
    <x v="5"/>
    <x v="5"/>
    <x v="5"/>
    <x v="1"/>
    <x v="2"/>
  </r>
  <r>
    <s v="AX16251"/>
    <s v="ENX2084"/>
    <s v="A157"/>
    <s v="EMP1002"/>
    <s v="C1099"/>
    <x v="636"/>
    <n v="1"/>
    <n v="1783"/>
    <n v="1230"/>
    <n v="1230"/>
    <n v="1783"/>
    <n v="553"/>
    <s v="Product 85"/>
    <x v="7"/>
    <s v="Andrew Bowman"/>
    <x v="394"/>
    <n v="6"/>
    <x v="5"/>
    <x v="5"/>
    <x v="5"/>
    <x v="1"/>
    <x v="2"/>
  </r>
  <r>
    <s v="AX16322"/>
    <s v="ENX2062"/>
    <s v="A136"/>
    <s v="EMP1041"/>
    <s v="C1154"/>
    <x v="633"/>
    <n v="2"/>
    <n v="2464"/>
    <n v="1774"/>
    <n v="3548"/>
    <n v="4928"/>
    <n v="1380"/>
    <s v="Product 63"/>
    <x v="43"/>
    <s v="Joe Sims"/>
    <x v="243"/>
    <n v="6"/>
    <x v="5"/>
    <x v="5"/>
    <x v="5"/>
    <x v="1"/>
    <x v="2"/>
  </r>
  <r>
    <s v="AX16335"/>
    <s v="ENX2097"/>
    <s v="A101"/>
    <s v="EMP1036"/>
    <s v="C1053"/>
    <x v="635"/>
    <n v="1"/>
    <n v="1052"/>
    <n v="589"/>
    <n v="589"/>
    <n v="1052"/>
    <n v="463"/>
    <s v="Product 98"/>
    <x v="60"/>
    <s v="Robert Reed"/>
    <x v="435"/>
    <n v="6"/>
    <x v="5"/>
    <x v="5"/>
    <x v="5"/>
    <x v="1"/>
    <x v="2"/>
  </r>
  <r>
    <s v="AX16442"/>
    <s v="ENX2084"/>
    <s v="A121"/>
    <s v="EMP1041"/>
    <s v="C1593"/>
    <x v="633"/>
    <n v="1"/>
    <n v="1783"/>
    <n v="1230"/>
    <n v="1230"/>
    <n v="1783"/>
    <n v="553"/>
    <s v="Product 85"/>
    <x v="72"/>
    <s v="Joe Sims"/>
    <x v="25"/>
    <n v="6"/>
    <x v="5"/>
    <x v="5"/>
    <x v="5"/>
    <x v="1"/>
    <x v="2"/>
  </r>
  <r>
    <s v="AX16470"/>
    <s v="ENX2017"/>
    <s v="A128"/>
    <s v="EMP1044"/>
    <s v="C1118"/>
    <x v="636"/>
    <n v="1"/>
    <n v="35"/>
    <n v="22"/>
    <n v="22"/>
    <n v="35"/>
    <n v="13"/>
    <s v="Product 18"/>
    <x v="12"/>
    <s v="Martin Carr"/>
    <x v="633"/>
    <n v="6"/>
    <x v="5"/>
    <x v="5"/>
    <x v="5"/>
    <x v="1"/>
    <x v="2"/>
  </r>
  <r>
    <s v="AX16623"/>
    <s v="ENX2063"/>
    <s v="A118"/>
    <s v="EMP1004"/>
    <s v="C1348"/>
    <x v="637"/>
    <n v="3"/>
    <n v="1708"/>
    <n v="871"/>
    <n v="2613"/>
    <n v="5124"/>
    <n v="2511"/>
    <s v="Product 64"/>
    <x v="19"/>
    <s v="Kenneth Bradley"/>
    <x v="236"/>
    <n v="6"/>
    <x v="5"/>
    <x v="5"/>
    <x v="5"/>
    <x v="1"/>
    <x v="2"/>
  </r>
  <r>
    <s v="AX16640"/>
    <s v="ENX2060"/>
    <s v="A126"/>
    <s v="EMP1029"/>
    <s v="C1307"/>
    <x v="633"/>
    <n v="1"/>
    <n v="1467"/>
    <n v="807"/>
    <n v="807"/>
    <n v="1467"/>
    <n v="660"/>
    <s v="Product 61"/>
    <x v="5"/>
    <s v="Howard Gardner"/>
    <x v="416"/>
    <n v="6"/>
    <x v="5"/>
    <x v="5"/>
    <x v="5"/>
    <x v="1"/>
    <x v="2"/>
  </r>
  <r>
    <s v="AX16770"/>
    <s v="ENX2039"/>
    <s v="A165"/>
    <s v="EMP1029"/>
    <s v="C1506"/>
    <x v="635"/>
    <n v="2"/>
    <n v="817"/>
    <n v="409"/>
    <n v="818"/>
    <n v="1634"/>
    <n v="816"/>
    <s v="Product 40"/>
    <x v="55"/>
    <s v="Howard Gardner"/>
    <x v="538"/>
    <n v="6"/>
    <x v="5"/>
    <x v="5"/>
    <x v="5"/>
    <x v="1"/>
    <x v="2"/>
  </r>
  <r>
    <s v="AX16791"/>
    <s v="ENX2041"/>
    <s v="A118"/>
    <s v="EMP1024"/>
    <s v="C1309"/>
    <x v="633"/>
    <n v="2"/>
    <n v="1380"/>
    <n v="1090"/>
    <n v="2180"/>
    <n v="2760"/>
    <n v="580"/>
    <s v="Product 42"/>
    <x v="19"/>
    <s v="Ernest Wheeler"/>
    <x v="139"/>
    <n v="6"/>
    <x v="5"/>
    <x v="5"/>
    <x v="5"/>
    <x v="1"/>
    <x v="2"/>
  </r>
  <r>
    <s v="AX17393"/>
    <s v="ENX2058"/>
    <s v="A109"/>
    <s v="EMP1023"/>
    <s v="C1027"/>
    <x v="637"/>
    <n v="2"/>
    <n v="2257"/>
    <n v="1535"/>
    <n v="3070"/>
    <n v="4514"/>
    <n v="1444"/>
    <s v="Product 59"/>
    <x v="57"/>
    <s v="Brian Davis"/>
    <x v="528"/>
    <n v="6"/>
    <x v="5"/>
    <x v="5"/>
    <x v="5"/>
    <x v="1"/>
    <x v="2"/>
  </r>
  <r>
    <s v="AX17533"/>
    <s v="ENX2047"/>
    <s v="A139"/>
    <s v="EMP1034"/>
    <s v="C1528"/>
    <x v="635"/>
    <n v="2"/>
    <n v="290"/>
    <n v="200"/>
    <n v="400"/>
    <n v="580"/>
    <n v="180"/>
    <s v="Product 48"/>
    <x v="38"/>
    <s v="Arthur Mccoy"/>
    <x v="158"/>
    <n v="6"/>
    <x v="5"/>
    <x v="5"/>
    <x v="5"/>
    <x v="1"/>
    <x v="2"/>
  </r>
  <r>
    <s v="AX17710"/>
    <s v="ENX2067"/>
    <s v="A132"/>
    <s v="EMP1002"/>
    <s v="C1691"/>
    <x v="637"/>
    <n v="1"/>
    <n v="1119"/>
    <n v="683"/>
    <n v="683"/>
    <n v="1119"/>
    <n v="436"/>
    <s v="Product 68"/>
    <x v="48"/>
    <s v="Andrew Bowman"/>
    <x v="157"/>
    <n v="6"/>
    <x v="5"/>
    <x v="5"/>
    <x v="5"/>
    <x v="1"/>
    <x v="2"/>
  </r>
  <r>
    <s v="AX17866"/>
    <s v="ENX2044"/>
    <s v="A144"/>
    <s v="EMP1017"/>
    <s v="C1735"/>
    <x v="634"/>
    <n v="1"/>
    <n v="886"/>
    <n v="478"/>
    <n v="478"/>
    <n v="886"/>
    <n v="408"/>
    <s v="Product 45"/>
    <x v="65"/>
    <s v="Brian Hansen"/>
    <x v="8"/>
    <n v="6"/>
    <x v="5"/>
    <x v="5"/>
    <x v="5"/>
    <x v="1"/>
    <x v="2"/>
  </r>
  <r>
    <s v="AX18403"/>
    <s v="ENX2045"/>
    <s v="A172"/>
    <s v="EMP1008"/>
    <s v="C1070"/>
    <x v="635"/>
    <n v="3"/>
    <n v="556"/>
    <n v="395"/>
    <n v="1185"/>
    <n v="1668"/>
    <n v="483"/>
    <s v="Product 46"/>
    <x v="36"/>
    <s v="Carl Elliott"/>
    <x v="48"/>
    <n v="6"/>
    <x v="5"/>
    <x v="5"/>
    <x v="5"/>
    <x v="1"/>
    <x v="2"/>
  </r>
  <r>
    <s v="AX18873"/>
    <s v="ENX2002"/>
    <s v="A127"/>
    <s v="EMP1003"/>
    <s v="C1074"/>
    <x v="635"/>
    <n v="1"/>
    <n v="847"/>
    <n v="534"/>
    <n v="534"/>
    <n v="847"/>
    <n v="313"/>
    <s v="Product 3"/>
    <x v="69"/>
    <s v="Christopher Tucker"/>
    <x v="96"/>
    <n v="6"/>
    <x v="5"/>
    <x v="5"/>
    <x v="5"/>
    <x v="1"/>
    <x v="2"/>
  </r>
  <r>
    <s v="AX18877"/>
    <s v="ENX2007"/>
    <s v="A112"/>
    <s v="EMP1039"/>
    <s v="C1453"/>
    <x v="633"/>
    <n v="3"/>
    <n v="1405"/>
    <n v="1054"/>
    <n v="3162"/>
    <n v="4215"/>
    <n v="1053"/>
    <s v="Product 8"/>
    <x v="66"/>
    <s v="Eugene Holmes"/>
    <x v="194"/>
    <n v="6"/>
    <x v="5"/>
    <x v="5"/>
    <x v="5"/>
    <x v="1"/>
    <x v="2"/>
  </r>
  <r>
    <s v="AX19072"/>
    <s v="ENX2022"/>
    <s v="A163"/>
    <s v="EMP1009"/>
    <s v="C1387"/>
    <x v="635"/>
    <n v="4"/>
    <n v="561"/>
    <n v="421"/>
    <n v="1684"/>
    <n v="2244"/>
    <n v="560"/>
    <s v="Product 23"/>
    <x v="51"/>
    <s v="Kenneth Fields"/>
    <x v="346"/>
    <n v="6"/>
    <x v="5"/>
    <x v="5"/>
    <x v="5"/>
    <x v="1"/>
    <x v="2"/>
  </r>
  <r>
    <s v="AX19676"/>
    <s v="ENX2079"/>
    <s v="A101"/>
    <s v="EMP1004"/>
    <s v="C1731"/>
    <x v="633"/>
    <n v="2"/>
    <n v="1725"/>
    <n v="1363"/>
    <n v="2726"/>
    <n v="3450"/>
    <n v="724"/>
    <s v="Product 80"/>
    <x v="60"/>
    <s v="Kenneth Bradley"/>
    <x v="762"/>
    <n v="6"/>
    <x v="5"/>
    <x v="5"/>
    <x v="5"/>
    <x v="1"/>
    <x v="2"/>
  </r>
  <r>
    <s v="AX19864"/>
    <s v="ENX2007"/>
    <s v="A173"/>
    <s v="EMP1044"/>
    <s v="C1122"/>
    <x v="634"/>
    <n v="1"/>
    <n v="1405"/>
    <n v="1054"/>
    <n v="1054"/>
    <n v="1405"/>
    <n v="351"/>
    <s v="Product 8"/>
    <x v="25"/>
    <s v="Martin Carr"/>
    <x v="84"/>
    <n v="6"/>
    <x v="5"/>
    <x v="5"/>
    <x v="5"/>
    <x v="1"/>
    <x v="2"/>
  </r>
  <r>
    <s v="AX20163"/>
    <s v="ENX2094"/>
    <s v="A142"/>
    <s v="EMP1020"/>
    <s v="C1154"/>
    <x v="633"/>
    <n v="4"/>
    <n v="771"/>
    <n v="648"/>
    <n v="2592"/>
    <n v="3084"/>
    <n v="492"/>
    <s v="Product 95"/>
    <x v="56"/>
    <s v="Ryan Butler"/>
    <x v="243"/>
    <n v="6"/>
    <x v="5"/>
    <x v="5"/>
    <x v="5"/>
    <x v="1"/>
    <x v="2"/>
  </r>
  <r>
    <s v="AX20802"/>
    <s v="ENX2068"/>
    <s v="A170"/>
    <s v="EMP1023"/>
    <s v="C1688"/>
    <x v="636"/>
    <n v="1"/>
    <n v="1500"/>
    <n v="900"/>
    <n v="900"/>
    <n v="1500"/>
    <n v="600"/>
    <s v="Product 69"/>
    <x v="47"/>
    <s v="Brian Davis"/>
    <x v="213"/>
    <n v="6"/>
    <x v="5"/>
    <x v="5"/>
    <x v="5"/>
    <x v="1"/>
    <x v="2"/>
  </r>
  <r>
    <s v="AX20816"/>
    <s v="ENX2029"/>
    <s v="A116"/>
    <s v="EMP1035"/>
    <s v="C1681"/>
    <x v="633"/>
    <n v="2"/>
    <n v="1848"/>
    <n v="1294"/>
    <n v="2588"/>
    <n v="3696"/>
    <n v="1108"/>
    <s v="Product 30"/>
    <x v="15"/>
    <s v="Roger Ramos"/>
    <x v="235"/>
    <n v="6"/>
    <x v="5"/>
    <x v="5"/>
    <x v="5"/>
    <x v="1"/>
    <x v="2"/>
  </r>
  <r>
    <s v="AX20870"/>
    <s v="ENX2091"/>
    <s v="A143"/>
    <s v="EMP1000"/>
    <s v="C1198"/>
    <x v="635"/>
    <n v="1"/>
    <n v="368"/>
    <n v="294"/>
    <n v="294"/>
    <n v="368"/>
    <n v="74"/>
    <s v="Product 92"/>
    <x v="39"/>
    <s v="Fred Robertson"/>
    <x v="42"/>
    <n v="6"/>
    <x v="5"/>
    <x v="5"/>
    <x v="5"/>
    <x v="1"/>
    <x v="2"/>
  </r>
  <r>
    <s v="AX21008"/>
    <s v="ENX2089"/>
    <s v="A123"/>
    <s v="EMP1038"/>
    <s v="C1562"/>
    <x v="637"/>
    <n v="1"/>
    <n v="2294"/>
    <n v="1399"/>
    <n v="1399"/>
    <n v="2294"/>
    <n v="895"/>
    <s v="Product 90"/>
    <x v="34"/>
    <s v="Scott Mason"/>
    <x v="312"/>
    <n v="6"/>
    <x v="5"/>
    <x v="5"/>
    <x v="5"/>
    <x v="1"/>
    <x v="2"/>
  </r>
  <r>
    <s v="AX21184"/>
    <s v="ENX2026"/>
    <s v="A126"/>
    <s v="EMP1023"/>
    <s v="C1604"/>
    <x v="636"/>
    <n v="1"/>
    <n v="947"/>
    <n v="786"/>
    <n v="786"/>
    <n v="947"/>
    <n v="161"/>
    <s v="Product 27"/>
    <x v="5"/>
    <s v="Brian Davis"/>
    <x v="700"/>
    <n v="6"/>
    <x v="5"/>
    <x v="5"/>
    <x v="5"/>
    <x v="1"/>
    <x v="2"/>
  </r>
  <r>
    <s v="AX21426"/>
    <s v="ENX2054"/>
    <s v="A106"/>
    <s v="EMP1026"/>
    <s v="C1726"/>
    <x v="633"/>
    <n v="1"/>
    <n v="127"/>
    <n v="79"/>
    <n v="79"/>
    <n v="127"/>
    <n v="48"/>
    <s v="Product 55"/>
    <x v="11"/>
    <s v="Martin Perry"/>
    <x v="755"/>
    <n v="6"/>
    <x v="5"/>
    <x v="5"/>
    <x v="5"/>
    <x v="1"/>
    <x v="2"/>
  </r>
  <r>
    <s v="AX21562"/>
    <s v="ENX2011"/>
    <s v="A145"/>
    <s v="EMP1023"/>
    <s v="C1378"/>
    <x v="633"/>
    <n v="3"/>
    <n v="530"/>
    <n v="435"/>
    <n v="1305"/>
    <n v="1590"/>
    <n v="285"/>
    <s v="Product 12"/>
    <x v="35"/>
    <s v="Brian Davis"/>
    <x v="787"/>
    <n v="6"/>
    <x v="5"/>
    <x v="5"/>
    <x v="5"/>
    <x v="1"/>
    <x v="2"/>
  </r>
  <r>
    <s v="AX21912"/>
    <s v="ENX2058"/>
    <s v="A116"/>
    <s v="EMP1022"/>
    <s v="C1267"/>
    <x v="636"/>
    <n v="1"/>
    <n v="2257"/>
    <n v="1535"/>
    <n v="1535"/>
    <n v="2257"/>
    <n v="722"/>
    <s v="Product 59"/>
    <x v="15"/>
    <s v="Walter Cook"/>
    <x v="657"/>
    <n v="6"/>
    <x v="5"/>
    <x v="5"/>
    <x v="5"/>
    <x v="1"/>
    <x v="2"/>
  </r>
  <r>
    <s v="AX22020"/>
    <s v="ENX2032"/>
    <s v="A104"/>
    <s v="EMP1003"/>
    <s v="C1656"/>
    <x v="633"/>
    <n v="2"/>
    <n v="1967"/>
    <n v="1397"/>
    <n v="2794"/>
    <n v="3934"/>
    <n v="1140"/>
    <s v="Product 33"/>
    <x v="50"/>
    <s v="Christopher Tucker"/>
    <x v="115"/>
    <n v="6"/>
    <x v="5"/>
    <x v="5"/>
    <x v="5"/>
    <x v="1"/>
    <x v="2"/>
  </r>
  <r>
    <s v="AX22276"/>
    <s v="ENX2020"/>
    <s v="A114"/>
    <s v="EMP1004"/>
    <s v="C1702"/>
    <x v="637"/>
    <n v="1"/>
    <n v="2005"/>
    <n v="1223"/>
    <n v="1223"/>
    <n v="2005"/>
    <n v="782"/>
    <s v="Product 21"/>
    <x v="28"/>
    <s v="Kenneth Bradley"/>
    <x v="70"/>
    <n v="6"/>
    <x v="5"/>
    <x v="5"/>
    <x v="5"/>
    <x v="1"/>
    <x v="2"/>
  </r>
  <r>
    <s v="AX22438"/>
    <s v="ENX2029"/>
    <s v="A130"/>
    <s v="EMP1041"/>
    <s v="C1427"/>
    <x v="637"/>
    <n v="1"/>
    <n v="1848"/>
    <n v="1294"/>
    <n v="1294"/>
    <n v="1848"/>
    <n v="554"/>
    <s v="Product 30"/>
    <x v="4"/>
    <s v="Joe Sims"/>
    <x v="768"/>
    <n v="6"/>
    <x v="5"/>
    <x v="5"/>
    <x v="5"/>
    <x v="1"/>
    <x v="2"/>
  </r>
  <r>
    <s v="AX22518"/>
    <s v="ENX2027"/>
    <s v="A123"/>
    <s v="EMP1042"/>
    <s v="C1142"/>
    <x v="636"/>
    <n v="2"/>
    <n v="2497"/>
    <n v="1473"/>
    <n v="2946"/>
    <n v="4994"/>
    <n v="2048"/>
    <s v="Product 28"/>
    <x v="34"/>
    <s v="Scott Clark"/>
    <x v="731"/>
    <n v="6"/>
    <x v="5"/>
    <x v="5"/>
    <x v="5"/>
    <x v="1"/>
    <x v="2"/>
  </r>
  <r>
    <s v="AX22658"/>
    <s v="ENX2085"/>
    <s v="A116"/>
    <s v="EMP1008"/>
    <s v="C1397"/>
    <x v="636"/>
    <n v="1"/>
    <n v="1862"/>
    <n v="1173"/>
    <n v="1173"/>
    <n v="1862"/>
    <n v="689"/>
    <s v="Product 86"/>
    <x v="15"/>
    <s v="Carl Elliott"/>
    <x v="560"/>
    <n v="6"/>
    <x v="5"/>
    <x v="5"/>
    <x v="5"/>
    <x v="1"/>
    <x v="2"/>
  </r>
  <r>
    <s v="AX23231"/>
    <s v="ENX2059"/>
    <s v="A102"/>
    <s v="EMP1011"/>
    <s v="C1742"/>
    <x v="635"/>
    <n v="1"/>
    <n v="1494"/>
    <n v="971"/>
    <n v="971"/>
    <n v="1494"/>
    <n v="523"/>
    <s v="Product 60"/>
    <x v="44"/>
    <s v="Larry Marshall"/>
    <x v="434"/>
    <n v="6"/>
    <x v="5"/>
    <x v="5"/>
    <x v="5"/>
    <x v="1"/>
    <x v="2"/>
  </r>
  <r>
    <s v="AX23739"/>
    <s v="ENX2049"/>
    <s v="A102"/>
    <s v="EMP1021"/>
    <s v="C1201"/>
    <x v="633"/>
    <n v="4"/>
    <n v="826"/>
    <n v="562"/>
    <n v="2248"/>
    <n v="3304"/>
    <n v="1056"/>
    <s v="Product 50"/>
    <x v="44"/>
    <s v="Clarence Fox"/>
    <x v="760"/>
    <n v="6"/>
    <x v="5"/>
    <x v="5"/>
    <x v="5"/>
    <x v="1"/>
    <x v="2"/>
  </r>
  <r>
    <s v="AX24058"/>
    <s v="ENX2053"/>
    <s v="A149"/>
    <s v="EMP1016"/>
    <s v="C1291"/>
    <x v="636"/>
    <n v="1"/>
    <n v="596"/>
    <n v="358"/>
    <n v="358"/>
    <n v="596"/>
    <n v="238"/>
    <s v="Product 54"/>
    <x v="59"/>
    <s v="Henry Nelson"/>
    <x v="16"/>
    <n v="6"/>
    <x v="5"/>
    <x v="5"/>
    <x v="5"/>
    <x v="1"/>
    <x v="2"/>
  </r>
  <r>
    <s v="AX24195"/>
    <s v="ENX2039"/>
    <s v="A115"/>
    <s v="EMP1032"/>
    <s v="C1144"/>
    <x v="637"/>
    <n v="4"/>
    <n v="817"/>
    <n v="409"/>
    <n v="1636"/>
    <n v="3268"/>
    <n v="1632"/>
    <s v="Product 40"/>
    <x v="33"/>
    <s v="Larry Castillo"/>
    <x v="478"/>
    <n v="6"/>
    <x v="5"/>
    <x v="5"/>
    <x v="5"/>
    <x v="1"/>
    <x v="2"/>
  </r>
  <r>
    <s v="AX24397"/>
    <s v="ENX2100"/>
    <s v="A153"/>
    <s v="EMP1013"/>
    <s v="C1435"/>
    <x v="634"/>
    <n v="1"/>
    <n v="799"/>
    <n v="455"/>
    <n v="455"/>
    <n v="799"/>
    <n v="344"/>
    <s v="Product 101"/>
    <x v="8"/>
    <s v="Charles Harper"/>
    <x v="476"/>
    <n v="6"/>
    <x v="5"/>
    <x v="5"/>
    <x v="5"/>
    <x v="1"/>
    <x v="2"/>
  </r>
  <r>
    <s v="AX24525"/>
    <s v="ENX2005"/>
    <s v="A155"/>
    <s v="EMP1022"/>
    <s v="C1407"/>
    <x v="635"/>
    <n v="3"/>
    <n v="684"/>
    <n v="561"/>
    <n v="1683"/>
    <n v="2052"/>
    <n v="369"/>
    <s v="Product 6"/>
    <x v="53"/>
    <s v="Walter Cook"/>
    <x v="294"/>
    <n v="6"/>
    <x v="5"/>
    <x v="5"/>
    <x v="5"/>
    <x v="1"/>
    <x v="2"/>
  </r>
  <r>
    <s v="AX24591"/>
    <s v="ENX2059"/>
    <s v="A132"/>
    <s v="EMP1038"/>
    <s v="C1717"/>
    <x v="635"/>
    <n v="1"/>
    <n v="1494"/>
    <n v="971"/>
    <n v="971"/>
    <n v="1494"/>
    <n v="523"/>
    <s v="Product 60"/>
    <x v="48"/>
    <s v="Scott Mason"/>
    <x v="605"/>
    <n v="6"/>
    <x v="5"/>
    <x v="5"/>
    <x v="5"/>
    <x v="1"/>
    <x v="2"/>
  </r>
  <r>
    <s v="AX10250"/>
    <s v="ENX2075"/>
    <s v="A135"/>
    <s v="EMP1003"/>
    <s v="C1274"/>
    <x v="638"/>
    <n v="2"/>
    <n v="400"/>
    <n v="208"/>
    <n v="416"/>
    <n v="800"/>
    <n v="384"/>
    <s v="Product 76"/>
    <x v="10"/>
    <s v="Christopher Tucker"/>
    <x v="173"/>
    <n v="6"/>
    <x v="5"/>
    <x v="6"/>
    <x v="6"/>
    <x v="2"/>
    <x v="0"/>
  </r>
  <r>
    <s v="AX10725"/>
    <s v="ENX2065"/>
    <s v="A158"/>
    <s v="EMP1039"/>
    <s v="C1346"/>
    <x v="638"/>
    <n v="4"/>
    <n v="2396"/>
    <n v="1965"/>
    <n v="7860"/>
    <n v="9584"/>
    <n v="1724"/>
    <s v="Product 66"/>
    <x v="58"/>
    <s v="Eugene Holmes"/>
    <x v="340"/>
    <n v="6"/>
    <x v="5"/>
    <x v="6"/>
    <x v="6"/>
    <x v="2"/>
    <x v="0"/>
  </r>
  <r>
    <s v="AX10830"/>
    <s v="ENX2008"/>
    <s v="A108"/>
    <s v="EMP1026"/>
    <s v="C1395"/>
    <x v="639"/>
    <n v="4"/>
    <n v="315"/>
    <n v="208"/>
    <n v="832"/>
    <n v="1260"/>
    <n v="428"/>
    <s v="Product 9"/>
    <x v="49"/>
    <s v="Martin Perry"/>
    <x v="202"/>
    <n v="6"/>
    <x v="5"/>
    <x v="6"/>
    <x v="6"/>
    <x v="2"/>
    <x v="0"/>
  </r>
  <r>
    <s v="AX10862"/>
    <s v="ENX2005"/>
    <s v="A136"/>
    <s v="EMP1031"/>
    <s v="C1671"/>
    <x v="638"/>
    <n v="4"/>
    <n v="684"/>
    <n v="561"/>
    <n v="2244"/>
    <n v="2736"/>
    <n v="492"/>
    <s v="Product 6"/>
    <x v="43"/>
    <s v="Brian Thomas"/>
    <x v="248"/>
    <n v="6"/>
    <x v="5"/>
    <x v="6"/>
    <x v="6"/>
    <x v="2"/>
    <x v="0"/>
  </r>
  <r>
    <s v="AX10907"/>
    <s v="ENX2003"/>
    <s v="A127"/>
    <s v="EMP1028"/>
    <s v="C1100"/>
    <x v="638"/>
    <n v="1"/>
    <n v="1783"/>
    <n v="1516"/>
    <n v="1516"/>
    <n v="1783"/>
    <n v="267"/>
    <s v="Product 4"/>
    <x v="69"/>
    <s v="Howard Sims"/>
    <x v="110"/>
    <n v="6"/>
    <x v="5"/>
    <x v="6"/>
    <x v="6"/>
    <x v="2"/>
    <x v="0"/>
  </r>
  <r>
    <s v="AX11303"/>
    <s v="ENX2067"/>
    <s v="A167"/>
    <s v="EMP1027"/>
    <s v="C1447"/>
    <x v="639"/>
    <n v="4"/>
    <n v="1119"/>
    <n v="683"/>
    <n v="2732"/>
    <n v="4476"/>
    <n v="1744"/>
    <s v="Product 68"/>
    <x v="64"/>
    <s v="Gary Rodriguez"/>
    <x v="702"/>
    <n v="6"/>
    <x v="5"/>
    <x v="6"/>
    <x v="6"/>
    <x v="2"/>
    <x v="0"/>
  </r>
  <r>
    <s v="AX11386"/>
    <s v="ENX2006"/>
    <s v="A146"/>
    <s v="EMP1012"/>
    <s v="C1441"/>
    <x v="640"/>
    <n v="1"/>
    <n v="1826"/>
    <n v="1443"/>
    <n v="1443"/>
    <n v="1826"/>
    <n v="383"/>
    <s v="Product 7"/>
    <x v="27"/>
    <s v="John Reyes"/>
    <x v="667"/>
    <n v="6"/>
    <x v="5"/>
    <x v="6"/>
    <x v="6"/>
    <x v="2"/>
    <x v="0"/>
  </r>
  <r>
    <s v="AX11548"/>
    <s v="ENX2045"/>
    <s v="A105"/>
    <s v="EMP1030"/>
    <s v="C1709"/>
    <x v="639"/>
    <n v="3"/>
    <n v="556"/>
    <n v="395"/>
    <n v="1185"/>
    <n v="1668"/>
    <n v="483"/>
    <s v="Product 46"/>
    <x v="45"/>
    <s v="Bobby Russell"/>
    <x v="203"/>
    <n v="6"/>
    <x v="5"/>
    <x v="6"/>
    <x v="6"/>
    <x v="2"/>
    <x v="0"/>
  </r>
  <r>
    <s v="AX11941"/>
    <s v="ENX2060"/>
    <s v="A145"/>
    <s v="EMP1023"/>
    <s v="C1291"/>
    <x v="638"/>
    <n v="2"/>
    <n v="1467"/>
    <n v="807"/>
    <n v="1614"/>
    <n v="2934"/>
    <n v="1320"/>
    <s v="Product 61"/>
    <x v="35"/>
    <s v="Brian Davis"/>
    <x v="16"/>
    <n v="6"/>
    <x v="5"/>
    <x v="6"/>
    <x v="6"/>
    <x v="2"/>
    <x v="0"/>
  </r>
  <r>
    <s v="AX12133"/>
    <s v="ENX2097"/>
    <s v="A168"/>
    <s v="EMP1031"/>
    <s v="C1327"/>
    <x v="638"/>
    <n v="1"/>
    <n v="1052"/>
    <n v="589"/>
    <n v="589"/>
    <n v="1052"/>
    <n v="463"/>
    <s v="Product 98"/>
    <x v="40"/>
    <s v="Brian Thomas"/>
    <x v="321"/>
    <n v="6"/>
    <x v="5"/>
    <x v="6"/>
    <x v="6"/>
    <x v="2"/>
    <x v="0"/>
  </r>
  <r>
    <s v="AX12440"/>
    <s v="ENX2028"/>
    <s v="A173"/>
    <s v="EMP1010"/>
    <s v="C1129"/>
    <x v="640"/>
    <n v="1"/>
    <n v="2283"/>
    <n v="1484"/>
    <n v="1484"/>
    <n v="2283"/>
    <n v="799"/>
    <s v="Product 29"/>
    <x v="25"/>
    <s v="Joshua Cook"/>
    <x v="281"/>
    <n v="6"/>
    <x v="5"/>
    <x v="6"/>
    <x v="6"/>
    <x v="2"/>
    <x v="0"/>
  </r>
  <r>
    <s v="AX12526"/>
    <s v="ENX2057"/>
    <s v="A151"/>
    <s v="EMP1035"/>
    <s v="C1458"/>
    <x v="638"/>
    <n v="4"/>
    <n v="181"/>
    <n v="130"/>
    <n v="520"/>
    <n v="724"/>
    <n v="204"/>
    <s v="Product 58"/>
    <x v="1"/>
    <s v="Roger Ramos"/>
    <x v="291"/>
    <n v="6"/>
    <x v="5"/>
    <x v="6"/>
    <x v="6"/>
    <x v="2"/>
    <x v="0"/>
  </r>
  <r>
    <s v="AX12619"/>
    <s v="ENX2059"/>
    <s v="A172"/>
    <s v="EMP1011"/>
    <s v="C1209"/>
    <x v="639"/>
    <n v="2"/>
    <n v="1494"/>
    <n v="971"/>
    <n v="1942"/>
    <n v="2988"/>
    <n v="1046"/>
    <s v="Product 60"/>
    <x v="36"/>
    <s v="Larry Marshall"/>
    <x v="225"/>
    <n v="6"/>
    <x v="5"/>
    <x v="6"/>
    <x v="6"/>
    <x v="2"/>
    <x v="0"/>
  </r>
  <r>
    <s v="AX12918"/>
    <s v="ENX2084"/>
    <s v="A172"/>
    <s v="EMP1012"/>
    <s v="C1469"/>
    <x v="639"/>
    <n v="3"/>
    <n v="1783"/>
    <n v="1230"/>
    <n v="3690"/>
    <n v="5349"/>
    <n v="1659"/>
    <s v="Product 85"/>
    <x v="36"/>
    <s v="John Reyes"/>
    <x v="300"/>
    <n v="6"/>
    <x v="5"/>
    <x v="6"/>
    <x v="6"/>
    <x v="2"/>
    <x v="0"/>
  </r>
  <r>
    <s v="AX13407"/>
    <s v="ENX2090"/>
    <s v="A135"/>
    <s v="EMP1000"/>
    <s v="C1578"/>
    <x v="640"/>
    <n v="4"/>
    <n v="1338"/>
    <n v="682"/>
    <n v="2728"/>
    <n v="5352"/>
    <n v="2624"/>
    <s v="Product 91"/>
    <x v="10"/>
    <s v="Fred Robertson"/>
    <x v="17"/>
    <n v="6"/>
    <x v="5"/>
    <x v="6"/>
    <x v="6"/>
    <x v="2"/>
    <x v="0"/>
  </r>
  <r>
    <s v="AX13503"/>
    <s v="ENX2082"/>
    <s v="A155"/>
    <s v="EMP1003"/>
    <s v="C1373"/>
    <x v="640"/>
    <n v="1"/>
    <n v="1103"/>
    <n v="838"/>
    <n v="838"/>
    <n v="1103"/>
    <n v="265"/>
    <s v="Product 83"/>
    <x v="53"/>
    <s v="Christopher Tucker"/>
    <x v="471"/>
    <n v="6"/>
    <x v="5"/>
    <x v="6"/>
    <x v="6"/>
    <x v="2"/>
    <x v="0"/>
  </r>
  <r>
    <s v="AX14285"/>
    <s v="ENX2090"/>
    <s v="A147"/>
    <s v="EMP1015"/>
    <s v="C1538"/>
    <x v="639"/>
    <n v="4"/>
    <n v="1338"/>
    <n v="682"/>
    <n v="2728"/>
    <n v="5352"/>
    <n v="2624"/>
    <s v="Product 91"/>
    <x v="42"/>
    <s v="Justin Lynch"/>
    <x v="384"/>
    <n v="6"/>
    <x v="5"/>
    <x v="6"/>
    <x v="6"/>
    <x v="2"/>
    <x v="0"/>
  </r>
  <r>
    <s v="AX14330"/>
    <s v="ENX2026"/>
    <s v="A140"/>
    <s v="EMP1030"/>
    <s v="C1067"/>
    <x v="641"/>
    <n v="2"/>
    <n v="947"/>
    <n v="786"/>
    <n v="1572"/>
    <n v="1894"/>
    <n v="322"/>
    <s v="Product 27"/>
    <x v="18"/>
    <s v="Bobby Russell"/>
    <x v="108"/>
    <n v="6"/>
    <x v="5"/>
    <x v="6"/>
    <x v="6"/>
    <x v="2"/>
    <x v="0"/>
  </r>
  <r>
    <s v="AX14443"/>
    <s v="ENX2032"/>
    <s v="A104"/>
    <s v="EMP1037"/>
    <s v="C1356"/>
    <x v="641"/>
    <n v="2"/>
    <n v="1967"/>
    <n v="1397"/>
    <n v="2794"/>
    <n v="3934"/>
    <n v="1140"/>
    <s v="Product 33"/>
    <x v="50"/>
    <s v="Carl Hall"/>
    <x v="238"/>
    <n v="6"/>
    <x v="5"/>
    <x v="6"/>
    <x v="6"/>
    <x v="2"/>
    <x v="0"/>
  </r>
  <r>
    <s v="AX14900"/>
    <s v="ENX2091"/>
    <s v="A128"/>
    <s v="EMP1023"/>
    <s v="C1286"/>
    <x v="641"/>
    <n v="1"/>
    <n v="368"/>
    <n v="294"/>
    <n v="294"/>
    <n v="368"/>
    <n v="74"/>
    <s v="Product 92"/>
    <x v="12"/>
    <s v="Brian Davis"/>
    <x v="308"/>
    <n v="6"/>
    <x v="5"/>
    <x v="6"/>
    <x v="6"/>
    <x v="2"/>
    <x v="0"/>
  </r>
  <r>
    <s v="AX15370"/>
    <s v="ENX2077"/>
    <s v="A117"/>
    <s v="EMP1007"/>
    <s v="C1751"/>
    <x v="639"/>
    <n v="1"/>
    <n v="530"/>
    <n v="424"/>
    <n v="424"/>
    <n v="530"/>
    <n v="106"/>
    <s v="Product 78"/>
    <x v="29"/>
    <s v="Jeremy Mendoza"/>
    <x v="332"/>
    <n v="6"/>
    <x v="5"/>
    <x v="6"/>
    <x v="6"/>
    <x v="2"/>
    <x v="0"/>
  </r>
  <r>
    <s v="AX16180"/>
    <s v="ENX2094"/>
    <s v="A130"/>
    <s v="EMP1002"/>
    <s v="C1362"/>
    <x v="639"/>
    <n v="1"/>
    <n v="771"/>
    <n v="648"/>
    <n v="648"/>
    <n v="771"/>
    <n v="123"/>
    <s v="Product 95"/>
    <x v="4"/>
    <s v="Andrew Bowman"/>
    <x v="41"/>
    <n v="6"/>
    <x v="5"/>
    <x v="6"/>
    <x v="6"/>
    <x v="2"/>
    <x v="0"/>
  </r>
  <r>
    <s v="AX16465"/>
    <s v="ENX2023"/>
    <s v="A133"/>
    <s v="EMP1022"/>
    <s v="C1638"/>
    <x v="639"/>
    <n v="1"/>
    <n v="818"/>
    <n v="450"/>
    <n v="450"/>
    <n v="818"/>
    <n v="368"/>
    <s v="Product 24"/>
    <x v="46"/>
    <s v="Walter Cook"/>
    <x v="395"/>
    <n v="6"/>
    <x v="5"/>
    <x v="6"/>
    <x v="6"/>
    <x v="2"/>
    <x v="0"/>
  </r>
  <r>
    <s v="AX16693"/>
    <s v="ENX2022"/>
    <s v="A160"/>
    <s v="EMP1032"/>
    <s v="C1225"/>
    <x v="639"/>
    <n v="4"/>
    <n v="561"/>
    <n v="421"/>
    <n v="1684"/>
    <n v="2244"/>
    <n v="560"/>
    <s v="Product 23"/>
    <x v="9"/>
    <s v="Larry Castillo"/>
    <x v="588"/>
    <n v="6"/>
    <x v="5"/>
    <x v="6"/>
    <x v="6"/>
    <x v="2"/>
    <x v="0"/>
  </r>
  <r>
    <s v="AX16785"/>
    <s v="ENX2067"/>
    <s v="A128"/>
    <s v="EMP1037"/>
    <s v="C1193"/>
    <x v="640"/>
    <n v="2"/>
    <n v="1119"/>
    <n v="683"/>
    <n v="1366"/>
    <n v="2238"/>
    <n v="872"/>
    <s v="Product 68"/>
    <x v="12"/>
    <s v="Carl Hall"/>
    <x v="219"/>
    <n v="6"/>
    <x v="5"/>
    <x v="6"/>
    <x v="6"/>
    <x v="2"/>
    <x v="0"/>
  </r>
  <r>
    <s v="AX17358"/>
    <s v="ENX2087"/>
    <s v="A132"/>
    <s v="EMP1030"/>
    <s v="C1530"/>
    <x v="638"/>
    <n v="2"/>
    <n v="1022"/>
    <n v="818"/>
    <n v="1636"/>
    <n v="2044"/>
    <n v="408"/>
    <s v="Product 88"/>
    <x v="48"/>
    <s v="Bobby Russell"/>
    <x v="224"/>
    <n v="6"/>
    <x v="5"/>
    <x v="6"/>
    <x v="6"/>
    <x v="2"/>
    <x v="0"/>
  </r>
  <r>
    <s v="AX17663"/>
    <s v="ENX2065"/>
    <s v="A162"/>
    <s v="EMP1041"/>
    <s v="C1120"/>
    <x v="638"/>
    <n v="2"/>
    <n v="2396"/>
    <n v="1965"/>
    <n v="3930"/>
    <n v="4792"/>
    <n v="862"/>
    <s v="Product 66"/>
    <x v="2"/>
    <s v="Joe Sims"/>
    <x v="685"/>
    <n v="6"/>
    <x v="5"/>
    <x v="6"/>
    <x v="6"/>
    <x v="2"/>
    <x v="0"/>
  </r>
  <r>
    <s v="AX17670"/>
    <s v="ENX2012"/>
    <s v="A167"/>
    <s v="EMP1039"/>
    <s v="C1487"/>
    <x v="641"/>
    <n v="1"/>
    <n v="1353"/>
    <n v="947"/>
    <n v="947"/>
    <n v="1353"/>
    <n v="406"/>
    <s v="Product 13"/>
    <x v="64"/>
    <s v="Eugene Holmes"/>
    <x v="461"/>
    <n v="6"/>
    <x v="5"/>
    <x v="6"/>
    <x v="6"/>
    <x v="2"/>
    <x v="0"/>
  </r>
  <r>
    <s v="AX18110"/>
    <s v="ENX2026"/>
    <s v="A112"/>
    <s v="EMP1029"/>
    <s v="C1294"/>
    <x v="640"/>
    <n v="4"/>
    <n v="947"/>
    <n v="786"/>
    <n v="3144"/>
    <n v="3788"/>
    <n v="644"/>
    <s v="Product 27"/>
    <x v="66"/>
    <s v="Howard Gardner"/>
    <x v="419"/>
    <n v="6"/>
    <x v="5"/>
    <x v="6"/>
    <x v="6"/>
    <x v="2"/>
    <x v="0"/>
  </r>
  <r>
    <s v="AX18371"/>
    <s v="ENX2062"/>
    <s v="A163"/>
    <s v="EMP1002"/>
    <s v="C1793"/>
    <x v="638"/>
    <n v="3"/>
    <n v="2464"/>
    <n v="1774"/>
    <n v="5322"/>
    <n v="7392"/>
    <n v="2070"/>
    <s v="Product 63"/>
    <x v="51"/>
    <s v="Andrew Bowman"/>
    <x v="677"/>
    <n v="6"/>
    <x v="5"/>
    <x v="6"/>
    <x v="6"/>
    <x v="2"/>
    <x v="0"/>
  </r>
  <r>
    <s v="AX18532"/>
    <s v="ENX2094"/>
    <s v="A157"/>
    <s v="EMP1042"/>
    <s v="C1170"/>
    <x v="640"/>
    <n v="1"/>
    <n v="771"/>
    <n v="648"/>
    <n v="648"/>
    <n v="771"/>
    <n v="123"/>
    <s v="Product 95"/>
    <x v="7"/>
    <s v="Scott Clark"/>
    <x v="616"/>
    <n v="6"/>
    <x v="5"/>
    <x v="6"/>
    <x v="6"/>
    <x v="2"/>
    <x v="0"/>
  </r>
  <r>
    <s v="AX18547"/>
    <s v="ENX2066"/>
    <s v="A110"/>
    <s v="EMP1015"/>
    <s v="C1593"/>
    <x v="639"/>
    <n v="1"/>
    <n v="2091"/>
    <n v="1485"/>
    <n v="1485"/>
    <n v="2091"/>
    <n v="606"/>
    <s v="Product 67"/>
    <x v="63"/>
    <s v="Justin Lynch"/>
    <x v="25"/>
    <n v="6"/>
    <x v="5"/>
    <x v="6"/>
    <x v="6"/>
    <x v="2"/>
    <x v="0"/>
  </r>
  <r>
    <s v="AX18591"/>
    <s v="ENX2005"/>
    <s v="A163"/>
    <s v="EMP1037"/>
    <s v="C1125"/>
    <x v="639"/>
    <n v="1"/>
    <n v="684"/>
    <n v="561"/>
    <n v="561"/>
    <n v="684"/>
    <n v="123"/>
    <s v="Product 6"/>
    <x v="51"/>
    <s v="Carl Hall"/>
    <x v="539"/>
    <n v="6"/>
    <x v="5"/>
    <x v="6"/>
    <x v="6"/>
    <x v="2"/>
    <x v="0"/>
  </r>
  <r>
    <s v="AX18711"/>
    <s v="ENX2060"/>
    <s v="A173"/>
    <s v="EMP1015"/>
    <s v="C1734"/>
    <x v="639"/>
    <n v="1"/>
    <n v="1467"/>
    <n v="807"/>
    <n v="807"/>
    <n v="1467"/>
    <n v="660"/>
    <s v="Product 61"/>
    <x v="25"/>
    <s v="Justin Lynch"/>
    <x v="658"/>
    <n v="6"/>
    <x v="5"/>
    <x v="6"/>
    <x v="6"/>
    <x v="2"/>
    <x v="0"/>
  </r>
  <r>
    <s v="AX19250"/>
    <s v="ENX2018"/>
    <s v="A117"/>
    <s v="EMP1029"/>
    <s v="C1505"/>
    <x v="638"/>
    <n v="1"/>
    <n v="1972"/>
    <n v="1321"/>
    <n v="1321"/>
    <n v="1972"/>
    <n v="651"/>
    <s v="Product 19"/>
    <x v="29"/>
    <s v="Howard Gardner"/>
    <x v="632"/>
    <n v="6"/>
    <x v="5"/>
    <x v="6"/>
    <x v="6"/>
    <x v="2"/>
    <x v="0"/>
  </r>
  <r>
    <s v="AX19335"/>
    <s v="ENX2063"/>
    <s v="A170"/>
    <s v="EMP1004"/>
    <s v="C1319"/>
    <x v="641"/>
    <n v="4"/>
    <n v="1708"/>
    <n v="871"/>
    <n v="3484"/>
    <n v="6832"/>
    <n v="3348"/>
    <s v="Product 64"/>
    <x v="47"/>
    <s v="Kenneth Bradley"/>
    <x v="464"/>
    <n v="6"/>
    <x v="5"/>
    <x v="6"/>
    <x v="6"/>
    <x v="2"/>
    <x v="0"/>
  </r>
  <r>
    <s v="AX20024"/>
    <s v="ENX2093"/>
    <s v="A152"/>
    <s v="EMP1016"/>
    <s v="C1399"/>
    <x v="638"/>
    <n v="1"/>
    <n v="112"/>
    <n v="90"/>
    <n v="90"/>
    <n v="112"/>
    <n v="22"/>
    <s v="Product 94"/>
    <x v="26"/>
    <s v="Henry Nelson"/>
    <x v="776"/>
    <n v="6"/>
    <x v="5"/>
    <x v="6"/>
    <x v="6"/>
    <x v="2"/>
    <x v="0"/>
  </r>
  <r>
    <s v="AX20090"/>
    <s v="ENX2084"/>
    <s v="A103"/>
    <s v="EMP1044"/>
    <s v="C1032"/>
    <x v="638"/>
    <n v="1"/>
    <n v="1783"/>
    <n v="1230"/>
    <n v="1230"/>
    <n v="1783"/>
    <n v="553"/>
    <s v="Product 85"/>
    <x v="61"/>
    <s v="Martin Carr"/>
    <x v="270"/>
    <n v="6"/>
    <x v="5"/>
    <x v="6"/>
    <x v="6"/>
    <x v="2"/>
    <x v="0"/>
  </r>
  <r>
    <s v="AX20267"/>
    <s v="ENX2023"/>
    <s v="A120"/>
    <s v="EMP1009"/>
    <s v="C1763"/>
    <x v="641"/>
    <n v="1"/>
    <n v="818"/>
    <n v="450"/>
    <n v="450"/>
    <n v="818"/>
    <n v="368"/>
    <s v="Product 24"/>
    <x v="20"/>
    <s v="Kenneth Fields"/>
    <x v="409"/>
    <n v="6"/>
    <x v="5"/>
    <x v="6"/>
    <x v="6"/>
    <x v="2"/>
    <x v="0"/>
  </r>
  <r>
    <s v="AX20427"/>
    <s v="ENX2088"/>
    <s v="A141"/>
    <s v="EMP1022"/>
    <s v="C1275"/>
    <x v="638"/>
    <n v="1"/>
    <n v="603"/>
    <n v="416"/>
    <n v="416"/>
    <n v="603"/>
    <n v="187"/>
    <s v="Product 89"/>
    <x v="23"/>
    <s v="Walter Cook"/>
    <x v="144"/>
    <n v="6"/>
    <x v="5"/>
    <x v="6"/>
    <x v="6"/>
    <x v="2"/>
    <x v="0"/>
  </r>
  <r>
    <s v="AX20970"/>
    <s v="ENX2022"/>
    <s v="A122"/>
    <s v="EMP1016"/>
    <s v="C1153"/>
    <x v="639"/>
    <n v="3"/>
    <n v="561"/>
    <n v="421"/>
    <n v="1263"/>
    <n v="1683"/>
    <n v="420"/>
    <s v="Product 23"/>
    <x v="71"/>
    <s v="Henry Nelson"/>
    <x v="382"/>
    <n v="6"/>
    <x v="5"/>
    <x v="6"/>
    <x v="6"/>
    <x v="2"/>
    <x v="0"/>
  </r>
  <r>
    <s v="AX21495"/>
    <s v="ENX2087"/>
    <s v="A101"/>
    <s v="EMP1038"/>
    <s v="C1774"/>
    <x v="640"/>
    <n v="3"/>
    <n v="1022"/>
    <n v="818"/>
    <n v="2454"/>
    <n v="3066"/>
    <n v="612"/>
    <s v="Product 88"/>
    <x v="60"/>
    <s v="Scott Mason"/>
    <x v="232"/>
    <n v="6"/>
    <x v="5"/>
    <x v="6"/>
    <x v="6"/>
    <x v="2"/>
    <x v="0"/>
  </r>
  <r>
    <s v="AX21691"/>
    <s v="ENX2099"/>
    <s v="A117"/>
    <s v="EMP1033"/>
    <s v="C1394"/>
    <x v="640"/>
    <n v="3"/>
    <n v="1367"/>
    <n v="984"/>
    <n v="2952"/>
    <n v="4101"/>
    <n v="1149"/>
    <s v="Product 100"/>
    <x v="29"/>
    <s v="Jerry Perry"/>
    <x v="116"/>
    <n v="6"/>
    <x v="5"/>
    <x v="6"/>
    <x v="6"/>
    <x v="2"/>
    <x v="0"/>
  </r>
  <r>
    <s v="AX21756"/>
    <s v="ENX2070"/>
    <s v="A116"/>
    <s v="EMP1007"/>
    <s v="C1128"/>
    <x v="640"/>
    <n v="1"/>
    <n v="1671"/>
    <n v="1220"/>
    <n v="1220"/>
    <n v="1671"/>
    <n v="451"/>
    <s v="Product 71"/>
    <x v="15"/>
    <s v="Jeremy Mendoza"/>
    <x v="553"/>
    <n v="6"/>
    <x v="5"/>
    <x v="6"/>
    <x v="6"/>
    <x v="2"/>
    <x v="0"/>
  </r>
  <r>
    <s v="AX21987"/>
    <s v="ENX2039"/>
    <s v="A111"/>
    <s v="EMP1025"/>
    <s v="C1555"/>
    <x v="639"/>
    <n v="3"/>
    <n v="817"/>
    <n v="409"/>
    <n v="1227"/>
    <n v="2451"/>
    <n v="1224"/>
    <s v="Product 40"/>
    <x v="54"/>
    <s v="Ernest Wagner"/>
    <x v="148"/>
    <n v="6"/>
    <x v="5"/>
    <x v="6"/>
    <x v="6"/>
    <x v="2"/>
    <x v="0"/>
  </r>
  <r>
    <s v="AX22138"/>
    <s v="ENX2055"/>
    <s v="A150"/>
    <s v="EMP1028"/>
    <s v="C1272"/>
    <x v="640"/>
    <n v="1"/>
    <n v="2495"/>
    <n v="1896"/>
    <n v="1896"/>
    <n v="2495"/>
    <n v="599"/>
    <s v="Product 56"/>
    <x v="30"/>
    <s v="Howard Sims"/>
    <x v="491"/>
    <n v="6"/>
    <x v="5"/>
    <x v="6"/>
    <x v="6"/>
    <x v="2"/>
    <x v="0"/>
  </r>
  <r>
    <s v="AX22484"/>
    <s v="ENX2007"/>
    <s v="A167"/>
    <s v="EMP1006"/>
    <s v="C1087"/>
    <x v="640"/>
    <n v="3"/>
    <n v="1405"/>
    <n v="1054"/>
    <n v="3162"/>
    <n v="4215"/>
    <n v="1053"/>
    <s v="Product 8"/>
    <x v="64"/>
    <s v="Sean Miller"/>
    <x v="156"/>
    <n v="6"/>
    <x v="5"/>
    <x v="6"/>
    <x v="6"/>
    <x v="2"/>
    <x v="0"/>
  </r>
  <r>
    <s v="AX22553"/>
    <s v="ENX2027"/>
    <s v="A149"/>
    <s v="EMP1033"/>
    <s v="C1393"/>
    <x v="638"/>
    <n v="1"/>
    <n v="2497"/>
    <n v="1473"/>
    <n v="1473"/>
    <n v="2497"/>
    <n v="1024"/>
    <s v="Product 28"/>
    <x v="59"/>
    <s v="Jerry Perry"/>
    <x v="93"/>
    <n v="6"/>
    <x v="5"/>
    <x v="6"/>
    <x v="6"/>
    <x v="2"/>
    <x v="0"/>
  </r>
  <r>
    <s v="AX22659"/>
    <s v="ENX2054"/>
    <s v="A133"/>
    <s v="EMP1006"/>
    <s v="C1536"/>
    <x v="638"/>
    <n v="2"/>
    <n v="127"/>
    <n v="79"/>
    <n v="158"/>
    <n v="254"/>
    <n v="96"/>
    <s v="Product 55"/>
    <x v="46"/>
    <s v="Sean Miller"/>
    <x v="74"/>
    <n v="6"/>
    <x v="5"/>
    <x v="6"/>
    <x v="6"/>
    <x v="2"/>
    <x v="0"/>
  </r>
  <r>
    <s v="AX22727"/>
    <s v="ENX2032"/>
    <s v="A148"/>
    <s v="EMP1035"/>
    <s v="C1760"/>
    <x v="640"/>
    <n v="1"/>
    <n v="1967"/>
    <n v="1397"/>
    <n v="1397"/>
    <n v="1967"/>
    <n v="570"/>
    <s v="Product 33"/>
    <x v="62"/>
    <s v="Roger Ramos"/>
    <x v="502"/>
    <n v="6"/>
    <x v="5"/>
    <x v="6"/>
    <x v="6"/>
    <x v="2"/>
    <x v="0"/>
  </r>
  <r>
    <s v="AX23256"/>
    <s v="ENX2069"/>
    <s v="A131"/>
    <s v="EMP1036"/>
    <s v="C1323"/>
    <x v="641"/>
    <n v="2"/>
    <n v="378"/>
    <n v="291"/>
    <n v="582"/>
    <n v="756"/>
    <n v="174"/>
    <s v="Product 70"/>
    <x v="32"/>
    <s v="Robert Reed"/>
    <x v="83"/>
    <n v="6"/>
    <x v="5"/>
    <x v="6"/>
    <x v="6"/>
    <x v="2"/>
    <x v="0"/>
  </r>
  <r>
    <s v="AX23610"/>
    <s v="ENX2017"/>
    <s v="A127"/>
    <s v="EMP1023"/>
    <s v="C1092"/>
    <x v="641"/>
    <n v="1"/>
    <n v="35"/>
    <n v="22"/>
    <n v="22"/>
    <n v="35"/>
    <n v="13"/>
    <s v="Product 18"/>
    <x v="69"/>
    <s v="Brian Davis"/>
    <x v="572"/>
    <n v="6"/>
    <x v="5"/>
    <x v="6"/>
    <x v="6"/>
    <x v="2"/>
    <x v="0"/>
  </r>
  <r>
    <s v="AX23615"/>
    <s v="ENX2088"/>
    <s v="A146"/>
    <s v="EMP1031"/>
    <s v="C1107"/>
    <x v="641"/>
    <n v="4"/>
    <n v="603"/>
    <n v="416"/>
    <n v="1664"/>
    <n v="2412"/>
    <n v="748"/>
    <s v="Product 89"/>
    <x v="27"/>
    <s v="Brian Thomas"/>
    <x v="278"/>
    <n v="6"/>
    <x v="5"/>
    <x v="6"/>
    <x v="6"/>
    <x v="2"/>
    <x v="0"/>
  </r>
  <r>
    <s v="AX23673"/>
    <s v="ENX2064"/>
    <s v="A125"/>
    <s v="EMP1022"/>
    <s v="C1719"/>
    <x v="639"/>
    <n v="2"/>
    <n v="1414"/>
    <n v="962"/>
    <n v="1924"/>
    <n v="2828"/>
    <n v="904"/>
    <s v="Product 65"/>
    <x v="31"/>
    <s v="Walter Cook"/>
    <x v="666"/>
    <n v="6"/>
    <x v="5"/>
    <x v="6"/>
    <x v="6"/>
    <x v="2"/>
    <x v="0"/>
  </r>
  <r>
    <s v="AX23776"/>
    <s v="ENX2038"/>
    <s v="A116"/>
    <s v="EMP1029"/>
    <s v="C1709"/>
    <x v="641"/>
    <n v="1"/>
    <n v="392"/>
    <n v="255"/>
    <n v="255"/>
    <n v="392"/>
    <n v="137"/>
    <s v="Product 39"/>
    <x v="15"/>
    <s v="Howard Gardner"/>
    <x v="203"/>
    <n v="6"/>
    <x v="5"/>
    <x v="6"/>
    <x v="6"/>
    <x v="2"/>
    <x v="0"/>
  </r>
  <r>
    <s v="AX23944"/>
    <s v="ENX2089"/>
    <s v="A162"/>
    <s v="EMP1031"/>
    <s v="C1796"/>
    <x v="639"/>
    <n v="2"/>
    <n v="2294"/>
    <n v="1399"/>
    <n v="2798"/>
    <n v="4588"/>
    <n v="1790"/>
    <s v="Product 90"/>
    <x v="2"/>
    <s v="Brian Thomas"/>
    <x v="630"/>
    <n v="6"/>
    <x v="5"/>
    <x v="6"/>
    <x v="6"/>
    <x v="2"/>
    <x v="0"/>
  </r>
  <r>
    <s v="AX24280"/>
    <s v="ENX2096"/>
    <s v="A110"/>
    <s v="EMP1003"/>
    <s v="C1408"/>
    <x v="638"/>
    <n v="2"/>
    <n v="1587"/>
    <n v="1301"/>
    <n v="2602"/>
    <n v="3174"/>
    <n v="572"/>
    <s v="Product 97"/>
    <x v="63"/>
    <s v="Christopher Tucker"/>
    <x v="647"/>
    <n v="6"/>
    <x v="5"/>
    <x v="6"/>
    <x v="6"/>
    <x v="2"/>
    <x v="0"/>
  </r>
  <r>
    <s v="AX24372"/>
    <s v="ENX2054"/>
    <s v="A138"/>
    <s v="EMP1006"/>
    <s v="C1409"/>
    <x v="638"/>
    <n v="1"/>
    <n v="127"/>
    <n v="79"/>
    <n v="79"/>
    <n v="127"/>
    <n v="48"/>
    <s v="Product 55"/>
    <x v="37"/>
    <s v="Sean Miller"/>
    <x v="44"/>
    <n v="6"/>
    <x v="5"/>
    <x v="6"/>
    <x v="6"/>
    <x v="2"/>
    <x v="0"/>
  </r>
  <r>
    <s v="AX10050"/>
    <s v="ENX2004"/>
    <s v="A172"/>
    <s v="EMP1003"/>
    <s v="C1012"/>
    <x v="642"/>
    <n v="1"/>
    <n v="1278"/>
    <n v="665"/>
    <n v="665"/>
    <n v="1278"/>
    <n v="613"/>
    <s v="Product 5"/>
    <x v="36"/>
    <s v="Christopher Tucker"/>
    <x v="738"/>
    <n v="6"/>
    <x v="5"/>
    <x v="6"/>
    <x v="6"/>
    <x v="2"/>
    <x v="2"/>
  </r>
  <r>
    <s v="AX10154"/>
    <s v="ENX2075"/>
    <s v="A140"/>
    <s v="EMP1033"/>
    <s v="C1407"/>
    <x v="643"/>
    <n v="1"/>
    <n v="400"/>
    <n v="208"/>
    <n v="208"/>
    <n v="400"/>
    <n v="192"/>
    <s v="Product 76"/>
    <x v="18"/>
    <s v="Jerry Perry"/>
    <x v="294"/>
    <n v="6"/>
    <x v="5"/>
    <x v="6"/>
    <x v="6"/>
    <x v="2"/>
    <x v="2"/>
  </r>
  <r>
    <s v="AX10420"/>
    <s v="ENX2010"/>
    <s v="A112"/>
    <s v="EMP1002"/>
    <s v="C1599"/>
    <x v="644"/>
    <n v="1"/>
    <n v="1812"/>
    <n v="1305"/>
    <n v="1305"/>
    <n v="1812"/>
    <n v="507"/>
    <s v="Product 11"/>
    <x v="66"/>
    <s v="Andrew Bowman"/>
    <x v="556"/>
    <n v="6"/>
    <x v="5"/>
    <x v="6"/>
    <x v="6"/>
    <x v="2"/>
    <x v="2"/>
  </r>
  <r>
    <s v="AX10732"/>
    <s v="ENX2062"/>
    <s v="A169"/>
    <s v="EMP1025"/>
    <s v="C1619"/>
    <x v="643"/>
    <n v="2"/>
    <n v="2464"/>
    <n v="1774"/>
    <n v="3548"/>
    <n v="4928"/>
    <n v="1380"/>
    <s v="Product 63"/>
    <x v="17"/>
    <s v="Ernest Wagner"/>
    <x v="77"/>
    <n v="6"/>
    <x v="5"/>
    <x v="6"/>
    <x v="6"/>
    <x v="2"/>
    <x v="2"/>
  </r>
  <r>
    <s v="AX11088"/>
    <s v="ENX2014"/>
    <s v="A168"/>
    <s v="EMP1033"/>
    <s v="C1474"/>
    <x v="644"/>
    <n v="1"/>
    <n v="1809"/>
    <n v="1067"/>
    <n v="1067"/>
    <n v="1809"/>
    <n v="742"/>
    <s v="Product 15"/>
    <x v="40"/>
    <s v="Jerry Perry"/>
    <x v="265"/>
    <n v="6"/>
    <x v="5"/>
    <x v="6"/>
    <x v="6"/>
    <x v="2"/>
    <x v="2"/>
  </r>
  <r>
    <s v="AX11828"/>
    <s v="ENX2011"/>
    <s v="A149"/>
    <s v="EMP1014"/>
    <s v="C1318"/>
    <x v="644"/>
    <n v="1"/>
    <n v="530"/>
    <n v="435"/>
    <n v="435"/>
    <n v="530"/>
    <n v="95"/>
    <s v="Product 12"/>
    <x v="59"/>
    <s v="Ronald Reed"/>
    <x v="730"/>
    <n v="6"/>
    <x v="5"/>
    <x v="6"/>
    <x v="6"/>
    <x v="2"/>
    <x v="2"/>
  </r>
  <r>
    <s v="AX12107"/>
    <s v="ENX2017"/>
    <s v="A164"/>
    <s v="EMP1007"/>
    <s v="C1380"/>
    <x v="642"/>
    <n v="4"/>
    <n v="35"/>
    <n v="22"/>
    <n v="88"/>
    <n v="140"/>
    <n v="52"/>
    <s v="Product 18"/>
    <x v="3"/>
    <s v="Jeremy Mendoza"/>
    <x v="540"/>
    <n v="6"/>
    <x v="5"/>
    <x v="6"/>
    <x v="6"/>
    <x v="2"/>
    <x v="2"/>
  </r>
  <r>
    <s v="AX12462"/>
    <s v="ENX2043"/>
    <s v="A154"/>
    <s v="EMP1030"/>
    <s v="C1011"/>
    <x v="644"/>
    <n v="2"/>
    <n v="545"/>
    <n v="425"/>
    <n v="850"/>
    <n v="1090"/>
    <n v="240"/>
    <s v="Product 44"/>
    <x v="24"/>
    <s v="Bobby Russell"/>
    <x v="275"/>
    <n v="6"/>
    <x v="5"/>
    <x v="6"/>
    <x v="6"/>
    <x v="2"/>
    <x v="2"/>
  </r>
  <r>
    <s v="AX12723"/>
    <s v="ENX2023"/>
    <s v="A148"/>
    <s v="EMP1015"/>
    <s v="C1004"/>
    <x v="642"/>
    <n v="1"/>
    <n v="818"/>
    <n v="450"/>
    <n v="450"/>
    <n v="818"/>
    <n v="368"/>
    <s v="Product 24"/>
    <x v="62"/>
    <s v="Justin Lynch"/>
    <x v="708"/>
    <n v="6"/>
    <x v="5"/>
    <x v="6"/>
    <x v="6"/>
    <x v="2"/>
    <x v="2"/>
  </r>
  <r>
    <s v="AX12971"/>
    <s v="ENX2016"/>
    <s v="A117"/>
    <s v="EMP1001"/>
    <s v="C1591"/>
    <x v="645"/>
    <n v="2"/>
    <n v="1351"/>
    <n v="1108"/>
    <n v="2216"/>
    <n v="2702"/>
    <n v="486"/>
    <s v="Product 17"/>
    <x v="29"/>
    <s v="Kevin Butler"/>
    <x v="289"/>
    <n v="6"/>
    <x v="5"/>
    <x v="6"/>
    <x v="6"/>
    <x v="2"/>
    <x v="2"/>
  </r>
  <r>
    <s v="AX13085"/>
    <s v="ENX2089"/>
    <s v="A173"/>
    <s v="EMP1014"/>
    <s v="C1219"/>
    <x v="643"/>
    <n v="2"/>
    <n v="2294"/>
    <n v="1399"/>
    <n v="2798"/>
    <n v="4588"/>
    <n v="1790"/>
    <s v="Product 90"/>
    <x v="25"/>
    <s v="Ronald Reed"/>
    <x v="301"/>
    <n v="6"/>
    <x v="5"/>
    <x v="6"/>
    <x v="6"/>
    <x v="2"/>
    <x v="2"/>
  </r>
  <r>
    <s v="AX13439"/>
    <s v="ENX2033"/>
    <s v="A125"/>
    <s v="EMP1030"/>
    <s v="C1527"/>
    <x v="644"/>
    <n v="1"/>
    <n v="2182"/>
    <n v="1200"/>
    <n v="1200"/>
    <n v="2182"/>
    <n v="982"/>
    <s v="Product 34"/>
    <x v="31"/>
    <s v="Bobby Russell"/>
    <x v="375"/>
    <n v="6"/>
    <x v="5"/>
    <x v="6"/>
    <x v="6"/>
    <x v="2"/>
    <x v="2"/>
  </r>
  <r>
    <s v="AX13796"/>
    <s v="ENX2013"/>
    <s v="A166"/>
    <s v="EMP1016"/>
    <s v="C1584"/>
    <x v="644"/>
    <n v="1"/>
    <n v="368"/>
    <n v="269"/>
    <n v="269"/>
    <n v="368"/>
    <n v="99"/>
    <s v="Product 14"/>
    <x v="70"/>
    <s v="Henry Nelson"/>
    <x v="72"/>
    <n v="6"/>
    <x v="5"/>
    <x v="6"/>
    <x v="6"/>
    <x v="2"/>
    <x v="2"/>
  </r>
  <r>
    <s v="AX13812"/>
    <s v="ENX2080"/>
    <s v="A165"/>
    <s v="EMP1018"/>
    <s v="C1316"/>
    <x v="642"/>
    <n v="3"/>
    <n v="2353"/>
    <n v="1788"/>
    <n v="5364"/>
    <n v="7059"/>
    <n v="1695"/>
    <s v="Product 81"/>
    <x v="55"/>
    <s v="Jimmy Young"/>
    <x v="771"/>
    <n v="6"/>
    <x v="5"/>
    <x v="6"/>
    <x v="6"/>
    <x v="2"/>
    <x v="2"/>
  </r>
  <r>
    <s v="AX13818"/>
    <s v="ENX2000"/>
    <s v="A146"/>
    <s v="EMP1008"/>
    <s v="C1746"/>
    <x v="645"/>
    <n v="2"/>
    <n v="2241"/>
    <n v="1367"/>
    <n v="2734"/>
    <n v="4482"/>
    <n v="1748"/>
    <s v="Product 1"/>
    <x v="27"/>
    <s v="Carl Elliott"/>
    <x v="693"/>
    <n v="6"/>
    <x v="5"/>
    <x v="6"/>
    <x v="6"/>
    <x v="2"/>
    <x v="2"/>
  </r>
  <r>
    <s v="AX14076"/>
    <s v="ENX2011"/>
    <s v="A140"/>
    <s v="EMP1009"/>
    <s v="C1544"/>
    <x v="645"/>
    <n v="2"/>
    <n v="530"/>
    <n v="435"/>
    <n v="870"/>
    <n v="1060"/>
    <n v="190"/>
    <s v="Product 12"/>
    <x v="18"/>
    <s v="Kenneth Fields"/>
    <x v="196"/>
    <n v="6"/>
    <x v="5"/>
    <x v="6"/>
    <x v="6"/>
    <x v="2"/>
    <x v="2"/>
  </r>
  <r>
    <s v="AX14473"/>
    <s v="ENX2057"/>
    <s v="A141"/>
    <s v="EMP1015"/>
    <s v="C1244"/>
    <x v="643"/>
    <n v="3"/>
    <n v="181"/>
    <n v="130"/>
    <n v="390"/>
    <n v="543"/>
    <n v="153"/>
    <s v="Product 58"/>
    <x v="23"/>
    <s v="Justin Lynch"/>
    <x v="381"/>
    <n v="6"/>
    <x v="5"/>
    <x v="6"/>
    <x v="6"/>
    <x v="2"/>
    <x v="2"/>
  </r>
  <r>
    <s v="AX14640"/>
    <s v="ENX2081"/>
    <s v="A139"/>
    <s v="EMP1026"/>
    <s v="C1022"/>
    <x v="645"/>
    <n v="2"/>
    <n v="1566"/>
    <n v="1190"/>
    <n v="2380"/>
    <n v="3132"/>
    <n v="752"/>
    <s v="Product 82"/>
    <x v="38"/>
    <s v="Martin Perry"/>
    <x v="249"/>
    <n v="6"/>
    <x v="5"/>
    <x v="6"/>
    <x v="6"/>
    <x v="2"/>
    <x v="2"/>
  </r>
  <r>
    <s v="AX14738"/>
    <s v="ENX2014"/>
    <s v="A126"/>
    <s v="EMP1005"/>
    <s v="C1321"/>
    <x v="645"/>
    <n v="1"/>
    <n v="1809"/>
    <n v="1067"/>
    <n v="1067"/>
    <n v="1809"/>
    <n v="742"/>
    <s v="Product 15"/>
    <x v="5"/>
    <s v="Ryan Welch"/>
    <x v="775"/>
    <n v="6"/>
    <x v="5"/>
    <x v="6"/>
    <x v="6"/>
    <x v="2"/>
    <x v="2"/>
  </r>
  <r>
    <s v="AX15066"/>
    <s v="ENX2071"/>
    <s v="A127"/>
    <s v="EMP1004"/>
    <s v="C1157"/>
    <x v="644"/>
    <n v="2"/>
    <n v="136"/>
    <n v="72"/>
    <n v="144"/>
    <n v="272"/>
    <n v="128"/>
    <s v="Product 72"/>
    <x v="69"/>
    <s v="Kenneth Bradley"/>
    <x v="415"/>
    <n v="6"/>
    <x v="5"/>
    <x v="6"/>
    <x v="6"/>
    <x v="2"/>
    <x v="2"/>
  </r>
  <r>
    <s v="AX15193"/>
    <s v="ENX2048"/>
    <s v="A152"/>
    <s v="EMP1015"/>
    <s v="C1505"/>
    <x v="645"/>
    <n v="1"/>
    <n v="502"/>
    <n v="296"/>
    <n v="296"/>
    <n v="502"/>
    <n v="206"/>
    <s v="Product 49"/>
    <x v="26"/>
    <s v="Justin Lynch"/>
    <x v="632"/>
    <n v="6"/>
    <x v="5"/>
    <x v="6"/>
    <x v="6"/>
    <x v="2"/>
    <x v="2"/>
  </r>
  <r>
    <s v="AX15705"/>
    <s v="ENX2009"/>
    <s v="A173"/>
    <s v="EMP1020"/>
    <s v="C1390"/>
    <x v="642"/>
    <n v="1"/>
    <n v="584"/>
    <n v="420"/>
    <n v="420"/>
    <n v="584"/>
    <n v="164"/>
    <s v="Product 10"/>
    <x v="25"/>
    <s v="Ryan Butler"/>
    <x v="279"/>
    <n v="6"/>
    <x v="5"/>
    <x v="6"/>
    <x v="6"/>
    <x v="2"/>
    <x v="2"/>
  </r>
  <r>
    <s v="AX15843"/>
    <s v="ENX2022"/>
    <s v="A102"/>
    <s v="EMP1022"/>
    <s v="C1310"/>
    <x v="642"/>
    <n v="2"/>
    <n v="561"/>
    <n v="421"/>
    <n v="842"/>
    <n v="1122"/>
    <n v="280"/>
    <s v="Product 23"/>
    <x v="44"/>
    <s v="Walter Cook"/>
    <x v="169"/>
    <n v="6"/>
    <x v="5"/>
    <x v="6"/>
    <x v="6"/>
    <x v="2"/>
    <x v="2"/>
  </r>
  <r>
    <s v="AX15893"/>
    <s v="ENX2047"/>
    <s v="A164"/>
    <s v="EMP1030"/>
    <s v="C1627"/>
    <x v="645"/>
    <n v="2"/>
    <n v="290"/>
    <n v="200"/>
    <n v="400"/>
    <n v="580"/>
    <n v="180"/>
    <s v="Product 48"/>
    <x v="3"/>
    <s v="Bobby Russell"/>
    <x v="785"/>
    <n v="6"/>
    <x v="5"/>
    <x v="6"/>
    <x v="6"/>
    <x v="2"/>
    <x v="2"/>
  </r>
  <r>
    <s v="AX15953"/>
    <s v="ENX2100"/>
    <s v="A113"/>
    <s v="EMP1009"/>
    <s v="C1378"/>
    <x v="642"/>
    <n v="1"/>
    <n v="799"/>
    <n v="455"/>
    <n v="455"/>
    <n v="799"/>
    <n v="344"/>
    <s v="Product 101"/>
    <x v="73"/>
    <s v="Kenneth Fields"/>
    <x v="787"/>
    <n v="6"/>
    <x v="5"/>
    <x v="6"/>
    <x v="6"/>
    <x v="2"/>
    <x v="2"/>
  </r>
  <r>
    <s v="AX16059"/>
    <s v="ENX2076"/>
    <s v="A122"/>
    <s v="EMP1030"/>
    <s v="C1449"/>
    <x v="643"/>
    <n v="3"/>
    <n v="1522"/>
    <n v="791"/>
    <n v="2373"/>
    <n v="4566"/>
    <n v="2193"/>
    <s v="Product 77"/>
    <x v="71"/>
    <s v="Bobby Russell"/>
    <x v="230"/>
    <n v="6"/>
    <x v="5"/>
    <x v="6"/>
    <x v="6"/>
    <x v="2"/>
    <x v="2"/>
  </r>
  <r>
    <s v="AX16077"/>
    <s v="ENX2047"/>
    <s v="A114"/>
    <s v="EMP1034"/>
    <s v="C1471"/>
    <x v="642"/>
    <n v="1"/>
    <n v="290"/>
    <n v="200"/>
    <n v="200"/>
    <n v="290"/>
    <n v="90"/>
    <s v="Product 48"/>
    <x v="28"/>
    <s v="Arthur Mccoy"/>
    <x v="586"/>
    <n v="6"/>
    <x v="5"/>
    <x v="6"/>
    <x v="6"/>
    <x v="2"/>
    <x v="2"/>
  </r>
  <r>
    <s v="AX16275"/>
    <s v="ENX2043"/>
    <s v="A133"/>
    <s v="EMP1041"/>
    <s v="C1404"/>
    <x v="644"/>
    <n v="2"/>
    <n v="545"/>
    <n v="425"/>
    <n v="850"/>
    <n v="1090"/>
    <n v="240"/>
    <s v="Product 44"/>
    <x v="46"/>
    <s v="Joe Sims"/>
    <x v="75"/>
    <n v="6"/>
    <x v="5"/>
    <x v="6"/>
    <x v="6"/>
    <x v="2"/>
    <x v="2"/>
  </r>
  <r>
    <s v="AX16456"/>
    <s v="ENX2022"/>
    <s v="A141"/>
    <s v="EMP1023"/>
    <s v="C1580"/>
    <x v="643"/>
    <n v="3"/>
    <n v="561"/>
    <n v="421"/>
    <n v="1263"/>
    <n v="1683"/>
    <n v="420"/>
    <s v="Product 23"/>
    <x v="23"/>
    <s v="Brian Davis"/>
    <x v="617"/>
    <n v="6"/>
    <x v="5"/>
    <x v="6"/>
    <x v="6"/>
    <x v="2"/>
    <x v="2"/>
  </r>
  <r>
    <s v="AX16627"/>
    <s v="ENX2035"/>
    <s v="A172"/>
    <s v="EMP1012"/>
    <s v="C1575"/>
    <x v="645"/>
    <n v="3"/>
    <n v="458"/>
    <n v="376"/>
    <n v="1128"/>
    <n v="1374"/>
    <n v="246"/>
    <s v="Product 36"/>
    <x v="36"/>
    <s v="John Reyes"/>
    <x v="99"/>
    <n v="6"/>
    <x v="5"/>
    <x v="6"/>
    <x v="6"/>
    <x v="2"/>
    <x v="2"/>
  </r>
  <r>
    <s v="AX16727"/>
    <s v="ENX2051"/>
    <s v="A129"/>
    <s v="EMP1036"/>
    <s v="C1183"/>
    <x v="643"/>
    <n v="1"/>
    <n v="1077"/>
    <n v="732"/>
    <n v="732"/>
    <n v="1077"/>
    <n v="345"/>
    <s v="Product 52"/>
    <x v="22"/>
    <s v="Robert Reed"/>
    <x v="404"/>
    <n v="6"/>
    <x v="5"/>
    <x v="6"/>
    <x v="6"/>
    <x v="2"/>
    <x v="2"/>
  </r>
  <r>
    <s v="AX18015"/>
    <s v="ENX2086"/>
    <s v="A121"/>
    <s v="EMP1041"/>
    <s v="C1063"/>
    <x v="642"/>
    <n v="3"/>
    <n v="123"/>
    <n v="84"/>
    <n v="252"/>
    <n v="369"/>
    <n v="117"/>
    <s v="Product 87"/>
    <x v="72"/>
    <s v="Joe Sims"/>
    <x v="296"/>
    <n v="6"/>
    <x v="5"/>
    <x v="6"/>
    <x v="6"/>
    <x v="2"/>
    <x v="2"/>
  </r>
  <r>
    <s v="AX18060"/>
    <s v="ENX2029"/>
    <s v="A135"/>
    <s v="EMP1014"/>
    <s v="C1351"/>
    <x v="642"/>
    <n v="1"/>
    <n v="1848"/>
    <n v="1294"/>
    <n v="1294"/>
    <n v="1848"/>
    <n v="554"/>
    <s v="Product 30"/>
    <x v="10"/>
    <s v="Ronald Reed"/>
    <x v="122"/>
    <n v="6"/>
    <x v="5"/>
    <x v="6"/>
    <x v="6"/>
    <x v="2"/>
    <x v="2"/>
  </r>
  <r>
    <s v="AX18109"/>
    <s v="ENX2093"/>
    <s v="A144"/>
    <s v="EMP1017"/>
    <s v="C1647"/>
    <x v="642"/>
    <n v="2"/>
    <n v="112"/>
    <n v="90"/>
    <n v="180"/>
    <n v="224"/>
    <n v="44"/>
    <s v="Product 94"/>
    <x v="65"/>
    <s v="Brian Hansen"/>
    <x v="318"/>
    <n v="6"/>
    <x v="5"/>
    <x v="6"/>
    <x v="6"/>
    <x v="2"/>
    <x v="2"/>
  </r>
  <r>
    <s v="AX18165"/>
    <s v="ENX2055"/>
    <s v="A131"/>
    <s v="EMP1023"/>
    <s v="C1009"/>
    <x v="643"/>
    <n v="1"/>
    <n v="2495"/>
    <n v="1896"/>
    <n v="1896"/>
    <n v="2495"/>
    <n v="599"/>
    <s v="Product 56"/>
    <x v="32"/>
    <s v="Brian Davis"/>
    <x v="458"/>
    <n v="6"/>
    <x v="5"/>
    <x v="6"/>
    <x v="6"/>
    <x v="2"/>
    <x v="2"/>
  </r>
  <r>
    <s v="AX18763"/>
    <s v="ENX2037"/>
    <s v="A144"/>
    <s v="EMP1007"/>
    <s v="C1450"/>
    <x v="644"/>
    <n v="1"/>
    <n v="880"/>
    <n v="634"/>
    <n v="634"/>
    <n v="880"/>
    <n v="246"/>
    <s v="Product 38"/>
    <x v="65"/>
    <s v="Jeremy Mendoza"/>
    <x v="13"/>
    <n v="6"/>
    <x v="5"/>
    <x v="6"/>
    <x v="6"/>
    <x v="2"/>
    <x v="2"/>
  </r>
  <r>
    <s v="AX19400"/>
    <s v="ENX2032"/>
    <s v="A114"/>
    <s v="EMP1043"/>
    <s v="C1152"/>
    <x v="645"/>
    <n v="1"/>
    <n v="1967"/>
    <n v="1397"/>
    <n v="1397"/>
    <n v="1967"/>
    <n v="570"/>
    <s v="Product 33"/>
    <x v="28"/>
    <s v="Joshua Taylor"/>
    <x v="198"/>
    <n v="6"/>
    <x v="5"/>
    <x v="6"/>
    <x v="6"/>
    <x v="2"/>
    <x v="2"/>
  </r>
  <r>
    <s v="AX19417"/>
    <s v="ENX2063"/>
    <s v="A112"/>
    <s v="EMP1035"/>
    <s v="C1679"/>
    <x v="644"/>
    <n v="4"/>
    <n v="1708"/>
    <n v="871"/>
    <n v="3484"/>
    <n v="6832"/>
    <n v="3348"/>
    <s v="Product 64"/>
    <x v="66"/>
    <s v="Roger Ramos"/>
    <x v="664"/>
    <n v="6"/>
    <x v="5"/>
    <x v="6"/>
    <x v="6"/>
    <x v="2"/>
    <x v="2"/>
  </r>
  <r>
    <s v="AX19532"/>
    <s v="ENX2001"/>
    <s v="A131"/>
    <s v="EMP1033"/>
    <s v="C1526"/>
    <x v="643"/>
    <n v="1"/>
    <n v="951"/>
    <n v="504"/>
    <n v="504"/>
    <n v="951"/>
    <n v="447"/>
    <s v="Product 2"/>
    <x v="32"/>
    <s v="Jerry Perry"/>
    <x v="6"/>
    <n v="6"/>
    <x v="5"/>
    <x v="6"/>
    <x v="6"/>
    <x v="2"/>
    <x v="2"/>
  </r>
  <r>
    <s v="AX19784"/>
    <s v="ENX2091"/>
    <s v="A164"/>
    <s v="EMP1000"/>
    <s v="C1380"/>
    <x v="644"/>
    <n v="1"/>
    <n v="368"/>
    <n v="294"/>
    <n v="294"/>
    <n v="368"/>
    <n v="74"/>
    <s v="Product 92"/>
    <x v="3"/>
    <s v="Fred Robertson"/>
    <x v="540"/>
    <n v="6"/>
    <x v="5"/>
    <x v="6"/>
    <x v="6"/>
    <x v="2"/>
    <x v="2"/>
  </r>
  <r>
    <s v="AX20011"/>
    <s v="ENX2073"/>
    <s v="A119"/>
    <s v="EMP1010"/>
    <s v="C1657"/>
    <x v="643"/>
    <n v="3"/>
    <n v="95"/>
    <n v="61"/>
    <n v="183"/>
    <n v="285"/>
    <n v="102"/>
    <s v="Product 74"/>
    <x v="16"/>
    <s v="Joshua Cook"/>
    <x v="361"/>
    <n v="6"/>
    <x v="5"/>
    <x v="6"/>
    <x v="6"/>
    <x v="2"/>
    <x v="2"/>
  </r>
  <r>
    <s v="AX20130"/>
    <s v="ENX2061"/>
    <s v="A164"/>
    <s v="EMP1044"/>
    <s v="C1451"/>
    <x v="644"/>
    <n v="4"/>
    <n v="913"/>
    <n v="584"/>
    <n v="2336"/>
    <n v="3652"/>
    <n v="1316"/>
    <s v="Product 62"/>
    <x v="3"/>
    <s v="Martin Carr"/>
    <x v="80"/>
    <n v="6"/>
    <x v="5"/>
    <x v="6"/>
    <x v="6"/>
    <x v="2"/>
    <x v="2"/>
  </r>
  <r>
    <s v="AX20573"/>
    <s v="ENX2048"/>
    <s v="A141"/>
    <s v="EMP1025"/>
    <s v="C1783"/>
    <x v="643"/>
    <n v="4"/>
    <n v="502"/>
    <n v="296"/>
    <n v="1184"/>
    <n v="2008"/>
    <n v="824"/>
    <s v="Product 49"/>
    <x v="23"/>
    <s v="Ernest Wagner"/>
    <x v="272"/>
    <n v="6"/>
    <x v="5"/>
    <x v="6"/>
    <x v="6"/>
    <x v="2"/>
    <x v="2"/>
  </r>
  <r>
    <s v="AX20662"/>
    <s v="ENX2015"/>
    <s v="A152"/>
    <s v="EMP1041"/>
    <s v="C1596"/>
    <x v="644"/>
    <n v="3"/>
    <n v="637"/>
    <n v="389"/>
    <n v="1167"/>
    <n v="1911"/>
    <n v="744"/>
    <s v="Product 16"/>
    <x v="26"/>
    <s v="Joe Sims"/>
    <x v="217"/>
    <n v="6"/>
    <x v="5"/>
    <x v="6"/>
    <x v="6"/>
    <x v="2"/>
    <x v="2"/>
  </r>
  <r>
    <s v="AX20949"/>
    <s v="ENX2007"/>
    <s v="A136"/>
    <s v="EMP1032"/>
    <s v="C1509"/>
    <x v="643"/>
    <n v="1"/>
    <n v="1405"/>
    <n v="1054"/>
    <n v="1054"/>
    <n v="1405"/>
    <n v="351"/>
    <s v="Product 8"/>
    <x v="43"/>
    <s v="Larry Castillo"/>
    <x v="442"/>
    <n v="6"/>
    <x v="5"/>
    <x v="6"/>
    <x v="6"/>
    <x v="2"/>
    <x v="2"/>
  </r>
  <r>
    <s v="AX21037"/>
    <s v="ENX2068"/>
    <s v="A132"/>
    <s v="EMP1008"/>
    <s v="C1027"/>
    <x v="645"/>
    <n v="1"/>
    <n v="1500"/>
    <n v="900"/>
    <n v="900"/>
    <n v="1500"/>
    <n v="600"/>
    <s v="Product 69"/>
    <x v="48"/>
    <s v="Carl Elliott"/>
    <x v="528"/>
    <n v="6"/>
    <x v="5"/>
    <x v="6"/>
    <x v="6"/>
    <x v="2"/>
    <x v="2"/>
  </r>
  <r>
    <s v="AX21060"/>
    <s v="ENX2033"/>
    <s v="A160"/>
    <s v="EMP1024"/>
    <s v="C1421"/>
    <x v="642"/>
    <n v="1"/>
    <n v="2182"/>
    <n v="1200"/>
    <n v="1200"/>
    <n v="2182"/>
    <n v="982"/>
    <s v="Product 34"/>
    <x v="9"/>
    <s v="Ernest Wheeler"/>
    <x v="564"/>
    <n v="6"/>
    <x v="5"/>
    <x v="6"/>
    <x v="6"/>
    <x v="2"/>
    <x v="2"/>
  </r>
  <r>
    <s v="AX21073"/>
    <s v="ENX2018"/>
    <s v="A133"/>
    <s v="EMP1003"/>
    <s v="C1423"/>
    <x v="643"/>
    <n v="2"/>
    <n v="1972"/>
    <n v="1321"/>
    <n v="2642"/>
    <n v="3944"/>
    <n v="1302"/>
    <s v="Product 19"/>
    <x v="46"/>
    <s v="Christopher Tucker"/>
    <x v="182"/>
    <n v="6"/>
    <x v="5"/>
    <x v="6"/>
    <x v="6"/>
    <x v="2"/>
    <x v="2"/>
  </r>
  <r>
    <s v="AX21088"/>
    <s v="ENX2070"/>
    <s v="A100"/>
    <s v="EMP1022"/>
    <s v="C1677"/>
    <x v="644"/>
    <n v="1"/>
    <n v="1671"/>
    <n v="1220"/>
    <n v="1220"/>
    <n v="1671"/>
    <n v="451"/>
    <s v="Product 71"/>
    <x v="52"/>
    <s v="Walter Cook"/>
    <x v="641"/>
    <n v="6"/>
    <x v="5"/>
    <x v="6"/>
    <x v="6"/>
    <x v="2"/>
    <x v="2"/>
  </r>
  <r>
    <s v="AX21472"/>
    <s v="ENX2050"/>
    <s v="A161"/>
    <s v="EMP1031"/>
    <s v="C1488"/>
    <x v="644"/>
    <n v="2"/>
    <n v="2391"/>
    <n v="1291"/>
    <n v="2582"/>
    <n v="4782"/>
    <n v="2200"/>
    <s v="Product 51"/>
    <x v="6"/>
    <s v="Brian Thomas"/>
    <x v="763"/>
    <n v="6"/>
    <x v="5"/>
    <x v="6"/>
    <x v="6"/>
    <x v="2"/>
    <x v="2"/>
  </r>
  <r>
    <s v="AX21945"/>
    <s v="ENX2021"/>
    <s v="A131"/>
    <s v="EMP1036"/>
    <s v="C1793"/>
    <x v="642"/>
    <n v="1"/>
    <n v="217"/>
    <n v="171"/>
    <n v="171"/>
    <n v="217"/>
    <n v="46"/>
    <s v="Product 22"/>
    <x v="32"/>
    <s v="Robert Reed"/>
    <x v="677"/>
    <n v="6"/>
    <x v="5"/>
    <x v="6"/>
    <x v="6"/>
    <x v="2"/>
    <x v="2"/>
  </r>
  <r>
    <s v="AX21981"/>
    <s v="ENX2093"/>
    <s v="A168"/>
    <s v="EMP1037"/>
    <s v="C1317"/>
    <x v="642"/>
    <n v="1"/>
    <n v="112"/>
    <n v="90"/>
    <n v="90"/>
    <n v="112"/>
    <n v="22"/>
    <s v="Product 94"/>
    <x v="40"/>
    <s v="Carl Hall"/>
    <x v="504"/>
    <n v="6"/>
    <x v="5"/>
    <x v="6"/>
    <x v="6"/>
    <x v="2"/>
    <x v="2"/>
  </r>
  <r>
    <s v="AX22713"/>
    <s v="ENX2048"/>
    <s v="A138"/>
    <s v="EMP1031"/>
    <s v="C1153"/>
    <x v="643"/>
    <n v="2"/>
    <n v="502"/>
    <n v="296"/>
    <n v="592"/>
    <n v="1004"/>
    <n v="412"/>
    <s v="Product 49"/>
    <x v="37"/>
    <s v="Brian Thomas"/>
    <x v="382"/>
    <n v="6"/>
    <x v="5"/>
    <x v="6"/>
    <x v="6"/>
    <x v="2"/>
    <x v="2"/>
  </r>
  <r>
    <s v="AX22784"/>
    <s v="ENX2044"/>
    <s v="A144"/>
    <s v="EMP1032"/>
    <s v="C1100"/>
    <x v="645"/>
    <n v="1"/>
    <n v="886"/>
    <n v="478"/>
    <n v="478"/>
    <n v="886"/>
    <n v="408"/>
    <s v="Product 45"/>
    <x v="65"/>
    <s v="Larry Castillo"/>
    <x v="110"/>
    <n v="6"/>
    <x v="5"/>
    <x v="6"/>
    <x v="6"/>
    <x v="2"/>
    <x v="2"/>
  </r>
  <r>
    <s v="AX22853"/>
    <s v="ENX2064"/>
    <s v="A168"/>
    <s v="EMP1016"/>
    <s v="C1782"/>
    <x v="645"/>
    <n v="4"/>
    <n v="1414"/>
    <n v="962"/>
    <n v="3848"/>
    <n v="5656"/>
    <n v="1808"/>
    <s v="Product 65"/>
    <x v="40"/>
    <s v="Henry Nelson"/>
    <x v="607"/>
    <n v="6"/>
    <x v="5"/>
    <x v="6"/>
    <x v="6"/>
    <x v="2"/>
    <x v="2"/>
  </r>
  <r>
    <s v="AX23071"/>
    <s v="ENX2056"/>
    <s v="A123"/>
    <s v="EMP1038"/>
    <s v="C1000"/>
    <x v="643"/>
    <n v="1"/>
    <n v="1635"/>
    <n v="1046"/>
    <n v="1046"/>
    <n v="1635"/>
    <n v="589"/>
    <s v="Product 57"/>
    <x v="34"/>
    <s v="Scott Mason"/>
    <x v="57"/>
    <n v="6"/>
    <x v="5"/>
    <x v="6"/>
    <x v="6"/>
    <x v="2"/>
    <x v="2"/>
  </r>
  <r>
    <s v="AX23276"/>
    <s v="ENX2076"/>
    <s v="A164"/>
    <s v="EMP1034"/>
    <s v="C1273"/>
    <x v="642"/>
    <n v="2"/>
    <n v="1522"/>
    <n v="791"/>
    <n v="1582"/>
    <n v="3044"/>
    <n v="1462"/>
    <s v="Product 77"/>
    <x v="3"/>
    <s v="Arthur Mccoy"/>
    <x v="469"/>
    <n v="6"/>
    <x v="5"/>
    <x v="6"/>
    <x v="6"/>
    <x v="2"/>
    <x v="2"/>
  </r>
  <r>
    <s v="AX23384"/>
    <s v="ENX2002"/>
    <s v="A132"/>
    <s v="EMP1006"/>
    <s v="C1529"/>
    <x v="644"/>
    <n v="1"/>
    <n v="847"/>
    <n v="534"/>
    <n v="534"/>
    <n v="847"/>
    <n v="313"/>
    <s v="Product 3"/>
    <x v="48"/>
    <s v="Sean Miller"/>
    <x v="247"/>
    <n v="6"/>
    <x v="5"/>
    <x v="6"/>
    <x v="6"/>
    <x v="2"/>
    <x v="2"/>
  </r>
  <r>
    <s v="AX23952"/>
    <s v="ENX2090"/>
    <s v="A121"/>
    <s v="EMP1040"/>
    <s v="C1606"/>
    <x v="645"/>
    <n v="3"/>
    <n v="1338"/>
    <n v="682"/>
    <n v="2046"/>
    <n v="4014"/>
    <n v="1968"/>
    <s v="Product 91"/>
    <x v="72"/>
    <s v="Patrick Ruiz"/>
    <x v="250"/>
    <n v="6"/>
    <x v="5"/>
    <x v="6"/>
    <x v="6"/>
    <x v="2"/>
    <x v="2"/>
  </r>
  <r>
    <s v="AX24191"/>
    <s v="ENX2009"/>
    <s v="A137"/>
    <s v="EMP1017"/>
    <s v="C1118"/>
    <x v="642"/>
    <n v="1"/>
    <n v="584"/>
    <n v="420"/>
    <n v="420"/>
    <n v="584"/>
    <n v="164"/>
    <s v="Product 10"/>
    <x v="68"/>
    <s v="Brian Hansen"/>
    <x v="633"/>
    <n v="6"/>
    <x v="5"/>
    <x v="6"/>
    <x v="6"/>
    <x v="2"/>
    <x v="2"/>
  </r>
  <r>
    <s v="AX24530"/>
    <s v="ENX2002"/>
    <s v="A155"/>
    <s v="EMP1044"/>
    <s v="C1670"/>
    <x v="645"/>
    <n v="4"/>
    <n v="847"/>
    <n v="534"/>
    <n v="2136"/>
    <n v="3388"/>
    <n v="1252"/>
    <s v="Product 3"/>
    <x v="53"/>
    <s v="Martin Carr"/>
    <x v="663"/>
    <n v="6"/>
    <x v="5"/>
    <x v="6"/>
    <x v="6"/>
    <x v="2"/>
    <x v="2"/>
  </r>
  <r>
    <s v="AX10673"/>
    <s v="ENX2026"/>
    <s v="A105"/>
    <s v="EMP1025"/>
    <s v="C1611"/>
    <x v="646"/>
    <n v="2"/>
    <n v="947"/>
    <n v="786"/>
    <n v="1572"/>
    <n v="1894"/>
    <n v="322"/>
    <s v="Product 27"/>
    <x v="45"/>
    <s v="Ernest Wagner"/>
    <x v="306"/>
    <n v="6"/>
    <x v="5"/>
    <x v="7"/>
    <x v="7"/>
    <x v="2"/>
    <x v="0"/>
  </r>
  <r>
    <s v="AX10696"/>
    <s v="ENX2033"/>
    <s v="A140"/>
    <s v="EMP1039"/>
    <s v="C1514"/>
    <x v="647"/>
    <n v="1"/>
    <n v="2182"/>
    <n v="1200"/>
    <n v="1200"/>
    <n v="2182"/>
    <n v="982"/>
    <s v="Product 34"/>
    <x v="18"/>
    <s v="Eugene Holmes"/>
    <x v="307"/>
    <n v="6"/>
    <x v="5"/>
    <x v="7"/>
    <x v="7"/>
    <x v="2"/>
    <x v="0"/>
  </r>
  <r>
    <s v="AX10842"/>
    <s v="ENX2047"/>
    <s v="A137"/>
    <s v="EMP1034"/>
    <s v="C1129"/>
    <x v="647"/>
    <n v="2"/>
    <n v="290"/>
    <n v="200"/>
    <n v="400"/>
    <n v="580"/>
    <n v="180"/>
    <s v="Product 48"/>
    <x v="68"/>
    <s v="Arthur Mccoy"/>
    <x v="281"/>
    <n v="6"/>
    <x v="5"/>
    <x v="7"/>
    <x v="7"/>
    <x v="2"/>
    <x v="0"/>
  </r>
  <r>
    <s v="AX10957"/>
    <s v="ENX2057"/>
    <s v="A104"/>
    <s v="EMP1039"/>
    <s v="C1687"/>
    <x v="648"/>
    <n v="2"/>
    <n v="181"/>
    <n v="130"/>
    <n v="260"/>
    <n v="362"/>
    <n v="102"/>
    <s v="Product 58"/>
    <x v="50"/>
    <s v="Eugene Holmes"/>
    <x v="389"/>
    <n v="6"/>
    <x v="5"/>
    <x v="7"/>
    <x v="7"/>
    <x v="2"/>
    <x v="0"/>
  </r>
  <r>
    <s v="AX11000"/>
    <s v="ENX2047"/>
    <s v="A165"/>
    <s v="EMP1036"/>
    <s v="C1753"/>
    <x v="648"/>
    <n v="1"/>
    <n v="290"/>
    <n v="200"/>
    <n v="200"/>
    <n v="290"/>
    <n v="90"/>
    <s v="Product 48"/>
    <x v="55"/>
    <s v="Robert Reed"/>
    <x v="696"/>
    <n v="6"/>
    <x v="5"/>
    <x v="7"/>
    <x v="7"/>
    <x v="2"/>
    <x v="0"/>
  </r>
  <r>
    <s v="AX11628"/>
    <s v="ENX2068"/>
    <s v="A140"/>
    <s v="EMP1033"/>
    <s v="C1213"/>
    <x v="649"/>
    <n v="3"/>
    <n v="1500"/>
    <n v="900"/>
    <n v="2700"/>
    <n v="4500"/>
    <n v="1800"/>
    <s v="Product 69"/>
    <x v="18"/>
    <s v="Jerry Perry"/>
    <x v="487"/>
    <n v="6"/>
    <x v="5"/>
    <x v="7"/>
    <x v="7"/>
    <x v="2"/>
    <x v="0"/>
  </r>
  <r>
    <s v="AX11937"/>
    <s v="ENX2097"/>
    <s v="A163"/>
    <s v="EMP1015"/>
    <s v="C1395"/>
    <x v="648"/>
    <n v="1"/>
    <n v="1052"/>
    <n v="589"/>
    <n v="589"/>
    <n v="1052"/>
    <n v="463"/>
    <s v="Product 98"/>
    <x v="51"/>
    <s v="Justin Lynch"/>
    <x v="202"/>
    <n v="6"/>
    <x v="5"/>
    <x v="7"/>
    <x v="7"/>
    <x v="2"/>
    <x v="0"/>
  </r>
  <r>
    <s v="AX12138"/>
    <s v="ENX2024"/>
    <s v="A169"/>
    <s v="EMP1009"/>
    <s v="C1521"/>
    <x v="648"/>
    <n v="3"/>
    <n v="356"/>
    <n v="292"/>
    <n v="876"/>
    <n v="1068"/>
    <n v="192"/>
    <s v="Product 25"/>
    <x v="17"/>
    <s v="Kenneth Fields"/>
    <x v="697"/>
    <n v="6"/>
    <x v="5"/>
    <x v="7"/>
    <x v="7"/>
    <x v="2"/>
    <x v="0"/>
  </r>
  <r>
    <s v="AX12145"/>
    <s v="ENX2096"/>
    <s v="A107"/>
    <s v="EMP1006"/>
    <s v="C1046"/>
    <x v="649"/>
    <n v="1"/>
    <n v="1587"/>
    <n v="1301"/>
    <n v="1301"/>
    <n v="1587"/>
    <n v="286"/>
    <s v="Product 97"/>
    <x v="21"/>
    <s v="Sean Miller"/>
    <x v="719"/>
    <n v="6"/>
    <x v="5"/>
    <x v="7"/>
    <x v="7"/>
    <x v="2"/>
    <x v="0"/>
  </r>
  <r>
    <s v="AX12238"/>
    <s v="ENX2068"/>
    <s v="A134"/>
    <s v="EMP1021"/>
    <s v="C1785"/>
    <x v="646"/>
    <n v="3"/>
    <n v="1500"/>
    <n v="900"/>
    <n v="2700"/>
    <n v="4500"/>
    <n v="1800"/>
    <s v="Product 69"/>
    <x v="41"/>
    <s v="Clarence Fox"/>
    <x v="107"/>
    <n v="6"/>
    <x v="5"/>
    <x v="7"/>
    <x v="7"/>
    <x v="2"/>
    <x v="0"/>
  </r>
  <r>
    <s v="AX12244"/>
    <s v="ENX2087"/>
    <s v="A120"/>
    <s v="EMP1038"/>
    <s v="C1666"/>
    <x v="648"/>
    <n v="1"/>
    <n v="1022"/>
    <n v="818"/>
    <n v="818"/>
    <n v="1022"/>
    <n v="204"/>
    <s v="Product 88"/>
    <x v="20"/>
    <s v="Scott Mason"/>
    <x v="473"/>
    <n v="6"/>
    <x v="5"/>
    <x v="7"/>
    <x v="7"/>
    <x v="2"/>
    <x v="0"/>
  </r>
  <r>
    <s v="AX12338"/>
    <s v="ENX2061"/>
    <s v="A119"/>
    <s v="EMP1043"/>
    <s v="C1407"/>
    <x v="648"/>
    <n v="1"/>
    <n v="913"/>
    <n v="584"/>
    <n v="584"/>
    <n v="913"/>
    <n v="329"/>
    <s v="Product 62"/>
    <x v="16"/>
    <s v="Joshua Taylor"/>
    <x v="294"/>
    <n v="6"/>
    <x v="5"/>
    <x v="7"/>
    <x v="7"/>
    <x v="2"/>
    <x v="0"/>
  </r>
  <r>
    <s v="AX12671"/>
    <s v="ENX2033"/>
    <s v="A148"/>
    <s v="EMP1040"/>
    <s v="C1464"/>
    <x v="647"/>
    <n v="3"/>
    <n v="2182"/>
    <n v="1200"/>
    <n v="3600"/>
    <n v="6546"/>
    <n v="2946"/>
    <s v="Product 34"/>
    <x v="62"/>
    <s v="Patrick Ruiz"/>
    <x v="322"/>
    <n v="6"/>
    <x v="5"/>
    <x v="7"/>
    <x v="7"/>
    <x v="2"/>
    <x v="0"/>
  </r>
  <r>
    <s v="AX12854"/>
    <s v="ENX2083"/>
    <s v="A106"/>
    <s v="EMP1010"/>
    <s v="C1076"/>
    <x v="648"/>
    <n v="1"/>
    <n v="2141"/>
    <n v="1777"/>
    <n v="1777"/>
    <n v="2141"/>
    <n v="364"/>
    <s v="Product 84"/>
    <x v="11"/>
    <s v="Joshua Cook"/>
    <x v="772"/>
    <n v="6"/>
    <x v="5"/>
    <x v="7"/>
    <x v="7"/>
    <x v="2"/>
    <x v="0"/>
  </r>
  <r>
    <s v="AX13022"/>
    <s v="ENX2072"/>
    <s v="A164"/>
    <s v="EMP1037"/>
    <s v="C1537"/>
    <x v="646"/>
    <n v="1"/>
    <n v="1887"/>
    <n v="1378"/>
    <n v="1378"/>
    <n v="1887"/>
    <n v="509"/>
    <s v="Product 73"/>
    <x v="3"/>
    <s v="Carl Hall"/>
    <x v="141"/>
    <n v="6"/>
    <x v="5"/>
    <x v="7"/>
    <x v="7"/>
    <x v="2"/>
    <x v="0"/>
  </r>
  <r>
    <s v="AX13393"/>
    <s v="ENX2075"/>
    <s v="A157"/>
    <s v="EMP1027"/>
    <s v="C1631"/>
    <x v="646"/>
    <n v="1"/>
    <n v="400"/>
    <n v="208"/>
    <n v="208"/>
    <n v="400"/>
    <n v="192"/>
    <s v="Product 76"/>
    <x v="7"/>
    <s v="Gary Rodriguez"/>
    <x v="659"/>
    <n v="6"/>
    <x v="5"/>
    <x v="7"/>
    <x v="7"/>
    <x v="2"/>
    <x v="0"/>
  </r>
  <r>
    <s v="AX13419"/>
    <s v="ENX2068"/>
    <s v="A132"/>
    <s v="EMP1014"/>
    <s v="C1643"/>
    <x v="648"/>
    <n v="1"/>
    <n v="1500"/>
    <n v="900"/>
    <n v="900"/>
    <n v="1500"/>
    <n v="600"/>
    <s v="Product 69"/>
    <x v="48"/>
    <s v="Ronald Reed"/>
    <x v="142"/>
    <n v="6"/>
    <x v="5"/>
    <x v="7"/>
    <x v="7"/>
    <x v="2"/>
    <x v="0"/>
  </r>
  <r>
    <s v="AX13536"/>
    <s v="ENX2003"/>
    <s v="A142"/>
    <s v="EMP1027"/>
    <s v="C1433"/>
    <x v="646"/>
    <n v="2"/>
    <n v="1783"/>
    <n v="1516"/>
    <n v="3032"/>
    <n v="3566"/>
    <n v="534"/>
    <s v="Product 4"/>
    <x v="56"/>
    <s v="Gary Rodriguez"/>
    <x v="525"/>
    <n v="6"/>
    <x v="5"/>
    <x v="7"/>
    <x v="7"/>
    <x v="2"/>
    <x v="0"/>
  </r>
  <r>
    <s v="AX13748"/>
    <s v="ENX2064"/>
    <s v="A165"/>
    <s v="EMP1009"/>
    <s v="C1568"/>
    <x v="647"/>
    <n v="3"/>
    <n v="1414"/>
    <n v="962"/>
    <n v="2886"/>
    <n v="4242"/>
    <n v="1356"/>
    <s v="Product 65"/>
    <x v="55"/>
    <s v="Kenneth Fields"/>
    <x v="551"/>
    <n v="6"/>
    <x v="5"/>
    <x v="7"/>
    <x v="7"/>
    <x v="2"/>
    <x v="0"/>
  </r>
  <r>
    <s v="AX13895"/>
    <s v="ENX2069"/>
    <s v="A135"/>
    <s v="EMP1033"/>
    <s v="C1441"/>
    <x v="647"/>
    <n v="1"/>
    <n v="378"/>
    <n v="291"/>
    <n v="291"/>
    <n v="378"/>
    <n v="87"/>
    <s v="Product 70"/>
    <x v="10"/>
    <s v="Jerry Perry"/>
    <x v="667"/>
    <n v="6"/>
    <x v="5"/>
    <x v="7"/>
    <x v="7"/>
    <x v="2"/>
    <x v="0"/>
  </r>
  <r>
    <s v="AX13901"/>
    <s v="ENX2093"/>
    <s v="A158"/>
    <s v="EMP1007"/>
    <s v="C1682"/>
    <x v="649"/>
    <n v="1"/>
    <n v="112"/>
    <n v="90"/>
    <n v="90"/>
    <n v="112"/>
    <n v="22"/>
    <s v="Product 94"/>
    <x v="58"/>
    <s v="Jeremy Mendoza"/>
    <x v="313"/>
    <n v="6"/>
    <x v="5"/>
    <x v="7"/>
    <x v="7"/>
    <x v="2"/>
    <x v="0"/>
  </r>
  <r>
    <s v="AX14020"/>
    <s v="ENX2011"/>
    <s v="A169"/>
    <s v="EMP1044"/>
    <s v="C1493"/>
    <x v="646"/>
    <n v="1"/>
    <n v="530"/>
    <n v="435"/>
    <n v="435"/>
    <n v="530"/>
    <n v="95"/>
    <s v="Product 12"/>
    <x v="17"/>
    <s v="Martin Carr"/>
    <x v="380"/>
    <n v="6"/>
    <x v="5"/>
    <x v="7"/>
    <x v="7"/>
    <x v="2"/>
    <x v="0"/>
  </r>
  <r>
    <s v="AX14057"/>
    <s v="ENX2080"/>
    <s v="A103"/>
    <s v="EMP1037"/>
    <s v="C1701"/>
    <x v="646"/>
    <n v="2"/>
    <n v="2353"/>
    <n v="1788"/>
    <n v="3576"/>
    <n v="4706"/>
    <n v="1130"/>
    <s v="Product 81"/>
    <x v="61"/>
    <s v="Carl Hall"/>
    <x v="736"/>
    <n v="6"/>
    <x v="5"/>
    <x v="7"/>
    <x v="7"/>
    <x v="2"/>
    <x v="0"/>
  </r>
  <r>
    <s v="AX14317"/>
    <s v="ENX2012"/>
    <s v="A142"/>
    <s v="EMP1005"/>
    <s v="C1678"/>
    <x v="649"/>
    <n v="3"/>
    <n v="1353"/>
    <n v="947"/>
    <n v="2841"/>
    <n v="4059"/>
    <n v="1218"/>
    <s v="Product 13"/>
    <x v="56"/>
    <s v="Ryan Welch"/>
    <x v="191"/>
    <n v="6"/>
    <x v="5"/>
    <x v="7"/>
    <x v="7"/>
    <x v="2"/>
    <x v="0"/>
  </r>
  <r>
    <s v="AX14422"/>
    <s v="ENX2073"/>
    <s v="A130"/>
    <s v="EMP1044"/>
    <s v="C1149"/>
    <x v="647"/>
    <n v="1"/>
    <n v="95"/>
    <n v="61"/>
    <n v="61"/>
    <n v="95"/>
    <n v="34"/>
    <s v="Product 74"/>
    <x v="4"/>
    <s v="Martin Carr"/>
    <x v="514"/>
    <n v="6"/>
    <x v="5"/>
    <x v="7"/>
    <x v="7"/>
    <x v="2"/>
    <x v="0"/>
  </r>
  <r>
    <s v="AX14502"/>
    <s v="ENX2075"/>
    <s v="A160"/>
    <s v="EMP1013"/>
    <s v="C1204"/>
    <x v="646"/>
    <n v="1"/>
    <n v="400"/>
    <n v="208"/>
    <n v="208"/>
    <n v="400"/>
    <n v="192"/>
    <s v="Product 76"/>
    <x v="9"/>
    <s v="Charles Harper"/>
    <x v="654"/>
    <n v="6"/>
    <x v="5"/>
    <x v="7"/>
    <x v="7"/>
    <x v="2"/>
    <x v="0"/>
  </r>
  <r>
    <s v="AX14559"/>
    <s v="ENX2087"/>
    <s v="A164"/>
    <s v="EMP1015"/>
    <s v="C1682"/>
    <x v="647"/>
    <n v="4"/>
    <n v="1022"/>
    <n v="818"/>
    <n v="3272"/>
    <n v="4088"/>
    <n v="816"/>
    <s v="Product 88"/>
    <x v="3"/>
    <s v="Justin Lynch"/>
    <x v="313"/>
    <n v="6"/>
    <x v="5"/>
    <x v="7"/>
    <x v="7"/>
    <x v="2"/>
    <x v="0"/>
  </r>
  <r>
    <s v="AX14662"/>
    <s v="ENX2049"/>
    <s v="A114"/>
    <s v="EMP1042"/>
    <s v="C1027"/>
    <x v="649"/>
    <n v="3"/>
    <n v="826"/>
    <n v="562"/>
    <n v="1686"/>
    <n v="2478"/>
    <n v="792"/>
    <s v="Product 50"/>
    <x v="28"/>
    <s v="Scott Clark"/>
    <x v="528"/>
    <n v="6"/>
    <x v="5"/>
    <x v="7"/>
    <x v="7"/>
    <x v="2"/>
    <x v="0"/>
  </r>
  <r>
    <s v="AX15141"/>
    <s v="ENX2018"/>
    <s v="A138"/>
    <s v="EMP1030"/>
    <s v="C1418"/>
    <x v="647"/>
    <n v="4"/>
    <n v="1972"/>
    <n v="1321"/>
    <n v="5284"/>
    <n v="7888"/>
    <n v="2604"/>
    <s v="Product 19"/>
    <x v="37"/>
    <s v="Bobby Russell"/>
    <x v="441"/>
    <n v="6"/>
    <x v="5"/>
    <x v="7"/>
    <x v="7"/>
    <x v="2"/>
    <x v="0"/>
  </r>
  <r>
    <s v="AX15263"/>
    <s v="ENX2006"/>
    <s v="A164"/>
    <s v="EMP1003"/>
    <s v="C1049"/>
    <x v="646"/>
    <n v="1"/>
    <n v="1826"/>
    <n v="1443"/>
    <n v="1443"/>
    <n v="1826"/>
    <n v="383"/>
    <s v="Product 7"/>
    <x v="3"/>
    <s v="Christopher Tucker"/>
    <x v="305"/>
    <n v="6"/>
    <x v="5"/>
    <x v="7"/>
    <x v="7"/>
    <x v="2"/>
    <x v="0"/>
  </r>
  <r>
    <s v="AX15484"/>
    <s v="ENX2055"/>
    <s v="A140"/>
    <s v="EMP1023"/>
    <s v="C1278"/>
    <x v="646"/>
    <n v="4"/>
    <n v="2495"/>
    <n v="1896"/>
    <n v="7584"/>
    <n v="9980"/>
    <n v="2396"/>
    <s v="Product 56"/>
    <x v="18"/>
    <s v="Brian Davis"/>
    <x v="744"/>
    <n v="6"/>
    <x v="5"/>
    <x v="7"/>
    <x v="7"/>
    <x v="2"/>
    <x v="0"/>
  </r>
  <r>
    <s v="AX15519"/>
    <s v="ENX2022"/>
    <s v="A158"/>
    <s v="EMP1016"/>
    <s v="C1180"/>
    <x v="646"/>
    <n v="1"/>
    <n v="561"/>
    <n v="421"/>
    <n v="421"/>
    <n v="561"/>
    <n v="140"/>
    <s v="Product 23"/>
    <x v="58"/>
    <s v="Henry Nelson"/>
    <x v="212"/>
    <n v="6"/>
    <x v="5"/>
    <x v="7"/>
    <x v="7"/>
    <x v="2"/>
    <x v="0"/>
  </r>
  <r>
    <s v="AX16167"/>
    <s v="ENX2045"/>
    <s v="A160"/>
    <s v="EMP1017"/>
    <s v="C1286"/>
    <x v="648"/>
    <n v="1"/>
    <n v="556"/>
    <n v="395"/>
    <n v="395"/>
    <n v="556"/>
    <n v="161"/>
    <s v="Product 46"/>
    <x v="9"/>
    <s v="Brian Hansen"/>
    <x v="308"/>
    <n v="6"/>
    <x v="5"/>
    <x v="7"/>
    <x v="7"/>
    <x v="2"/>
    <x v="0"/>
  </r>
  <r>
    <s v="AX16364"/>
    <s v="ENX2020"/>
    <s v="A106"/>
    <s v="EMP1001"/>
    <s v="C1664"/>
    <x v="647"/>
    <n v="4"/>
    <n v="2005"/>
    <n v="1223"/>
    <n v="4892"/>
    <n v="8020"/>
    <n v="3128"/>
    <s v="Product 21"/>
    <x v="11"/>
    <s v="Kevin Butler"/>
    <x v="12"/>
    <n v="6"/>
    <x v="5"/>
    <x v="7"/>
    <x v="7"/>
    <x v="2"/>
    <x v="0"/>
  </r>
  <r>
    <s v="AX16420"/>
    <s v="ENX2052"/>
    <s v="A130"/>
    <s v="EMP1014"/>
    <s v="C1138"/>
    <x v="647"/>
    <n v="2"/>
    <n v="1526"/>
    <n v="1251"/>
    <n v="2502"/>
    <n v="3052"/>
    <n v="550"/>
    <s v="Product 53"/>
    <x v="4"/>
    <s v="Ronald Reed"/>
    <x v="325"/>
    <n v="6"/>
    <x v="5"/>
    <x v="7"/>
    <x v="7"/>
    <x v="2"/>
    <x v="0"/>
  </r>
  <r>
    <s v="AX16833"/>
    <s v="ENX2084"/>
    <s v="A140"/>
    <s v="EMP1014"/>
    <s v="C1673"/>
    <x v="650"/>
    <n v="1"/>
    <n v="1783"/>
    <n v="1230"/>
    <n v="1230"/>
    <n v="1783"/>
    <n v="553"/>
    <s v="Product 85"/>
    <x v="18"/>
    <s v="Ronald Reed"/>
    <x v="87"/>
    <n v="6"/>
    <x v="5"/>
    <x v="7"/>
    <x v="7"/>
    <x v="2"/>
    <x v="0"/>
  </r>
  <r>
    <s v="AX17145"/>
    <s v="ENX2049"/>
    <s v="A116"/>
    <s v="EMP1009"/>
    <s v="C1793"/>
    <x v="646"/>
    <n v="1"/>
    <n v="826"/>
    <n v="562"/>
    <n v="562"/>
    <n v="826"/>
    <n v="264"/>
    <s v="Product 50"/>
    <x v="15"/>
    <s v="Kenneth Fields"/>
    <x v="677"/>
    <n v="6"/>
    <x v="5"/>
    <x v="7"/>
    <x v="7"/>
    <x v="2"/>
    <x v="0"/>
  </r>
  <r>
    <s v="AX17596"/>
    <s v="ENX2023"/>
    <s v="A163"/>
    <s v="EMP1008"/>
    <s v="C1081"/>
    <x v="648"/>
    <n v="4"/>
    <n v="818"/>
    <n v="450"/>
    <n v="1800"/>
    <n v="3272"/>
    <n v="1472"/>
    <s v="Product 24"/>
    <x v="51"/>
    <s v="Carl Elliott"/>
    <x v="168"/>
    <n v="6"/>
    <x v="5"/>
    <x v="7"/>
    <x v="7"/>
    <x v="2"/>
    <x v="0"/>
  </r>
  <r>
    <s v="AX17619"/>
    <s v="ENX2079"/>
    <s v="A114"/>
    <s v="EMP1041"/>
    <s v="C1120"/>
    <x v="646"/>
    <n v="1"/>
    <n v="1725"/>
    <n v="1363"/>
    <n v="1363"/>
    <n v="1725"/>
    <n v="362"/>
    <s v="Product 80"/>
    <x v="28"/>
    <s v="Joe Sims"/>
    <x v="685"/>
    <n v="6"/>
    <x v="5"/>
    <x v="7"/>
    <x v="7"/>
    <x v="2"/>
    <x v="0"/>
  </r>
  <r>
    <s v="AX17801"/>
    <s v="ENX2071"/>
    <s v="A142"/>
    <s v="EMP1037"/>
    <s v="C1698"/>
    <x v="648"/>
    <n v="1"/>
    <n v="136"/>
    <n v="72"/>
    <n v="72"/>
    <n v="136"/>
    <n v="64"/>
    <s v="Product 72"/>
    <x v="56"/>
    <s v="Carl Hall"/>
    <x v="86"/>
    <n v="6"/>
    <x v="5"/>
    <x v="7"/>
    <x v="7"/>
    <x v="2"/>
    <x v="0"/>
  </r>
  <r>
    <s v="AX18160"/>
    <s v="ENX2000"/>
    <s v="A166"/>
    <s v="EMP1038"/>
    <s v="C1213"/>
    <x v="650"/>
    <n v="1"/>
    <n v="2241"/>
    <n v="1367"/>
    <n v="1367"/>
    <n v="2241"/>
    <n v="874"/>
    <s v="Product 1"/>
    <x v="70"/>
    <s v="Scott Mason"/>
    <x v="487"/>
    <n v="6"/>
    <x v="5"/>
    <x v="7"/>
    <x v="7"/>
    <x v="2"/>
    <x v="0"/>
  </r>
  <r>
    <s v="AX18204"/>
    <s v="ENX2079"/>
    <s v="A119"/>
    <s v="EMP1043"/>
    <s v="C1495"/>
    <x v="647"/>
    <n v="4"/>
    <n v="1725"/>
    <n v="1363"/>
    <n v="5452"/>
    <n v="6900"/>
    <n v="1448"/>
    <s v="Product 80"/>
    <x v="16"/>
    <s v="Joshua Taylor"/>
    <x v="780"/>
    <n v="6"/>
    <x v="5"/>
    <x v="7"/>
    <x v="7"/>
    <x v="2"/>
    <x v="0"/>
  </r>
  <r>
    <s v="AX18555"/>
    <s v="ENX2021"/>
    <s v="A141"/>
    <s v="EMP1034"/>
    <s v="C1324"/>
    <x v="647"/>
    <n v="3"/>
    <n v="217"/>
    <n v="171"/>
    <n v="513"/>
    <n v="651"/>
    <n v="138"/>
    <s v="Product 22"/>
    <x v="23"/>
    <s v="Arthur Mccoy"/>
    <x v="252"/>
    <n v="6"/>
    <x v="5"/>
    <x v="7"/>
    <x v="7"/>
    <x v="2"/>
    <x v="0"/>
  </r>
  <r>
    <s v="AX19054"/>
    <s v="ENX2043"/>
    <s v="A167"/>
    <s v="EMP1012"/>
    <s v="C1633"/>
    <x v="650"/>
    <n v="1"/>
    <n v="545"/>
    <n v="425"/>
    <n v="425"/>
    <n v="545"/>
    <n v="120"/>
    <s v="Product 44"/>
    <x v="64"/>
    <s v="John Reyes"/>
    <x v="558"/>
    <n v="6"/>
    <x v="5"/>
    <x v="7"/>
    <x v="7"/>
    <x v="2"/>
    <x v="0"/>
  </r>
  <r>
    <s v="AX19073"/>
    <s v="ENX2029"/>
    <s v="A137"/>
    <s v="EMP1021"/>
    <s v="C1763"/>
    <x v="649"/>
    <n v="1"/>
    <n v="1848"/>
    <n v="1294"/>
    <n v="1294"/>
    <n v="1848"/>
    <n v="554"/>
    <s v="Product 30"/>
    <x v="68"/>
    <s v="Clarence Fox"/>
    <x v="409"/>
    <n v="6"/>
    <x v="5"/>
    <x v="7"/>
    <x v="7"/>
    <x v="2"/>
    <x v="0"/>
  </r>
  <r>
    <s v="AX19229"/>
    <s v="ENX2067"/>
    <s v="A154"/>
    <s v="EMP1036"/>
    <s v="C1335"/>
    <x v="650"/>
    <n v="1"/>
    <n v="1119"/>
    <n v="683"/>
    <n v="683"/>
    <n v="1119"/>
    <n v="436"/>
    <s v="Product 68"/>
    <x v="24"/>
    <s v="Robert Reed"/>
    <x v="2"/>
    <n v="6"/>
    <x v="5"/>
    <x v="7"/>
    <x v="7"/>
    <x v="2"/>
    <x v="0"/>
  </r>
  <r>
    <s v="AX19609"/>
    <s v="ENX2003"/>
    <s v="A125"/>
    <s v="EMP1016"/>
    <s v="C1290"/>
    <x v="649"/>
    <n v="1"/>
    <n v="1783"/>
    <n v="1516"/>
    <n v="1516"/>
    <n v="1783"/>
    <n v="267"/>
    <s v="Product 4"/>
    <x v="31"/>
    <s v="Henry Nelson"/>
    <x v="675"/>
    <n v="6"/>
    <x v="5"/>
    <x v="7"/>
    <x v="7"/>
    <x v="2"/>
    <x v="0"/>
  </r>
  <r>
    <s v="AX19635"/>
    <s v="ENX2023"/>
    <s v="A132"/>
    <s v="EMP1023"/>
    <s v="C1103"/>
    <x v="647"/>
    <n v="1"/>
    <n v="818"/>
    <n v="450"/>
    <n v="450"/>
    <n v="818"/>
    <n v="368"/>
    <s v="Product 24"/>
    <x v="48"/>
    <s v="Brian Davis"/>
    <x v="336"/>
    <n v="6"/>
    <x v="5"/>
    <x v="7"/>
    <x v="7"/>
    <x v="2"/>
    <x v="0"/>
  </r>
  <r>
    <s v="AX19675"/>
    <s v="ENX2058"/>
    <s v="A173"/>
    <s v="EMP1041"/>
    <s v="C1411"/>
    <x v="647"/>
    <n v="1"/>
    <n v="2257"/>
    <n v="1535"/>
    <n v="1535"/>
    <n v="2257"/>
    <n v="722"/>
    <s v="Product 59"/>
    <x v="25"/>
    <s v="Joe Sims"/>
    <x v="600"/>
    <n v="6"/>
    <x v="5"/>
    <x v="7"/>
    <x v="7"/>
    <x v="2"/>
    <x v="0"/>
  </r>
  <r>
    <s v="AX19702"/>
    <s v="ENX2051"/>
    <s v="A113"/>
    <s v="EMP1041"/>
    <s v="C1312"/>
    <x v="646"/>
    <n v="2"/>
    <n v="1077"/>
    <n v="732"/>
    <n v="1464"/>
    <n v="2154"/>
    <n v="690"/>
    <s v="Product 52"/>
    <x v="73"/>
    <s v="Joe Sims"/>
    <x v="609"/>
    <n v="6"/>
    <x v="5"/>
    <x v="7"/>
    <x v="7"/>
    <x v="2"/>
    <x v="0"/>
  </r>
  <r>
    <s v="AX19704"/>
    <s v="ENX2042"/>
    <s v="A163"/>
    <s v="EMP1044"/>
    <s v="C1113"/>
    <x v="646"/>
    <n v="1"/>
    <n v="203"/>
    <n v="154"/>
    <n v="154"/>
    <n v="203"/>
    <n v="49"/>
    <s v="Product 43"/>
    <x v="51"/>
    <s v="Martin Carr"/>
    <x v="101"/>
    <n v="6"/>
    <x v="5"/>
    <x v="7"/>
    <x v="7"/>
    <x v="2"/>
    <x v="0"/>
  </r>
  <r>
    <s v="AX19824"/>
    <s v="ENX2032"/>
    <s v="A146"/>
    <s v="EMP1011"/>
    <s v="C1594"/>
    <x v="647"/>
    <n v="4"/>
    <n v="1967"/>
    <n v="1397"/>
    <n v="5588"/>
    <n v="7868"/>
    <n v="2280"/>
    <s v="Product 33"/>
    <x v="27"/>
    <s v="Larry Marshall"/>
    <x v="770"/>
    <n v="6"/>
    <x v="5"/>
    <x v="7"/>
    <x v="7"/>
    <x v="2"/>
    <x v="0"/>
  </r>
  <r>
    <s v="AX19831"/>
    <s v="ENX2056"/>
    <s v="A159"/>
    <s v="EMP1012"/>
    <s v="C1717"/>
    <x v="648"/>
    <n v="2"/>
    <n v="1635"/>
    <n v="1046"/>
    <n v="2092"/>
    <n v="3270"/>
    <n v="1178"/>
    <s v="Product 57"/>
    <x v="13"/>
    <s v="John Reyes"/>
    <x v="605"/>
    <n v="6"/>
    <x v="5"/>
    <x v="7"/>
    <x v="7"/>
    <x v="2"/>
    <x v="0"/>
  </r>
  <r>
    <s v="AX20076"/>
    <s v="ENX2052"/>
    <s v="A129"/>
    <s v="EMP1018"/>
    <s v="C1245"/>
    <x v="646"/>
    <n v="2"/>
    <n v="1526"/>
    <n v="1251"/>
    <n v="2502"/>
    <n v="3052"/>
    <n v="550"/>
    <s v="Product 53"/>
    <x v="22"/>
    <s v="Jimmy Young"/>
    <x v="165"/>
    <n v="6"/>
    <x v="5"/>
    <x v="7"/>
    <x v="7"/>
    <x v="2"/>
    <x v="0"/>
  </r>
  <r>
    <s v="AX20256"/>
    <s v="ENX2033"/>
    <s v="A146"/>
    <s v="EMP1027"/>
    <s v="C1435"/>
    <x v="649"/>
    <n v="3"/>
    <n v="2182"/>
    <n v="1200"/>
    <n v="3600"/>
    <n v="6546"/>
    <n v="2946"/>
    <s v="Product 34"/>
    <x v="27"/>
    <s v="Gary Rodriguez"/>
    <x v="476"/>
    <n v="6"/>
    <x v="5"/>
    <x v="7"/>
    <x v="7"/>
    <x v="2"/>
    <x v="0"/>
  </r>
  <r>
    <s v="AX20522"/>
    <s v="ENX2017"/>
    <s v="A158"/>
    <s v="EMP1012"/>
    <s v="C1041"/>
    <x v="649"/>
    <n v="3"/>
    <n v="35"/>
    <n v="22"/>
    <n v="66"/>
    <n v="105"/>
    <n v="39"/>
    <s v="Product 18"/>
    <x v="58"/>
    <s v="John Reyes"/>
    <x v="29"/>
    <n v="6"/>
    <x v="5"/>
    <x v="7"/>
    <x v="7"/>
    <x v="2"/>
    <x v="0"/>
  </r>
  <r>
    <s v="AX20550"/>
    <s v="ENX2073"/>
    <s v="A133"/>
    <s v="EMP1015"/>
    <s v="C1336"/>
    <x v="650"/>
    <n v="1"/>
    <n v="95"/>
    <n v="61"/>
    <n v="61"/>
    <n v="95"/>
    <n v="34"/>
    <s v="Product 74"/>
    <x v="46"/>
    <s v="Justin Lynch"/>
    <x v="721"/>
    <n v="6"/>
    <x v="5"/>
    <x v="7"/>
    <x v="7"/>
    <x v="2"/>
    <x v="0"/>
  </r>
  <r>
    <s v="AX20674"/>
    <s v="ENX2060"/>
    <s v="A114"/>
    <s v="EMP1043"/>
    <s v="C1740"/>
    <x v="646"/>
    <n v="2"/>
    <n v="1467"/>
    <n v="807"/>
    <n v="1614"/>
    <n v="2934"/>
    <n v="1320"/>
    <s v="Product 61"/>
    <x v="28"/>
    <s v="Joshua Taylor"/>
    <x v="699"/>
    <n v="6"/>
    <x v="5"/>
    <x v="7"/>
    <x v="7"/>
    <x v="2"/>
    <x v="0"/>
  </r>
  <r>
    <s v="AX20765"/>
    <s v="ENX2078"/>
    <s v="A165"/>
    <s v="EMP1014"/>
    <s v="C1689"/>
    <x v="650"/>
    <n v="4"/>
    <n v="1798"/>
    <n v="971"/>
    <n v="3884"/>
    <n v="7192"/>
    <n v="3308"/>
    <s v="Product 79"/>
    <x v="55"/>
    <s v="Ronald Reed"/>
    <x v="181"/>
    <n v="6"/>
    <x v="5"/>
    <x v="7"/>
    <x v="7"/>
    <x v="2"/>
    <x v="0"/>
  </r>
  <r>
    <s v="AX20819"/>
    <s v="ENX2016"/>
    <s v="A156"/>
    <s v="EMP1023"/>
    <s v="C1678"/>
    <x v="646"/>
    <n v="2"/>
    <n v="1351"/>
    <n v="1108"/>
    <n v="2216"/>
    <n v="2702"/>
    <n v="486"/>
    <s v="Product 17"/>
    <x v="14"/>
    <s v="Brian Davis"/>
    <x v="191"/>
    <n v="6"/>
    <x v="5"/>
    <x v="7"/>
    <x v="7"/>
    <x v="2"/>
    <x v="0"/>
  </r>
  <r>
    <s v="AX20922"/>
    <s v="ENX2057"/>
    <s v="A125"/>
    <s v="EMP1020"/>
    <s v="C1250"/>
    <x v="649"/>
    <n v="1"/>
    <n v="181"/>
    <n v="130"/>
    <n v="130"/>
    <n v="181"/>
    <n v="51"/>
    <s v="Product 58"/>
    <x v="31"/>
    <s v="Ryan Butler"/>
    <x v="705"/>
    <n v="6"/>
    <x v="5"/>
    <x v="7"/>
    <x v="7"/>
    <x v="2"/>
    <x v="0"/>
  </r>
  <r>
    <s v="AX20928"/>
    <s v="ENX2023"/>
    <s v="A120"/>
    <s v="EMP1023"/>
    <s v="C1551"/>
    <x v="649"/>
    <n v="3"/>
    <n v="818"/>
    <n v="450"/>
    <n v="1350"/>
    <n v="2454"/>
    <n v="1104"/>
    <s v="Product 24"/>
    <x v="20"/>
    <s v="Brian Davis"/>
    <x v="596"/>
    <n v="6"/>
    <x v="5"/>
    <x v="7"/>
    <x v="7"/>
    <x v="2"/>
    <x v="0"/>
  </r>
  <r>
    <s v="AX21391"/>
    <s v="ENX2025"/>
    <s v="A166"/>
    <s v="EMP1041"/>
    <s v="C1684"/>
    <x v="646"/>
    <n v="1"/>
    <n v="667"/>
    <n v="387"/>
    <n v="387"/>
    <n v="667"/>
    <n v="280"/>
    <s v="Product 26"/>
    <x v="70"/>
    <s v="Joe Sims"/>
    <x v="258"/>
    <n v="6"/>
    <x v="5"/>
    <x v="7"/>
    <x v="7"/>
    <x v="2"/>
    <x v="0"/>
  </r>
  <r>
    <s v="AX21466"/>
    <s v="ENX2077"/>
    <s v="A143"/>
    <s v="EMP1031"/>
    <s v="C1109"/>
    <x v="649"/>
    <n v="3"/>
    <n v="530"/>
    <n v="424"/>
    <n v="1272"/>
    <n v="1590"/>
    <n v="318"/>
    <s v="Product 78"/>
    <x v="39"/>
    <s v="Brian Thomas"/>
    <x v="756"/>
    <n v="6"/>
    <x v="5"/>
    <x v="7"/>
    <x v="7"/>
    <x v="2"/>
    <x v="0"/>
  </r>
  <r>
    <s v="AX21620"/>
    <s v="ENX2019"/>
    <s v="A165"/>
    <s v="EMP1043"/>
    <s v="C1273"/>
    <x v="647"/>
    <n v="1"/>
    <n v="800"/>
    <n v="536"/>
    <n v="536"/>
    <n v="800"/>
    <n v="264"/>
    <s v="Product 20"/>
    <x v="55"/>
    <s v="Joshua Taylor"/>
    <x v="469"/>
    <n v="6"/>
    <x v="5"/>
    <x v="7"/>
    <x v="7"/>
    <x v="2"/>
    <x v="0"/>
  </r>
  <r>
    <s v="AX22148"/>
    <s v="ENX2028"/>
    <s v="A162"/>
    <s v="EMP1010"/>
    <s v="C1646"/>
    <x v="648"/>
    <n v="2"/>
    <n v="2283"/>
    <n v="1484"/>
    <n v="2968"/>
    <n v="4566"/>
    <n v="1598"/>
    <s v="Product 29"/>
    <x v="2"/>
    <s v="Joshua Cook"/>
    <x v="789"/>
    <n v="6"/>
    <x v="5"/>
    <x v="7"/>
    <x v="7"/>
    <x v="2"/>
    <x v="0"/>
  </r>
  <r>
    <s v="AX22166"/>
    <s v="ENX2064"/>
    <s v="A135"/>
    <s v="EMP1005"/>
    <s v="C1036"/>
    <x v="647"/>
    <n v="2"/>
    <n v="1414"/>
    <n v="962"/>
    <n v="1924"/>
    <n v="2828"/>
    <n v="904"/>
    <s v="Product 65"/>
    <x v="10"/>
    <s v="Ryan Welch"/>
    <x v="256"/>
    <n v="6"/>
    <x v="5"/>
    <x v="7"/>
    <x v="7"/>
    <x v="2"/>
    <x v="0"/>
  </r>
  <r>
    <s v="AX22341"/>
    <s v="ENX2087"/>
    <s v="A142"/>
    <s v="EMP1042"/>
    <s v="C1389"/>
    <x v="648"/>
    <n v="2"/>
    <n v="1022"/>
    <n v="818"/>
    <n v="1636"/>
    <n v="2044"/>
    <n v="408"/>
    <s v="Product 88"/>
    <x v="56"/>
    <s v="Scott Clark"/>
    <x v="38"/>
    <n v="6"/>
    <x v="5"/>
    <x v="7"/>
    <x v="7"/>
    <x v="2"/>
    <x v="0"/>
  </r>
  <r>
    <s v="AX22864"/>
    <s v="ENX2043"/>
    <s v="A144"/>
    <s v="EMP1008"/>
    <s v="C1434"/>
    <x v="649"/>
    <n v="3"/>
    <n v="545"/>
    <n v="425"/>
    <n v="1275"/>
    <n v="1635"/>
    <n v="360"/>
    <s v="Product 44"/>
    <x v="65"/>
    <s v="Carl Elliott"/>
    <x v="722"/>
    <n v="6"/>
    <x v="5"/>
    <x v="7"/>
    <x v="7"/>
    <x v="2"/>
    <x v="0"/>
  </r>
  <r>
    <s v="AX23405"/>
    <s v="ENX2074"/>
    <s v="A133"/>
    <s v="EMP1020"/>
    <s v="C1444"/>
    <x v="647"/>
    <n v="3"/>
    <n v="504"/>
    <n v="408"/>
    <n v="1224"/>
    <n v="1512"/>
    <n v="288"/>
    <s v="Product 75"/>
    <x v="46"/>
    <s v="Ryan Butler"/>
    <x v="454"/>
    <n v="6"/>
    <x v="5"/>
    <x v="7"/>
    <x v="7"/>
    <x v="2"/>
    <x v="0"/>
  </r>
  <r>
    <s v="AX23841"/>
    <s v="ENX2056"/>
    <s v="A135"/>
    <s v="EMP1017"/>
    <s v="C1399"/>
    <x v="647"/>
    <n v="2"/>
    <n v="1635"/>
    <n v="1046"/>
    <n v="2092"/>
    <n v="3270"/>
    <n v="1178"/>
    <s v="Product 57"/>
    <x v="10"/>
    <s v="Brian Hansen"/>
    <x v="776"/>
    <n v="6"/>
    <x v="5"/>
    <x v="7"/>
    <x v="7"/>
    <x v="2"/>
    <x v="0"/>
  </r>
  <r>
    <s v="AX23869"/>
    <s v="ENX2023"/>
    <s v="A161"/>
    <s v="EMP1015"/>
    <s v="C1088"/>
    <x v="650"/>
    <n v="3"/>
    <n v="818"/>
    <n v="450"/>
    <n v="1350"/>
    <n v="2454"/>
    <n v="1104"/>
    <s v="Product 24"/>
    <x v="6"/>
    <s v="Justin Lynch"/>
    <x v="498"/>
    <n v="6"/>
    <x v="5"/>
    <x v="7"/>
    <x v="7"/>
    <x v="2"/>
    <x v="0"/>
  </r>
  <r>
    <s v="AX24186"/>
    <s v="ENX2027"/>
    <s v="A124"/>
    <s v="EMP1012"/>
    <s v="C1511"/>
    <x v="649"/>
    <n v="2"/>
    <n v="2497"/>
    <n v="1473"/>
    <n v="2946"/>
    <n v="4994"/>
    <n v="2048"/>
    <s v="Product 28"/>
    <x v="67"/>
    <s v="John Reyes"/>
    <x v="754"/>
    <n v="6"/>
    <x v="5"/>
    <x v="7"/>
    <x v="7"/>
    <x v="2"/>
    <x v="0"/>
  </r>
  <r>
    <s v="AX24521"/>
    <s v="ENX2029"/>
    <s v="A136"/>
    <s v="EMP1027"/>
    <s v="C1223"/>
    <x v="648"/>
    <n v="3"/>
    <n v="1848"/>
    <n v="1294"/>
    <n v="3882"/>
    <n v="5544"/>
    <n v="1662"/>
    <s v="Product 30"/>
    <x v="43"/>
    <s v="Gary Rodriguez"/>
    <x v="310"/>
    <n v="6"/>
    <x v="5"/>
    <x v="7"/>
    <x v="7"/>
    <x v="2"/>
    <x v="0"/>
  </r>
  <r>
    <s v="AX24729"/>
    <s v="ENX2012"/>
    <s v="A147"/>
    <s v="EMP1022"/>
    <s v="C1306"/>
    <x v="647"/>
    <n v="1"/>
    <n v="1353"/>
    <n v="947"/>
    <n v="947"/>
    <n v="1353"/>
    <n v="406"/>
    <s v="Product 13"/>
    <x v="42"/>
    <s v="Walter Cook"/>
    <x v="692"/>
    <n v="6"/>
    <x v="5"/>
    <x v="7"/>
    <x v="7"/>
    <x v="2"/>
    <x v="0"/>
  </r>
  <r>
    <s v="AX10266"/>
    <s v="ENX2027"/>
    <s v="A153"/>
    <s v="EMP1022"/>
    <s v="C1143"/>
    <x v="651"/>
    <n v="1"/>
    <n v="2497"/>
    <n v="1473"/>
    <n v="1473"/>
    <n v="2497"/>
    <n v="1024"/>
    <s v="Product 28"/>
    <x v="8"/>
    <s v="Walter Cook"/>
    <x v="557"/>
    <n v="6"/>
    <x v="5"/>
    <x v="7"/>
    <x v="7"/>
    <x v="2"/>
    <x v="2"/>
  </r>
  <r>
    <s v="AX10658"/>
    <s v="ENX2076"/>
    <s v="A172"/>
    <s v="EMP1033"/>
    <s v="C1405"/>
    <x v="652"/>
    <n v="3"/>
    <n v="1522"/>
    <n v="791"/>
    <n v="2373"/>
    <n v="4566"/>
    <n v="2193"/>
    <s v="Product 77"/>
    <x v="36"/>
    <s v="Jerry Perry"/>
    <x v="544"/>
    <n v="6"/>
    <x v="5"/>
    <x v="7"/>
    <x v="7"/>
    <x v="2"/>
    <x v="2"/>
  </r>
  <r>
    <s v="AX10728"/>
    <s v="ENX2033"/>
    <s v="A135"/>
    <s v="EMP1017"/>
    <s v="C1027"/>
    <x v="653"/>
    <n v="1"/>
    <n v="2182"/>
    <n v="1200"/>
    <n v="1200"/>
    <n v="2182"/>
    <n v="982"/>
    <s v="Product 34"/>
    <x v="10"/>
    <s v="Brian Hansen"/>
    <x v="528"/>
    <n v="6"/>
    <x v="5"/>
    <x v="7"/>
    <x v="7"/>
    <x v="2"/>
    <x v="2"/>
  </r>
  <r>
    <s v="AX10782"/>
    <s v="ENX2064"/>
    <s v="A117"/>
    <s v="EMP1006"/>
    <s v="C1149"/>
    <x v="652"/>
    <n v="4"/>
    <n v="1414"/>
    <n v="962"/>
    <n v="3848"/>
    <n v="5656"/>
    <n v="1808"/>
    <s v="Product 65"/>
    <x v="29"/>
    <s v="Sean Miller"/>
    <x v="514"/>
    <n v="6"/>
    <x v="5"/>
    <x v="7"/>
    <x v="7"/>
    <x v="2"/>
    <x v="2"/>
  </r>
  <r>
    <s v="AX10941"/>
    <s v="ENX2063"/>
    <s v="A130"/>
    <s v="EMP1042"/>
    <s v="C1410"/>
    <x v="651"/>
    <n v="4"/>
    <n v="1708"/>
    <n v="871"/>
    <n v="3484"/>
    <n v="6832"/>
    <n v="3348"/>
    <s v="Product 64"/>
    <x v="4"/>
    <s v="Scott Clark"/>
    <x v="112"/>
    <n v="6"/>
    <x v="5"/>
    <x v="7"/>
    <x v="7"/>
    <x v="2"/>
    <x v="2"/>
  </r>
  <r>
    <s v="AX11021"/>
    <s v="ENX2005"/>
    <s v="A116"/>
    <s v="EMP1015"/>
    <s v="C1320"/>
    <x v="653"/>
    <n v="1"/>
    <n v="684"/>
    <n v="561"/>
    <n v="561"/>
    <n v="684"/>
    <n v="123"/>
    <s v="Product 6"/>
    <x v="15"/>
    <s v="Justin Lynch"/>
    <x v="480"/>
    <n v="6"/>
    <x v="5"/>
    <x v="7"/>
    <x v="7"/>
    <x v="2"/>
    <x v="2"/>
  </r>
  <r>
    <s v="AX11523"/>
    <s v="ENX2005"/>
    <s v="A165"/>
    <s v="EMP1025"/>
    <s v="C1173"/>
    <x v="654"/>
    <n v="1"/>
    <n v="684"/>
    <n v="561"/>
    <n v="561"/>
    <n v="684"/>
    <n v="123"/>
    <s v="Product 6"/>
    <x v="55"/>
    <s v="Ernest Wagner"/>
    <x v="167"/>
    <n v="6"/>
    <x v="5"/>
    <x v="7"/>
    <x v="7"/>
    <x v="2"/>
    <x v="2"/>
  </r>
  <r>
    <s v="AX11581"/>
    <s v="ENX2006"/>
    <s v="A160"/>
    <s v="EMP1035"/>
    <s v="C1182"/>
    <x v="651"/>
    <n v="1"/>
    <n v="1826"/>
    <n v="1443"/>
    <n v="1443"/>
    <n v="1826"/>
    <n v="383"/>
    <s v="Product 7"/>
    <x v="9"/>
    <s v="Roger Ramos"/>
    <x v="759"/>
    <n v="6"/>
    <x v="5"/>
    <x v="7"/>
    <x v="7"/>
    <x v="2"/>
    <x v="2"/>
  </r>
  <r>
    <s v="AX11582"/>
    <s v="ENX2009"/>
    <s v="A124"/>
    <s v="EMP1009"/>
    <s v="C1493"/>
    <x v="652"/>
    <n v="3"/>
    <n v="584"/>
    <n v="420"/>
    <n v="1260"/>
    <n v="1752"/>
    <n v="492"/>
    <s v="Product 10"/>
    <x v="67"/>
    <s v="Kenneth Fields"/>
    <x v="380"/>
    <n v="6"/>
    <x v="5"/>
    <x v="7"/>
    <x v="7"/>
    <x v="2"/>
    <x v="2"/>
  </r>
  <r>
    <s v="AX12229"/>
    <s v="ENX2041"/>
    <s v="A138"/>
    <s v="EMP1023"/>
    <s v="C1178"/>
    <x v="653"/>
    <n v="2"/>
    <n v="1380"/>
    <n v="1090"/>
    <n v="2180"/>
    <n v="2760"/>
    <n v="580"/>
    <s v="Product 42"/>
    <x v="37"/>
    <s v="Brian Davis"/>
    <x v="465"/>
    <n v="6"/>
    <x v="5"/>
    <x v="7"/>
    <x v="7"/>
    <x v="2"/>
    <x v="2"/>
  </r>
  <r>
    <s v="AX12525"/>
    <s v="ENX2030"/>
    <s v="A102"/>
    <s v="EMP1015"/>
    <s v="C1797"/>
    <x v="652"/>
    <n v="1"/>
    <n v="1899"/>
    <n v="1044"/>
    <n v="1044"/>
    <n v="1899"/>
    <n v="855"/>
    <s v="Product 31"/>
    <x v="44"/>
    <s v="Justin Lynch"/>
    <x v="407"/>
    <n v="6"/>
    <x v="5"/>
    <x v="7"/>
    <x v="7"/>
    <x v="2"/>
    <x v="2"/>
  </r>
  <r>
    <s v="AX12617"/>
    <s v="ENX2018"/>
    <s v="A142"/>
    <s v="EMP1020"/>
    <s v="C1375"/>
    <x v="652"/>
    <n v="1"/>
    <n v="1972"/>
    <n v="1321"/>
    <n v="1321"/>
    <n v="1972"/>
    <n v="651"/>
    <s v="Product 19"/>
    <x v="56"/>
    <s v="Ryan Butler"/>
    <x v="9"/>
    <n v="6"/>
    <x v="5"/>
    <x v="7"/>
    <x v="7"/>
    <x v="2"/>
    <x v="2"/>
  </r>
  <r>
    <s v="AX12621"/>
    <s v="ENX2002"/>
    <s v="A141"/>
    <s v="EMP1001"/>
    <s v="C1598"/>
    <x v="654"/>
    <n v="1"/>
    <n v="847"/>
    <n v="534"/>
    <n v="534"/>
    <n v="847"/>
    <n v="313"/>
    <s v="Product 3"/>
    <x v="23"/>
    <s v="Kevin Butler"/>
    <x v="125"/>
    <n v="6"/>
    <x v="5"/>
    <x v="7"/>
    <x v="7"/>
    <x v="2"/>
    <x v="2"/>
  </r>
  <r>
    <s v="AX13596"/>
    <s v="ENX2055"/>
    <s v="A155"/>
    <s v="EMP1006"/>
    <s v="C1574"/>
    <x v="654"/>
    <n v="1"/>
    <n v="2495"/>
    <n v="1896"/>
    <n v="1896"/>
    <n v="2495"/>
    <n v="599"/>
    <s v="Product 56"/>
    <x v="53"/>
    <s v="Sean Miller"/>
    <x v="521"/>
    <n v="6"/>
    <x v="5"/>
    <x v="7"/>
    <x v="7"/>
    <x v="2"/>
    <x v="2"/>
  </r>
  <r>
    <s v="AX14089"/>
    <s v="ENX2017"/>
    <s v="A144"/>
    <s v="EMP1032"/>
    <s v="C1072"/>
    <x v="651"/>
    <n v="3"/>
    <n v="35"/>
    <n v="22"/>
    <n v="66"/>
    <n v="105"/>
    <n v="39"/>
    <s v="Product 18"/>
    <x v="65"/>
    <s v="Larry Castillo"/>
    <x v="529"/>
    <n v="6"/>
    <x v="5"/>
    <x v="7"/>
    <x v="7"/>
    <x v="2"/>
    <x v="2"/>
  </r>
  <r>
    <s v="AX14107"/>
    <s v="ENX2090"/>
    <s v="A116"/>
    <s v="EMP1020"/>
    <s v="C1639"/>
    <x v="655"/>
    <n v="1"/>
    <n v="1338"/>
    <n v="682"/>
    <n v="682"/>
    <n v="1338"/>
    <n v="656"/>
    <s v="Product 91"/>
    <x v="15"/>
    <s v="Ryan Butler"/>
    <x v="30"/>
    <n v="6"/>
    <x v="5"/>
    <x v="7"/>
    <x v="7"/>
    <x v="2"/>
    <x v="2"/>
  </r>
  <r>
    <s v="AX14295"/>
    <s v="ENX2047"/>
    <s v="A167"/>
    <s v="EMP1008"/>
    <s v="C1637"/>
    <x v="652"/>
    <n v="1"/>
    <n v="290"/>
    <n v="200"/>
    <n v="200"/>
    <n v="290"/>
    <n v="90"/>
    <s v="Product 48"/>
    <x v="64"/>
    <s v="Carl Elliott"/>
    <x v="326"/>
    <n v="6"/>
    <x v="5"/>
    <x v="7"/>
    <x v="7"/>
    <x v="2"/>
    <x v="2"/>
  </r>
  <r>
    <s v="AX14656"/>
    <s v="ENX2050"/>
    <s v="A106"/>
    <s v="EMP1009"/>
    <s v="C1179"/>
    <x v="654"/>
    <n v="2"/>
    <n v="2391"/>
    <n v="1291"/>
    <n v="2582"/>
    <n v="4782"/>
    <n v="2200"/>
    <s v="Product 51"/>
    <x v="11"/>
    <s v="Kenneth Fields"/>
    <x v="788"/>
    <n v="6"/>
    <x v="5"/>
    <x v="7"/>
    <x v="7"/>
    <x v="2"/>
    <x v="2"/>
  </r>
  <r>
    <s v="AX14961"/>
    <s v="ENX2032"/>
    <s v="A141"/>
    <s v="EMP1023"/>
    <s v="C1072"/>
    <x v="653"/>
    <n v="3"/>
    <n v="1967"/>
    <n v="1397"/>
    <n v="4191"/>
    <n v="5901"/>
    <n v="1710"/>
    <s v="Product 33"/>
    <x v="23"/>
    <s v="Brian Davis"/>
    <x v="529"/>
    <n v="6"/>
    <x v="5"/>
    <x v="7"/>
    <x v="7"/>
    <x v="2"/>
    <x v="2"/>
  </r>
  <r>
    <s v="AX14964"/>
    <s v="ENX2000"/>
    <s v="A146"/>
    <s v="EMP1000"/>
    <s v="C1028"/>
    <x v="653"/>
    <n v="3"/>
    <n v="2241"/>
    <n v="1367"/>
    <n v="4101"/>
    <n v="6723"/>
    <n v="2622"/>
    <s v="Product 1"/>
    <x v="27"/>
    <s v="Fred Robertson"/>
    <x v="135"/>
    <n v="6"/>
    <x v="5"/>
    <x v="7"/>
    <x v="7"/>
    <x v="2"/>
    <x v="2"/>
  </r>
  <r>
    <s v="AX15063"/>
    <s v="ENX2038"/>
    <s v="A118"/>
    <s v="EMP1015"/>
    <s v="C1196"/>
    <x v="654"/>
    <n v="4"/>
    <n v="392"/>
    <n v="255"/>
    <n v="1020"/>
    <n v="1568"/>
    <n v="548"/>
    <s v="Product 39"/>
    <x v="19"/>
    <s v="Justin Lynch"/>
    <x v="65"/>
    <n v="6"/>
    <x v="5"/>
    <x v="7"/>
    <x v="7"/>
    <x v="2"/>
    <x v="2"/>
  </r>
  <r>
    <s v="AX15171"/>
    <s v="ENX2005"/>
    <s v="A109"/>
    <s v="EMP1010"/>
    <s v="C1638"/>
    <x v="652"/>
    <n v="1"/>
    <n v="684"/>
    <n v="561"/>
    <n v="561"/>
    <n v="684"/>
    <n v="123"/>
    <s v="Product 6"/>
    <x v="57"/>
    <s v="Joshua Cook"/>
    <x v="395"/>
    <n v="6"/>
    <x v="5"/>
    <x v="7"/>
    <x v="7"/>
    <x v="2"/>
    <x v="2"/>
  </r>
  <r>
    <s v="AX15479"/>
    <s v="ENX2005"/>
    <s v="A127"/>
    <s v="EMP1014"/>
    <s v="C1611"/>
    <x v="655"/>
    <n v="1"/>
    <n v="684"/>
    <n v="561"/>
    <n v="561"/>
    <n v="684"/>
    <n v="123"/>
    <s v="Product 6"/>
    <x v="69"/>
    <s v="Ronald Reed"/>
    <x v="306"/>
    <n v="6"/>
    <x v="5"/>
    <x v="7"/>
    <x v="7"/>
    <x v="2"/>
    <x v="2"/>
  </r>
  <r>
    <s v="AX15616"/>
    <s v="ENX2000"/>
    <s v="A101"/>
    <s v="EMP1008"/>
    <s v="C1107"/>
    <x v="654"/>
    <n v="1"/>
    <n v="2241"/>
    <n v="1367"/>
    <n v="1367"/>
    <n v="2241"/>
    <n v="874"/>
    <s v="Product 1"/>
    <x v="60"/>
    <s v="Carl Elliott"/>
    <x v="278"/>
    <n v="6"/>
    <x v="5"/>
    <x v="7"/>
    <x v="7"/>
    <x v="2"/>
    <x v="2"/>
  </r>
  <r>
    <s v="AX15718"/>
    <s v="ENX2076"/>
    <s v="A125"/>
    <s v="EMP1006"/>
    <s v="C1188"/>
    <x v="655"/>
    <n v="1"/>
    <n v="1522"/>
    <n v="791"/>
    <n v="791"/>
    <n v="1522"/>
    <n v="731"/>
    <s v="Product 77"/>
    <x v="31"/>
    <s v="Sean Miller"/>
    <x v="369"/>
    <n v="6"/>
    <x v="5"/>
    <x v="7"/>
    <x v="7"/>
    <x v="2"/>
    <x v="2"/>
  </r>
  <r>
    <s v="AX15823"/>
    <s v="ENX2059"/>
    <s v="A162"/>
    <s v="EMP1024"/>
    <s v="C1587"/>
    <x v="654"/>
    <n v="2"/>
    <n v="1494"/>
    <n v="971"/>
    <n v="1942"/>
    <n v="2988"/>
    <n v="1046"/>
    <s v="Product 60"/>
    <x v="2"/>
    <s v="Ernest Wheeler"/>
    <x v="403"/>
    <n v="6"/>
    <x v="5"/>
    <x v="7"/>
    <x v="7"/>
    <x v="2"/>
    <x v="2"/>
  </r>
  <r>
    <s v="AX16017"/>
    <s v="ENX2022"/>
    <s v="A114"/>
    <s v="EMP1001"/>
    <s v="C1426"/>
    <x v="654"/>
    <n v="2"/>
    <n v="561"/>
    <n v="421"/>
    <n v="842"/>
    <n v="1122"/>
    <n v="280"/>
    <s v="Product 23"/>
    <x v="28"/>
    <s v="Kevin Butler"/>
    <x v="127"/>
    <n v="6"/>
    <x v="5"/>
    <x v="7"/>
    <x v="7"/>
    <x v="2"/>
    <x v="2"/>
  </r>
  <r>
    <s v="AX16209"/>
    <s v="ENX2099"/>
    <s v="A133"/>
    <s v="EMP1009"/>
    <s v="C1602"/>
    <x v="653"/>
    <n v="3"/>
    <n v="1367"/>
    <n v="984"/>
    <n v="2952"/>
    <n v="4101"/>
    <n v="1149"/>
    <s v="Product 100"/>
    <x v="46"/>
    <s v="Kenneth Fields"/>
    <x v="749"/>
    <n v="6"/>
    <x v="5"/>
    <x v="7"/>
    <x v="7"/>
    <x v="2"/>
    <x v="2"/>
  </r>
  <r>
    <s v="AX16323"/>
    <s v="ENX2071"/>
    <s v="A116"/>
    <s v="EMP1008"/>
    <s v="C1156"/>
    <x v="655"/>
    <n v="1"/>
    <n v="136"/>
    <n v="72"/>
    <n v="72"/>
    <n v="136"/>
    <n v="64"/>
    <s v="Product 72"/>
    <x v="15"/>
    <s v="Carl Elliott"/>
    <x v="740"/>
    <n v="6"/>
    <x v="5"/>
    <x v="7"/>
    <x v="7"/>
    <x v="2"/>
    <x v="2"/>
  </r>
  <r>
    <s v="AX16495"/>
    <s v="ENX2027"/>
    <s v="A162"/>
    <s v="EMP1043"/>
    <s v="C1601"/>
    <x v="652"/>
    <n v="1"/>
    <n v="2497"/>
    <n v="1473"/>
    <n v="1473"/>
    <n v="2497"/>
    <n v="1024"/>
    <s v="Product 28"/>
    <x v="2"/>
    <s v="Joshua Taylor"/>
    <x v="324"/>
    <n v="6"/>
    <x v="5"/>
    <x v="7"/>
    <x v="7"/>
    <x v="2"/>
    <x v="2"/>
  </r>
  <r>
    <s v="AX16547"/>
    <s v="ENX2036"/>
    <s v="A111"/>
    <s v="EMP1035"/>
    <s v="C1787"/>
    <x v="651"/>
    <n v="3"/>
    <n v="1582"/>
    <n v="1234"/>
    <n v="3702"/>
    <n v="4746"/>
    <n v="1044"/>
    <s v="Product 37"/>
    <x v="54"/>
    <s v="Roger Ramos"/>
    <x v="439"/>
    <n v="6"/>
    <x v="5"/>
    <x v="7"/>
    <x v="7"/>
    <x v="2"/>
    <x v="2"/>
  </r>
  <r>
    <s v="AX16560"/>
    <s v="ENX2051"/>
    <s v="A149"/>
    <s v="EMP1000"/>
    <s v="C1767"/>
    <x v="653"/>
    <n v="1"/>
    <n v="1077"/>
    <n v="732"/>
    <n v="732"/>
    <n v="1077"/>
    <n v="345"/>
    <s v="Product 52"/>
    <x v="59"/>
    <s v="Fred Robertson"/>
    <x v="4"/>
    <n v="6"/>
    <x v="5"/>
    <x v="7"/>
    <x v="7"/>
    <x v="2"/>
    <x v="2"/>
  </r>
  <r>
    <s v="AX16757"/>
    <s v="ENX2074"/>
    <s v="A169"/>
    <s v="EMP1002"/>
    <s v="C1046"/>
    <x v="653"/>
    <n v="1"/>
    <n v="504"/>
    <n v="408"/>
    <n v="408"/>
    <n v="504"/>
    <n v="96"/>
    <s v="Product 75"/>
    <x v="17"/>
    <s v="Andrew Bowman"/>
    <x v="719"/>
    <n v="6"/>
    <x v="5"/>
    <x v="7"/>
    <x v="7"/>
    <x v="2"/>
    <x v="2"/>
  </r>
  <r>
    <s v="AX16835"/>
    <s v="ENX2059"/>
    <s v="A115"/>
    <s v="EMP1036"/>
    <s v="C1440"/>
    <x v="654"/>
    <n v="1"/>
    <n v="1494"/>
    <n v="971"/>
    <n v="971"/>
    <n v="1494"/>
    <n v="523"/>
    <s v="Product 60"/>
    <x v="33"/>
    <s v="Robert Reed"/>
    <x v="52"/>
    <n v="6"/>
    <x v="5"/>
    <x v="7"/>
    <x v="7"/>
    <x v="2"/>
    <x v="2"/>
  </r>
  <r>
    <s v="AX17291"/>
    <s v="ENX2099"/>
    <s v="A149"/>
    <s v="EMP1030"/>
    <s v="C1137"/>
    <x v="652"/>
    <n v="2"/>
    <n v="1367"/>
    <n v="984"/>
    <n v="1968"/>
    <n v="2734"/>
    <n v="766"/>
    <s v="Product 100"/>
    <x v="59"/>
    <s v="Bobby Russell"/>
    <x v="131"/>
    <n v="6"/>
    <x v="5"/>
    <x v="7"/>
    <x v="7"/>
    <x v="2"/>
    <x v="2"/>
  </r>
  <r>
    <s v="AX17313"/>
    <s v="ENX2098"/>
    <s v="A145"/>
    <s v="EMP1000"/>
    <s v="C1458"/>
    <x v="655"/>
    <n v="3"/>
    <n v="1178"/>
    <n v="683"/>
    <n v="2049"/>
    <n v="3534"/>
    <n v="1485"/>
    <s v="Product 99"/>
    <x v="35"/>
    <s v="Fred Robertson"/>
    <x v="291"/>
    <n v="6"/>
    <x v="5"/>
    <x v="7"/>
    <x v="7"/>
    <x v="2"/>
    <x v="2"/>
  </r>
  <r>
    <s v="AX17657"/>
    <s v="ENX2053"/>
    <s v="A142"/>
    <s v="EMP1022"/>
    <s v="C1319"/>
    <x v="655"/>
    <n v="1"/>
    <n v="596"/>
    <n v="358"/>
    <n v="358"/>
    <n v="596"/>
    <n v="238"/>
    <s v="Product 54"/>
    <x v="56"/>
    <s v="Walter Cook"/>
    <x v="464"/>
    <n v="6"/>
    <x v="5"/>
    <x v="7"/>
    <x v="7"/>
    <x v="2"/>
    <x v="2"/>
  </r>
  <r>
    <s v="AX17878"/>
    <s v="ENX2036"/>
    <s v="A140"/>
    <s v="EMP1027"/>
    <s v="C1054"/>
    <x v="654"/>
    <n v="3"/>
    <n v="1582"/>
    <n v="1234"/>
    <n v="3702"/>
    <n v="4746"/>
    <n v="1044"/>
    <s v="Product 37"/>
    <x v="18"/>
    <s v="Gary Rodriguez"/>
    <x v="58"/>
    <n v="6"/>
    <x v="5"/>
    <x v="7"/>
    <x v="7"/>
    <x v="2"/>
    <x v="2"/>
  </r>
  <r>
    <s v="AX18714"/>
    <s v="ENX2048"/>
    <s v="A151"/>
    <s v="EMP1040"/>
    <s v="C1776"/>
    <x v="652"/>
    <n v="3"/>
    <n v="502"/>
    <n v="296"/>
    <n v="888"/>
    <n v="1506"/>
    <n v="618"/>
    <s v="Product 49"/>
    <x v="1"/>
    <s v="Patrick Ruiz"/>
    <x v="160"/>
    <n v="6"/>
    <x v="5"/>
    <x v="7"/>
    <x v="7"/>
    <x v="2"/>
    <x v="2"/>
  </r>
  <r>
    <s v="AX18868"/>
    <s v="ENX2042"/>
    <s v="A132"/>
    <s v="EMP1002"/>
    <s v="C1623"/>
    <x v="651"/>
    <n v="3"/>
    <n v="203"/>
    <n v="154"/>
    <n v="462"/>
    <n v="609"/>
    <n v="147"/>
    <s v="Product 43"/>
    <x v="48"/>
    <s v="Andrew Bowman"/>
    <x v="282"/>
    <n v="6"/>
    <x v="5"/>
    <x v="7"/>
    <x v="7"/>
    <x v="2"/>
    <x v="2"/>
  </r>
  <r>
    <s v="AX19000"/>
    <s v="ENX2085"/>
    <s v="A168"/>
    <s v="EMP1035"/>
    <s v="C1671"/>
    <x v="651"/>
    <n v="1"/>
    <n v="1862"/>
    <n v="1173"/>
    <n v="1173"/>
    <n v="1862"/>
    <n v="689"/>
    <s v="Product 86"/>
    <x v="40"/>
    <s v="Roger Ramos"/>
    <x v="248"/>
    <n v="6"/>
    <x v="5"/>
    <x v="7"/>
    <x v="7"/>
    <x v="2"/>
    <x v="2"/>
  </r>
  <r>
    <s v="AX19087"/>
    <s v="ENX2023"/>
    <s v="A152"/>
    <s v="EMP1005"/>
    <s v="C1733"/>
    <x v="652"/>
    <n v="1"/>
    <n v="818"/>
    <n v="450"/>
    <n v="450"/>
    <n v="818"/>
    <n v="368"/>
    <s v="Product 24"/>
    <x v="26"/>
    <s v="Ryan Welch"/>
    <x v="32"/>
    <n v="6"/>
    <x v="5"/>
    <x v="7"/>
    <x v="7"/>
    <x v="2"/>
    <x v="2"/>
  </r>
  <r>
    <s v="AX19155"/>
    <s v="ENX2031"/>
    <s v="A165"/>
    <s v="EMP1013"/>
    <s v="C1414"/>
    <x v="655"/>
    <n v="3"/>
    <n v="1638"/>
    <n v="1261"/>
    <n v="3783"/>
    <n v="4914"/>
    <n v="1131"/>
    <s v="Product 32"/>
    <x v="55"/>
    <s v="Charles Harper"/>
    <x v="140"/>
    <n v="6"/>
    <x v="5"/>
    <x v="7"/>
    <x v="7"/>
    <x v="2"/>
    <x v="2"/>
  </r>
  <r>
    <s v="AX19190"/>
    <s v="ENX2100"/>
    <s v="A107"/>
    <s v="EMP1012"/>
    <s v="C1291"/>
    <x v="652"/>
    <n v="3"/>
    <n v="799"/>
    <n v="455"/>
    <n v="1365"/>
    <n v="2397"/>
    <n v="1032"/>
    <s v="Product 101"/>
    <x v="21"/>
    <s v="John Reyes"/>
    <x v="16"/>
    <n v="6"/>
    <x v="5"/>
    <x v="7"/>
    <x v="7"/>
    <x v="2"/>
    <x v="2"/>
  </r>
  <r>
    <s v="AX19226"/>
    <s v="ENX2013"/>
    <s v="A154"/>
    <s v="EMP1024"/>
    <s v="C1514"/>
    <x v="654"/>
    <n v="3"/>
    <n v="368"/>
    <n v="269"/>
    <n v="807"/>
    <n v="1104"/>
    <n v="297"/>
    <s v="Product 14"/>
    <x v="24"/>
    <s v="Ernest Wheeler"/>
    <x v="307"/>
    <n v="6"/>
    <x v="5"/>
    <x v="7"/>
    <x v="7"/>
    <x v="2"/>
    <x v="2"/>
  </r>
  <r>
    <s v="AX19262"/>
    <s v="ENX2078"/>
    <s v="A151"/>
    <s v="EMP1035"/>
    <s v="C1069"/>
    <x v="651"/>
    <n v="2"/>
    <n v="1798"/>
    <n v="971"/>
    <n v="1942"/>
    <n v="3596"/>
    <n v="1654"/>
    <s v="Product 79"/>
    <x v="1"/>
    <s v="Roger Ramos"/>
    <x v="284"/>
    <n v="6"/>
    <x v="5"/>
    <x v="7"/>
    <x v="7"/>
    <x v="2"/>
    <x v="2"/>
  </r>
  <r>
    <s v="AX19327"/>
    <s v="ENX2030"/>
    <s v="A115"/>
    <s v="EMP1029"/>
    <s v="C1112"/>
    <x v="652"/>
    <n v="1"/>
    <n v="1899"/>
    <n v="1044"/>
    <n v="1044"/>
    <n v="1899"/>
    <n v="855"/>
    <s v="Product 31"/>
    <x v="33"/>
    <s v="Howard Gardner"/>
    <x v="590"/>
    <n v="6"/>
    <x v="5"/>
    <x v="7"/>
    <x v="7"/>
    <x v="2"/>
    <x v="2"/>
  </r>
  <r>
    <s v="AX19552"/>
    <s v="ENX2000"/>
    <s v="A122"/>
    <s v="EMP1033"/>
    <s v="C1438"/>
    <x v="654"/>
    <n v="1"/>
    <n v="2241"/>
    <n v="1367"/>
    <n v="1367"/>
    <n v="2241"/>
    <n v="874"/>
    <s v="Product 1"/>
    <x v="71"/>
    <s v="Jerry Perry"/>
    <x v="670"/>
    <n v="6"/>
    <x v="5"/>
    <x v="7"/>
    <x v="7"/>
    <x v="2"/>
    <x v="2"/>
  </r>
  <r>
    <s v="AX19826"/>
    <s v="ENX2028"/>
    <s v="A164"/>
    <s v="EMP1006"/>
    <s v="C1248"/>
    <x v="655"/>
    <n v="1"/>
    <n v="2283"/>
    <n v="1484"/>
    <n v="1484"/>
    <n v="2283"/>
    <n v="799"/>
    <s v="Product 29"/>
    <x v="3"/>
    <s v="Sean Miller"/>
    <x v="354"/>
    <n v="6"/>
    <x v="5"/>
    <x v="7"/>
    <x v="7"/>
    <x v="2"/>
    <x v="2"/>
  </r>
  <r>
    <s v="AX19853"/>
    <s v="ENX2031"/>
    <s v="A119"/>
    <s v="EMP1002"/>
    <s v="C1023"/>
    <x v="655"/>
    <n v="1"/>
    <n v="1638"/>
    <n v="1261"/>
    <n v="1261"/>
    <n v="1638"/>
    <n v="377"/>
    <s v="Product 32"/>
    <x v="16"/>
    <s v="Andrew Bowman"/>
    <x v="799"/>
    <n v="6"/>
    <x v="5"/>
    <x v="7"/>
    <x v="7"/>
    <x v="2"/>
    <x v="2"/>
  </r>
  <r>
    <s v="AX20622"/>
    <s v="ENX2061"/>
    <s v="A168"/>
    <s v="EMP1016"/>
    <s v="C1617"/>
    <x v="655"/>
    <n v="4"/>
    <n v="913"/>
    <n v="584"/>
    <n v="2336"/>
    <n v="3652"/>
    <n v="1316"/>
    <s v="Product 62"/>
    <x v="40"/>
    <s v="Henry Nelson"/>
    <x v="195"/>
    <n v="6"/>
    <x v="5"/>
    <x v="7"/>
    <x v="7"/>
    <x v="2"/>
    <x v="2"/>
  </r>
  <r>
    <s v="AX20956"/>
    <s v="ENX2034"/>
    <s v="A164"/>
    <s v="EMP1000"/>
    <s v="C1049"/>
    <x v="652"/>
    <n v="3"/>
    <n v="871"/>
    <n v="540"/>
    <n v="1620"/>
    <n v="2613"/>
    <n v="993"/>
    <s v="Product 35"/>
    <x v="3"/>
    <s v="Fred Robertson"/>
    <x v="305"/>
    <n v="6"/>
    <x v="5"/>
    <x v="7"/>
    <x v="7"/>
    <x v="2"/>
    <x v="2"/>
  </r>
  <r>
    <s v="AX21124"/>
    <s v="ENX2036"/>
    <s v="A135"/>
    <s v="EMP1034"/>
    <s v="C1162"/>
    <x v="651"/>
    <n v="3"/>
    <n v="1582"/>
    <n v="1234"/>
    <n v="3702"/>
    <n v="4746"/>
    <n v="1044"/>
    <s v="Product 37"/>
    <x v="10"/>
    <s v="Arthur Mccoy"/>
    <x v="177"/>
    <n v="6"/>
    <x v="5"/>
    <x v="7"/>
    <x v="7"/>
    <x v="2"/>
    <x v="2"/>
  </r>
  <r>
    <s v="AX21442"/>
    <s v="ENX2033"/>
    <s v="A152"/>
    <s v="EMP1037"/>
    <s v="C1541"/>
    <x v="652"/>
    <n v="1"/>
    <n v="2182"/>
    <n v="1200"/>
    <n v="1200"/>
    <n v="2182"/>
    <n v="982"/>
    <s v="Product 34"/>
    <x v="26"/>
    <s v="Carl Hall"/>
    <x v="628"/>
    <n v="6"/>
    <x v="5"/>
    <x v="7"/>
    <x v="7"/>
    <x v="2"/>
    <x v="2"/>
  </r>
  <r>
    <s v="AX21653"/>
    <s v="ENX2078"/>
    <s v="A173"/>
    <s v="EMP1023"/>
    <s v="C1030"/>
    <x v="651"/>
    <n v="2"/>
    <n v="1798"/>
    <n v="971"/>
    <n v="1942"/>
    <n v="3596"/>
    <n v="1654"/>
    <s v="Product 79"/>
    <x v="25"/>
    <s v="Brian Davis"/>
    <x v="106"/>
    <n v="6"/>
    <x v="5"/>
    <x v="7"/>
    <x v="7"/>
    <x v="2"/>
    <x v="2"/>
  </r>
  <r>
    <s v="AX21724"/>
    <s v="ENX2022"/>
    <s v="A128"/>
    <s v="EMP1040"/>
    <s v="C1070"/>
    <x v="654"/>
    <n v="2"/>
    <n v="561"/>
    <n v="421"/>
    <n v="842"/>
    <n v="1122"/>
    <n v="280"/>
    <s v="Product 23"/>
    <x v="12"/>
    <s v="Patrick Ruiz"/>
    <x v="48"/>
    <n v="6"/>
    <x v="5"/>
    <x v="7"/>
    <x v="7"/>
    <x v="2"/>
    <x v="2"/>
  </r>
  <r>
    <s v="AX21811"/>
    <s v="ENX2054"/>
    <s v="A103"/>
    <s v="EMP1039"/>
    <s v="C1634"/>
    <x v="652"/>
    <n v="1"/>
    <n v="127"/>
    <n v="79"/>
    <n v="79"/>
    <n v="127"/>
    <n v="48"/>
    <s v="Product 55"/>
    <x v="61"/>
    <s v="Eugene Holmes"/>
    <x v="71"/>
    <n v="6"/>
    <x v="5"/>
    <x v="7"/>
    <x v="7"/>
    <x v="2"/>
    <x v="2"/>
  </r>
  <r>
    <s v="AX22049"/>
    <s v="ENX2097"/>
    <s v="A165"/>
    <s v="EMP1032"/>
    <s v="C1100"/>
    <x v="652"/>
    <n v="1"/>
    <n v="1052"/>
    <n v="589"/>
    <n v="589"/>
    <n v="1052"/>
    <n v="463"/>
    <s v="Product 98"/>
    <x v="55"/>
    <s v="Larry Castillo"/>
    <x v="110"/>
    <n v="6"/>
    <x v="5"/>
    <x v="7"/>
    <x v="7"/>
    <x v="2"/>
    <x v="2"/>
  </r>
  <r>
    <s v="AX22524"/>
    <s v="ENX2090"/>
    <s v="A156"/>
    <s v="EMP1022"/>
    <s v="C1560"/>
    <x v="654"/>
    <n v="4"/>
    <n v="1338"/>
    <n v="682"/>
    <n v="2728"/>
    <n v="5352"/>
    <n v="2624"/>
    <s v="Product 91"/>
    <x v="14"/>
    <s v="Walter Cook"/>
    <x v="208"/>
    <n v="6"/>
    <x v="5"/>
    <x v="7"/>
    <x v="7"/>
    <x v="2"/>
    <x v="2"/>
  </r>
  <r>
    <s v="AX22657"/>
    <s v="ENX2028"/>
    <s v="A112"/>
    <s v="EMP1014"/>
    <s v="C1087"/>
    <x v="654"/>
    <n v="2"/>
    <n v="2283"/>
    <n v="1484"/>
    <n v="2968"/>
    <n v="4566"/>
    <n v="1598"/>
    <s v="Product 29"/>
    <x v="66"/>
    <s v="Ronald Reed"/>
    <x v="156"/>
    <n v="6"/>
    <x v="5"/>
    <x v="7"/>
    <x v="7"/>
    <x v="2"/>
    <x v="2"/>
  </r>
  <r>
    <s v="AX22812"/>
    <s v="ENX2034"/>
    <s v="A164"/>
    <s v="EMP1003"/>
    <s v="C1666"/>
    <x v="654"/>
    <n v="3"/>
    <n v="871"/>
    <n v="540"/>
    <n v="1620"/>
    <n v="2613"/>
    <n v="993"/>
    <s v="Product 35"/>
    <x v="3"/>
    <s v="Christopher Tucker"/>
    <x v="473"/>
    <n v="6"/>
    <x v="5"/>
    <x v="7"/>
    <x v="7"/>
    <x v="2"/>
    <x v="2"/>
  </r>
  <r>
    <s v="AX23136"/>
    <s v="ENX2000"/>
    <s v="A123"/>
    <s v="EMP1024"/>
    <s v="C1762"/>
    <x v="652"/>
    <n v="3"/>
    <n v="2241"/>
    <n v="1367"/>
    <n v="4101"/>
    <n v="6723"/>
    <n v="2622"/>
    <s v="Product 1"/>
    <x v="34"/>
    <s v="Ernest Wheeler"/>
    <x v="164"/>
    <n v="6"/>
    <x v="5"/>
    <x v="7"/>
    <x v="7"/>
    <x v="2"/>
    <x v="2"/>
  </r>
  <r>
    <s v="AX23689"/>
    <s v="ENX2078"/>
    <s v="A119"/>
    <s v="EMP1040"/>
    <s v="C1614"/>
    <x v="654"/>
    <n v="1"/>
    <n v="1798"/>
    <n v="971"/>
    <n v="971"/>
    <n v="1798"/>
    <n v="827"/>
    <s v="Product 79"/>
    <x v="16"/>
    <s v="Patrick Ruiz"/>
    <x v="11"/>
    <n v="6"/>
    <x v="5"/>
    <x v="7"/>
    <x v="7"/>
    <x v="2"/>
    <x v="2"/>
  </r>
  <r>
    <s v="AX24766"/>
    <s v="ENX2034"/>
    <s v="A168"/>
    <s v="EMP1044"/>
    <s v="C1134"/>
    <x v="654"/>
    <n v="3"/>
    <n v="871"/>
    <n v="540"/>
    <n v="1620"/>
    <n v="2613"/>
    <n v="993"/>
    <s v="Product 35"/>
    <x v="40"/>
    <s v="Martin Carr"/>
    <x v="495"/>
    <n v="6"/>
    <x v="5"/>
    <x v="7"/>
    <x v="7"/>
    <x v="2"/>
    <x v="2"/>
  </r>
  <r>
    <s v="AX24819"/>
    <s v="ENX2086"/>
    <s v="A171"/>
    <s v="EMP1028"/>
    <s v="C1593"/>
    <x v="655"/>
    <n v="1"/>
    <n v="123"/>
    <n v="84"/>
    <n v="84"/>
    <n v="123"/>
    <n v="39"/>
    <s v="Product 87"/>
    <x v="0"/>
    <s v="Howard Sims"/>
    <x v="25"/>
    <n v="6"/>
    <x v="5"/>
    <x v="7"/>
    <x v="7"/>
    <x v="2"/>
    <x v="2"/>
  </r>
  <r>
    <s v="AX24879"/>
    <s v="ENX2015"/>
    <s v="A104"/>
    <s v="EMP1034"/>
    <s v="C1005"/>
    <x v="652"/>
    <n v="1"/>
    <n v="637"/>
    <n v="389"/>
    <n v="389"/>
    <n v="637"/>
    <n v="248"/>
    <s v="Product 16"/>
    <x v="50"/>
    <s v="Arthur Mccoy"/>
    <x v="304"/>
    <n v="6"/>
    <x v="5"/>
    <x v="7"/>
    <x v="7"/>
    <x v="2"/>
    <x v="2"/>
  </r>
  <r>
    <s v="AX10500"/>
    <s v="ENX2051"/>
    <s v="A118"/>
    <s v="EMP1044"/>
    <s v="C1673"/>
    <x v="656"/>
    <n v="3"/>
    <n v="1077"/>
    <n v="732"/>
    <n v="2196"/>
    <n v="3231"/>
    <n v="1035"/>
    <s v="Product 52"/>
    <x v="19"/>
    <s v="Martin Carr"/>
    <x v="87"/>
    <n v="6"/>
    <x v="5"/>
    <x v="8"/>
    <x v="8"/>
    <x v="2"/>
    <x v="0"/>
  </r>
  <r>
    <s v="AX11224"/>
    <s v="ENX2067"/>
    <s v="A129"/>
    <s v="EMP1026"/>
    <s v="C1233"/>
    <x v="657"/>
    <n v="1"/>
    <n v="1119"/>
    <n v="683"/>
    <n v="683"/>
    <n v="1119"/>
    <n v="436"/>
    <s v="Product 68"/>
    <x v="22"/>
    <s v="Martin Perry"/>
    <x v="396"/>
    <n v="6"/>
    <x v="5"/>
    <x v="8"/>
    <x v="8"/>
    <x v="2"/>
    <x v="0"/>
  </r>
  <r>
    <s v="AX11314"/>
    <s v="ENX2063"/>
    <s v="A111"/>
    <s v="EMP1041"/>
    <s v="C1245"/>
    <x v="656"/>
    <n v="3"/>
    <n v="1708"/>
    <n v="871"/>
    <n v="2613"/>
    <n v="5124"/>
    <n v="2511"/>
    <s v="Product 64"/>
    <x v="54"/>
    <s v="Joe Sims"/>
    <x v="165"/>
    <n v="6"/>
    <x v="5"/>
    <x v="8"/>
    <x v="8"/>
    <x v="2"/>
    <x v="0"/>
  </r>
  <r>
    <s v="AX11765"/>
    <s v="ENX2015"/>
    <s v="A120"/>
    <s v="EMP1024"/>
    <s v="C1642"/>
    <x v="658"/>
    <n v="1"/>
    <n v="637"/>
    <n v="389"/>
    <n v="389"/>
    <n v="637"/>
    <n v="248"/>
    <s v="Product 16"/>
    <x v="20"/>
    <s v="Ernest Wheeler"/>
    <x v="97"/>
    <n v="6"/>
    <x v="5"/>
    <x v="8"/>
    <x v="8"/>
    <x v="2"/>
    <x v="0"/>
  </r>
  <r>
    <s v="AX12057"/>
    <s v="ENX2061"/>
    <s v="A103"/>
    <s v="EMP1021"/>
    <s v="C1580"/>
    <x v="656"/>
    <n v="1"/>
    <n v="913"/>
    <n v="584"/>
    <n v="584"/>
    <n v="913"/>
    <n v="329"/>
    <s v="Product 62"/>
    <x v="61"/>
    <s v="Clarence Fox"/>
    <x v="617"/>
    <n v="6"/>
    <x v="5"/>
    <x v="8"/>
    <x v="8"/>
    <x v="2"/>
    <x v="0"/>
  </r>
  <r>
    <s v="AX12469"/>
    <s v="ENX2062"/>
    <s v="A169"/>
    <s v="EMP1022"/>
    <s v="C1256"/>
    <x v="659"/>
    <n v="2"/>
    <n v="2464"/>
    <n v="1774"/>
    <n v="3548"/>
    <n v="4928"/>
    <n v="1380"/>
    <s v="Product 63"/>
    <x v="17"/>
    <s v="Walter Cook"/>
    <x v="524"/>
    <n v="6"/>
    <x v="5"/>
    <x v="8"/>
    <x v="8"/>
    <x v="2"/>
    <x v="0"/>
  </r>
  <r>
    <s v="AX12613"/>
    <s v="ENX2024"/>
    <s v="A146"/>
    <s v="EMP1032"/>
    <s v="C1027"/>
    <x v="656"/>
    <n v="1"/>
    <n v="356"/>
    <n v="292"/>
    <n v="292"/>
    <n v="356"/>
    <n v="64"/>
    <s v="Product 25"/>
    <x v="27"/>
    <s v="Larry Castillo"/>
    <x v="528"/>
    <n v="6"/>
    <x v="5"/>
    <x v="8"/>
    <x v="8"/>
    <x v="2"/>
    <x v="0"/>
  </r>
  <r>
    <s v="AX12665"/>
    <s v="ENX2053"/>
    <s v="A112"/>
    <s v="EMP1040"/>
    <s v="C1299"/>
    <x v="659"/>
    <n v="1"/>
    <n v="596"/>
    <n v="358"/>
    <n v="358"/>
    <n v="596"/>
    <n v="238"/>
    <s v="Product 54"/>
    <x v="66"/>
    <s v="Patrick Ruiz"/>
    <x v="655"/>
    <n v="6"/>
    <x v="5"/>
    <x v="8"/>
    <x v="8"/>
    <x v="2"/>
    <x v="0"/>
  </r>
  <r>
    <s v="AX12681"/>
    <s v="ENX2039"/>
    <s v="A120"/>
    <s v="EMP1009"/>
    <s v="C1599"/>
    <x v="656"/>
    <n v="2"/>
    <n v="817"/>
    <n v="409"/>
    <n v="818"/>
    <n v="1634"/>
    <n v="816"/>
    <s v="Product 40"/>
    <x v="20"/>
    <s v="Kenneth Fields"/>
    <x v="556"/>
    <n v="6"/>
    <x v="5"/>
    <x v="8"/>
    <x v="8"/>
    <x v="2"/>
    <x v="0"/>
  </r>
  <r>
    <s v="AX12792"/>
    <s v="ENX2007"/>
    <s v="A138"/>
    <s v="EMP1013"/>
    <s v="C1562"/>
    <x v="659"/>
    <n v="1"/>
    <n v="1405"/>
    <n v="1054"/>
    <n v="1054"/>
    <n v="1405"/>
    <n v="351"/>
    <s v="Product 8"/>
    <x v="37"/>
    <s v="Charles Harper"/>
    <x v="312"/>
    <n v="6"/>
    <x v="5"/>
    <x v="8"/>
    <x v="8"/>
    <x v="2"/>
    <x v="0"/>
  </r>
  <r>
    <s v="AX13666"/>
    <s v="ENX2070"/>
    <s v="A154"/>
    <s v="EMP1004"/>
    <s v="C1211"/>
    <x v="659"/>
    <n v="2"/>
    <n v="1671"/>
    <n v="1220"/>
    <n v="2440"/>
    <n v="3342"/>
    <n v="902"/>
    <s v="Product 71"/>
    <x v="24"/>
    <s v="Kenneth Bradley"/>
    <x v="137"/>
    <n v="6"/>
    <x v="5"/>
    <x v="8"/>
    <x v="8"/>
    <x v="2"/>
    <x v="0"/>
  </r>
  <r>
    <s v="AX14115"/>
    <s v="ENX2088"/>
    <s v="A142"/>
    <s v="EMP1021"/>
    <s v="C1435"/>
    <x v="658"/>
    <n v="1"/>
    <n v="603"/>
    <n v="416"/>
    <n v="416"/>
    <n v="603"/>
    <n v="187"/>
    <s v="Product 89"/>
    <x v="56"/>
    <s v="Clarence Fox"/>
    <x v="476"/>
    <n v="6"/>
    <x v="5"/>
    <x v="8"/>
    <x v="8"/>
    <x v="2"/>
    <x v="0"/>
  </r>
  <r>
    <s v="AX14170"/>
    <s v="ENX2066"/>
    <s v="A128"/>
    <s v="EMP1003"/>
    <s v="C1285"/>
    <x v="658"/>
    <n v="1"/>
    <n v="2091"/>
    <n v="1485"/>
    <n v="1485"/>
    <n v="2091"/>
    <n v="606"/>
    <s v="Product 67"/>
    <x v="12"/>
    <s v="Christopher Tucker"/>
    <x v="440"/>
    <n v="6"/>
    <x v="5"/>
    <x v="8"/>
    <x v="8"/>
    <x v="2"/>
    <x v="0"/>
  </r>
  <r>
    <s v="AX14516"/>
    <s v="ENX2079"/>
    <s v="A129"/>
    <s v="EMP1044"/>
    <s v="C1523"/>
    <x v="658"/>
    <n v="2"/>
    <n v="1725"/>
    <n v="1363"/>
    <n v="2726"/>
    <n v="3450"/>
    <n v="724"/>
    <s v="Product 80"/>
    <x v="22"/>
    <s v="Martin Carr"/>
    <x v="543"/>
    <n v="6"/>
    <x v="5"/>
    <x v="8"/>
    <x v="8"/>
    <x v="2"/>
    <x v="0"/>
  </r>
  <r>
    <s v="AX14748"/>
    <s v="ENX2026"/>
    <s v="A154"/>
    <s v="EMP1039"/>
    <s v="C1130"/>
    <x v="657"/>
    <n v="1"/>
    <n v="947"/>
    <n v="786"/>
    <n v="786"/>
    <n v="947"/>
    <n v="161"/>
    <s v="Product 27"/>
    <x v="24"/>
    <s v="Eugene Holmes"/>
    <x v="448"/>
    <n v="6"/>
    <x v="5"/>
    <x v="8"/>
    <x v="8"/>
    <x v="2"/>
    <x v="0"/>
  </r>
  <r>
    <s v="AX14852"/>
    <s v="ENX2070"/>
    <s v="A129"/>
    <s v="EMP1024"/>
    <s v="C1342"/>
    <x v="656"/>
    <n v="1"/>
    <n v="1671"/>
    <n v="1220"/>
    <n v="1220"/>
    <n v="1671"/>
    <n v="451"/>
    <s v="Product 71"/>
    <x v="22"/>
    <s v="Ernest Wheeler"/>
    <x v="62"/>
    <n v="6"/>
    <x v="5"/>
    <x v="8"/>
    <x v="8"/>
    <x v="2"/>
    <x v="0"/>
  </r>
  <r>
    <s v="AX15005"/>
    <s v="ENX2079"/>
    <s v="A131"/>
    <s v="EMP1016"/>
    <s v="C1732"/>
    <x v="658"/>
    <n v="1"/>
    <n v="1725"/>
    <n v="1363"/>
    <n v="1363"/>
    <n v="1725"/>
    <n v="362"/>
    <s v="Product 80"/>
    <x v="32"/>
    <s v="Henry Nelson"/>
    <x v="136"/>
    <n v="6"/>
    <x v="5"/>
    <x v="8"/>
    <x v="8"/>
    <x v="2"/>
    <x v="0"/>
  </r>
  <r>
    <s v="AX15086"/>
    <s v="ENX2098"/>
    <s v="A139"/>
    <s v="EMP1020"/>
    <s v="C1284"/>
    <x v="658"/>
    <n v="3"/>
    <n v="1178"/>
    <n v="683"/>
    <n v="2049"/>
    <n v="3534"/>
    <n v="1485"/>
    <s v="Product 99"/>
    <x v="38"/>
    <s v="Ryan Butler"/>
    <x v="713"/>
    <n v="6"/>
    <x v="5"/>
    <x v="8"/>
    <x v="8"/>
    <x v="2"/>
    <x v="0"/>
  </r>
  <r>
    <s v="AX15236"/>
    <s v="ENX2069"/>
    <s v="A154"/>
    <s v="EMP1016"/>
    <s v="C1685"/>
    <x v="659"/>
    <n v="1"/>
    <n v="378"/>
    <n v="291"/>
    <n v="291"/>
    <n v="378"/>
    <n v="87"/>
    <s v="Product 70"/>
    <x v="24"/>
    <s v="Henry Nelson"/>
    <x v="90"/>
    <n v="6"/>
    <x v="5"/>
    <x v="8"/>
    <x v="8"/>
    <x v="2"/>
    <x v="0"/>
  </r>
  <r>
    <s v="AX15634"/>
    <s v="ENX2020"/>
    <s v="A118"/>
    <s v="EMP1003"/>
    <s v="C1402"/>
    <x v="657"/>
    <n v="2"/>
    <n v="2005"/>
    <n v="1223"/>
    <n v="2446"/>
    <n v="4010"/>
    <n v="1564"/>
    <s v="Product 21"/>
    <x v="19"/>
    <s v="Christopher Tucker"/>
    <x v="79"/>
    <n v="6"/>
    <x v="5"/>
    <x v="8"/>
    <x v="8"/>
    <x v="2"/>
    <x v="0"/>
  </r>
  <r>
    <s v="AX15996"/>
    <s v="ENX2095"/>
    <s v="A113"/>
    <s v="EMP1000"/>
    <s v="C1241"/>
    <x v="659"/>
    <n v="2"/>
    <n v="1743"/>
    <n v="872"/>
    <n v="1744"/>
    <n v="3486"/>
    <n v="1742"/>
    <s v="Product 96"/>
    <x v="73"/>
    <s v="Fred Robertson"/>
    <x v="190"/>
    <n v="6"/>
    <x v="5"/>
    <x v="8"/>
    <x v="8"/>
    <x v="2"/>
    <x v="0"/>
  </r>
  <r>
    <s v="AX16019"/>
    <s v="ENX2043"/>
    <s v="A102"/>
    <s v="EMP1038"/>
    <s v="C1189"/>
    <x v="659"/>
    <n v="4"/>
    <n v="545"/>
    <n v="425"/>
    <n v="1700"/>
    <n v="2180"/>
    <n v="480"/>
    <s v="Product 44"/>
    <x v="44"/>
    <s v="Scott Mason"/>
    <x v="752"/>
    <n v="6"/>
    <x v="5"/>
    <x v="8"/>
    <x v="8"/>
    <x v="2"/>
    <x v="0"/>
  </r>
  <r>
    <s v="AX16096"/>
    <s v="ENX2091"/>
    <s v="A160"/>
    <s v="EMP1040"/>
    <s v="C1727"/>
    <x v="656"/>
    <n v="1"/>
    <n v="368"/>
    <n v="294"/>
    <n v="294"/>
    <n v="368"/>
    <n v="74"/>
    <s v="Product 92"/>
    <x v="9"/>
    <s v="Patrick Ruiz"/>
    <x v="581"/>
    <n v="6"/>
    <x v="5"/>
    <x v="8"/>
    <x v="8"/>
    <x v="2"/>
    <x v="0"/>
  </r>
  <r>
    <s v="AX16749"/>
    <s v="ENX2026"/>
    <s v="A116"/>
    <s v="EMP1042"/>
    <s v="C1776"/>
    <x v="656"/>
    <n v="2"/>
    <n v="947"/>
    <n v="786"/>
    <n v="1572"/>
    <n v="1894"/>
    <n v="322"/>
    <s v="Product 27"/>
    <x v="15"/>
    <s v="Scott Clark"/>
    <x v="160"/>
    <n v="6"/>
    <x v="5"/>
    <x v="8"/>
    <x v="8"/>
    <x v="2"/>
    <x v="0"/>
  </r>
  <r>
    <s v="AX16789"/>
    <s v="ENX2050"/>
    <s v="A102"/>
    <s v="EMP1017"/>
    <s v="C1207"/>
    <x v="656"/>
    <n v="1"/>
    <n v="2391"/>
    <n v="1291"/>
    <n v="1291"/>
    <n v="2391"/>
    <n v="1100"/>
    <s v="Product 51"/>
    <x v="44"/>
    <s v="Brian Hansen"/>
    <x v="694"/>
    <n v="6"/>
    <x v="5"/>
    <x v="8"/>
    <x v="8"/>
    <x v="2"/>
    <x v="0"/>
  </r>
  <r>
    <s v="AX16795"/>
    <s v="ENX2021"/>
    <s v="A159"/>
    <s v="EMP1018"/>
    <s v="C1080"/>
    <x v="659"/>
    <n v="1"/>
    <n v="217"/>
    <n v="171"/>
    <n v="171"/>
    <n v="217"/>
    <n v="46"/>
    <s v="Product 22"/>
    <x v="13"/>
    <s v="Jimmy Young"/>
    <x v="720"/>
    <n v="6"/>
    <x v="5"/>
    <x v="8"/>
    <x v="8"/>
    <x v="2"/>
    <x v="0"/>
  </r>
  <r>
    <s v="AX16830"/>
    <s v="ENX2019"/>
    <s v="A107"/>
    <s v="EMP1012"/>
    <s v="C1665"/>
    <x v="657"/>
    <n v="2"/>
    <n v="800"/>
    <n v="536"/>
    <n v="1072"/>
    <n v="1600"/>
    <n v="528"/>
    <s v="Product 20"/>
    <x v="21"/>
    <s v="John Reyes"/>
    <x v="615"/>
    <n v="6"/>
    <x v="5"/>
    <x v="8"/>
    <x v="8"/>
    <x v="2"/>
    <x v="0"/>
  </r>
  <r>
    <s v="AX17038"/>
    <s v="ENX2082"/>
    <s v="A121"/>
    <s v="EMP1007"/>
    <s v="C1223"/>
    <x v="657"/>
    <n v="1"/>
    <n v="1103"/>
    <n v="838"/>
    <n v="838"/>
    <n v="1103"/>
    <n v="265"/>
    <s v="Product 83"/>
    <x v="72"/>
    <s v="Jeremy Mendoza"/>
    <x v="310"/>
    <n v="6"/>
    <x v="5"/>
    <x v="8"/>
    <x v="8"/>
    <x v="2"/>
    <x v="0"/>
  </r>
  <r>
    <s v="AX17092"/>
    <s v="ENX2087"/>
    <s v="A103"/>
    <s v="EMP1018"/>
    <s v="C1733"/>
    <x v="657"/>
    <n v="1"/>
    <n v="1022"/>
    <n v="818"/>
    <n v="818"/>
    <n v="1022"/>
    <n v="204"/>
    <s v="Product 88"/>
    <x v="61"/>
    <s v="Jimmy Young"/>
    <x v="32"/>
    <n v="6"/>
    <x v="5"/>
    <x v="8"/>
    <x v="8"/>
    <x v="2"/>
    <x v="0"/>
  </r>
  <r>
    <s v="AX17914"/>
    <s v="ENX2082"/>
    <s v="A166"/>
    <s v="EMP1038"/>
    <s v="C1724"/>
    <x v="657"/>
    <n v="1"/>
    <n v="1103"/>
    <n v="838"/>
    <n v="838"/>
    <n v="1103"/>
    <n v="265"/>
    <s v="Product 83"/>
    <x v="70"/>
    <s v="Scott Mason"/>
    <x v="378"/>
    <n v="6"/>
    <x v="5"/>
    <x v="8"/>
    <x v="8"/>
    <x v="2"/>
    <x v="0"/>
  </r>
  <r>
    <s v="AX18050"/>
    <s v="ENX2048"/>
    <s v="A170"/>
    <s v="EMP1024"/>
    <s v="C1631"/>
    <x v="657"/>
    <n v="2"/>
    <n v="502"/>
    <n v="296"/>
    <n v="592"/>
    <n v="1004"/>
    <n v="412"/>
    <s v="Product 49"/>
    <x v="47"/>
    <s v="Ernest Wheeler"/>
    <x v="659"/>
    <n v="6"/>
    <x v="5"/>
    <x v="8"/>
    <x v="8"/>
    <x v="2"/>
    <x v="0"/>
  </r>
  <r>
    <s v="AX18053"/>
    <s v="ENX2045"/>
    <s v="A103"/>
    <s v="EMP1002"/>
    <s v="C1638"/>
    <x v="658"/>
    <n v="3"/>
    <n v="556"/>
    <n v="395"/>
    <n v="1185"/>
    <n v="1668"/>
    <n v="483"/>
    <s v="Product 46"/>
    <x v="61"/>
    <s v="Andrew Bowman"/>
    <x v="395"/>
    <n v="6"/>
    <x v="5"/>
    <x v="8"/>
    <x v="8"/>
    <x v="2"/>
    <x v="0"/>
  </r>
  <r>
    <s v="AX18244"/>
    <s v="ENX2065"/>
    <s v="A160"/>
    <s v="EMP1003"/>
    <s v="C1468"/>
    <x v="658"/>
    <n v="1"/>
    <n v="2396"/>
    <n v="1965"/>
    <n v="1965"/>
    <n v="2396"/>
    <n v="431"/>
    <s v="Product 66"/>
    <x v="9"/>
    <s v="Christopher Tucker"/>
    <x v="688"/>
    <n v="6"/>
    <x v="5"/>
    <x v="8"/>
    <x v="8"/>
    <x v="2"/>
    <x v="0"/>
  </r>
  <r>
    <s v="AX18424"/>
    <s v="ENX2077"/>
    <s v="A109"/>
    <s v="EMP1032"/>
    <s v="C1300"/>
    <x v="659"/>
    <n v="1"/>
    <n v="530"/>
    <n v="424"/>
    <n v="424"/>
    <n v="530"/>
    <n v="106"/>
    <s v="Product 78"/>
    <x v="57"/>
    <s v="Larry Castillo"/>
    <x v="201"/>
    <n v="6"/>
    <x v="5"/>
    <x v="8"/>
    <x v="8"/>
    <x v="2"/>
    <x v="0"/>
  </r>
  <r>
    <s v="AX18969"/>
    <s v="ENX2056"/>
    <s v="A125"/>
    <s v="EMP1000"/>
    <s v="C1665"/>
    <x v="656"/>
    <n v="1"/>
    <n v="1635"/>
    <n v="1046"/>
    <n v="1046"/>
    <n v="1635"/>
    <n v="589"/>
    <s v="Product 57"/>
    <x v="31"/>
    <s v="Fred Robertson"/>
    <x v="615"/>
    <n v="6"/>
    <x v="5"/>
    <x v="8"/>
    <x v="8"/>
    <x v="2"/>
    <x v="0"/>
  </r>
  <r>
    <s v="AX19150"/>
    <s v="ENX2026"/>
    <s v="A141"/>
    <s v="EMP1023"/>
    <s v="C1418"/>
    <x v="659"/>
    <n v="1"/>
    <n v="947"/>
    <n v="786"/>
    <n v="786"/>
    <n v="947"/>
    <n v="161"/>
    <s v="Product 27"/>
    <x v="23"/>
    <s v="Brian Davis"/>
    <x v="441"/>
    <n v="6"/>
    <x v="5"/>
    <x v="8"/>
    <x v="8"/>
    <x v="2"/>
    <x v="0"/>
  </r>
  <r>
    <s v="AX19166"/>
    <s v="ENX2051"/>
    <s v="A164"/>
    <s v="EMP1024"/>
    <s v="C1316"/>
    <x v="657"/>
    <n v="2"/>
    <n v="1077"/>
    <n v="732"/>
    <n v="1464"/>
    <n v="2154"/>
    <n v="690"/>
    <s v="Product 52"/>
    <x v="3"/>
    <s v="Ernest Wheeler"/>
    <x v="771"/>
    <n v="6"/>
    <x v="5"/>
    <x v="8"/>
    <x v="8"/>
    <x v="2"/>
    <x v="0"/>
  </r>
  <r>
    <s v="AX19271"/>
    <s v="ENX2083"/>
    <s v="A126"/>
    <s v="EMP1020"/>
    <s v="C1558"/>
    <x v="659"/>
    <n v="4"/>
    <n v="2141"/>
    <n v="1777"/>
    <n v="7108"/>
    <n v="8564"/>
    <n v="1456"/>
    <s v="Product 84"/>
    <x v="5"/>
    <s v="Ryan Butler"/>
    <x v="170"/>
    <n v="6"/>
    <x v="5"/>
    <x v="8"/>
    <x v="8"/>
    <x v="2"/>
    <x v="0"/>
  </r>
  <r>
    <s v="AX19488"/>
    <s v="ENX2027"/>
    <s v="A117"/>
    <s v="EMP1012"/>
    <s v="C1643"/>
    <x v="657"/>
    <n v="3"/>
    <n v="2497"/>
    <n v="1473"/>
    <n v="4419"/>
    <n v="7491"/>
    <n v="3072"/>
    <s v="Product 28"/>
    <x v="29"/>
    <s v="John Reyes"/>
    <x v="142"/>
    <n v="6"/>
    <x v="5"/>
    <x v="8"/>
    <x v="8"/>
    <x v="2"/>
    <x v="0"/>
  </r>
  <r>
    <s v="AX19493"/>
    <s v="ENX2000"/>
    <s v="A149"/>
    <s v="EMP1011"/>
    <s v="C1774"/>
    <x v="656"/>
    <n v="1"/>
    <n v="2241"/>
    <n v="1367"/>
    <n v="1367"/>
    <n v="2241"/>
    <n v="874"/>
    <s v="Product 1"/>
    <x v="59"/>
    <s v="Larry Marshall"/>
    <x v="232"/>
    <n v="6"/>
    <x v="5"/>
    <x v="8"/>
    <x v="8"/>
    <x v="2"/>
    <x v="0"/>
  </r>
  <r>
    <s v="AX19641"/>
    <s v="ENX2073"/>
    <s v="A167"/>
    <s v="EMP1018"/>
    <s v="C1585"/>
    <x v="657"/>
    <n v="1"/>
    <n v="95"/>
    <n v="61"/>
    <n v="61"/>
    <n v="95"/>
    <n v="34"/>
    <s v="Product 74"/>
    <x v="64"/>
    <s v="Jimmy Young"/>
    <x v="400"/>
    <n v="6"/>
    <x v="5"/>
    <x v="8"/>
    <x v="8"/>
    <x v="2"/>
    <x v="0"/>
  </r>
  <r>
    <s v="AX20242"/>
    <s v="ENX2088"/>
    <s v="A125"/>
    <s v="EMP1018"/>
    <s v="C1465"/>
    <x v="659"/>
    <n v="1"/>
    <n v="603"/>
    <n v="416"/>
    <n v="416"/>
    <n v="603"/>
    <n v="187"/>
    <s v="Product 89"/>
    <x v="31"/>
    <s v="Jimmy Young"/>
    <x v="88"/>
    <n v="6"/>
    <x v="5"/>
    <x v="8"/>
    <x v="8"/>
    <x v="2"/>
    <x v="0"/>
  </r>
  <r>
    <s v="AX21207"/>
    <s v="ENX2022"/>
    <s v="A132"/>
    <s v="EMP1008"/>
    <s v="C1327"/>
    <x v="656"/>
    <n v="1"/>
    <n v="561"/>
    <n v="421"/>
    <n v="421"/>
    <n v="561"/>
    <n v="140"/>
    <s v="Product 23"/>
    <x v="48"/>
    <s v="Carl Elliott"/>
    <x v="321"/>
    <n v="6"/>
    <x v="5"/>
    <x v="8"/>
    <x v="8"/>
    <x v="2"/>
    <x v="0"/>
  </r>
  <r>
    <s v="AX21316"/>
    <s v="ENX2037"/>
    <s v="A140"/>
    <s v="EMP1020"/>
    <s v="C1683"/>
    <x v="658"/>
    <n v="3"/>
    <n v="880"/>
    <n v="634"/>
    <n v="1902"/>
    <n v="2640"/>
    <n v="738"/>
    <s v="Product 38"/>
    <x v="18"/>
    <s v="Ryan Butler"/>
    <x v="379"/>
    <n v="6"/>
    <x v="5"/>
    <x v="8"/>
    <x v="8"/>
    <x v="2"/>
    <x v="0"/>
  </r>
  <r>
    <s v="AX21646"/>
    <s v="ENX2001"/>
    <s v="A140"/>
    <s v="EMP1007"/>
    <s v="C1293"/>
    <x v="658"/>
    <n v="1"/>
    <n v="951"/>
    <n v="504"/>
    <n v="504"/>
    <n v="951"/>
    <n v="447"/>
    <s v="Product 2"/>
    <x v="18"/>
    <s v="Jeremy Mendoza"/>
    <x v="512"/>
    <n v="6"/>
    <x v="5"/>
    <x v="8"/>
    <x v="8"/>
    <x v="2"/>
    <x v="0"/>
  </r>
  <r>
    <s v="AX21767"/>
    <s v="ENX2088"/>
    <s v="A169"/>
    <s v="EMP1040"/>
    <s v="C1594"/>
    <x v="658"/>
    <n v="3"/>
    <n v="603"/>
    <n v="416"/>
    <n v="1248"/>
    <n v="1809"/>
    <n v="561"/>
    <s v="Product 89"/>
    <x v="17"/>
    <s v="Patrick Ruiz"/>
    <x v="770"/>
    <n v="6"/>
    <x v="5"/>
    <x v="8"/>
    <x v="8"/>
    <x v="2"/>
    <x v="0"/>
  </r>
  <r>
    <s v="AX21864"/>
    <s v="ENX2069"/>
    <s v="A134"/>
    <s v="EMP1005"/>
    <s v="C1046"/>
    <x v="658"/>
    <n v="1"/>
    <n v="378"/>
    <n v="291"/>
    <n v="291"/>
    <n v="378"/>
    <n v="87"/>
    <s v="Product 70"/>
    <x v="41"/>
    <s v="Ryan Welch"/>
    <x v="719"/>
    <n v="6"/>
    <x v="5"/>
    <x v="8"/>
    <x v="8"/>
    <x v="2"/>
    <x v="0"/>
  </r>
  <r>
    <s v="AX22443"/>
    <s v="ENX2038"/>
    <s v="A139"/>
    <s v="EMP1041"/>
    <s v="C1284"/>
    <x v="659"/>
    <n v="3"/>
    <n v="392"/>
    <n v="255"/>
    <n v="765"/>
    <n v="1176"/>
    <n v="411"/>
    <s v="Product 39"/>
    <x v="38"/>
    <s v="Joe Sims"/>
    <x v="713"/>
    <n v="6"/>
    <x v="5"/>
    <x v="8"/>
    <x v="8"/>
    <x v="2"/>
    <x v="0"/>
  </r>
  <r>
    <s v="AX22517"/>
    <s v="ENX2070"/>
    <s v="A111"/>
    <s v="EMP1005"/>
    <s v="C1650"/>
    <x v="659"/>
    <n v="1"/>
    <n v="1671"/>
    <n v="1220"/>
    <n v="1220"/>
    <n v="1671"/>
    <n v="451"/>
    <s v="Product 71"/>
    <x v="54"/>
    <s v="Ryan Welch"/>
    <x v="645"/>
    <n v="6"/>
    <x v="5"/>
    <x v="8"/>
    <x v="8"/>
    <x v="2"/>
    <x v="0"/>
  </r>
  <r>
    <s v="AX22840"/>
    <s v="ENX2057"/>
    <s v="A150"/>
    <s v="EMP1028"/>
    <s v="C1208"/>
    <x v="657"/>
    <n v="3"/>
    <n v="181"/>
    <n v="130"/>
    <n v="390"/>
    <n v="543"/>
    <n v="153"/>
    <s v="Product 58"/>
    <x v="30"/>
    <s v="Howard Sims"/>
    <x v="582"/>
    <n v="6"/>
    <x v="5"/>
    <x v="8"/>
    <x v="8"/>
    <x v="2"/>
    <x v="0"/>
  </r>
  <r>
    <s v="AX22872"/>
    <s v="ENX2028"/>
    <s v="A131"/>
    <s v="EMP1041"/>
    <s v="C1800"/>
    <x v="659"/>
    <n v="1"/>
    <n v="2283"/>
    <n v="1484"/>
    <n v="1484"/>
    <n v="2283"/>
    <n v="799"/>
    <s v="Product 29"/>
    <x v="32"/>
    <s v="Joe Sims"/>
    <x v="319"/>
    <n v="6"/>
    <x v="5"/>
    <x v="8"/>
    <x v="8"/>
    <x v="2"/>
    <x v="0"/>
  </r>
  <r>
    <s v="AX23094"/>
    <s v="ENX2002"/>
    <s v="A136"/>
    <s v="EMP1008"/>
    <s v="C1308"/>
    <x v="657"/>
    <n v="1"/>
    <n v="847"/>
    <n v="534"/>
    <n v="534"/>
    <n v="847"/>
    <n v="313"/>
    <s v="Product 3"/>
    <x v="43"/>
    <s v="Carl Elliott"/>
    <x v="226"/>
    <n v="6"/>
    <x v="5"/>
    <x v="8"/>
    <x v="8"/>
    <x v="2"/>
    <x v="0"/>
  </r>
  <r>
    <s v="AX23603"/>
    <s v="ENX2075"/>
    <s v="A148"/>
    <s v="EMP1005"/>
    <s v="C1641"/>
    <x v="659"/>
    <n v="4"/>
    <n v="400"/>
    <n v="208"/>
    <n v="832"/>
    <n v="1600"/>
    <n v="768"/>
    <s v="Product 76"/>
    <x v="62"/>
    <s v="Ryan Welch"/>
    <x v="761"/>
    <n v="6"/>
    <x v="5"/>
    <x v="8"/>
    <x v="8"/>
    <x v="2"/>
    <x v="0"/>
  </r>
  <r>
    <s v="AX23635"/>
    <s v="ENX2023"/>
    <s v="A152"/>
    <s v="EMP1043"/>
    <s v="C1780"/>
    <x v="658"/>
    <n v="1"/>
    <n v="818"/>
    <n v="450"/>
    <n v="450"/>
    <n v="818"/>
    <n v="368"/>
    <s v="Product 24"/>
    <x v="26"/>
    <s v="Joshua Taylor"/>
    <x v="320"/>
    <n v="6"/>
    <x v="5"/>
    <x v="8"/>
    <x v="8"/>
    <x v="2"/>
    <x v="0"/>
  </r>
  <r>
    <s v="AX23652"/>
    <s v="ENX2036"/>
    <s v="A146"/>
    <s v="EMP1029"/>
    <s v="C1634"/>
    <x v="658"/>
    <n v="2"/>
    <n v="1582"/>
    <n v="1234"/>
    <n v="2468"/>
    <n v="3164"/>
    <n v="696"/>
    <s v="Product 37"/>
    <x v="27"/>
    <s v="Howard Gardner"/>
    <x v="71"/>
    <n v="6"/>
    <x v="5"/>
    <x v="8"/>
    <x v="8"/>
    <x v="2"/>
    <x v="0"/>
  </r>
  <r>
    <s v="AX23754"/>
    <s v="ENX2083"/>
    <s v="A158"/>
    <s v="EMP1000"/>
    <s v="C1159"/>
    <x v="658"/>
    <n v="3"/>
    <n v="2141"/>
    <n v="1777"/>
    <n v="5331"/>
    <n v="6423"/>
    <n v="1092"/>
    <s v="Product 84"/>
    <x v="58"/>
    <s v="Fred Robertson"/>
    <x v="793"/>
    <n v="6"/>
    <x v="5"/>
    <x v="8"/>
    <x v="8"/>
    <x v="2"/>
    <x v="0"/>
  </r>
  <r>
    <s v="AX23956"/>
    <s v="ENX2031"/>
    <s v="A120"/>
    <s v="EMP1018"/>
    <s v="C1741"/>
    <x v="658"/>
    <n v="3"/>
    <n v="1638"/>
    <n v="1261"/>
    <n v="3783"/>
    <n v="4914"/>
    <n v="1131"/>
    <s v="Product 32"/>
    <x v="20"/>
    <s v="Jimmy Young"/>
    <x v="534"/>
    <n v="6"/>
    <x v="5"/>
    <x v="8"/>
    <x v="8"/>
    <x v="2"/>
    <x v="0"/>
  </r>
  <r>
    <s v="AX24890"/>
    <s v="ENX2031"/>
    <s v="A165"/>
    <s v="EMP1044"/>
    <s v="C1696"/>
    <x v="659"/>
    <n v="1"/>
    <n v="1638"/>
    <n v="1261"/>
    <n v="1261"/>
    <n v="1638"/>
    <n v="377"/>
    <s v="Product 32"/>
    <x v="55"/>
    <s v="Martin Carr"/>
    <x v="436"/>
    <n v="6"/>
    <x v="5"/>
    <x v="8"/>
    <x v="8"/>
    <x v="2"/>
    <x v="0"/>
  </r>
  <r>
    <s v="AX24989"/>
    <s v="ENX2046"/>
    <s v="A109"/>
    <s v="EMP1013"/>
    <s v="C1232"/>
    <x v="658"/>
    <n v="1"/>
    <n v="2410"/>
    <n v="1518"/>
    <n v="1518"/>
    <n v="2410"/>
    <n v="892"/>
    <s v="Product 47"/>
    <x v="57"/>
    <s v="Charles Harper"/>
    <x v="584"/>
    <n v="6"/>
    <x v="5"/>
    <x v="8"/>
    <x v="8"/>
    <x v="2"/>
    <x v="0"/>
  </r>
  <r>
    <s v="AX10161"/>
    <s v="ENX2079"/>
    <s v="A107"/>
    <s v="EMP1034"/>
    <s v="C1266"/>
    <x v="660"/>
    <n v="4"/>
    <n v="1725"/>
    <n v="1363"/>
    <n v="5452"/>
    <n v="6900"/>
    <n v="1448"/>
    <s v="Product 80"/>
    <x v="21"/>
    <s v="Arthur Mccoy"/>
    <x v="254"/>
    <n v="6"/>
    <x v="5"/>
    <x v="8"/>
    <x v="8"/>
    <x v="2"/>
    <x v="2"/>
  </r>
  <r>
    <s v="AX10221"/>
    <s v="ENX2022"/>
    <s v="A121"/>
    <s v="EMP1019"/>
    <s v="C1705"/>
    <x v="661"/>
    <n v="1"/>
    <n v="561"/>
    <n v="421"/>
    <n v="421"/>
    <n v="561"/>
    <n v="140"/>
    <s v="Product 23"/>
    <x v="72"/>
    <s v="Roger Robertson"/>
    <x v="507"/>
    <n v="6"/>
    <x v="5"/>
    <x v="8"/>
    <x v="8"/>
    <x v="2"/>
    <x v="2"/>
  </r>
  <r>
    <s v="AX10274"/>
    <s v="ENX2018"/>
    <s v="A131"/>
    <s v="EMP1036"/>
    <s v="C1365"/>
    <x v="660"/>
    <n v="1"/>
    <n v="1972"/>
    <n v="1321"/>
    <n v="1321"/>
    <n v="1972"/>
    <n v="651"/>
    <s v="Product 19"/>
    <x v="32"/>
    <s v="Robert Reed"/>
    <x v="450"/>
    <n v="6"/>
    <x v="5"/>
    <x v="8"/>
    <x v="8"/>
    <x v="2"/>
    <x v="2"/>
  </r>
  <r>
    <s v="AX10320"/>
    <s v="ENX2016"/>
    <s v="A128"/>
    <s v="EMP1036"/>
    <s v="C1723"/>
    <x v="662"/>
    <n v="2"/>
    <n v="1351"/>
    <n v="1108"/>
    <n v="2216"/>
    <n v="2702"/>
    <n v="486"/>
    <s v="Product 17"/>
    <x v="12"/>
    <s v="Robert Reed"/>
    <x v="118"/>
    <n v="6"/>
    <x v="5"/>
    <x v="8"/>
    <x v="8"/>
    <x v="2"/>
    <x v="2"/>
  </r>
  <r>
    <s v="AX10503"/>
    <s v="ENX2009"/>
    <s v="A105"/>
    <s v="EMP1000"/>
    <s v="C1327"/>
    <x v="662"/>
    <n v="1"/>
    <n v="584"/>
    <n v="420"/>
    <n v="420"/>
    <n v="584"/>
    <n v="164"/>
    <s v="Product 10"/>
    <x v="45"/>
    <s v="Fred Robertson"/>
    <x v="321"/>
    <n v="6"/>
    <x v="5"/>
    <x v="8"/>
    <x v="8"/>
    <x v="2"/>
    <x v="2"/>
  </r>
  <r>
    <s v="AX10586"/>
    <s v="ENX2007"/>
    <s v="A125"/>
    <s v="EMP1005"/>
    <s v="C1701"/>
    <x v="663"/>
    <n v="2"/>
    <n v="1405"/>
    <n v="1054"/>
    <n v="2108"/>
    <n v="2810"/>
    <n v="702"/>
    <s v="Product 8"/>
    <x v="31"/>
    <s v="Ryan Welch"/>
    <x v="736"/>
    <n v="6"/>
    <x v="5"/>
    <x v="8"/>
    <x v="8"/>
    <x v="2"/>
    <x v="2"/>
  </r>
  <r>
    <s v="AX10770"/>
    <s v="ENX2084"/>
    <s v="A114"/>
    <s v="EMP1040"/>
    <s v="C1188"/>
    <x v="663"/>
    <n v="4"/>
    <n v="1783"/>
    <n v="1230"/>
    <n v="4920"/>
    <n v="7132"/>
    <n v="2212"/>
    <s v="Product 85"/>
    <x v="28"/>
    <s v="Patrick Ruiz"/>
    <x v="369"/>
    <n v="6"/>
    <x v="5"/>
    <x v="8"/>
    <x v="8"/>
    <x v="2"/>
    <x v="2"/>
  </r>
  <r>
    <s v="AX10917"/>
    <s v="ENX2055"/>
    <s v="A145"/>
    <s v="EMP1029"/>
    <s v="C1087"/>
    <x v="661"/>
    <n v="2"/>
    <n v="2495"/>
    <n v="1896"/>
    <n v="3792"/>
    <n v="4990"/>
    <n v="1198"/>
    <s v="Product 56"/>
    <x v="35"/>
    <s v="Howard Gardner"/>
    <x v="156"/>
    <n v="6"/>
    <x v="5"/>
    <x v="8"/>
    <x v="8"/>
    <x v="2"/>
    <x v="2"/>
  </r>
  <r>
    <s v="AX11041"/>
    <s v="ENX2040"/>
    <s v="A127"/>
    <s v="EMP1005"/>
    <s v="C1479"/>
    <x v="662"/>
    <n v="1"/>
    <n v="1889"/>
    <n v="945"/>
    <n v="945"/>
    <n v="1889"/>
    <n v="944"/>
    <s v="Product 41"/>
    <x v="69"/>
    <s v="Ryan Welch"/>
    <x v="385"/>
    <n v="6"/>
    <x v="5"/>
    <x v="8"/>
    <x v="8"/>
    <x v="2"/>
    <x v="2"/>
  </r>
  <r>
    <s v="AX11980"/>
    <s v="ENX2052"/>
    <s v="A102"/>
    <s v="EMP1015"/>
    <s v="C1486"/>
    <x v="660"/>
    <n v="1"/>
    <n v="1526"/>
    <n v="1251"/>
    <n v="1251"/>
    <n v="1526"/>
    <n v="275"/>
    <s v="Product 53"/>
    <x v="44"/>
    <s v="Justin Lynch"/>
    <x v="357"/>
    <n v="6"/>
    <x v="5"/>
    <x v="8"/>
    <x v="8"/>
    <x v="2"/>
    <x v="2"/>
  </r>
  <r>
    <s v="AX12027"/>
    <s v="ENX2028"/>
    <s v="A173"/>
    <s v="EMP1027"/>
    <s v="C1131"/>
    <x v="662"/>
    <n v="2"/>
    <n v="2283"/>
    <n v="1484"/>
    <n v="2968"/>
    <n v="4566"/>
    <n v="1598"/>
    <s v="Product 29"/>
    <x v="25"/>
    <s v="Gary Rodriguez"/>
    <x v="76"/>
    <n v="6"/>
    <x v="5"/>
    <x v="8"/>
    <x v="8"/>
    <x v="2"/>
    <x v="2"/>
  </r>
  <r>
    <s v="AX12156"/>
    <s v="ENX2048"/>
    <s v="A171"/>
    <s v="EMP1016"/>
    <s v="C1312"/>
    <x v="660"/>
    <n v="2"/>
    <n v="502"/>
    <n v="296"/>
    <n v="592"/>
    <n v="1004"/>
    <n v="412"/>
    <s v="Product 49"/>
    <x v="0"/>
    <s v="Henry Nelson"/>
    <x v="609"/>
    <n v="6"/>
    <x v="5"/>
    <x v="8"/>
    <x v="8"/>
    <x v="2"/>
    <x v="2"/>
  </r>
  <r>
    <s v="AX12246"/>
    <s v="ENX2035"/>
    <s v="A124"/>
    <s v="EMP1014"/>
    <s v="C1703"/>
    <x v="660"/>
    <n v="2"/>
    <n v="458"/>
    <n v="376"/>
    <n v="752"/>
    <n v="916"/>
    <n v="164"/>
    <s v="Product 36"/>
    <x v="67"/>
    <s v="Ronald Reed"/>
    <x v="424"/>
    <n v="6"/>
    <x v="5"/>
    <x v="8"/>
    <x v="8"/>
    <x v="2"/>
    <x v="2"/>
  </r>
  <r>
    <s v="AX12510"/>
    <s v="ENX2001"/>
    <s v="A163"/>
    <s v="EMP1002"/>
    <s v="C1447"/>
    <x v="663"/>
    <n v="1"/>
    <n v="951"/>
    <n v="504"/>
    <n v="504"/>
    <n v="951"/>
    <n v="447"/>
    <s v="Product 2"/>
    <x v="51"/>
    <s v="Andrew Bowman"/>
    <x v="702"/>
    <n v="6"/>
    <x v="5"/>
    <x v="8"/>
    <x v="8"/>
    <x v="2"/>
    <x v="2"/>
  </r>
  <r>
    <s v="AX13610"/>
    <s v="ENX2041"/>
    <s v="A126"/>
    <s v="EMP1031"/>
    <s v="C1336"/>
    <x v="663"/>
    <n v="3"/>
    <n v="1380"/>
    <n v="1090"/>
    <n v="3270"/>
    <n v="4140"/>
    <n v="870"/>
    <s v="Product 42"/>
    <x v="5"/>
    <s v="Brian Thomas"/>
    <x v="721"/>
    <n v="6"/>
    <x v="5"/>
    <x v="8"/>
    <x v="8"/>
    <x v="2"/>
    <x v="2"/>
  </r>
  <r>
    <s v="AX13850"/>
    <s v="ENX2005"/>
    <s v="A110"/>
    <s v="EMP1006"/>
    <s v="C1084"/>
    <x v="661"/>
    <n v="1"/>
    <n v="684"/>
    <n v="561"/>
    <n v="561"/>
    <n v="684"/>
    <n v="123"/>
    <s v="Product 6"/>
    <x v="63"/>
    <s v="Sean Miller"/>
    <x v="631"/>
    <n v="6"/>
    <x v="5"/>
    <x v="8"/>
    <x v="8"/>
    <x v="2"/>
    <x v="2"/>
  </r>
  <r>
    <s v="AX13857"/>
    <s v="ENX2025"/>
    <s v="A156"/>
    <s v="EMP1041"/>
    <s v="C1023"/>
    <x v="660"/>
    <n v="1"/>
    <n v="667"/>
    <n v="387"/>
    <n v="387"/>
    <n v="667"/>
    <n v="280"/>
    <s v="Product 26"/>
    <x v="14"/>
    <s v="Joe Sims"/>
    <x v="799"/>
    <n v="6"/>
    <x v="5"/>
    <x v="8"/>
    <x v="8"/>
    <x v="2"/>
    <x v="2"/>
  </r>
  <r>
    <s v="AX14063"/>
    <s v="ENX2078"/>
    <s v="A128"/>
    <s v="EMP1000"/>
    <s v="C1551"/>
    <x v="663"/>
    <n v="1"/>
    <n v="1798"/>
    <n v="971"/>
    <n v="971"/>
    <n v="1798"/>
    <n v="827"/>
    <s v="Product 79"/>
    <x v="12"/>
    <s v="Fred Robertson"/>
    <x v="596"/>
    <n v="6"/>
    <x v="5"/>
    <x v="8"/>
    <x v="8"/>
    <x v="2"/>
    <x v="2"/>
  </r>
  <r>
    <s v="AX14121"/>
    <s v="ENX2033"/>
    <s v="A135"/>
    <s v="EMP1011"/>
    <s v="C1197"/>
    <x v="663"/>
    <n v="3"/>
    <n v="2182"/>
    <n v="1200"/>
    <n v="3600"/>
    <n v="6546"/>
    <n v="2946"/>
    <s v="Product 34"/>
    <x v="10"/>
    <s v="Larry Marshall"/>
    <x v="718"/>
    <n v="6"/>
    <x v="5"/>
    <x v="8"/>
    <x v="8"/>
    <x v="2"/>
    <x v="2"/>
  </r>
  <r>
    <s v="AX14123"/>
    <s v="ENX2087"/>
    <s v="A109"/>
    <s v="EMP1031"/>
    <s v="C1459"/>
    <x v="661"/>
    <n v="1"/>
    <n v="1022"/>
    <n v="818"/>
    <n v="818"/>
    <n v="1022"/>
    <n v="204"/>
    <s v="Product 88"/>
    <x v="57"/>
    <s v="Brian Thomas"/>
    <x v="330"/>
    <n v="6"/>
    <x v="5"/>
    <x v="8"/>
    <x v="8"/>
    <x v="2"/>
    <x v="2"/>
  </r>
  <r>
    <s v="AX14947"/>
    <s v="ENX2075"/>
    <s v="A160"/>
    <s v="EMP1024"/>
    <s v="C1447"/>
    <x v="663"/>
    <n v="1"/>
    <n v="400"/>
    <n v="208"/>
    <n v="208"/>
    <n v="400"/>
    <n v="192"/>
    <s v="Product 76"/>
    <x v="9"/>
    <s v="Ernest Wheeler"/>
    <x v="702"/>
    <n v="6"/>
    <x v="5"/>
    <x v="8"/>
    <x v="8"/>
    <x v="2"/>
    <x v="2"/>
  </r>
  <r>
    <s v="AX14996"/>
    <s v="ENX2089"/>
    <s v="A125"/>
    <s v="EMP1001"/>
    <s v="C1350"/>
    <x v="663"/>
    <n v="2"/>
    <n v="2294"/>
    <n v="1399"/>
    <n v="2798"/>
    <n v="4588"/>
    <n v="1790"/>
    <s v="Product 90"/>
    <x v="31"/>
    <s v="Kevin Butler"/>
    <x v="625"/>
    <n v="6"/>
    <x v="5"/>
    <x v="8"/>
    <x v="8"/>
    <x v="2"/>
    <x v="2"/>
  </r>
  <r>
    <s v="AX15026"/>
    <s v="ENX2000"/>
    <s v="A114"/>
    <s v="EMP1021"/>
    <s v="C1151"/>
    <x v="662"/>
    <n v="1"/>
    <n v="2241"/>
    <n v="1367"/>
    <n v="1367"/>
    <n v="2241"/>
    <n v="874"/>
    <s v="Product 1"/>
    <x v="28"/>
    <s v="Clarence Fox"/>
    <x v="56"/>
    <n v="6"/>
    <x v="5"/>
    <x v="8"/>
    <x v="8"/>
    <x v="2"/>
    <x v="2"/>
  </r>
  <r>
    <s v="AX15096"/>
    <s v="ENX2019"/>
    <s v="A153"/>
    <s v="EMP1024"/>
    <s v="C1016"/>
    <x v="660"/>
    <n v="1"/>
    <n v="800"/>
    <n v="536"/>
    <n v="536"/>
    <n v="800"/>
    <n v="264"/>
    <s v="Product 20"/>
    <x v="8"/>
    <s v="Ernest Wheeler"/>
    <x v="335"/>
    <n v="6"/>
    <x v="5"/>
    <x v="8"/>
    <x v="8"/>
    <x v="2"/>
    <x v="2"/>
  </r>
  <r>
    <s v="AX15335"/>
    <s v="ENX2003"/>
    <s v="A149"/>
    <s v="EMP1043"/>
    <s v="C1718"/>
    <x v="663"/>
    <n v="3"/>
    <n v="1783"/>
    <n v="1516"/>
    <n v="4548"/>
    <n v="5349"/>
    <n v="801"/>
    <s v="Product 4"/>
    <x v="59"/>
    <s v="Joshua Taylor"/>
    <x v="14"/>
    <n v="6"/>
    <x v="5"/>
    <x v="8"/>
    <x v="8"/>
    <x v="2"/>
    <x v="2"/>
  </r>
  <r>
    <s v="AX15469"/>
    <s v="ENX2050"/>
    <s v="A128"/>
    <s v="EMP1024"/>
    <s v="C1747"/>
    <x v="660"/>
    <n v="1"/>
    <n v="2391"/>
    <n v="1291"/>
    <n v="1291"/>
    <n v="2391"/>
    <n v="1100"/>
    <s v="Product 51"/>
    <x v="12"/>
    <s v="Ernest Wheeler"/>
    <x v="392"/>
    <n v="6"/>
    <x v="5"/>
    <x v="8"/>
    <x v="8"/>
    <x v="2"/>
    <x v="2"/>
  </r>
  <r>
    <s v="AX15720"/>
    <s v="ENX2028"/>
    <s v="A128"/>
    <s v="EMP1010"/>
    <s v="C1694"/>
    <x v="663"/>
    <n v="1"/>
    <n v="2283"/>
    <n v="1484"/>
    <n v="1484"/>
    <n v="2283"/>
    <n v="799"/>
    <s v="Product 29"/>
    <x v="12"/>
    <s v="Joshua Cook"/>
    <x v="506"/>
    <n v="6"/>
    <x v="5"/>
    <x v="8"/>
    <x v="8"/>
    <x v="2"/>
    <x v="2"/>
  </r>
  <r>
    <s v="AX16097"/>
    <s v="ENX2032"/>
    <s v="A155"/>
    <s v="EMP1006"/>
    <s v="C1161"/>
    <x v="663"/>
    <n v="3"/>
    <n v="1967"/>
    <n v="1397"/>
    <n v="4191"/>
    <n v="5901"/>
    <n v="1710"/>
    <s v="Product 33"/>
    <x v="53"/>
    <s v="Sean Miller"/>
    <x v="732"/>
    <n v="6"/>
    <x v="5"/>
    <x v="8"/>
    <x v="8"/>
    <x v="2"/>
    <x v="2"/>
  </r>
  <r>
    <s v="AX16556"/>
    <s v="ENX2005"/>
    <s v="A147"/>
    <s v="EMP1010"/>
    <s v="C1304"/>
    <x v="661"/>
    <n v="1"/>
    <n v="684"/>
    <n v="561"/>
    <n v="561"/>
    <n v="684"/>
    <n v="123"/>
    <s v="Product 6"/>
    <x v="42"/>
    <s v="Joshua Cook"/>
    <x v="298"/>
    <n v="6"/>
    <x v="5"/>
    <x v="8"/>
    <x v="8"/>
    <x v="2"/>
    <x v="2"/>
  </r>
  <r>
    <s v="AX16689"/>
    <s v="ENX2009"/>
    <s v="A127"/>
    <s v="EMP1023"/>
    <s v="C1571"/>
    <x v="662"/>
    <n v="2"/>
    <n v="584"/>
    <n v="420"/>
    <n v="840"/>
    <n v="1168"/>
    <n v="328"/>
    <s v="Product 10"/>
    <x v="69"/>
    <s v="Brian Davis"/>
    <x v="316"/>
    <n v="6"/>
    <x v="5"/>
    <x v="8"/>
    <x v="8"/>
    <x v="2"/>
    <x v="2"/>
  </r>
  <r>
    <s v="AX17003"/>
    <s v="ENX2026"/>
    <s v="A114"/>
    <s v="EMP1040"/>
    <s v="C1314"/>
    <x v="661"/>
    <n v="1"/>
    <n v="947"/>
    <n v="786"/>
    <n v="786"/>
    <n v="947"/>
    <n v="161"/>
    <s v="Product 27"/>
    <x v="28"/>
    <s v="Patrick Ruiz"/>
    <x v="421"/>
    <n v="6"/>
    <x v="5"/>
    <x v="8"/>
    <x v="8"/>
    <x v="2"/>
    <x v="2"/>
  </r>
  <r>
    <s v="AX17136"/>
    <s v="ENX2081"/>
    <s v="A112"/>
    <s v="EMP1024"/>
    <s v="C1430"/>
    <x v="663"/>
    <n v="1"/>
    <n v="1566"/>
    <n v="1190"/>
    <n v="1190"/>
    <n v="1566"/>
    <n v="376"/>
    <s v="Product 82"/>
    <x v="66"/>
    <s v="Ernest Wheeler"/>
    <x v="741"/>
    <n v="6"/>
    <x v="5"/>
    <x v="8"/>
    <x v="8"/>
    <x v="2"/>
    <x v="2"/>
  </r>
  <r>
    <s v="AX17368"/>
    <s v="ENX2091"/>
    <s v="A111"/>
    <s v="EMP1036"/>
    <s v="C1442"/>
    <x v="663"/>
    <n v="1"/>
    <n v="368"/>
    <n v="294"/>
    <n v="294"/>
    <n v="368"/>
    <n v="74"/>
    <s v="Product 92"/>
    <x v="54"/>
    <s v="Robert Reed"/>
    <x v="299"/>
    <n v="6"/>
    <x v="5"/>
    <x v="8"/>
    <x v="8"/>
    <x v="2"/>
    <x v="2"/>
  </r>
  <r>
    <s v="AX17553"/>
    <s v="ENX2052"/>
    <s v="A159"/>
    <s v="EMP1001"/>
    <s v="C1674"/>
    <x v="660"/>
    <n v="3"/>
    <n v="1526"/>
    <n v="1251"/>
    <n v="3753"/>
    <n v="4578"/>
    <n v="825"/>
    <s v="Product 53"/>
    <x v="13"/>
    <s v="Kevin Butler"/>
    <x v="774"/>
    <n v="6"/>
    <x v="5"/>
    <x v="8"/>
    <x v="8"/>
    <x v="2"/>
    <x v="2"/>
  </r>
  <r>
    <s v="AX17953"/>
    <s v="ENX2061"/>
    <s v="A120"/>
    <s v="EMP1037"/>
    <s v="C1462"/>
    <x v="663"/>
    <n v="3"/>
    <n v="913"/>
    <n v="584"/>
    <n v="1752"/>
    <n v="2739"/>
    <n v="987"/>
    <s v="Product 62"/>
    <x v="20"/>
    <s v="Carl Hall"/>
    <x v="418"/>
    <n v="6"/>
    <x v="5"/>
    <x v="8"/>
    <x v="8"/>
    <x v="2"/>
    <x v="2"/>
  </r>
  <r>
    <s v="AX19456"/>
    <s v="ENX2044"/>
    <s v="A142"/>
    <s v="EMP1017"/>
    <s v="C1009"/>
    <x v="662"/>
    <n v="1"/>
    <n v="886"/>
    <n v="478"/>
    <n v="478"/>
    <n v="886"/>
    <n v="408"/>
    <s v="Product 45"/>
    <x v="56"/>
    <s v="Brian Hansen"/>
    <x v="458"/>
    <n v="6"/>
    <x v="5"/>
    <x v="8"/>
    <x v="8"/>
    <x v="2"/>
    <x v="2"/>
  </r>
  <r>
    <s v="AX19980"/>
    <s v="ENX2082"/>
    <s v="A139"/>
    <s v="EMP1021"/>
    <s v="C1387"/>
    <x v="661"/>
    <n v="4"/>
    <n v="1103"/>
    <n v="838"/>
    <n v="3352"/>
    <n v="4412"/>
    <n v="1060"/>
    <s v="Product 83"/>
    <x v="38"/>
    <s v="Clarence Fox"/>
    <x v="346"/>
    <n v="6"/>
    <x v="5"/>
    <x v="8"/>
    <x v="8"/>
    <x v="2"/>
    <x v="2"/>
  </r>
  <r>
    <s v="AX20077"/>
    <s v="ENX2068"/>
    <s v="A165"/>
    <s v="EMP1016"/>
    <s v="C1153"/>
    <x v="663"/>
    <n v="1"/>
    <n v="1500"/>
    <n v="900"/>
    <n v="900"/>
    <n v="1500"/>
    <n v="600"/>
    <s v="Product 69"/>
    <x v="55"/>
    <s v="Henry Nelson"/>
    <x v="382"/>
    <n v="6"/>
    <x v="5"/>
    <x v="8"/>
    <x v="8"/>
    <x v="2"/>
    <x v="2"/>
  </r>
  <r>
    <s v="AX20341"/>
    <s v="ENX2063"/>
    <s v="A140"/>
    <s v="EMP1042"/>
    <s v="C1478"/>
    <x v="662"/>
    <n v="1"/>
    <n v="1708"/>
    <n v="871"/>
    <n v="871"/>
    <n v="1708"/>
    <n v="837"/>
    <s v="Product 64"/>
    <x v="18"/>
    <s v="Scott Clark"/>
    <x v="483"/>
    <n v="6"/>
    <x v="5"/>
    <x v="8"/>
    <x v="8"/>
    <x v="2"/>
    <x v="2"/>
  </r>
  <r>
    <s v="AX20380"/>
    <s v="ENX2003"/>
    <s v="A134"/>
    <s v="EMP1040"/>
    <s v="C1371"/>
    <x v="661"/>
    <n v="3"/>
    <n v="1783"/>
    <n v="1516"/>
    <n v="4548"/>
    <n v="5349"/>
    <n v="801"/>
    <s v="Product 4"/>
    <x v="41"/>
    <s v="Patrick Ruiz"/>
    <x v="180"/>
    <n v="6"/>
    <x v="5"/>
    <x v="8"/>
    <x v="8"/>
    <x v="2"/>
    <x v="2"/>
  </r>
  <r>
    <s v="AX20644"/>
    <s v="ENX2053"/>
    <s v="A155"/>
    <s v="EMP1042"/>
    <s v="C1568"/>
    <x v="661"/>
    <n v="1"/>
    <n v="596"/>
    <n v="358"/>
    <n v="358"/>
    <n v="596"/>
    <n v="238"/>
    <s v="Product 54"/>
    <x v="53"/>
    <s v="Scott Clark"/>
    <x v="551"/>
    <n v="6"/>
    <x v="5"/>
    <x v="8"/>
    <x v="8"/>
    <x v="2"/>
    <x v="2"/>
  </r>
  <r>
    <s v="AX20690"/>
    <s v="ENX2077"/>
    <s v="A132"/>
    <s v="EMP1034"/>
    <s v="C1032"/>
    <x v="663"/>
    <n v="2"/>
    <n v="530"/>
    <n v="424"/>
    <n v="848"/>
    <n v="1060"/>
    <n v="212"/>
    <s v="Product 78"/>
    <x v="48"/>
    <s v="Arthur Mccoy"/>
    <x v="270"/>
    <n v="6"/>
    <x v="5"/>
    <x v="8"/>
    <x v="8"/>
    <x v="2"/>
    <x v="2"/>
  </r>
  <r>
    <s v="AX21425"/>
    <s v="ENX2052"/>
    <s v="A137"/>
    <s v="EMP1023"/>
    <s v="C1181"/>
    <x v="663"/>
    <n v="3"/>
    <n v="1526"/>
    <n v="1251"/>
    <n v="3753"/>
    <n v="4578"/>
    <n v="825"/>
    <s v="Product 53"/>
    <x v="68"/>
    <s v="Brian Davis"/>
    <x v="449"/>
    <n v="6"/>
    <x v="5"/>
    <x v="8"/>
    <x v="8"/>
    <x v="2"/>
    <x v="2"/>
  </r>
  <r>
    <s v="AX21550"/>
    <s v="ENX2055"/>
    <s v="A116"/>
    <s v="EMP1002"/>
    <s v="C1734"/>
    <x v="661"/>
    <n v="1"/>
    <n v="2495"/>
    <n v="1896"/>
    <n v="1896"/>
    <n v="2495"/>
    <n v="599"/>
    <s v="Product 56"/>
    <x v="15"/>
    <s v="Andrew Bowman"/>
    <x v="658"/>
    <n v="6"/>
    <x v="5"/>
    <x v="8"/>
    <x v="8"/>
    <x v="2"/>
    <x v="2"/>
  </r>
  <r>
    <s v="AX21804"/>
    <s v="ENX2041"/>
    <s v="A112"/>
    <s v="EMP1042"/>
    <s v="C1061"/>
    <x v="663"/>
    <n v="1"/>
    <n v="1380"/>
    <n v="1090"/>
    <n v="1090"/>
    <n v="1380"/>
    <n v="290"/>
    <s v="Product 42"/>
    <x v="66"/>
    <s v="Scott Clark"/>
    <x v="228"/>
    <n v="6"/>
    <x v="5"/>
    <x v="8"/>
    <x v="8"/>
    <x v="2"/>
    <x v="2"/>
  </r>
  <r>
    <s v="AX21859"/>
    <s v="ENX2009"/>
    <s v="A117"/>
    <s v="EMP1023"/>
    <s v="C1146"/>
    <x v="661"/>
    <n v="2"/>
    <n v="584"/>
    <n v="420"/>
    <n v="840"/>
    <n v="1168"/>
    <n v="328"/>
    <s v="Product 10"/>
    <x v="29"/>
    <s v="Brian Davis"/>
    <x v="274"/>
    <n v="6"/>
    <x v="5"/>
    <x v="8"/>
    <x v="8"/>
    <x v="2"/>
    <x v="2"/>
  </r>
  <r>
    <s v="AX22184"/>
    <s v="ENX2045"/>
    <s v="A164"/>
    <s v="EMP1040"/>
    <s v="C1403"/>
    <x v="663"/>
    <n v="1"/>
    <n v="556"/>
    <n v="395"/>
    <n v="395"/>
    <n v="556"/>
    <n v="161"/>
    <s v="Product 46"/>
    <x v="3"/>
    <s v="Patrick Ruiz"/>
    <x v="134"/>
    <n v="6"/>
    <x v="5"/>
    <x v="8"/>
    <x v="8"/>
    <x v="2"/>
    <x v="2"/>
  </r>
  <r>
    <s v="AX22578"/>
    <s v="ENX2009"/>
    <s v="A159"/>
    <s v="EMP1016"/>
    <s v="C1224"/>
    <x v="660"/>
    <n v="3"/>
    <n v="584"/>
    <n v="420"/>
    <n v="1260"/>
    <n v="1752"/>
    <n v="492"/>
    <s v="Product 10"/>
    <x v="13"/>
    <s v="Henry Nelson"/>
    <x v="492"/>
    <n v="6"/>
    <x v="5"/>
    <x v="8"/>
    <x v="8"/>
    <x v="2"/>
    <x v="2"/>
  </r>
  <r>
    <s v="AX23139"/>
    <s v="ENX2022"/>
    <s v="A159"/>
    <s v="EMP1038"/>
    <s v="C1439"/>
    <x v="660"/>
    <n v="3"/>
    <n v="561"/>
    <n v="421"/>
    <n v="1263"/>
    <n v="1683"/>
    <n v="420"/>
    <s v="Product 23"/>
    <x v="13"/>
    <s v="Scott Mason"/>
    <x v="172"/>
    <n v="6"/>
    <x v="5"/>
    <x v="8"/>
    <x v="8"/>
    <x v="2"/>
    <x v="2"/>
  </r>
  <r>
    <s v="AX23212"/>
    <s v="ENX2072"/>
    <s v="A110"/>
    <s v="EMP1032"/>
    <s v="C1204"/>
    <x v="660"/>
    <n v="1"/>
    <n v="1887"/>
    <n v="1378"/>
    <n v="1378"/>
    <n v="1887"/>
    <n v="509"/>
    <s v="Product 73"/>
    <x v="63"/>
    <s v="Larry Castillo"/>
    <x v="654"/>
    <n v="6"/>
    <x v="5"/>
    <x v="8"/>
    <x v="8"/>
    <x v="2"/>
    <x v="2"/>
  </r>
  <r>
    <s v="AX23315"/>
    <s v="ENX2031"/>
    <s v="A152"/>
    <s v="EMP1000"/>
    <s v="C1717"/>
    <x v="660"/>
    <n v="1"/>
    <n v="1638"/>
    <n v="1261"/>
    <n v="1261"/>
    <n v="1638"/>
    <n v="377"/>
    <s v="Product 32"/>
    <x v="26"/>
    <s v="Fred Robertson"/>
    <x v="605"/>
    <n v="6"/>
    <x v="5"/>
    <x v="8"/>
    <x v="8"/>
    <x v="2"/>
    <x v="2"/>
  </r>
  <r>
    <s v="AX23558"/>
    <s v="ENX2082"/>
    <s v="A129"/>
    <s v="EMP1021"/>
    <s v="C1460"/>
    <x v="660"/>
    <n v="3"/>
    <n v="1103"/>
    <n v="838"/>
    <n v="2514"/>
    <n v="3309"/>
    <n v="795"/>
    <s v="Product 83"/>
    <x v="22"/>
    <s v="Clarence Fox"/>
    <x v="613"/>
    <n v="6"/>
    <x v="5"/>
    <x v="8"/>
    <x v="8"/>
    <x v="2"/>
    <x v="2"/>
  </r>
  <r>
    <s v="AX23618"/>
    <s v="ENX2077"/>
    <s v="A133"/>
    <s v="EMP1041"/>
    <s v="C1338"/>
    <x v="663"/>
    <n v="1"/>
    <n v="530"/>
    <n v="424"/>
    <n v="424"/>
    <n v="530"/>
    <n v="106"/>
    <s v="Product 78"/>
    <x v="46"/>
    <s v="Joe Sims"/>
    <x v="542"/>
    <n v="6"/>
    <x v="5"/>
    <x v="8"/>
    <x v="8"/>
    <x v="2"/>
    <x v="2"/>
  </r>
  <r>
    <s v="AX23624"/>
    <s v="ENX2087"/>
    <s v="A133"/>
    <s v="EMP1040"/>
    <s v="C1289"/>
    <x v="660"/>
    <n v="3"/>
    <n v="1022"/>
    <n v="818"/>
    <n v="2454"/>
    <n v="3066"/>
    <n v="612"/>
    <s v="Product 88"/>
    <x v="46"/>
    <s v="Patrick Ruiz"/>
    <x v="328"/>
    <n v="6"/>
    <x v="5"/>
    <x v="8"/>
    <x v="8"/>
    <x v="2"/>
    <x v="2"/>
  </r>
  <r>
    <s v="AX23695"/>
    <s v="ENX2067"/>
    <s v="A158"/>
    <s v="EMP1005"/>
    <s v="C1548"/>
    <x v="660"/>
    <n v="3"/>
    <n v="1119"/>
    <n v="683"/>
    <n v="2049"/>
    <n v="3357"/>
    <n v="1308"/>
    <s v="Product 68"/>
    <x v="58"/>
    <s v="Ryan Welch"/>
    <x v="241"/>
    <n v="6"/>
    <x v="5"/>
    <x v="8"/>
    <x v="8"/>
    <x v="2"/>
    <x v="2"/>
  </r>
  <r>
    <s v="AX23772"/>
    <s v="ENX2066"/>
    <s v="A113"/>
    <s v="EMP1031"/>
    <s v="C1210"/>
    <x v="660"/>
    <n v="1"/>
    <n v="2091"/>
    <n v="1485"/>
    <n v="1485"/>
    <n v="2091"/>
    <n v="606"/>
    <s v="Product 67"/>
    <x v="73"/>
    <s v="Brian Thomas"/>
    <x v="629"/>
    <n v="6"/>
    <x v="5"/>
    <x v="8"/>
    <x v="8"/>
    <x v="2"/>
    <x v="2"/>
  </r>
  <r>
    <s v="AX24166"/>
    <s v="ENX2079"/>
    <s v="A158"/>
    <s v="EMP1034"/>
    <s v="C1451"/>
    <x v="660"/>
    <n v="1"/>
    <n v="1725"/>
    <n v="1363"/>
    <n v="1363"/>
    <n v="1725"/>
    <n v="362"/>
    <s v="Product 80"/>
    <x v="58"/>
    <s v="Arthur Mccoy"/>
    <x v="80"/>
    <n v="6"/>
    <x v="5"/>
    <x v="8"/>
    <x v="8"/>
    <x v="2"/>
    <x v="2"/>
  </r>
  <r>
    <s v="AX24495"/>
    <s v="ENX2002"/>
    <s v="A100"/>
    <s v="EMP1040"/>
    <s v="C1256"/>
    <x v="660"/>
    <n v="3"/>
    <n v="847"/>
    <n v="534"/>
    <n v="1602"/>
    <n v="2541"/>
    <n v="939"/>
    <s v="Product 3"/>
    <x v="52"/>
    <s v="Patrick Ruiz"/>
    <x v="524"/>
    <n v="6"/>
    <x v="5"/>
    <x v="8"/>
    <x v="8"/>
    <x v="2"/>
    <x v="2"/>
  </r>
  <r>
    <s v="AX24834"/>
    <s v="ENX2098"/>
    <s v="A119"/>
    <s v="EMP1004"/>
    <s v="C1105"/>
    <x v="663"/>
    <n v="1"/>
    <n v="1178"/>
    <n v="683"/>
    <n v="683"/>
    <n v="1178"/>
    <n v="495"/>
    <s v="Product 99"/>
    <x v="16"/>
    <s v="Kenneth Bradley"/>
    <x v="15"/>
    <n v="6"/>
    <x v="5"/>
    <x v="8"/>
    <x v="8"/>
    <x v="2"/>
    <x v="2"/>
  </r>
  <r>
    <s v="AX24930"/>
    <s v="ENX2090"/>
    <s v="A146"/>
    <s v="EMP1001"/>
    <s v="C1081"/>
    <x v="661"/>
    <n v="4"/>
    <n v="1338"/>
    <n v="682"/>
    <n v="2728"/>
    <n v="5352"/>
    <n v="2624"/>
    <s v="Product 91"/>
    <x v="27"/>
    <s v="Kevin Butler"/>
    <x v="168"/>
    <n v="6"/>
    <x v="5"/>
    <x v="8"/>
    <x v="8"/>
    <x v="2"/>
    <x v="2"/>
  </r>
  <r>
    <s v="AX10252"/>
    <s v="ENX2091"/>
    <s v="A173"/>
    <s v="EMP1031"/>
    <s v="C1602"/>
    <x v="664"/>
    <n v="4"/>
    <n v="368"/>
    <n v="294"/>
    <n v="1176"/>
    <n v="1472"/>
    <n v="296"/>
    <s v="Product 92"/>
    <x v="25"/>
    <s v="Brian Thomas"/>
    <x v="749"/>
    <n v="6"/>
    <x v="5"/>
    <x v="9"/>
    <x v="9"/>
    <x v="3"/>
    <x v="0"/>
  </r>
  <r>
    <s v="AX10269"/>
    <s v="ENX2095"/>
    <s v="A136"/>
    <s v="EMP1012"/>
    <s v="C1506"/>
    <x v="665"/>
    <n v="4"/>
    <n v="1743"/>
    <n v="872"/>
    <n v="3488"/>
    <n v="6972"/>
    <n v="3484"/>
    <s v="Product 96"/>
    <x v="43"/>
    <s v="John Reyes"/>
    <x v="538"/>
    <n v="6"/>
    <x v="5"/>
    <x v="9"/>
    <x v="9"/>
    <x v="3"/>
    <x v="0"/>
  </r>
  <r>
    <s v="AX10270"/>
    <s v="ENX2012"/>
    <s v="A130"/>
    <s v="EMP1002"/>
    <s v="C1003"/>
    <x v="664"/>
    <n v="1"/>
    <n v="1353"/>
    <n v="947"/>
    <n v="947"/>
    <n v="1353"/>
    <n v="406"/>
    <s v="Product 13"/>
    <x v="4"/>
    <s v="Andrew Bowman"/>
    <x v="494"/>
    <n v="6"/>
    <x v="5"/>
    <x v="9"/>
    <x v="9"/>
    <x v="3"/>
    <x v="0"/>
  </r>
  <r>
    <s v="AX10298"/>
    <s v="ENX2015"/>
    <s v="A116"/>
    <s v="EMP1020"/>
    <s v="C1250"/>
    <x v="666"/>
    <n v="1"/>
    <n v="637"/>
    <n v="389"/>
    <n v="389"/>
    <n v="637"/>
    <n v="248"/>
    <s v="Product 16"/>
    <x v="15"/>
    <s v="Ryan Butler"/>
    <x v="705"/>
    <n v="6"/>
    <x v="5"/>
    <x v="9"/>
    <x v="9"/>
    <x v="3"/>
    <x v="0"/>
  </r>
  <r>
    <s v="AX10544"/>
    <s v="ENX2069"/>
    <s v="A151"/>
    <s v="EMP1044"/>
    <s v="C1640"/>
    <x v="664"/>
    <n v="1"/>
    <n v="378"/>
    <n v="291"/>
    <n v="291"/>
    <n v="378"/>
    <n v="87"/>
    <s v="Product 70"/>
    <x v="1"/>
    <s v="Martin Carr"/>
    <x v="59"/>
    <n v="6"/>
    <x v="5"/>
    <x v="9"/>
    <x v="9"/>
    <x v="3"/>
    <x v="0"/>
  </r>
  <r>
    <s v="AX10724"/>
    <s v="ENX2033"/>
    <s v="A150"/>
    <s v="EMP1017"/>
    <s v="C1500"/>
    <x v="667"/>
    <n v="3"/>
    <n v="2182"/>
    <n v="1200"/>
    <n v="3600"/>
    <n v="6546"/>
    <n v="2946"/>
    <s v="Product 34"/>
    <x v="30"/>
    <s v="Brian Hansen"/>
    <x v="639"/>
    <n v="6"/>
    <x v="5"/>
    <x v="9"/>
    <x v="9"/>
    <x v="3"/>
    <x v="0"/>
  </r>
  <r>
    <s v="AX10810"/>
    <s v="ENX2058"/>
    <s v="A147"/>
    <s v="EMP1027"/>
    <s v="C1704"/>
    <x v="667"/>
    <n v="4"/>
    <n v="2257"/>
    <n v="1535"/>
    <n v="6140"/>
    <n v="9028"/>
    <n v="2888"/>
    <s v="Product 59"/>
    <x v="42"/>
    <s v="Gary Rodriguez"/>
    <x v="28"/>
    <n v="6"/>
    <x v="5"/>
    <x v="9"/>
    <x v="9"/>
    <x v="3"/>
    <x v="0"/>
  </r>
  <r>
    <s v="AX11036"/>
    <s v="ENX2046"/>
    <s v="A111"/>
    <s v="EMP1038"/>
    <s v="C1567"/>
    <x v="666"/>
    <n v="1"/>
    <n v="2410"/>
    <n v="1518"/>
    <n v="1518"/>
    <n v="2410"/>
    <n v="892"/>
    <s v="Product 47"/>
    <x v="54"/>
    <s v="Scott Mason"/>
    <x v="251"/>
    <n v="6"/>
    <x v="5"/>
    <x v="9"/>
    <x v="9"/>
    <x v="3"/>
    <x v="0"/>
  </r>
  <r>
    <s v="AX11124"/>
    <s v="ENX2004"/>
    <s v="A144"/>
    <s v="EMP1012"/>
    <s v="C1791"/>
    <x v="665"/>
    <n v="1"/>
    <n v="1278"/>
    <n v="665"/>
    <n v="665"/>
    <n v="1278"/>
    <n v="613"/>
    <s v="Product 5"/>
    <x v="65"/>
    <s v="John Reyes"/>
    <x v="193"/>
    <n v="6"/>
    <x v="5"/>
    <x v="9"/>
    <x v="9"/>
    <x v="3"/>
    <x v="0"/>
  </r>
  <r>
    <s v="AX11130"/>
    <s v="ENX2017"/>
    <s v="A133"/>
    <s v="EMP1034"/>
    <s v="C1568"/>
    <x v="665"/>
    <n v="4"/>
    <n v="35"/>
    <n v="22"/>
    <n v="88"/>
    <n v="140"/>
    <n v="52"/>
    <s v="Product 18"/>
    <x v="46"/>
    <s v="Arthur Mccoy"/>
    <x v="551"/>
    <n v="6"/>
    <x v="5"/>
    <x v="9"/>
    <x v="9"/>
    <x v="3"/>
    <x v="0"/>
  </r>
  <r>
    <s v="AX11239"/>
    <s v="ENX2041"/>
    <s v="A116"/>
    <s v="EMP1030"/>
    <s v="C1719"/>
    <x v="664"/>
    <n v="1"/>
    <n v="1380"/>
    <n v="1090"/>
    <n v="1090"/>
    <n v="1380"/>
    <n v="290"/>
    <s v="Product 42"/>
    <x v="15"/>
    <s v="Bobby Russell"/>
    <x v="666"/>
    <n v="6"/>
    <x v="5"/>
    <x v="9"/>
    <x v="9"/>
    <x v="3"/>
    <x v="0"/>
  </r>
  <r>
    <s v="AX11334"/>
    <s v="ENX2026"/>
    <s v="A128"/>
    <s v="EMP1028"/>
    <s v="C1192"/>
    <x v="665"/>
    <n v="2"/>
    <n v="947"/>
    <n v="786"/>
    <n v="1572"/>
    <n v="1894"/>
    <n v="322"/>
    <s v="Product 27"/>
    <x v="12"/>
    <s v="Howard Sims"/>
    <x v="746"/>
    <n v="6"/>
    <x v="5"/>
    <x v="9"/>
    <x v="9"/>
    <x v="3"/>
    <x v="0"/>
  </r>
  <r>
    <s v="AX11415"/>
    <s v="ENX2006"/>
    <s v="A131"/>
    <s v="EMP1008"/>
    <s v="C1304"/>
    <x v="667"/>
    <n v="1"/>
    <n v="1826"/>
    <n v="1443"/>
    <n v="1443"/>
    <n v="1826"/>
    <n v="383"/>
    <s v="Product 7"/>
    <x v="32"/>
    <s v="Carl Elliott"/>
    <x v="298"/>
    <n v="6"/>
    <x v="5"/>
    <x v="9"/>
    <x v="9"/>
    <x v="3"/>
    <x v="0"/>
  </r>
  <r>
    <s v="AX11666"/>
    <s v="ENX2012"/>
    <s v="A112"/>
    <s v="EMP1015"/>
    <s v="C1354"/>
    <x v="664"/>
    <n v="3"/>
    <n v="1353"/>
    <n v="947"/>
    <n v="2841"/>
    <n v="4059"/>
    <n v="1218"/>
    <s v="Product 13"/>
    <x v="66"/>
    <s v="Justin Lynch"/>
    <x v="133"/>
    <n v="6"/>
    <x v="5"/>
    <x v="9"/>
    <x v="9"/>
    <x v="3"/>
    <x v="0"/>
  </r>
  <r>
    <s v="AX11977"/>
    <s v="ENX2065"/>
    <s v="A127"/>
    <s v="EMP1022"/>
    <s v="C1272"/>
    <x v="666"/>
    <n v="2"/>
    <n v="2396"/>
    <n v="1965"/>
    <n v="3930"/>
    <n v="4792"/>
    <n v="862"/>
    <s v="Product 66"/>
    <x v="69"/>
    <s v="Walter Cook"/>
    <x v="491"/>
    <n v="6"/>
    <x v="5"/>
    <x v="9"/>
    <x v="9"/>
    <x v="3"/>
    <x v="0"/>
  </r>
  <r>
    <s v="AX12446"/>
    <s v="ENX2054"/>
    <s v="A156"/>
    <s v="EMP1013"/>
    <s v="C1438"/>
    <x v="668"/>
    <n v="4"/>
    <n v="127"/>
    <n v="79"/>
    <n v="316"/>
    <n v="508"/>
    <n v="192"/>
    <s v="Product 55"/>
    <x v="14"/>
    <s v="Charles Harper"/>
    <x v="670"/>
    <n v="6"/>
    <x v="5"/>
    <x v="9"/>
    <x v="9"/>
    <x v="3"/>
    <x v="0"/>
  </r>
  <r>
    <s v="AX12935"/>
    <s v="ENX2037"/>
    <s v="A156"/>
    <s v="EMP1027"/>
    <s v="C1330"/>
    <x v="664"/>
    <n v="1"/>
    <n v="880"/>
    <n v="634"/>
    <n v="634"/>
    <n v="880"/>
    <n v="246"/>
    <s v="Product 38"/>
    <x v="14"/>
    <s v="Gary Rodriguez"/>
    <x v="511"/>
    <n v="6"/>
    <x v="5"/>
    <x v="9"/>
    <x v="9"/>
    <x v="3"/>
    <x v="0"/>
  </r>
  <r>
    <s v="AX13157"/>
    <s v="ENX2082"/>
    <s v="A172"/>
    <s v="EMP1016"/>
    <s v="C1769"/>
    <x v="668"/>
    <n v="2"/>
    <n v="1103"/>
    <n v="838"/>
    <n v="1676"/>
    <n v="2206"/>
    <n v="530"/>
    <s v="Product 83"/>
    <x v="36"/>
    <s v="Henry Nelson"/>
    <x v="269"/>
    <n v="6"/>
    <x v="5"/>
    <x v="9"/>
    <x v="9"/>
    <x v="3"/>
    <x v="0"/>
  </r>
  <r>
    <s v="AX13215"/>
    <s v="ENX2089"/>
    <s v="A121"/>
    <s v="EMP1036"/>
    <s v="C1653"/>
    <x v="664"/>
    <n v="4"/>
    <n v="2294"/>
    <n v="1399"/>
    <n v="5596"/>
    <n v="9176"/>
    <n v="3580"/>
    <s v="Product 90"/>
    <x v="72"/>
    <s v="Robert Reed"/>
    <x v="187"/>
    <n v="6"/>
    <x v="5"/>
    <x v="9"/>
    <x v="9"/>
    <x v="3"/>
    <x v="0"/>
  </r>
  <r>
    <s v="AX13341"/>
    <s v="ENX2015"/>
    <s v="A131"/>
    <s v="EMP1014"/>
    <s v="C1414"/>
    <x v="665"/>
    <n v="2"/>
    <n v="637"/>
    <n v="389"/>
    <n v="778"/>
    <n v="1274"/>
    <n v="496"/>
    <s v="Product 16"/>
    <x v="32"/>
    <s v="Ronald Reed"/>
    <x v="140"/>
    <n v="6"/>
    <x v="5"/>
    <x v="9"/>
    <x v="9"/>
    <x v="3"/>
    <x v="0"/>
  </r>
  <r>
    <s v="AX13349"/>
    <s v="ENX2039"/>
    <s v="A145"/>
    <s v="EMP1031"/>
    <s v="C1098"/>
    <x v="666"/>
    <n v="1"/>
    <n v="817"/>
    <n v="409"/>
    <n v="409"/>
    <n v="817"/>
    <n v="408"/>
    <s v="Product 40"/>
    <x v="35"/>
    <s v="Brian Thomas"/>
    <x v="622"/>
    <n v="6"/>
    <x v="5"/>
    <x v="9"/>
    <x v="9"/>
    <x v="3"/>
    <x v="0"/>
  </r>
  <r>
    <s v="AX13430"/>
    <s v="ENX2015"/>
    <s v="A112"/>
    <s v="EMP1033"/>
    <s v="C1727"/>
    <x v="666"/>
    <n v="3"/>
    <n v="637"/>
    <n v="389"/>
    <n v="1167"/>
    <n v="1911"/>
    <n v="744"/>
    <s v="Product 16"/>
    <x v="66"/>
    <s v="Jerry Perry"/>
    <x v="581"/>
    <n v="6"/>
    <x v="5"/>
    <x v="9"/>
    <x v="9"/>
    <x v="3"/>
    <x v="0"/>
  </r>
  <r>
    <s v="AX13701"/>
    <s v="ENX2056"/>
    <s v="A162"/>
    <s v="EMP1035"/>
    <s v="C1278"/>
    <x v="666"/>
    <n v="1"/>
    <n v="1635"/>
    <n v="1046"/>
    <n v="1046"/>
    <n v="1635"/>
    <n v="589"/>
    <s v="Product 57"/>
    <x v="2"/>
    <s v="Roger Ramos"/>
    <x v="744"/>
    <n v="6"/>
    <x v="5"/>
    <x v="9"/>
    <x v="9"/>
    <x v="3"/>
    <x v="0"/>
  </r>
  <r>
    <s v="AX13961"/>
    <s v="ENX2026"/>
    <s v="A141"/>
    <s v="EMP1040"/>
    <s v="C1655"/>
    <x v="664"/>
    <n v="2"/>
    <n v="947"/>
    <n v="786"/>
    <n v="1572"/>
    <n v="1894"/>
    <n v="322"/>
    <s v="Product 27"/>
    <x v="23"/>
    <s v="Patrick Ruiz"/>
    <x v="73"/>
    <n v="6"/>
    <x v="5"/>
    <x v="9"/>
    <x v="9"/>
    <x v="3"/>
    <x v="0"/>
  </r>
  <r>
    <s v="AX14507"/>
    <s v="ENX2061"/>
    <s v="A133"/>
    <s v="EMP1012"/>
    <s v="C1755"/>
    <x v="667"/>
    <n v="3"/>
    <n v="913"/>
    <n v="584"/>
    <n v="1752"/>
    <n v="2739"/>
    <n v="987"/>
    <s v="Product 62"/>
    <x v="46"/>
    <s v="John Reyes"/>
    <x v="178"/>
    <n v="6"/>
    <x v="5"/>
    <x v="9"/>
    <x v="9"/>
    <x v="3"/>
    <x v="0"/>
  </r>
  <r>
    <s v="AX14532"/>
    <s v="ENX2046"/>
    <s v="A163"/>
    <s v="EMP1004"/>
    <s v="C1442"/>
    <x v="665"/>
    <n v="1"/>
    <n v="2410"/>
    <n v="1518"/>
    <n v="1518"/>
    <n v="2410"/>
    <n v="892"/>
    <s v="Product 47"/>
    <x v="51"/>
    <s v="Kenneth Bradley"/>
    <x v="299"/>
    <n v="6"/>
    <x v="5"/>
    <x v="9"/>
    <x v="9"/>
    <x v="3"/>
    <x v="0"/>
  </r>
  <r>
    <s v="AX14682"/>
    <s v="ENX2085"/>
    <s v="A143"/>
    <s v="EMP1033"/>
    <s v="C1654"/>
    <x v="668"/>
    <n v="1"/>
    <n v="1862"/>
    <n v="1173"/>
    <n v="1173"/>
    <n v="1862"/>
    <n v="689"/>
    <s v="Product 86"/>
    <x v="39"/>
    <s v="Jerry Perry"/>
    <x v="351"/>
    <n v="6"/>
    <x v="5"/>
    <x v="9"/>
    <x v="9"/>
    <x v="3"/>
    <x v="0"/>
  </r>
  <r>
    <s v="AX14835"/>
    <s v="ENX2015"/>
    <s v="A138"/>
    <s v="EMP1014"/>
    <s v="C1478"/>
    <x v="668"/>
    <n v="1"/>
    <n v="637"/>
    <n v="389"/>
    <n v="389"/>
    <n v="637"/>
    <n v="248"/>
    <s v="Product 16"/>
    <x v="37"/>
    <s v="Ronald Reed"/>
    <x v="483"/>
    <n v="6"/>
    <x v="5"/>
    <x v="9"/>
    <x v="9"/>
    <x v="3"/>
    <x v="0"/>
  </r>
  <r>
    <s v="AX15195"/>
    <s v="ENX2018"/>
    <s v="A157"/>
    <s v="EMP1003"/>
    <s v="C1726"/>
    <x v="667"/>
    <n v="1"/>
    <n v="1972"/>
    <n v="1321"/>
    <n v="1321"/>
    <n v="1972"/>
    <n v="651"/>
    <s v="Product 19"/>
    <x v="7"/>
    <s v="Christopher Tucker"/>
    <x v="755"/>
    <n v="6"/>
    <x v="5"/>
    <x v="9"/>
    <x v="9"/>
    <x v="3"/>
    <x v="0"/>
  </r>
  <r>
    <s v="AX15432"/>
    <s v="ENX2012"/>
    <s v="A114"/>
    <s v="EMP1008"/>
    <s v="C1736"/>
    <x v="665"/>
    <n v="1"/>
    <n v="1353"/>
    <n v="947"/>
    <n v="947"/>
    <n v="1353"/>
    <n v="406"/>
    <s v="Product 13"/>
    <x v="28"/>
    <s v="Carl Elliott"/>
    <x v="472"/>
    <n v="6"/>
    <x v="5"/>
    <x v="9"/>
    <x v="9"/>
    <x v="3"/>
    <x v="0"/>
  </r>
  <r>
    <s v="AX15509"/>
    <s v="ENX2000"/>
    <s v="A117"/>
    <s v="EMP1013"/>
    <s v="C1625"/>
    <x v="665"/>
    <n v="1"/>
    <n v="2241"/>
    <n v="1367"/>
    <n v="1367"/>
    <n v="2241"/>
    <n v="874"/>
    <s v="Product 1"/>
    <x v="29"/>
    <s v="Charles Harper"/>
    <x v="575"/>
    <n v="6"/>
    <x v="5"/>
    <x v="9"/>
    <x v="9"/>
    <x v="3"/>
    <x v="0"/>
  </r>
  <r>
    <s v="AX15530"/>
    <s v="ENX2049"/>
    <s v="A172"/>
    <s v="EMP1032"/>
    <s v="C1093"/>
    <x v="667"/>
    <n v="3"/>
    <n v="826"/>
    <n v="562"/>
    <n v="1686"/>
    <n v="2478"/>
    <n v="792"/>
    <s v="Product 50"/>
    <x v="36"/>
    <s v="Larry Castillo"/>
    <x v="290"/>
    <n v="6"/>
    <x v="5"/>
    <x v="9"/>
    <x v="9"/>
    <x v="3"/>
    <x v="0"/>
  </r>
  <r>
    <s v="AX15539"/>
    <s v="ENX2004"/>
    <s v="A151"/>
    <s v="EMP1018"/>
    <s v="C1545"/>
    <x v="668"/>
    <n v="4"/>
    <n v="1278"/>
    <n v="665"/>
    <n v="2660"/>
    <n v="5112"/>
    <n v="2452"/>
    <s v="Product 5"/>
    <x v="1"/>
    <s v="Jimmy Young"/>
    <x v="646"/>
    <n v="6"/>
    <x v="5"/>
    <x v="9"/>
    <x v="9"/>
    <x v="3"/>
    <x v="0"/>
  </r>
  <r>
    <s v="AX15600"/>
    <s v="ENX2085"/>
    <s v="A123"/>
    <s v="EMP1017"/>
    <s v="C1630"/>
    <x v="664"/>
    <n v="2"/>
    <n v="1862"/>
    <n v="1173"/>
    <n v="2346"/>
    <n v="3724"/>
    <n v="1378"/>
    <s v="Product 86"/>
    <x v="34"/>
    <s v="Brian Hansen"/>
    <x v="154"/>
    <n v="6"/>
    <x v="5"/>
    <x v="9"/>
    <x v="9"/>
    <x v="3"/>
    <x v="0"/>
  </r>
  <r>
    <s v="AX15726"/>
    <s v="ENX2073"/>
    <s v="A105"/>
    <s v="EMP1029"/>
    <s v="C1004"/>
    <x v="667"/>
    <n v="1"/>
    <n v="95"/>
    <n v="61"/>
    <n v="61"/>
    <n v="95"/>
    <n v="34"/>
    <s v="Product 74"/>
    <x v="45"/>
    <s v="Howard Gardner"/>
    <x v="708"/>
    <n v="6"/>
    <x v="5"/>
    <x v="9"/>
    <x v="9"/>
    <x v="3"/>
    <x v="0"/>
  </r>
  <r>
    <s v="AX15998"/>
    <s v="ENX2038"/>
    <s v="A173"/>
    <s v="EMP1001"/>
    <s v="C1255"/>
    <x v="668"/>
    <n v="2"/>
    <n v="392"/>
    <n v="255"/>
    <n v="510"/>
    <n v="784"/>
    <n v="274"/>
    <s v="Product 39"/>
    <x v="25"/>
    <s v="Kevin Butler"/>
    <x v="111"/>
    <n v="6"/>
    <x v="5"/>
    <x v="9"/>
    <x v="9"/>
    <x v="3"/>
    <x v="0"/>
  </r>
  <r>
    <s v="AX16522"/>
    <s v="ENX2028"/>
    <s v="A125"/>
    <s v="EMP1041"/>
    <s v="C1736"/>
    <x v="668"/>
    <n v="2"/>
    <n v="2283"/>
    <n v="1484"/>
    <n v="2968"/>
    <n v="4566"/>
    <n v="1598"/>
    <s v="Product 29"/>
    <x v="31"/>
    <s v="Joe Sims"/>
    <x v="472"/>
    <n v="6"/>
    <x v="5"/>
    <x v="9"/>
    <x v="9"/>
    <x v="3"/>
    <x v="0"/>
  </r>
  <r>
    <s v="AX16582"/>
    <s v="ENX2013"/>
    <s v="A151"/>
    <s v="EMP1034"/>
    <s v="C1443"/>
    <x v="667"/>
    <n v="1"/>
    <n v="368"/>
    <n v="269"/>
    <n v="269"/>
    <n v="368"/>
    <n v="99"/>
    <s v="Product 14"/>
    <x v="1"/>
    <s v="Arthur Mccoy"/>
    <x v="683"/>
    <n v="6"/>
    <x v="5"/>
    <x v="9"/>
    <x v="9"/>
    <x v="3"/>
    <x v="0"/>
  </r>
  <r>
    <s v="AX16598"/>
    <s v="ENX2060"/>
    <s v="A104"/>
    <s v="EMP1039"/>
    <s v="C1086"/>
    <x v="668"/>
    <n v="2"/>
    <n v="1467"/>
    <n v="807"/>
    <n v="1614"/>
    <n v="2934"/>
    <n v="1320"/>
    <s v="Product 61"/>
    <x v="50"/>
    <s v="Eugene Holmes"/>
    <x v="769"/>
    <n v="6"/>
    <x v="5"/>
    <x v="9"/>
    <x v="9"/>
    <x v="3"/>
    <x v="0"/>
  </r>
  <r>
    <s v="AX16975"/>
    <s v="ENX2036"/>
    <s v="A103"/>
    <s v="EMP1009"/>
    <s v="C1169"/>
    <x v="666"/>
    <n v="4"/>
    <n v="1582"/>
    <n v="1234"/>
    <n v="4936"/>
    <n v="6328"/>
    <n v="1392"/>
    <s v="Product 37"/>
    <x v="61"/>
    <s v="Kenneth Fields"/>
    <x v="293"/>
    <n v="6"/>
    <x v="5"/>
    <x v="9"/>
    <x v="9"/>
    <x v="3"/>
    <x v="0"/>
  </r>
  <r>
    <s v="AX17072"/>
    <s v="ENX2085"/>
    <s v="A116"/>
    <s v="EMP1041"/>
    <s v="C1251"/>
    <x v="666"/>
    <n v="1"/>
    <n v="1862"/>
    <n v="1173"/>
    <n v="1173"/>
    <n v="1862"/>
    <n v="689"/>
    <s v="Product 86"/>
    <x v="15"/>
    <s v="Joe Sims"/>
    <x v="199"/>
    <n v="6"/>
    <x v="5"/>
    <x v="9"/>
    <x v="9"/>
    <x v="3"/>
    <x v="0"/>
  </r>
  <r>
    <s v="AX17103"/>
    <s v="ENX2059"/>
    <s v="A116"/>
    <s v="EMP1012"/>
    <s v="C1697"/>
    <x v="666"/>
    <n v="1"/>
    <n v="1494"/>
    <n v="971"/>
    <n v="971"/>
    <n v="1494"/>
    <n v="523"/>
    <s v="Product 60"/>
    <x v="15"/>
    <s v="John Reyes"/>
    <x v="589"/>
    <n v="6"/>
    <x v="5"/>
    <x v="9"/>
    <x v="9"/>
    <x v="3"/>
    <x v="0"/>
  </r>
  <r>
    <s v="AX17170"/>
    <s v="ENX2045"/>
    <s v="A143"/>
    <s v="EMP1009"/>
    <s v="C1173"/>
    <x v="665"/>
    <n v="2"/>
    <n v="556"/>
    <n v="395"/>
    <n v="790"/>
    <n v="1112"/>
    <n v="322"/>
    <s v="Product 46"/>
    <x v="39"/>
    <s v="Kenneth Fields"/>
    <x v="167"/>
    <n v="6"/>
    <x v="5"/>
    <x v="9"/>
    <x v="9"/>
    <x v="3"/>
    <x v="0"/>
  </r>
  <r>
    <s v="AX17453"/>
    <s v="ENX2056"/>
    <s v="A138"/>
    <s v="EMP1027"/>
    <s v="C1483"/>
    <x v="665"/>
    <n v="2"/>
    <n v="1635"/>
    <n v="1046"/>
    <n v="2092"/>
    <n v="3270"/>
    <n v="1178"/>
    <s v="Product 57"/>
    <x v="37"/>
    <s v="Gary Rodriguez"/>
    <x v="255"/>
    <n v="6"/>
    <x v="5"/>
    <x v="9"/>
    <x v="9"/>
    <x v="3"/>
    <x v="0"/>
  </r>
  <r>
    <s v="AX17836"/>
    <s v="ENX2034"/>
    <s v="A103"/>
    <s v="EMP1003"/>
    <s v="C1026"/>
    <x v="665"/>
    <n v="1"/>
    <n v="871"/>
    <n v="540"/>
    <n v="540"/>
    <n v="871"/>
    <n v="331"/>
    <s v="Product 35"/>
    <x v="61"/>
    <s v="Christopher Tucker"/>
    <x v="410"/>
    <n v="6"/>
    <x v="5"/>
    <x v="9"/>
    <x v="9"/>
    <x v="3"/>
    <x v="0"/>
  </r>
  <r>
    <s v="AX17906"/>
    <s v="ENX2031"/>
    <s v="A104"/>
    <s v="EMP1034"/>
    <s v="C1729"/>
    <x v="668"/>
    <n v="1"/>
    <n v="1638"/>
    <n v="1261"/>
    <n v="1261"/>
    <n v="1638"/>
    <n v="377"/>
    <s v="Product 32"/>
    <x v="50"/>
    <s v="Arthur Mccoy"/>
    <x v="268"/>
    <n v="6"/>
    <x v="5"/>
    <x v="9"/>
    <x v="9"/>
    <x v="3"/>
    <x v="0"/>
  </r>
  <r>
    <s v="AX17999"/>
    <s v="ENX2021"/>
    <s v="A128"/>
    <s v="EMP1038"/>
    <s v="C1777"/>
    <x v="665"/>
    <n v="1"/>
    <n v="217"/>
    <n v="171"/>
    <n v="171"/>
    <n v="217"/>
    <n v="46"/>
    <s v="Product 22"/>
    <x v="12"/>
    <s v="Scott Mason"/>
    <x v="682"/>
    <n v="6"/>
    <x v="5"/>
    <x v="9"/>
    <x v="9"/>
    <x v="3"/>
    <x v="0"/>
  </r>
  <r>
    <s v="AX18012"/>
    <s v="ENX2090"/>
    <s v="A150"/>
    <s v="EMP1043"/>
    <s v="C1037"/>
    <x v="665"/>
    <n v="1"/>
    <n v="1338"/>
    <n v="682"/>
    <n v="682"/>
    <n v="1338"/>
    <n v="656"/>
    <s v="Product 91"/>
    <x v="30"/>
    <s v="Joshua Taylor"/>
    <x v="779"/>
    <n v="6"/>
    <x v="5"/>
    <x v="9"/>
    <x v="9"/>
    <x v="3"/>
    <x v="0"/>
  </r>
  <r>
    <s v="AX18024"/>
    <s v="ENX2066"/>
    <s v="A144"/>
    <s v="EMP1024"/>
    <s v="C1132"/>
    <x v="668"/>
    <n v="2"/>
    <n v="2091"/>
    <n v="1485"/>
    <n v="2970"/>
    <n v="4182"/>
    <n v="1212"/>
    <s v="Product 67"/>
    <x v="65"/>
    <s v="Ernest Wheeler"/>
    <x v="751"/>
    <n v="6"/>
    <x v="5"/>
    <x v="9"/>
    <x v="9"/>
    <x v="3"/>
    <x v="0"/>
  </r>
  <r>
    <s v="AX18501"/>
    <s v="ENX2089"/>
    <s v="A105"/>
    <s v="EMP1044"/>
    <s v="C1638"/>
    <x v="666"/>
    <n v="1"/>
    <n v="2294"/>
    <n v="1399"/>
    <n v="1399"/>
    <n v="2294"/>
    <n v="895"/>
    <s v="Product 90"/>
    <x v="45"/>
    <s v="Martin Carr"/>
    <x v="395"/>
    <n v="6"/>
    <x v="5"/>
    <x v="9"/>
    <x v="9"/>
    <x v="3"/>
    <x v="0"/>
  </r>
  <r>
    <s v="AX18726"/>
    <s v="ENX2032"/>
    <s v="A136"/>
    <s v="EMP1007"/>
    <s v="C1179"/>
    <x v="664"/>
    <n v="1"/>
    <n v="1967"/>
    <n v="1397"/>
    <n v="1397"/>
    <n v="1967"/>
    <n v="570"/>
    <s v="Product 33"/>
    <x v="43"/>
    <s v="Jeremy Mendoza"/>
    <x v="788"/>
    <n v="6"/>
    <x v="5"/>
    <x v="9"/>
    <x v="9"/>
    <x v="3"/>
    <x v="0"/>
  </r>
  <r>
    <s v="AX19477"/>
    <s v="ENX2100"/>
    <s v="A153"/>
    <s v="EMP1020"/>
    <s v="C1668"/>
    <x v="667"/>
    <n v="2"/>
    <n v="799"/>
    <n v="455"/>
    <n v="910"/>
    <n v="1598"/>
    <n v="688"/>
    <s v="Product 101"/>
    <x v="8"/>
    <s v="Ryan Butler"/>
    <x v="727"/>
    <n v="6"/>
    <x v="5"/>
    <x v="9"/>
    <x v="9"/>
    <x v="3"/>
    <x v="0"/>
  </r>
  <r>
    <s v="AX19808"/>
    <s v="ENX2017"/>
    <s v="A126"/>
    <s v="EMP1034"/>
    <s v="C1455"/>
    <x v="668"/>
    <n v="1"/>
    <n v="35"/>
    <n v="22"/>
    <n v="22"/>
    <n v="35"/>
    <n v="13"/>
    <s v="Product 18"/>
    <x v="5"/>
    <s v="Arthur Mccoy"/>
    <x v="47"/>
    <n v="6"/>
    <x v="5"/>
    <x v="9"/>
    <x v="9"/>
    <x v="3"/>
    <x v="0"/>
  </r>
  <r>
    <s v="AX19860"/>
    <s v="ENX2004"/>
    <s v="A172"/>
    <s v="EMP1041"/>
    <s v="C1342"/>
    <x v="664"/>
    <n v="3"/>
    <n v="1278"/>
    <n v="665"/>
    <n v="1995"/>
    <n v="3834"/>
    <n v="1839"/>
    <s v="Product 5"/>
    <x v="36"/>
    <s v="Joe Sims"/>
    <x v="62"/>
    <n v="6"/>
    <x v="5"/>
    <x v="9"/>
    <x v="9"/>
    <x v="3"/>
    <x v="0"/>
  </r>
  <r>
    <s v="AX20284"/>
    <s v="ENX2037"/>
    <s v="A104"/>
    <s v="EMP1002"/>
    <s v="C1240"/>
    <x v="667"/>
    <n v="3"/>
    <n v="880"/>
    <n v="634"/>
    <n v="1902"/>
    <n v="2640"/>
    <n v="738"/>
    <s v="Product 38"/>
    <x v="50"/>
    <s v="Andrew Bowman"/>
    <x v="455"/>
    <n v="6"/>
    <x v="5"/>
    <x v="9"/>
    <x v="9"/>
    <x v="3"/>
    <x v="0"/>
  </r>
  <r>
    <s v="AX20347"/>
    <s v="ENX2003"/>
    <s v="A161"/>
    <s v="EMP1029"/>
    <s v="C1665"/>
    <x v="666"/>
    <n v="1"/>
    <n v="1783"/>
    <n v="1516"/>
    <n v="1516"/>
    <n v="1783"/>
    <n v="267"/>
    <s v="Product 4"/>
    <x v="6"/>
    <s v="Howard Gardner"/>
    <x v="615"/>
    <n v="6"/>
    <x v="5"/>
    <x v="9"/>
    <x v="9"/>
    <x v="3"/>
    <x v="0"/>
  </r>
  <r>
    <s v="AX20349"/>
    <s v="ENX2066"/>
    <s v="A147"/>
    <s v="EMP1042"/>
    <s v="C1693"/>
    <x v="664"/>
    <n v="1"/>
    <n v="2091"/>
    <n v="1485"/>
    <n v="1485"/>
    <n v="2091"/>
    <n v="606"/>
    <s v="Product 67"/>
    <x v="42"/>
    <s v="Scott Clark"/>
    <x v="724"/>
    <n v="6"/>
    <x v="5"/>
    <x v="9"/>
    <x v="9"/>
    <x v="3"/>
    <x v="0"/>
  </r>
  <r>
    <s v="AX20350"/>
    <s v="ENX2063"/>
    <s v="A169"/>
    <s v="EMP1036"/>
    <s v="C1102"/>
    <x v="665"/>
    <n v="3"/>
    <n v="1708"/>
    <n v="871"/>
    <n v="2613"/>
    <n v="5124"/>
    <n v="2511"/>
    <s v="Product 64"/>
    <x v="17"/>
    <s v="Robert Reed"/>
    <x v="766"/>
    <n v="6"/>
    <x v="5"/>
    <x v="9"/>
    <x v="9"/>
    <x v="3"/>
    <x v="0"/>
  </r>
  <r>
    <s v="AX20365"/>
    <s v="ENX2000"/>
    <s v="A161"/>
    <s v="EMP1016"/>
    <s v="C1285"/>
    <x v="668"/>
    <n v="1"/>
    <n v="2241"/>
    <n v="1367"/>
    <n v="1367"/>
    <n v="2241"/>
    <n v="874"/>
    <s v="Product 1"/>
    <x v="6"/>
    <s v="Henry Nelson"/>
    <x v="440"/>
    <n v="6"/>
    <x v="5"/>
    <x v="9"/>
    <x v="9"/>
    <x v="3"/>
    <x v="0"/>
  </r>
  <r>
    <s v="AX20822"/>
    <s v="ENX2002"/>
    <s v="A126"/>
    <s v="EMP1028"/>
    <s v="C1183"/>
    <x v="664"/>
    <n v="1"/>
    <n v="847"/>
    <n v="534"/>
    <n v="534"/>
    <n v="847"/>
    <n v="313"/>
    <s v="Product 3"/>
    <x v="5"/>
    <s v="Howard Sims"/>
    <x v="404"/>
    <n v="6"/>
    <x v="5"/>
    <x v="9"/>
    <x v="9"/>
    <x v="3"/>
    <x v="0"/>
  </r>
  <r>
    <s v="AX20915"/>
    <s v="ENX2011"/>
    <s v="A160"/>
    <s v="EMP1003"/>
    <s v="C1322"/>
    <x v="664"/>
    <n v="1"/>
    <n v="530"/>
    <n v="435"/>
    <n v="435"/>
    <n v="530"/>
    <n v="95"/>
    <s v="Product 12"/>
    <x v="9"/>
    <s v="Christopher Tucker"/>
    <x v="604"/>
    <n v="6"/>
    <x v="5"/>
    <x v="9"/>
    <x v="9"/>
    <x v="3"/>
    <x v="0"/>
  </r>
  <r>
    <s v="AX21100"/>
    <s v="ENX2054"/>
    <s v="A136"/>
    <s v="EMP1038"/>
    <s v="C1255"/>
    <x v="667"/>
    <n v="2"/>
    <n v="127"/>
    <n v="79"/>
    <n v="158"/>
    <n v="254"/>
    <n v="96"/>
    <s v="Product 55"/>
    <x v="43"/>
    <s v="Scott Mason"/>
    <x v="111"/>
    <n v="6"/>
    <x v="5"/>
    <x v="9"/>
    <x v="9"/>
    <x v="3"/>
    <x v="0"/>
  </r>
  <r>
    <s v="AX21409"/>
    <s v="ENX2071"/>
    <s v="A137"/>
    <s v="EMP1013"/>
    <s v="C1396"/>
    <x v="668"/>
    <n v="3"/>
    <n v="136"/>
    <n v="72"/>
    <n v="216"/>
    <n v="408"/>
    <n v="192"/>
    <s v="Product 72"/>
    <x v="68"/>
    <s v="Charles Harper"/>
    <x v="624"/>
    <n v="6"/>
    <x v="5"/>
    <x v="9"/>
    <x v="9"/>
    <x v="3"/>
    <x v="0"/>
  </r>
  <r>
    <s v="AX21492"/>
    <s v="ENX2091"/>
    <s v="A146"/>
    <s v="EMP1003"/>
    <s v="C1542"/>
    <x v="666"/>
    <n v="2"/>
    <n v="368"/>
    <n v="294"/>
    <n v="588"/>
    <n v="736"/>
    <n v="148"/>
    <s v="Product 92"/>
    <x v="27"/>
    <s v="Christopher Tucker"/>
    <x v="712"/>
    <n v="6"/>
    <x v="5"/>
    <x v="9"/>
    <x v="9"/>
    <x v="3"/>
    <x v="0"/>
  </r>
  <r>
    <s v="AX21661"/>
    <s v="ENX2093"/>
    <s v="A149"/>
    <s v="EMP1030"/>
    <s v="C1286"/>
    <x v="664"/>
    <n v="2"/>
    <n v="112"/>
    <n v="90"/>
    <n v="180"/>
    <n v="224"/>
    <n v="44"/>
    <s v="Product 94"/>
    <x v="59"/>
    <s v="Bobby Russell"/>
    <x v="308"/>
    <n v="6"/>
    <x v="5"/>
    <x v="9"/>
    <x v="9"/>
    <x v="3"/>
    <x v="0"/>
  </r>
  <r>
    <s v="AX21709"/>
    <s v="ENX2097"/>
    <s v="A119"/>
    <s v="EMP1016"/>
    <s v="C1650"/>
    <x v="664"/>
    <n v="1"/>
    <n v="1052"/>
    <n v="589"/>
    <n v="589"/>
    <n v="1052"/>
    <n v="463"/>
    <s v="Product 98"/>
    <x v="16"/>
    <s v="Henry Nelson"/>
    <x v="645"/>
    <n v="6"/>
    <x v="5"/>
    <x v="9"/>
    <x v="9"/>
    <x v="3"/>
    <x v="0"/>
  </r>
  <r>
    <s v="AX21873"/>
    <s v="ENX2077"/>
    <s v="A119"/>
    <s v="EMP1022"/>
    <s v="C1311"/>
    <x v="667"/>
    <n v="4"/>
    <n v="530"/>
    <n v="424"/>
    <n v="1696"/>
    <n v="2120"/>
    <n v="424"/>
    <s v="Product 78"/>
    <x v="16"/>
    <s v="Walter Cook"/>
    <x v="309"/>
    <n v="6"/>
    <x v="5"/>
    <x v="9"/>
    <x v="9"/>
    <x v="3"/>
    <x v="0"/>
  </r>
  <r>
    <s v="AX21993"/>
    <s v="ENX2009"/>
    <s v="A159"/>
    <s v="EMP1001"/>
    <s v="C1234"/>
    <x v="666"/>
    <n v="1"/>
    <n v="584"/>
    <n v="420"/>
    <n v="420"/>
    <n v="584"/>
    <n v="164"/>
    <s v="Product 10"/>
    <x v="13"/>
    <s v="Kevin Butler"/>
    <x v="636"/>
    <n v="6"/>
    <x v="5"/>
    <x v="9"/>
    <x v="9"/>
    <x v="3"/>
    <x v="0"/>
  </r>
  <r>
    <s v="AX22527"/>
    <s v="ENX2007"/>
    <s v="A139"/>
    <s v="EMP1036"/>
    <s v="C1032"/>
    <x v="666"/>
    <n v="1"/>
    <n v="1405"/>
    <n v="1054"/>
    <n v="1054"/>
    <n v="1405"/>
    <n v="351"/>
    <s v="Product 8"/>
    <x v="38"/>
    <s v="Robert Reed"/>
    <x v="270"/>
    <n v="6"/>
    <x v="5"/>
    <x v="9"/>
    <x v="9"/>
    <x v="3"/>
    <x v="0"/>
  </r>
  <r>
    <s v="AX22652"/>
    <s v="ENX2051"/>
    <s v="A133"/>
    <s v="EMP1034"/>
    <s v="C1111"/>
    <x v="664"/>
    <n v="1"/>
    <n v="1077"/>
    <n v="732"/>
    <n v="732"/>
    <n v="1077"/>
    <n v="345"/>
    <s v="Product 52"/>
    <x v="46"/>
    <s v="Arthur Mccoy"/>
    <x v="563"/>
    <n v="6"/>
    <x v="5"/>
    <x v="9"/>
    <x v="9"/>
    <x v="3"/>
    <x v="0"/>
  </r>
  <r>
    <s v="AX22942"/>
    <s v="ENX2042"/>
    <s v="A107"/>
    <s v="EMP1044"/>
    <s v="C1784"/>
    <x v="668"/>
    <n v="1"/>
    <n v="203"/>
    <n v="154"/>
    <n v="154"/>
    <n v="203"/>
    <n v="49"/>
    <s v="Product 43"/>
    <x v="21"/>
    <s v="Martin Carr"/>
    <x v="397"/>
    <n v="6"/>
    <x v="5"/>
    <x v="9"/>
    <x v="9"/>
    <x v="3"/>
    <x v="0"/>
  </r>
  <r>
    <s v="AX23223"/>
    <s v="ENX2080"/>
    <s v="A104"/>
    <s v="EMP1016"/>
    <s v="C1690"/>
    <x v="664"/>
    <n v="4"/>
    <n v="2353"/>
    <n v="1788"/>
    <n v="7152"/>
    <n v="9412"/>
    <n v="2260"/>
    <s v="Product 81"/>
    <x v="50"/>
    <s v="Henry Nelson"/>
    <x v="185"/>
    <n v="6"/>
    <x v="5"/>
    <x v="9"/>
    <x v="9"/>
    <x v="3"/>
    <x v="0"/>
  </r>
  <r>
    <s v="AX23340"/>
    <s v="ENX2069"/>
    <s v="A138"/>
    <s v="EMP1039"/>
    <s v="C1484"/>
    <x v="665"/>
    <n v="1"/>
    <n v="378"/>
    <n v="291"/>
    <n v="291"/>
    <n v="378"/>
    <n v="87"/>
    <s v="Product 70"/>
    <x v="37"/>
    <s v="Eugene Holmes"/>
    <x v="466"/>
    <n v="6"/>
    <x v="5"/>
    <x v="9"/>
    <x v="9"/>
    <x v="3"/>
    <x v="0"/>
  </r>
  <r>
    <s v="AX23358"/>
    <s v="ENX2035"/>
    <s v="A132"/>
    <s v="EMP1043"/>
    <s v="C1763"/>
    <x v="666"/>
    <n v="2"/>
    <n v="458"/>
    <n v="376"/>
    <n v="752"/>
    <n v="916"/>
    <n v="164"/>
    <s v="Product 36"/>
    <x v="48"/>
    <s v="Joshua Taylor"/>
    <x v="409"/>
    <n v="6"/>
    <x v="5"/>
    <x v="9"/>
    <x v="9"/>
    <x v="3"/>
    <x v="0"/>
  </r>
  <r>
    <s v="AX24020"/>
    <s v="ENX2064"/>
    <s v="A167"/>
    <s v="EMP1007"/>
    <s v="C1105"/>
    <x v="664"/>
    <n v="1"/>
    <n v="1414"/>
    <n v="962"/>
    <n v="962"/>
    <n v="1414"/>
    <n v="452"/>
    <s v="Product 65"/>
    <x v="64"/>
    <s v="Jeremy Mendoza"/>
    <x v="15"/>
    <n v="6"/>
    <x v="5"/>
    <x v="9"/>
    <x v="9"/>
    <x v="3"/>
    <x v="0"/>
  </r>
  <r>
    <s v="AX24039"/>
    <s v="ENX2037"/>
    <s v="A155"/>
    <s v="EMP1016"/>
    <s v="C1542"/>
    <x v="667"/>
    <n v="1"/>
    <n v="880"/>
    <n v="634"/>
    <n v="634"/>
    <n v="880"/>
    <n v="246"/>
    <s v="Product 38"/>
    <x v="53"/>
    <s v="Henry Nelson"/>
    <x v="712"/>
    <n v="6"/>
    <x v="5"/>
    <x v="9"/>
    <x v="9"/>
    <x v="3"/>
    <x v="0"/>
  </r>
  <r>
    <s v="AX24040"/>
    <s v="ENX2088"/>
    <s v="A117"/>
    <s v="EMP1029"/>
    <s v="C1083"/>
    <x v="666"/>
    <n v="2"/>
    <n v="603"/>
    <n v="416"/>
    <n v="832"/>
    <n v="1206"/>
    <n v="374"/>
    <s v="Product 89"/>
    <x v="29"/>
    <s v="Howard Gardner"/>
    <x v="550"/>
    <n v="6"/>
    <x v="5"/>
    <x v="9"/>
    <x v="9"/>
    <x v="3"/>
    <x v="0"/>
  </r>
  <r>
    <s v="AX24257"/>
    <s v="ENX2028"/>
    <s v="A158"/>
    <s v="EMP1026"/>
    <s v="C1413"/>
    <x v="665"/>
    <n v="1"/>
    <n v="2283"/>
    <n v="1484"/>
    <n v="1484"/>
    <n v="2283"/>
    <n v="799"/>
    <s v="Product 29"/>
    <x v="58"/>
    <s v="Martin Perry"/>
    <x v="571"/>
    <n v="6"/>
    <x v="5"/>
    <x v="9"/>
    <x v="9"/>
    <x v="3"/>
    <x v="0"/>
  </r>
  <r>
    <s v="AX24400"/>
    <s v="ENX2057"/>
    <s v="A160"/>
    <s v="EMP1011"/>
    <s v="C1475"/>
    <x v="668"/>
    <n v="1"/>
    <n v="181"/>
    <n v="130"/>
    <n v="130"/>
    <n v="181"/>
    <n v="51"/>
    <s v="Product 58"/>
    <x v="9"/>
    <s v="Larry Marshall"/>
    <x v="527"/>
    <n v="6"/>
    <x v="5"/>
    <x v="9"/>
    <x v="9"/>
    <x v="3"/>
    <x v="0"/>
  </r>
  <r>
    <s v="AX24831"/>
    <s v="ENX2057"/>
    <s v="A127"/>
    <s v="EMP1006"/>
    <s v="C1440"/>
    <x v="668"/>
    <n v="2"/>
    <n v="181"/>
    <n v="130"/>
    <n v="260"/>
    <n v="362"/>
    <n v="102"/>
    <s v="Product 58"/>
    <x v="69"/>
    <s v="Sean Miller"/>
    <x v="52"/>
    <n v="6"/>
    <x v="5"/>
    <x v="9"/>
    <x v="9"/>
    <x v="3"/>
    <x v="0"/>
  </r>
  <r>
    <s v="AX10465"/>
    <s v="ENX2011"/>
    <s v="A100"/>
    <s v="EMP1025"/>
    <s v="C1076"/>
    <x v="669"/>
    <n v="1"/>
    <n v="530"/>
    <n v="435"/>
    <n v="435"/>
    <n v="530"/>
    <n v="95"/>
    <s v="Product 12"/>
    <x v="52"/>
    <s v="Ernest Wagner"/>
    <x v="772"/>
    <n v="6"/>
    <x v="5"/>
    <x v="9"/>
    <x v="9"/>
    <x v="3"/>
    <x v="2"/>
  </r>
  <r>
    <s v="AX11263"/>
    <s v="ENX2039"/>
    <s v="A164"/>
    <s v="EMP1029"/>
    <s v="C1595"/>
    <x v="669"/>
    <n v="4"/>
    <n v="817"/>
    <n v="409"/>
    <n v="1636"/>
    <n v="3268"/>
    <n v="1632"/>
    <s v="Product 40"/>
    <x v="3"/>
    <s v="Howard Gardner"/>
    <x v="372"/>
    <n v="6"/>
    <x v="5"/>
    <x v="9"/>
    <x v="9"/>
    <x v="3"/>
    <x v="2"/>
  </r>
  <r>
    <s v="AX11408"/>
    <s v="ENX2024"/>
    <s v="A162"/>
    <s v="EMP1017"/>
    <s v="C1478"/>
    <x v="670"/>
    <n v="2"/>
    <n v="356"/>
    <n v="292"/>
    <n v="584"/>
    <n v="712"/>
    <n v="128"/>
    <s v="Product 25"/>
    <x v="2"/>
    <s v="Brian Hansen"/>
    <x v="483"/>
    <n v="6"/>
    <x v="5"/>
    <x v="9"/>
    <x v="9"/>
    <x v="3"/>
    <x v="2"/>
  </r>
  <r>
    <s v="AX11716"/>
    <s v="ENX2055"/>
    <s v="A134"/>
    <s v="EMP1041"/>
    <s v="C1520"/>
    <x v="671"/>
    <n v="1"/>
    <n v="2495"/>
    <n v="1896"/>
    <n v="1896"/>
    <n v="2495"/>
    <n v="599"/>
    <s v="Product 56"/>
    <x v="41"/>
    <s v="Joe Sims"/>
    <x v="576"/>
    <n v="6"/>
    <x v="5"/>
    <x v="9"/>
    <x v="9"/>
    <x v="3"/>
    <x v="2"/>
  </r>
  <r>
    <s v="AX11769"/>
    <s v="ENX2048"/>
    <s v="A154"/>
    <s v="EMP1000"/>
    <s v="C1690"/>
    <x v="672"/>
    <n v="1"/>
    <n v="502"/>
    <n v="296"/>
    <n v="296"/>
    <n v="502"/>
    <n v="206"/>
    <s v="Product 49"/>
    <x v="24"/>
    <s v="Fred Robertson"/>
    <x v="185"/>
    <n v="6"/>
    <x v="5"/>
    <x v="9"/>
    <x v="9"/>
    <x v="3"/>
    <x v="2"/>
  </r>
  <r>
    <s v="AX12464"/>
    <s v="ENX2000"/>
    <s v="A119"/>
    <s v="EMP1001"/>
    <s v="C1283"/>
    <x v="670"/>
    <n v="3"/>
    <n v="2241"/>
    <n v="1367"/>
    <n v="4101"/>
    <n v="6723"/>
    <n v="2622"/>
    <s v="Product 1"/>
    <x v="16"/>
    <s v="Kevin Butler"/>
    <x v="184"/>
    <n v="6"/>
    <x v="5"/>
    <x v="9"/>
    <x v="9"/>
    <x v="3"/>
    <x v="2"/>
  </r>
  <r>
    <s v="AX12614"/>
    <s v="ENX2091"/>
    <s v="A162"/>
    <s v="EMP1013"/>
    <s v="C1140"/>
    <x v="672"/>
    <n v="4"/>
    <n v="368"/>
    <n v="294"/>
    <n v="1176"/>
    <n v="1472"/>
    <n v="296"/>
    <s v="Product 92"/>
    <x v="2"/>
    <s v="Charles Harper"/>
    <x v="40"/>
    <n v="6"/>
    <x v="5"/>
    <x v="9"/>
    <x v="9"/>
    <x v="3"/>
    <x v="2"/>
  </r>
  <r>
    <s v="AX13072"/>
    <s v="ENX2050"/>
    <s v="A109"/>
    <s v="EMP1017"/>
    <s v="C1043"/>
    <x v="669"/>
    <n v="3"/>
    <n v="2391"/>
    <n v="1291"/>
    <n v="3873"/>
    <n v="7173"/>
    <n v="3300"/>
    <s v="Product 51"/>
    <x v="57"/>
    <s v="Brian Hansen"/>
    <x v="546"/>
    <n v="6"/>
    <x v="5"/>
    <x v="9"/>
    <x v="9"/>
    <x v="3"/>
    <x v="2"/>
  </r>
  <r>
    <s v="AX13530"/>
    <s v="ENX2025"/>
    <s v="A117"/>
    <s v="EMP1008"/>
    <s v="C1337"/>
    <x v="669"/>
    <n v="1"/>
    <n v="667"/>
    <n v="387"/>
    <n v="387"/>
    <n v="667"/>
    <n v="280"/>
    <s v="Product 26"/>
    <x v="29"/>
    <s v="Carl Elliott"/>
    <x v="417"/>
    <n v="6"/>
    <x v="5"/>
    <x v="9"/>
    <x v="9"/>
    <x v="3"/>
    <x v="2"/>
  </r>
  <r>
    <s v="AX13629"/>
    <s v="ENX2093"/>
    <s v="A128"/>
    <s v="EMP1024"/>
    <s v="C1300"/>
    <x v="669"/>
    <n v="1"/>
    <n v="112"/>
    <n v="90"/>
    <n v="90"/>
    <n v="112"/>
    <n v="22"/>
    <s v="Product 94"/>
    <x v="12"/>
    <s v="Ernest Wheeler"/>
    <x v="201"/>
    <n v="6"/>
    <x v="5"/>
    <x v="9"/>
    <x v="9"/>
    <x v="3"/>
    <x v="2"/>
  </r>
  <r>
    <s v="AX13799"/>
    <s v="ENX2008"/>
    <s v="A131"/>
    <s v="EMP1040"/>
    <s v="C1743"/>
    <x v="672"/>
    <n v="4"/>
    <n v="315"/>
    <n v="208"/>
    <n v="832"/>
    <n v="1260"/>
    <n v="428"/>
    <s v="Product 9"/>
    <x v="32"/>
    <s v="Patrick Ruiz"/>
    <x v="276"/>
    <n v="6"/>
    <x v="5"/>
    <x v="9"/>
    <x v="9"/>
    <x v="3"/>
    <x v="2"/>
  </r>
  <r>
    <s v="AX13811"/>
    <s v="ENX2078"/>
    <s v="A153"/>
    <s v="EMP1009"/>
    <s v="C1325"/>
    <x v="671"/>
    <n v="2"/>
    <n v="1798"/>
    <n v="971"/>
    <n v="1942"/>
    <n v="3596"/>
    <n v="1654"/>
    <s v="Product 79"/>
    <x v="8"/>
    <s v="Kenneth Fields"/>
    <x v="67"/>
    <n v="6"/>
    <x v="5"/>
    <x v="9"/>
    <x v="9"/>
    <x v="3"/>
    <x v="2"/>
  </r>
  <r>
    <s v="AX14437"/>
    <s v="ENX2073"/>
    <s v="A143"/>
    <s v="EMP1014"/>
    <s v="C1001"/>
    <x v="672"/>
    <n v="4"/>
    <n v="95"/>
    <n v="61"/>
    <n v="244"/>
    <n v="380"/>
    <n v="136"/>
    <s v="Product 74"/>
    <x v="39"/>
    <s v="Ronald Reed"/>
    <x v="725"/>
    <n v="6"/>
    <x v="5"/>
    <x v="9"/>
    <x v="9"/>
    <x v="3"/>
    <x v="2"/>
  </r>
  <r>
    <s v="AX14838"/>
    <s v="ENX2025"/>
    <s v="A156"/>
    <s v="EMP1037"/>
    <s v="C1463"/>
    <x v="670"/>
    <n v="1"/>
    <n v="667"/>
    <n v="387"/>
    <n v="387"/>
    <n v="667"/>
    <n v="280"/>
    <s v="Product 26"/>
    <x v="14"/>
    <s v="Carl Hall"/>
    <x v="535"/>
    <n v="6"/>
    <x v="5"/>
    <x v="9"/>
    <x v="9"/>
    <x v="3"/>
    <x v="2"/>
  </r>
  <r>
    <s v="AX15187"/>
    <s v="ENX2081"/>
    <s v="A158"/>
    <s v="EMP1017"/>
    <s v="C1713"/>
    <x v="670"/>
    <n v="2"/>
    <n v="1566"/>
    <n v="1190"/>
    <n v="2380"/>
    <n v="3132"/>
    <n v="752"/>
    <s v="Product 82"/>
    <x v="58"/>
    <s v="Brian Hansen"/>
    <x v="753"/>
    <n v="6"/>
    <x v="5"/>
    <x v="9"/>
    <x v="9"/>
    <x v="3"/>
    <x v="2"/>
  </r>
  <r>
    <s v="AX15321"/>
    <s v="ENX2085"/>
    <s v="A168"/>
    <s v="EMP1043"/>
    <s v="C1096"/>
    <x v="671"/>
    <n v="1"/>
    <n v="1862"/>
    <n v="1173"/>
    <n v="1173"/>
    <n v="1862"/>
    <n v="689"/>
    <s v="Product 86"/>
    <x v="40"/>
    <s v="Joshua Taylor"/>
    <x v="91"/>
    <n v="6"/>
    <x v="5"/>
    <x v="9"/>
    <x v="9"/>
    <x v="3"/>
    <x v="2"/>
  </r>
  <r>
    <s v="AX15352"/>
    <s v="ENX2015"/>
    <s v="A101"/>
    <s v="EMP1027"/>
    <s v="C1402"/>
    <x v="670"/>
    <n v="1"/>
    <n v="637"/>
    <n v="389"/>
    <n v="389"/>
    <n v="637"/>
    <n v="248"/>
    <s v="Product 16"/>
    <x v="60"/>
    <s v="Gary Rodriguez"/>
    <x v="79"/>
    <n v="6"/>
    <x v="5"/>
    <x v="9"/>
    <x v="9"/>
    <x v="3"/>
    <x v="2"/>
  </r>
  <r>
    <s v="AX15657"/>
    <s v="ENX2081"/>
    <s v="A144"/>
    <s v="EMP1017"/>
    <s v="C1515"/>
    <x v="669"/>
    <n v="4"/>
    <n v="1566"/>
    <n v="1190"/>
    <n v="4760"/>
    <n v="6264"/>
    <n v="1504"/>
    <s v="Product 82"/>
    <x v="65"/>
    <s v="Brian Hansen"/>
    <x v="570"/>
    <n v="6"/>
    <x v="5"/>
    <x v="9"/>
    <x v="9"/>
    <x v="3"/>
    <x v="2"/>
  </r>
  <r>
    <s v="AX15936"/>
    <s v="ENX2010"/>
    <s v="A105"/>
    <s v="EMP1006"/>
    <s v="C1613"/>
    <x v="670"/>
    <n v="1"/>
    <n v="1812"/>
    <n v="1305"/>
    <n v="1305"/>
    <n v="1812"/>
    <n v="507"/>
    <s v="Product 11"/>
    <x v="45"/>
    <s v="Sean Miller"/>
    <x v="143"/>
    <n v="6"/>
    <x v="5"/>
    <x v="9"/>
    <x v="9"/>
    <x v="3"/>
    <x v="2"/>
  </r>
  <r>
    <s v="AX16190"/>
    <s v="ENX2097"/>
    <s v="A131"/>
    <s v="EMP1000"/>
    <s v="C1449"/>
    <x v="672"/>
    <n v="1"/>
    <n v="1052"/>
    <n v="589"/>
    <n v="589"/>
    <n v="1052"/>
    <n v="463"/>
    <s v="Product 98"/>
    <x v="32"/>
    <s v="Fred Robertson"/>
    <x v="230"/>
    <n v="6"/>
    <x v="5"/>
    <x v="9"/>
    <x v="9"/>
    <x v="3"/>
    <x v="2"/>
  </r>
  <r>
    <s v="AX16225"/>
    <s v="ENX2005"/>
    <s v="A149"/>
    <s v="EMP1000"/>
    <s v="C1181"/>
    <x v="671"/>
    <n v="1"/>
    <n v="684"/>
    <n v="561"/>
    <n v="561"/>
    <n v="684"/>
    <n v="123"/>
    <s v="Product 6"/>
    <x v="59"/>
    <s v="Fred Robertson"/>
    <x v="449"/>
    <n v="6"/>
    <x v="5"/>
    <x v="9"/>
    <x v="9"/>
    <x v="3"/>
    <x v="2"/>
  </r>
  <r>
    <s v="AX16566"/>
    <s v="ENX2055"/>
    <s v="A168"/>
    <s v="EMP1009"/>
    <s v="C1083"/>
    <x v="669"/>
    <n v="1"/>
    <n v="2495"/>
    <n v="1896"/>
    <n v="1896"/>
    <n v="2495"/>
    <n v="599"/>
    <s v="Product 56"/>
    <x v="40"/>
    <s v="Kenneth Fields"/>
    <x v="550"/>
    <n v="6"/>
    <x v="5"/>
    <x v="9"/>
    <x v="9"/>
    <x v="3"/>
    <x v="2"/>
  </r>
  <r>
    <s v="AX16681"/>
    <s v="ENX2078"/>
    <s v="A108"/>
    <s v="EMP1004"/>
    <s v="C1175"/>
    <x v="669"/>
    <n v="1"/>
    <n v="1798"/>
    <n v="971"/>
    <n v="971"/>
    <n v="1798"/>
    <n v="827"/>
    <s v="Product 79"/>
    <x v="49"/>
    <s v="Kenneth Bradley"/>
    <x v="89"/>
    <n v="6"/>
    <x v="5"/>
    <x v="9"/>
    <x v="9"/>
    <x v="3"/>
    <x v="2"/>
  </r>
  <r>
    <s v="AX16734"/>
    <s v="ENX2070"/>
    <s v="A154"/>
    <s v="EMP1044"/>
    <s v="C1153"/>
    <x v="669"/>
    <n v="1"/>
    <n v="1671"/>
    <n v="1220"/>
    <n v="1220"/>
    <n v="1671"/>
    <n v="451"/>
    <s v="Product 71"/>
    <x v="24"/>
    <s v="Martin Carr"/>
    <x v="382"/>
    <n v="6"/>
    <x v="5"/>
    <x v="9"/>
    <x v="9"/>
    <x v="3"/>
    <x v="2"/>
  </r>
  <r>
    <s v="AX16747"/>
    <s v="ENX2036"/>
    <s v="A158"/>
    <s v="EMP1035"/>
    <s v="C1592"/>
    <x v="669"/>
    <n v="4"/>
    <n v="1582"/>
    <n v="1234"/>
    <n v="4936"/>
    <n v="6328"/>
    <n v="1392"/>
    <s v="Product 37"/>
    <x v="58"/>
    <s v="Roger Ramos"/>
    <x v="499"/>
    <n v="6"/>
    <x v="5"/>
    <x v="9"/>
    <x v="9"/>
    <x v="3"/>
    <x v="2"/>
  </r>
  <r>
    <s v="AX17046"/>
    <s v="ENX2078"/>
    <s v="A162"/>
    <s v="EMP1016"/>
    <s v="C1703"/>
    <x v="669"/>
    <n v="3"/>
    <n v="1798"/>
    <n v="971"/>
    <n v="2913"/>
    <n v="5394"/>
    <n v="2481"/>
    <s v="Product 79"/>
    <x v="2"/>
    <s v="Henry Nelson"/>
    <x v="424"/>
    <n v="6"/>
    <x v="5"/>
    <x v="9"/>
    <x v="9"/>
    <x v="3"/>
    <x v="2"/>
  </r>
  <r>
    <s v="AX17324"/>
    <s v="ENX2004"/>
    <s v="A152"/>
    <s v="EMP1024"/>
    <s v="C1390"/>
    <x v="671"/>
    <n v="2"/>
    <n v="1278"/>
    <n v="665"/>
    <n v="1330"/>
    <n v="2556"/>
    <n v="1226"/>
    <s v="Product 5"/>
    <x v="26"/>
    <s v="Ernest Wheeler"/>
    <x v="279"/>
    <n v="6"/>
    <x v="5"/>
    <x v="9"/>
    <x v="9"/>
    <x v="3"/>
    <x v="2"/>
  </r>
  <r>
    <s v="AX18029"/>
    <s v="ENX2042"/>
    <s v="A152"/>
    <s v="EMP1032"/>
    <s v="C1718"/>
    <x v="672"/>
    <n v="4"/>
    <n v="203"/>
    <n v="154"/>
    <n v="616"/>
    <n v="812"/>
    <n v="196"/>
    <s v="Product 43"/>
    <x v="26"/>
    <s v="Larry Castillo"/>
    <x v="14"/>
    <n v="6"/>
    <x v="5"/>
    <x v="9"/>
    <x v="9"/>
    <x v="3"/>
    <x v="2"/>
  </r>
  <r>
    <s v="AX18306"/>
    <s v="ENX2010"/>
    <s v="A127"/>
    <s v="EMP1005"/>
    <s v="C1102"/>
    <x v="669"/>
    <n v="1"/>
    <n v="1812"/>
    <n v="1305"/>
    <n v="1305"/>
    <n v="1812"/>
    <n v="507"/>
    <s v="Product 11"/>
    <x v="69"/>
    <s v="Ryan Welch"/>
    <x v="766"/>
    <n v="6"/>
    <x v="5"/>
    <x v="9"/>
    <x v="9"/>
    <x v="3"/>
    <x v="2"/>
  </r>
  <r>
    <s v="AX18382"/>
    <s v="ENX2066"/>
    <s v="A144"/>
    <s v="EMP1039"/>
    <s v="C1119"/>
    <x v="669"/>
    <n v="3"/>
    <n v="2091"/>
    <n v="1485"/>
    <n v="4455"/>
    <n v="6273"/>
    <n v="1818"/>
    <s v="Product 67"/>
    <x v="65"/>
    <s v="Eugene Holmes"/>
    <x v="614"/>
    <n v="6"/>
    <x v="5"/>
    <x v="9"/>
    <x v="9"/>
    <x v="3"/>
    <x v="2"/>
  </r>
  <r>
    <s v="AX18719"/>
    <s v="ENX2053"/>
    <s v="A124"/>
    <s v="EMP1000"/>
    <s v="C1057"/>
    <x v="672"/>
    <n v="3"/>
    <n v="596"/>
    <n v="358"/>
    <n v="1074"/>
    <n v="1788"/>
    <n v="714"/>
    <s v="Product 54"/>
    <x v="67"/>
    <s v="Fred Robertson"/>
    <x v="635"/>
    <n v="6"/>
    <x v="5"/>
    <x v="9"/>
    <x v="9"/>
    <x v="3"/>
    <x v="2"/>
  </r>
  <r>
    <s v="AX19112"/>
    <s v="ENX2044"/>
    <s v="A116"/>
    <s v="EMP1029"/>
    <s v="C1089"/>
    <x v="669"/>
    <n v="1"/>
    <n v="886"/>
    <n v="478"/>
    <n v="478"/>
    <n v="886"/>
    <n v="408"/>
    <s v="Product 45"/>
    <x v="15"/>
    <s v="Howard Gardner"/>
    <x v="267"/>
    <n v="6"/>
    <x v="5"/>
    <x v="9"/>
    <x v="9"/>
    <x v="3"/>
    <x v="2"/>
  </r>
  <r>
    <s v="AX19212"/>
    <s v="ENX2100"/>
    <s v="A164"/>
    <s v="EMP1042"/>
    <s v="C1381"/>
    <x v="670"/>
    <n v="3"/>
    <n v="799"/>
    <n v="455"/>
    <n v="1365"/>
    <n v="2397"/>
    <n v="1032"/>
    <s v="Product 101"/>
    <x v="3"/>
    <s v="Scott Clark"/>
    <x v="714"/>
    <n v="6"/>
    <x v="5"/>
    <x v="9"/>
    <x v="9"/>
    <x v="3"/>
    <x v="2"/>
  </r>
  <r>
    <s v="AX19596"/>
    <s v="ENX2003"/>
    <s v="A139"/>
    <s v="EMP1021"/>
    <s v="C1439"/>
    <x v="670"/>
    <n v="2"/>
    <n v="1783"/>
    <n v="1516"/>
    <n v="3032"/>
    <n v="3566"/>
    <n v="534"/>
    <s v="Product 4"/>
    <x v="38"/>
    <s v="Clarence Fox"/>
    <x v="172"/>
    <n v="6"/>
    <x v="5"/>
    <x v="9"/>
    <x v="9"/>
    <x v="3"/>
    <x v="2"/>
  </r>
  <r>
    <s v="AX19706"/>
    <s v="ENX2078"/>
    <s v="A149"/>
    <s v="EMP1028"/>
    <s v="C1596"/>
    <x v="672"/>
    <n v="1"/>
    <n v="1798"/>
    <n v="971"/>
    <n v="971"/>
    <n v="1798"/>
    <n v="827"/>
    <s v="Product 79"/>
    <x v="59"/>
    <s v="Howard Sims"/>
    <x v="217"/>
    <n v="6"/>
    <x v="5"/>
    <x v="9"/>
    <x v="9"/>
    <x v="3"/>
    <x v="2"/>
  </r>
  <r>
    <s v="AX19717"/>
    <s v="ENX2058"/>
    <s v="A155"/>
    <s v="EMP1015"/>
    <s v="C1136"/>
    <x v="670"/>
    <n v="1"/>
    <n v="2257"/>
    <n v="1535"/>
    <n v="1535"/>
    <n v="2257"/>
    <n v="722"/>
    <s v="Product 59"/>
    <x v="53"/>
    <s v="Justin Lynch"/>
    <x v="425"/>
    <n v="6"/>
    <x v="5"/>
    <x v="9"/>
    <x v="9"/>
    <x v="3"/>
    <x v="2"/>
  </r>
  <r>
    <s v="AX20395"/>
    <s v="ENX2070"/>
    <s v="A107"/>
    <s v="EMP1023"/>
    <s v="C1533"/>
    <x v="669"/>
    <n v="2"/>
    <n v="1671"/>
    <n v="1220"/>
    <n v="2440"/>
    <n v="3342"/>
    <n v="902"/>
    <s v="Product 71"/>
    <x v="21"/>
    <s v="Brian Davis"/>
    <x v="179"/>
    <n v="6"/>
    <x v="5"/>
    <x v="9"/>
    <x v="9"/>
    <x v="3"/>
    <x v="2"/>
  </r>
  <r>
    <s v="AX20475"/>
    <s v="ENX2037"/>
    <s v="A124"/>
    <s v="EMP1009"/>
    <s v="C1547"/>
    <x v="671"/>
    <n v="1"/>
    <n v="880"/>
    <n v="634"/>
    <n v="634"/>
    <n v="880"/>
    <n v="246"/>
    <s v="Product 38"/>
    <x v="67"/>
    <s v="Kenneth Fields"/>
    <x v="800"/>
    <n v="6"/>
    <x v="5"/>
    <x v="9"/>
    <x v="9"/>
    <x v="3"/>
    <x v="2"/>
  </r>
  <r>
    <s v="AX20655"/>
    <s v="ENX2092"/>
    <s v="A170"/>
    <s v="EMP1031"/>
    <s v="C1789"/>
    <x v="669"/>
    <n v="1"/>
    <n v="1639"/>
    <n v="1295"/>
    <n v="1295"/>
    <n v="1639"/>
    <n v="344"/>
    <s v="Product 93"/>
    <x v="47"/>
    <s v="Brian Thomas"/>
    <x v="701"/>
    <n v="6"/>
    <x v="5"/>
    <x v="9"/>
    <x v="9"/>
    <x v="3"/>
    <x v="2"/>
  </r>
  <r>
    <s v="AX20755"/>
    <s v="ENX2045"/>
    <s v="A169"/>
    <s v="EMP1025"/>
    <s v="C1296"/>
    <x v="671"/>
    <n v="1"/>
    <n v="556"/>
    <n v="395"/>
    <n v="395"/>
    <n v="556"/>
    <n v="161"/>
    <s v="Product 46"/>
    <x v="17"/>
    <s v="Ernest Wagner"/>
    <x v="105"/>
    <n v="6"/>
    <x v="5"/>
    <x v="9"/>
    <x v="9"/>
    <x v="3"/>
    <x v="2"/>
  </r>
  <r>
    <s v="AX21254"/>
    <s v="ENX2048"/>
    <s v="A148"/>
    <s v="EMP1037"/>
    <s v="C1747"/>
    <x v="672"/>
    <n v="1"/>
    <n v="502"/>
    <n v="296"/>
    <n v="296"/>
    <n v="502"/>
    <n v="206"/>
    <s v="Product 49"/>
    <x v="62"/>
    <s v="Carl Hall"/>
    <x v="392"/>
    <n v="6"/>
    <x v="5"/>
    <x v="9"/>
    <x v="9"/>
    <x v="3"/>
    <x v="2"/>
  </r>
  <r>
    <s v="AX21428"/>
    <s v="ENX2053"/>
    <s v="A116"/>
    <s v="EMP1008"/>
    <s v="C1025"/>
    <x v="670"/>
    <n v="2"/>
    <n v="596"/>
    <n v="358"/>
    <n v="716"/>
    <n v="1192"/>
    <n v="476"/>
    <s v="Product 54"/>
    <x v="15"/>
    <s v="Carl Elliott"/>
    <x v="350"/>
    <n v="6"/>
    <x v="5"/>
    <x v="9"/>
    <x v="9"/>
    <x v="3"/>
    <x v="2"/>
  </r>
  <r>
    <s v="AX21939"/>
    <s v="ENX2085"/>
    <s v="A158"/>
    <s v="EMP1024"/>
    <s v="C1362"/>
    <x v="672"/>
    <n v="2"/>
    <n v="1862"/>
    <n v="1173"/>
    <n v="2346"/>
    <n v="3724"/>
    <n v="1378"/>
    <s v="Product 86"/>
    <x v="58"/>
    <s v="Ernest Wheeler"/>
    <x v="41"/>
    <n v="6"/>
    <x v="5"/>
    <x v="9"/>
    <x v="9"/>
    <x v="3"/>
    <x v="2"/>
  </r>
  <r>
    <s v="AX22357"/>
    <s v="ENX2070"/>
    <s v="A169"/>
    <s v="EMP1020"/>
    <s v="C1448"/>
    <x v="669"/>
    <n v="3"/>
    <n v="1671"/>
    <n v="1220"/>
    <n v="3660"/>
    <n v="5013"/>
    <n v="1353"/>
    <s v="Product 71"/>
    <x v="17"/>
    <s v="Ryan Butler"/>
    <x v="716"/>
    <n v="6"/>
    <x v="5"/>
    <x v="9"/>
    <x v="9"/>
    <x v="3"/>
    <x v="2"/>
  </r>
  <r>
    <s v="AX22651"/>
    <s v="ENX2066"/>
    <s v="A141"/>
    <s v="EMP1029"/>
    <s v="C1289"/>
    <x v="670"/>
    <n v="2"/>
    <n v="2091"/>
    <n v="1485"/>
    <n v="2970"/>
    <n v="4182"/>
    <n v="1212"/>
    <s v="Product 67"/>
    <x v="23"/>
    <s v="Howard Gardner"/>
    <x v="328"/>
    <n v="6"/>
    <x v="5"/>
    <x v="9"/>
    <x v="9"/>
    <x v="3"/>
    <x v="2"/>
  </r>
  <r>
    <s v="AX22911"/>
    <s v="ENX2028"/>
    <s v="A107"/>
    <s v="EMP1012"/>
    <s v="C1284"/>
    <x v="672"/>
    <n v="1"/>
    <n v="2283"/>
    <n v="1484"/>
    <n v="1484"/>
    <n v="2283"/>
    <n v="799"/>
    <s v="Product 29"/>
    <x v="21"/>
    <s v="John Reyes"/>
    <x v="713"/>
    <n v="6"/>
    <x v="5"/>
    <x v="9"/>
    <x v="9"/>
    <x v="3"/>
    <x v="2"/>
  </r>
  <r>
    <s v="AX22912"/>
    <s v="ENX2022"/>
    <s v="A131"/>
    <s v="EMP1022"/>
    <s v="C1145"/>
    <x v="669"/>
    <n v="4"/>
    <n v="561"/>
    <n v="421"/>
    <n v="1684"/>
    <n v="2244"/>
    <n v="560"/>
    <s v="Product 23"/>
    <x v="32"/>
    <s v="Walter Cook"/>
    <x v="489"/>
    <n v="6"/>
    <x v="5"/>
    <x v="9"/>
    <x v="9"/>
    <x v="3"/>
    <x v="2"/>
  </r>
  <r>
    <s v="AX23033"/>
    <s v="ENX2034"/>
    <s v="A107"/>
    <s v="EMP1022"/>
    <s v="C1660"/>
    <x v="672"/>
    <n v="1"/>
    <n v="871"/>
    <n v="540"/>
    <n v="540"/>
    <n v="871"/>
    <n v="331"/>
    <s v="Product 35"/>
    <x v="21"/>
    <s v="Walter Cook"/>
    <x v="146"/>
    <n v="6"/>
    <x v="5"/>
    <x v="9"/>
    <x v="9"/>
    <x v="3"/>
    <x v="2"/>
  </r>
  <r>
    <s v="AX23103"/>
    <s v="ENX2057"/>
    <s v="A158"/>
    <s v="EMP1016"/>
    <s v="C1142"/>
    <x v="670"/>
    <n v="1"/>
    <n v="181"/>
    <n v="130"/>
    <n v="130"/>
    <n v="181"/>
    <n v="51"/>
    <s v="Product 58"/>
    <x v="58"/>
    <s v="Henry Nelson"/>
    <x v="731"/>
    <n v="6"/>
    <x v="5"/>
    <x v="9"/>
    <x v="9"/>
    <x v="3"/>
    <x v="2"/>
  </r>
  <r>
    <s v="AX23140"/>
    <s v="ENX2000"/>
    <s v="A156"/>
    <s v="EMP1035"/>
    <s v="C1182"/>
    <x v="669"/>
    <n v="1"/>
    <n v="2241"/>
    <n v="1367"/>
    <n v="1367"/>
    <n v="2241"/>
    <n v="874"/>
    <s v="Product 1"/>
    <x v="14"/>
    <s v="Roger Ramos"/>
    <x v="759"/>
    <n v="6"/>
    <x v="5"/>
    <x v="9"/>
    <x v="9"/>
    <x v="3"/>
    <x v="2"/>
  </r>
  <r>
    <s v="AX23487"/>
    <s v="ENX2025"/>
    <s v="A159"/>
    <s v="EMP1041"/>
    <s v="C1724"/>
    <x v="671"/>
    <n v="1"/>
    <n v="667"/>
    <n v="387"/>
    <n v="387"/>
    <n v="667"/>
    <n v="280"/>
    <s v="Product 26"/>
    <x v="13"/>
    <s v="Joe Sims"/>
    <x v="378"/>
    <n v="6"/>
    <x v="5"/>
    <x v="9"/>
    <x v="9"/>
    <x v="3"/>
    <x v="2"/>
  </r>
  <r>
    <s v="AX23530"/>
    <s v="ENX2026"/>
    <s v="A102"/>
    <s v="EMP1030"/>
    <s v="C1313"/>
    <x v="672"/>
    <n v="1"/>
    <n v="947"/>
    <n v="786"/>
    <n v="786"/>
    <n v="947"/>
    <n v="161"/>
    <s v="Product 27"/>
    <x v="44"/>
    <s v="Bobby Russell"/>
    <x v="728"/>
    <n v="6"/>
    <x v="5"/>
    <x v="9"/>
    <x v="9"/>
    <x v="3"/>
    <x v="2"/>
  </r>
  <r>
    <s v="AX10287"/>
    <s v="ENX2052"/>
    <s v="A136"/>
    <s v="EMP1020"/>
    <s v="C1392"/>
    <x v="673"/>
    <n v="1"/>
    <n v="1526"/>
    <n v="1251"/>
    <n v="1251"/>
    <n v="1526"/>
    <n v="275"/>
    <s v="Product 53"/>
    <x v="43"/>
    <s v="Ryan Butler"/>
    <x v="78"/>
    <n v="6"/>
    <x v="5"/>
    <x v="10"/>
    <x v="10"/>
    <x v="3"/>
    <x v="0"/>
  </r>
  <r>
    <s v="AX10453"/>
    <s v="ENX2100"/>
    <s v="A138"/>
    <s v="EMP1028"/>
    <s v="C1589"/>
    <x v="673"/>
    <n v="1"/>
    <n v="799"/>
    <n v="455"/>
    <n v="455"/>
    <n v="799"/>
    <n v="344"/>
    <s v="Product 101"/>
    <x v="37"/>
    <s v="Howard Sims"/>
    <x v="39"/>
    <n v="6"/>
    <x v="5"/>
    <x v="10"/>
    <x v="10"/>
    <x v="3"/>
    <x v="0"/>
  </r>
  <r>
    <s v="AX10504"/>
    <s v="ENX2054"/>
    <s v="A132"/>
    <s v="EMP1039"/>
    <s v="C1234"/>
    <x v="673"/>
    <n v="1"/>
    <n v="127"/>
    <n v="79"/>
    <n v="79"/>
    <n v="127"/>
    <n v="48"/>
    <s v="Product 55"/>
    <x v="48"/>
    <s v="Eugene Holmes"/>
    <x v="636"/>
    <n v="6"/>
    <x v="5"/>
    <x v="10"/>
    <x v="10"/>
    <x v="3"/>
    <x v="0"/>
  </r>
  <r>
    <s v="AX10648"/>
    <s v="ENX2017"/>
    <s v="A166"/>
    <s v="EMP1005"/>
    <s v="C1171"/>
    <x v="673"/>
    <n v="1"/>
    <n v="35"/>
    <n v="22"/>
    <n v="22"/>
    <n v="35"/>
    <n v="13"/>
    <s v="Product 18"/>
    <x v="70"/>
    <s v="Ryan Welch"/>
    <x v="150"/>
    <n v="6"/>
    <x v="5"/>
    <x v="10"/>
    <x v="10"/>
    <x v="3"/>
    <x v="0"/>
  </r>
  <r>
    <s v="AX10694"/>
    <s v="ENX2044"/>
    <s v="A111"/>
    <s v="EMP1018"/>
    <s v="C1766"/>
    <x v="673"/>
    <n v="1"/>
    <n v="886"/>
    <n v="478"/>
    <n v="478"/>
    <n v="886"/>
    <n v="408"/>
    <s v="Product 45"/>
    <x v="54"/>
    <s v="Jimmy Young"/>
    <x v="452"/>
    <n v="6"/>
    <x v="5"/>
    <x v="10"/>
    <x v="10"/>
    <x v="3"/>
    <x v="0"/>
  </r>
  <r>
    <s v="AX11009"/>
    <s v="ENX2031"/>
    <s v="A151"/>
    <s v="EMP1008"/>
    <s v="C1716"/>
    <x v="673"/>
    <n v="2"/>
    <n v="1638"/>
    <n v="1261"/>
    <n v="2522"/>
    <n v="3276"/>
    <n v="754"/>
    <s v="Product 32"/>
    <x v="1"/>
    <s v="Carl Elliott"/>
    <x v="24"/>
    <n v="6"/>
    <x v="5"/>
    <x v="10"/>
    <x v="10"/>
    <x v="3"/>
    <x v="0"/>
  </r>
  <r>
    <s v="AX11077"/>
    <s v="ENX2089"/>
    <s v="A123"/>
    <s v="EMP1017"/>
    <s v="C1400"/>
    <x v="673"/>
    <n v="1"/>
    <n v="2294"/>
    <n v="1399"/>
    <n v="1399"/>
    <n v="2294"/>
    <n v="895"/>
    <s v="Product 90"/>
    <x v="34"/>
    <s v="Brian Hansen"/>
    <x v="437"/>
    <n v="6"/>
    <x v="5"/>
    <x v="10"/>
    <x v="10"/>
    <x v="3"/>
    <x v="0"/>
  </r>
  <r>
    <s v="AX11150"/>
    <s v="ENX2062"/>
    <s v="A131"/>
    <s v="EMP1007"/>
    <s v="C1564"/>
    <x v="673"/>
    <n v="1"/>
    <n v="2464"/>
    <n v="1774"/>
    <n v="1774"/>
    <n v="2464"/>
    <n v="690"/>
    <s v="Product 63"/>
    <x v="32"/>
    <s v="Jeremy Mendoza"/>
    <x v="302"/>
    <n v="6"/>
    <x v="5"/>
    <x v="10"/>
    <x v="10"/>
    <x v="3"/>
    <x v="0"/>
  </r>
  <r>
    <s v="AX11227"/>
    <s v="ENX2096"/>
    <s v="A140"/>
    <s v="EMP1030"/>
    <s v="C1623"/>
    <x v="674"/>
    <n v="1"/>
    <n v="1587"/>
    <n v="1301"/>
    <n v="1301"/>
    <n v="1587"/>
    <n v="286"/>
    <s v="Product 97"/>
    <x v="18"/>
    <s v="Bobby Russell"/>
    <x v="282"/>
    <n v="6"/>
    <x v="5"/>
    <x v="10"/>
    <x v="10"/>
    <x v="3"/>
    <x v="0"/>
  </r>
  <r>
    <s v="AX11498"/>
    <s v="ENX2087"/>
    <s v="A102"/>
    <s v="EMP1006"/>
    <s v="C1135"/>
    <x v="674"/>
    <n v="3"/>
    <n v="1022"/>
    <n v="818"/>
    <n v="2454"/>
    <n v="3066"/>
    <n v="612"/>
    <s v="Product 88"/>
    <x v="44"/>
    <s v="Sean Miller"/>
    <x v="669"/>
    <n v="6"/>
    <x v="5"/>
    <x v="10"/>
    <x v="10"/>
    <x v="3"/>
    <x v="0"/>
  </r>
  <r>
    <s v="AX11737"/>
    <s v="ENX2095"/>
    <s v="A136"/>
    <s v="EMP1023"/>
    <s v="C1011"/>
    <x v="674"/>
    <n v="1"/>
    <n v="1743"/>
    <n v="872"/>
    <n v="872"/>
    <n v="1743"/>
    <n v="871"/>
    <s v="Product 96"/>
    <x v="43"/>
    <s v="Brian Davis"/>
    <x v="275"/>
    <n v="6"/>
    <x v="5"/>
    <x v="10"/>
    <x v="10"/>
    <x v="3"/>
    <x v="0"/>
  </r>
  <r>
    <s v="AX11902"/>
    <s v="ENX2024"/>
    <s v="A115"/>
    <s v="EMP1012"/>
    <s v="C1712"/>
    <x v="674"/>
    <n v="4"/>
    <n v="356"/>
    <n v="292"/>
    <n v="1168"/>
    <n v="1424"/>
    <n v="256"/>
    <s v="Product 25"/>
    <x v="33"/>
    <s v="John Reyes"/>
    <x v="21"/>
    <n v="6"/>
    <x v="5"/>
    <x v="10"/>
    <x v="10"/>
    <x v="3"/>
    <x v="0"/>
  </r>
  <r>
    <s v="AX11962"/>
    <s v="ENX2069"/>
    <s v="A170"/>
    <s v="EMP1033"/>
    <s v="C1701"/>
    <x v="673"/>
    <n v="2"/>
    <n v="378"/>
    <n v="291"/>
    <n v="582"/>
    <n v="756"/>
    <n v="174"/>
    <s v="Product 70"/>
    <x v="47"/>
    <s v="Jerry Perry"/>
    <x v="736"/>
    <n v="6"/>
    <x v="5"/>
    <x v="10"/>
    <x v="10"/>
    <x v="3"/>
    <x v="0"/>
  </r>
  <r>
    <s v="AX12086"/>
    <s v="ENX2034"/>
    <s v="A146"/>
    <s v="EMP1035"/>
    <s v="C1180"/>
    <x v="675"/>
    <n v="3"/>
    <n v="871"/>
    <n v="540"/>
    <n v="1620"/>
    <n v="2613"/>
    <n v="993"/>
    <s v="Product 35"/>
    <x v="27"/>
    <s v="Roger Ramos"/>
    <x v="212"/>
    <n v="6"/>
    <x v="5"/>
    <x v="10"/>
    <x v="10"/>
    <x v="3"/>
    <x v="0"/>
  </r>
  <r>
    <s v="AX12340"/>
    <s v="ENX2097"/>
    <s v="A159"/>
    <s v="EMP1025"/>
    <s v="C1621"/>
    <x v="675"/>
    <n v="4"/>
    <n v="1052"/>
    <n v="589"/>
    <n v="2356"/>
    <n v="4208"/>
    <n v="1852"/>
    <s v="Product 98"/>
    <x v="13"/>
    <s v="Ernest Wagner"/>
    <x v="159"/>
    <n v="6"/>
    <x v="5"/>
    <x v="10"/>
    <x v="10"/>
    <x v="3"/>
    <x v="0"/>
  </r>
  <r>
    <s v="AX12927"/>
    <s v="ENX2019"/>
    <s v="A140"/>
    <s v="EMP1001"/>
    <s v="C1506"/>
    <x v="674"/>
    <n v="2"/>
    <n v="800"/>
    <n v="536"/>
    <n v="1072"/>
    <n v="1600"/>
    <n v="528"/>
    <s v="Product 20"/>
    <x v="18"/>
    <s v="Kevin Butler"/>
    <x v="538"/>
    <n v="6"/>
    <x v="5"/>
    <x v="10"/>
    <x v="10"/>
    <x v="3"/>
    <x v="0"/>
  </r>
  <r>
    <s v="AX12937"/>
    <s v="ENX2083"/>
    <s v="A104"/>
    <s v="EMP1009"/>
    <s v="C1024"/>
    <x v="676"/>
    <n v="1"/>
    <n v="2141"/>
    <n v="1777"/>
    <n v="1777"/>
    <n v="2141"/>
    <n v="364"/>
    <s v="Product 84"/>
    <x v="50"/>
    <s v="Kenneth Fields"/>
    <x v="599"/>
    <n v="6"/>
    <x v="5"/>
    <x v="10"/>
    <x v="10"/>
    <x v="3"/>
    <x v="0"/>
  </r>
  <r>
    <s v="AX12948"/>
    <s v="ENX2062"/>
    <s v="A105"/>
    <s v="EMP1007"/>
    <s v="C1451"/>
    <x v="674"/>
    <n v="2"/>
    <n v="2464"/>
    <n v="1774"/>
    <n v="3548"/>
    <n v="4928"/>
    <n v="1380"/>
    <s v="Product 63"/>
    <x v="45"/>
    <s v="Jeremy Mendoza"/>
    <x v="80"/>
    <n v="6"/>
    <x v="5"/>
    <x v="10"/>
    <x v="10"/>
    <x v="3"/>
    <x v="0"/>
  </r>
  <r>
    <s v="AX13659"/>
    <s v="ENX2081"/>
    <s v="A113"/>
    <s v="EMP1001"/>
    <s v="C1773"/>
    <x v="675"/>
    <n v="2"/>
    <n v="1566"/>
    <n v="1190"/>
    <n v="2380"/>
    <n v="3132"/>
    <n v="752"/>
    <s v="Product 82"/>
    <x v="73"/>
    <s v="Kevin Butler"/>
    <x v="723"/>
    <n v="6"/>
    <x v="5"/>
    <x v="10"/>
    <x v="10"/>
    <x v="3"/>
    <x v="0"/>
  </r>
  <r>
    <s v="AX13708"/>
    <s v="ENX2084"/>
    <s v="A119"/>
    <s v="EMP1017"/>
    <s v="C1154"/>
    <x v="676"/>
    <n v="3"/>
    <n v="1783"/>
    <n v="1230"/>
    <n v="3690"/>
    <n v="5349"/>
    <n v="1659"/>
    <s v="Product 85"/>
    <x v="16"/>
    <s v="Brian Hansen"/>
    <x v="243"/>
    <n v="6"/>
    <x v="5"/>
    <x v="10"/>
    <x v="10"/>
    <x v="3"/>
    <x v="0"/>
  </r>
  <r>
    <s v="AX13828"/>
    <s v="ENX2018"/>
    <s v="A113"/>
    <s v="EMP1021"/>
    <s v="C1183"/>
    <x v="674"/>
    <n v="1"/>
    <n v="1972"/>
    <n v="1321"/>
    <n v="1321"/>
    <n v="1972"/>
    <n v="651"/>
    <s v="Product 19"/>
    <x v="73"/>
    <s v="Clarence Fox"/>
    <x v="404"/>
    <n v="6"/>
    <x v="5"/>
    <x v="10"/>
    <x v="10"/>
    <x v="3"/>
    <x v="0"/>
  </r>
  <r>
    <s v="AX14166"/>
    <s v="ENX2009"/>
    <s v="A101"/>
    <s v="EMP1029"/>
    <s v="C1685"/>
    <x v="675"/>
    <n v="1"/>
    <n v="584"/>
    <n v="420"/>
    <n v="420"/>
    <n v="584"/>
    <n v="164"/>
    <s v="Product 10"/>
    <x v="60"/>
    <s v="Howard Gardner"/>
    <x v="90"/>
    <n v="6"/>
    <x v="5"/>
    <x v="10"/>
    <x v="10"/>
    <x v="3"/>
    <x v="0"/>
  </r>
  <r>
    <s v="AX14595"/>
    <s v="ENX2092"/>
    <s v="A165"/>
    <s v="EMP1038"/>
    <s v="C1314"/>
    <x v="675"/>
    <n v="1"/>
    <n v="1639"/>
    <n v="1295"/>
    <n v="1295"/>
    <n v="1639"/>
    <n v="344"/>
    <s v="Product 93"/>
    <x v="55"/>
    <s v="Scott Mason"/>
    <x v="421"/>
    <n v="6"/>
    <x v="5"/>
    <x v="10"/>
    <x v="10"/>
    <x v="3"/>
    <x v="0"/>
  </r>
  <r>
    <s v="AX14660"/>
    <s v="ENX2069"/>
    <s v="A100"/>
    <s v="EMP1029"/>
    <s v="C1793"/>
    <x v="673"/>
    <n v="1"/>
    <n v="378"/>
    <n v="291"/>
    <n v="291"/>
    <n v="378"/>
    <n v="87"/>
    <s v="Product 70"/>
    <x v="52"/>
    <s v="Howard Gardner"/>
    <x v="677"/>
    <n v="6"/>
    <x v="5"/>
    <x v="10"/>
    <x v="10"/>
    <x v="3"/>
    <x v="0"/>
  </r>
  <r>
    <s v="AX14697"/>
    <s v="ENX2025"/>
    <s v="A122"/>
    <s v="EMP1039"/>
    <s v="C1170"/>
    <x v="676"/>
    <n v="3"/>
    <n v="667"/>
    <n v="387"/>
    <n v="1161"/>
    <n v="2001"/>
    <n v="840"/>
    <s v="Product 26"/>
    <x v="71"/>
    <s v="Eugene Holmes"/>
    <x v="616"/>
    <n v="6"/>
    <x v="5"/>
    <x v="10"/>
    <x v="10"/>
    <x v="3"/>
    <x v="0"/>
  </r>
  <r>
    <s v="AX14953"/>
    <s v="ENX2022"/>
    <s v="A161"/>
    <s v="EMP1024"/>
    <s v="C1570"/>
    <x v="674"/>
    <n v="3"/>
    <n v="561"/>
    <n v="421"/>
    <n v="1263"/>
    <n v="1683"/>
    <n v="420"/>
    <s v="Product 23"/>
    <x v="6"/>
    <s v="Ernest Wheeler"/>
    <x v="695"/>
    <n v="6"/>
    <x v="5"/>
    <x v="10"/>
    <x v="10"/>
    <x v="3"/>
    <x v="0"/>
  </r>
  <r>
    <s v="AX15034"/>
    <s v="ENX2024"/>
    <s v="A135"/>
    <s v="EMP1031"/>
    <s v="C1247"/>
    <x v="674"/>
    <n v="3"/>
    <n v="356"/>
    <n v="292"/>
    <n v="876"/>
    <n v="1068"/>
    <n v="192"/>
    <s v="Product 25"/>
    <x v="10"/>
    <s v="Brian Thomas"/>
    <x v="552"/>
    <n v="6"/>
    <x v="5"/>
    <x v="10"/>
    <x v="10"/>
    <x v="3"/>
    <x v="0"/>
  </r>
  <r>
    <s v="AX15123"/>
    <s v="ENX2025"/>
    <s v="A106"/>
    <s v="EMP1004"/>
    <s v="C1249"/>
    <x v="676"/>
    <n v="4"/>
    <n v="667"/>
    <n v="387"/>
    <n v="1548"/>
    <n v="2668"/>
    <n v="1120"/>
    <s v="Product 26"/>
    <x v="11"/>
    <s v="Kenneth Bradley"/>
    <x v="709"/>
    <n v="6"/>
    <x v="5"/>
    <x v="10"/>
    <x v="10"/>
    <x v="3"/>
    <x v="0"/>
  </r>
  <r>
    <s v="AX15197"/>
    <s v="ENX2032"/>
    <s v="A109"/>
    <s v="EMP1008"/>
    <s v="C1209"/>
    <x v="675"/>
    <n v="1"/>
    <n v="1967"/>
    <n v="1397"/>
    <n v="1397"/>
    <n v="1967"/>
    <n v="570"/>
    <s v="Product 33"/>
    <x v="57"/>
    <s v="Carl Elliott"/>
    <x v="225"/>
    <n v="6"/>
    <x v="5"/>
    <x v="10"/>
    <x v="10"/>
    <x v="3"/>
    <x v="0"/>
  </r>
  <r>
    <s v="AX15764"/>
    <s v="ENX2077"/>
    <s v="A151"/>
    <s v="EMP1018"/>
    <s v="C1744"/>
    <x v="673"/>
    <n v="3"/>
    <n v="530"/>
    <n v="424"/>
    <n v="1272"/>
    <n v="1590"/>
    <n v="318"/>
    <s v="Product 78"/>
    <x v="1"/>
    <s v="Jimmy Young"/>
    <x v="500"/>
    <n v="6"/>
    <x v="5"/>
    <x v="10"/>
    <x v="10"/>
    <x v="3"/>
    <x v="0"/>
  </r>
  <r>
    <s v="AX16395"/>
    <s v="ENX2047"/>
    <s v="A102"/>
    <s v="EMP1021"/>
    <s v="C1297"/>
    <x v="674"/>
    <n v="2"/>
    <n v="290"/>
    <n v="200"/>
    <n v="400"/>
    <n v="580"/>
    <n v="180"/>
    <s v="Product 48"/>
    <x v="44"/>
    <s v="Clarence Fox"/>
    <x v="537"/>
    <n v="6"/>
    <x v="5"/>
    <x v="10"/>
    <x v="10"/>
    <x v="3"/>
    <x v="0"/>
  </r>
  <r>
    <s v="AX16652"/>
    <s v="ENX2023"/>
    <s v="A133"/>
    <s v="EMP1038"/>
    <s v="C1489"/>
    <x v="673"/>
    <n v="3"/>
    <n v="818"/>
    <n v="450"/>
    <n v="1350"/>
    <n v="2454"/>
    <n v="1104"/>
    <s v="Product 24"/>
    <x v="46"/>
    <s v="Scott Mason"/>
    <x v="19"/>
    <n v="6"/>
    <x v="5"/>
    <x v="10"/>
    <x v="10"/>
    <x v="3"/>
    <x v="0"/>
  </r>
  <r>
    <s v="AX17521"/>
    <s v="ENX2009"/>
    <s v="A128"/>
    <s v="EMP1016"/>
    <s v="C1335"/>
    <x v="675"/>
    <n v="3"/>
    <n v="584"/>
    <n v="420"/>
    <n v="1260"/>
    <n v="1752"/>
    <n v="492"/>
    <s v="Product 10"/>
    <x v="12"/>
    <s v="Henry Nelson"/>
    <x v="2"/>
    <n v="6"/>
    <x v="5"/>
    <x v="10"/>
    <x v="10"/>
    <x v="3"/>
    <x v="0"/>
  </r>
  <r>
    <s v="AX17830"/>
    <s v="ENX2025"/>
    <s v="A158"/>
    <s v="EMP1022"/>
    <s v="C1608"/>
    <x v="674"/>
    <n v="1"/>
    <n v="667"/>
    <n v="387"/>
    <n v="387"/>
    <n v="667"/>
    <n v="280"/>
    <s v="Product 26"/>
    <x v="58"/>
    <s v="Walter Cook"/>
    <x v="463"/>
    <n v="6"/>
    <x v="5"/>
    <x v="10"/>
    <x v="10"/>
    <x v="3"/>
    <x v="0"/>
  </r>
  <r>
    <s v="AX18113"/>
    <s v="ENX2077"/>
    <s v="A107"/>
    <s v="EMP1033"/>
    <s v="C1568"/>
    <x v="674"/>
    <n v="2"/>
    <n v="530"/>
    <n v="424"/>
    <n v="848"/>
    <n v="1060"/>
    <n v="212"/>
    <s v="Product 78"/>
    <x v="21"/>
    <s v="Jerry Perry"/>
    <x v="551"/>
    <n v="6"/>
    <x v="5"/>
    <x v="10"/>
    <x v="10"/>
    <x v="3"/>
    <x v="0"/>
  </r>
  <r>
    <s v="AX18157"/>
    <s v="ENX2002"/>
    <s v="A145"/>
    <s v="EMP1018"/>
    <s v="C1259"/>
    <x v="674"/>
    <n v="3"/>
    <n v="847"/>
    <n v="534"/>
    <n v="1602"/>
    <n v="2541"/>
    <n v="939"/>
    <s v="Product 3"/>
    <x v="35"/>
    <s v="Jimmy Young"/>
    <x v="475"/>
    <n v="6"/>
    <x v="5"/>
    <x v="10"/>
    <x v="10"/>
    <x v="3"/>
    <x v="0"/>
  </r>
  <r>
    <s v="AX18657"/>
    <s v="ENX2019"/>
    <s v="A170"/>
    <s v="EMP1033"/>
    <s v="C1454"/>
    <x v="673"/>
    <n v="1"/>
    <n v="800"/>
    <n v="536"/>
    <n v="536"/>
    <n v="800"/>
    <n v="264"/>
    <s v="Product 20"/>
    <x v="47"/>
    <s v="Jerry Perry"/>
    <x v="68"/>
    <n v="6"/>
    <x v="5"/>
    <x v="10"/>
    <x v="10"/>
    <x v="3"/>
    <x v="0"/>
  </r>
  <r>
    <s v="AX18821"/>
    <s v="ENX2096"/>
    <s v="A151"/>
    <s v="EMP1036"/>
    <s v="C1418"/>
    <x v="673"/>
    <n v="3"/>
    <n v="1587"/>
    <n v="1301"/>
    <n v="3903"/>
    <n v="4761"/>
    <n v="858"/>
    <s v="Product 97"/>
    <x v="1"/>
    <s v="Robert Reed"/>
    <x v="441"/>
    <n v="6"/>
    <x v="5"/>
    <x v="10"/>
    <x v="10"/>
    <x v="3"/>
    <x v="0"/>
  </r>
  <r>
    <s v="AX18849"/>
    <s v="ENX2079"/>
    <s v="A171"/>
    <s v="EMP1006"/>
    <s v="C1260"/>
    <x v="676"/>
    <n v="3"/>
    <n v="1725"/>
    <n v="1363"/>
    <n v="4089"/>
    <n v="5175"/>
    <n v="1086"/>
    <s v="Product 80"/>
    <x v="0"/>
    <s v="Sean Miller"/>
    <x v="27"/>
    <n v="6"/>
    <x v="5"/>
    <x v="10"/>
    <x v="10"/>
    <x v="3"/>
    <x v="0"/>
  </r>
  <r>
    <s v="AX18870"/>
    <s v="ENX2012"/>
    <s v="A152"/>
    <s v="EMP1006"/>
    <s v="C1052"/>
    <x v="676"/>
    <n v="4"/>
    <n v="1353"/>
    <n v="947"/>
    <n v="3788"/>
    <n v="5412"/>
    <n v="1624"/>
    <s v="Product 13"/>
    <x v="26"/>
    <s v="Sean Miller"/>
    <x v="638"/>
    <n v="6"/>
    <x v="5"/>
    <x v="10"/>
    <x v="10"/>
    <x v="3"/>
    <x v="0"/>
  </r>
  <r>
    <s v="AX19283"/>
    <s v="ENX2040"/>
    <s v="A120"/>
    <s v="EMP1041"/>
    <s v="C1597"/>
    <x v="674"/>
    <n v="1"/>
    <n v="1889"/>
    <n v="945"/>
    <n v="945"/>
    <n v="1889"/>
    <n v="944"/>
    <s v="Product 41"/>
    <x v="20"/>
    <s v="Joe Sims"/>
    <x v="183"/>
    <n v="6"/>
    <x v="5"/>
    <x v="10"/>
    <x v="10"/>
    <x v="3"/>
    <x v="0"/>
  </r>
  <r>
    <s v="AX20000"/>
    <s v="ENX2040"/>
    <s v="A110"/>
    <s v="EMP1026"/>
    <s v="C1709"/>
    <x v="675"/>
    <n v="3"/>
    <n v="1889"/>
    <n v="945"/>
    <n v="2835"/>
    <n v="5667"/>
    <n v="2832"/>
    <s v="Product 41"/>
    <x v="63"/>
    <s v="Martin Perry"/>
    <x v="203"/>
    <n v="6"/>
    <x v="5"/>
    <x v="10"/>
    <x v="10"/>
    <x v="3"/>
    <x v="0"/>
  </r>
  <r>
    <s v="AX20106"/>
    <s v="ENX2094"/>
    <s v="A114"/>
    <s v="EMP1037"/>
    <s v="C1621"/>
    <x v="674"/>
    <n v="1"/>
    <n v="771"/>
    <n v="648"/>
    <n v="648"/>
    <n v="771"/>
    <n v="123"/>
    <s v="Product 95"/>
    <x v="28"/>
    <s v="Carl Hall"/>
    <x v="159"/>
    <n v="6"/>
    <x v="5"/>
    <x v="10"/>
    <x v="10"/>
    <x v="3"/>
    <x v="0"/>
  </r>
  <r>
    <s v="AX20123"/>
    <s v="ENX2055"/>
    <s v="A162"/>
    <s v="EMP1004"/>
    <s v="C1428"/>
    <x v="675"/>
    <n v="2"/>
    <n v="2495"/>
    <n v="1896"/>
    <n v="3792"/>
    <n v="4990"/>
    <n v="1198"/>
    <s v="Product 56"/>
    <x v="2"/>
    <s v="Kenneth Bradley"/>
    <x v="509"/>
    <n v="6"/>
    <x v="5"/>
    <x v="10"/>
    <x v="10"/>
    <x v="3"/>
    <x v="0"/>
  </r>
  <r>
    <s v="AX20206"/>
    <s v="ENX2075"/>
    <s v="A102"/>
    <s v="EMP1033"/>
    <s v="C1686"/>
    <x v="673"/>
    <n v="1"/>
    <n v="400"/>
    <n v="208"/>
    <n v="208"/>
    <n v="400"/>
    <n v="192"/>
    <s v="Product 76"/>
    <x v="44"/>
    <s v="Jerry Perry"/>
    <x v="748"/>
    <n v="6"/>
    <x v="5"/>
    <x v="10"/>
    <x v="10"/>
    <x v="3"/>
    <x v="0"/>
  </r>
  <r>
    <s v="AX20735"/>
    <s v="ENX2011"/>
    <s v="A111"/>
    <s v="EMP1023"/>
    <s v="C1772"/>
    <x v="674"/>
    <n v="2"/>
    <n v="530"/>
    <n v="435"/>
    <n v="870"/>
    <n v="1060"/>
    <n v="190"/>
    <s v="Product 12"/>
    <x v="54"/>
    <s v="Brian Davis"/>
    <x v="643"/>
    <n v="6"/>
    <x v="5"/>
    <x v="10"/>
    <x v="10"/>
    <x v="3"/>
    <x v="0"/>
  </r>
  <r>
    <s v="AX20794"/>
    <s v="ENX2095"/>
    <s v="A157"/>
    <s v="EMP1034"/>
    <s v="C1267"/>
    <x v="675"/>
    <n v="3"/>
    <n v="1743"/>
    <n v="872"/>
    <n v="2616"/>
    <n v="5229"/>
    <n v="2613"/>
    <s v="Product 96"/>
    <x v="7"/>
    <s v="Arthur Mccoy"/>
    <x v="657"/>
    <n v="6"/>
    <x v="5"/>
    <x v="10"/>
    <x v="10"/>
    <x v="3"/>
    <x v="0"/>
  </r>
  <r>
    <s v="AX20987"/>
    <s v="ENX2095"/>
    <s v="A168"/>
    <s v="EMP1003"/>
    <s v="C1455"/>
    <x v="673"/>
    <n v="1"/>
    <n v="1743"/>
    <n v="872"/>
    <n v="872"/>
    <n v="1743"/>
    <n v="871"/>
    <s v="Product 96"/>
    <x v="40"/>
    <s v="Christopher Tucker"/>
    <x v="47"/>
    <n v="6"/>
    <x v="5"/>
    <x v="10"/>
    <x v="10"/>
    <x v="3"/>
    <x v="0"/>
  </r>
  <r>
    <s v="AX21049"/>
    <s v="ENX2026"/>
    <s v="A164"/>
    <s v="EMP1040"/>
    <s v="C1322"/>
    <x v="674"/>
    <n v="1"/>
    <n v="947"/>
    <n v="786"/>
    <n v="786"/>
    <n v="947"/>
    <n v="161"/>
    <s v="Product 27"/>
    <x v="3"/>
    <s v="Patrick Ruiz"/>
    <x v="604"/>
    <n v="6"/>
    <x v="5"/>
    <x v="10"/>
    <x v="10"/>
    <x v="3"/>
    <x v="0"/>
  </r>
  <r>
    <s v="AX21243"/>
    <s v="ENX2057"/>
    <s v="A104"/>
    <s v="EMP1015"/>
    <s v="C1077"/>
    <x v="676"/>
    <n v="1"/>
    <n v="181"/>
    <n v="130"/>
    <n v="130"/>
    <n v="181"/>
    <n v="51"/>
    <s v="Product 58"/>
    <x v="50"/>
    <s v="Justin Lynch"/>
    <x v="315"/>
    <n v="6"/>
    <x v="5"/>
    <x v="10"/>
    <x v="10"/>
    <x v="3"/>
    <x v="0"/>
  </r>
  <r>
    <s v="AX21467"/>
    <s v="ENX2031"/>
    <s v="A102"/>
    <s v="EMP1004"/>
    <s v="C1723"/>
    <x v="676"/>
    <n v="1"/>
    <n v="1638"/>
    <n v="1261"/>
    <n v="1261"/>
    <n v="1638"/>
    <n v="377"/>
    <s v="Product 32"/>
    <x v="44"/>
    <s v="Kenneth Bradley"/>
    <x v="118"/>
    <n v="6"/>
    <x v="5"/>
    <x v="10"/>
    <x v="10"/>
    <x v="3"/>
    <x v="0"/>
  </r>
  <r>
    <s v="AX21578"/>
    <s v="ENX2098"/>
    <s v="A158"/>
    <s v="EMP1015"/>
    <s v="C1719"/>
    <x v="675"/>
    <n v="1"/>
    <n v="1178"/>
    <n v="683"/>
    <n v="683"/>
    <n v="1178"/>
    <n v="495"/>
    <s v="Product 99"/>
    <x v="58"/>
    <s v="Justin Lynch"/>
    <x v="666"/>
    <n v="6"/>
    <x v="5"/>
    <x v="10"/>
    <x v="10"/>
    <x v="3"/>
    <x v="0"/>
  </r>
  <r>
    <s v="AX21595"/>
    <s v="ENX2053"/>
    <s v="A171"/>
    <s v="EMP1014"/>
    <s v="C1288"/>
    <x v="674"/>
    <n v="3"/>
    <n v="596"/>
    <n v="358"/>
    <n v="1074"/>
    <n v="1788"/>
    <n v="714"/>
    <s v="Product 54"/>
    <x v="0"/>
    <s v="Ronald Reed"/>
    <x v="674"/>
    <n v="6"/>
    <x v="5"/>
    <x v="10"/>
    <x v="10"/>
    <x v="3"/>
    <x v="0"/>
  </r>
  <r>
    <s v="AX22217"/>
    <s v="ENX2032"/>
    <s v="A149"/>
    <s v="EMP1035"/>
    <s v="C1496"/>
    <x v="675"/>
    <n v="1"/>
    <n v="1967"/>
    <n v="1397"/>
    <n v="1397"/>
    <n v="1967"/>
    <n v="570"/>
    <s v="Product 33"/>
    <x v="59"/>
    <s v="Roger Ramos"/>
    <x v="54"/>
    <n v="6"/>
    <x v="5"/>
    <x v="10"/>
    <x v="10"/>
    <x v="3"/>
    <x v="0"/>
  </r>
  <r>
    <s v="AX22222"/>
    <s v="ENX2044"/>
    <s v="A154"/>
    <s v="EMP1041"/>
    <s v="C1635"/>
    <x v="675"/>
    <n v="3"/>
    <n v="886"/>
    <n v="478"/>
    <n v="1434"/>
    <n v="2658"/>
    <n v="1224"/>
    <s v="Product 45"/>
    <x v="24"/>
    <s v="Joe Sims"/>
    <x v="31"/>
    <n v="6"/>
    <x v="5"/>
    <x v="10"/>
    <x v="10"/>
    <x v="3"/>
    <x v="0"/>
  </r>
  <r>
    <s v="AX22843"/>
    <s v="ENX2007"/>
    <s v="A120"/>
    <s v="EMP1000"/>
    <s v="C1225"/>
    <x v="674"/>
    <n v="1"/>
    <n v="1405"/>
    <n v="1054"/>
    <n v="1054"/>
    <n v="1405"/>
    <n v="351"/>
    <s v="Product 8"/>
    <x v="20"/>
    <s v="Fred Robertson"/>
    <x v="588"/>
    <n v="6"/>
    <x v="5"/>
    <x v="10"/>
    <x v="10"/>
    <x v="3"/>
    <x v="0"/>
  </r>
  <r>
    <s v="AX23020"/>
    <s v="ENX2047"/>
    <s v="A101"/>
    <s v="EMP1027"/>
    <s v="C1446"/>
    <x v="676"/>
    <n v="3"/>
    <n v="290"/>
    <n v="200"/>
    <n v="600"/>
    <n v="870"/>
    <n v="270"/>
    <s v="Product 48"/>
    <x v="60"/>
    <s v="Gary Rodriguez"/>
    <x v="345"/>
    <n v="6"/>
    <x v="5"/>
    <x v="10"/>
    <x v="10"/>
    <x v="3"/>
    <x v="0"/>
  </r>
  <r>
    <s v="AX23116"/>
    <s v="ENX2054"/>
    <s v="A121"/>
    <s v="EMP1001"/>
    <s v="C1228"/>
    <x v="673"/>
    <n v="3"/>
    <n v="127"/>
    <n v="79"/>
    <n v="237"/>
    <n v="381"/>
    <n v="144"/>
    <s v="Product 55"/>
    <x v="72"/>
    <s v="Kevin Butler"/>
    <x v="530"/>
    <n v="6"/>
    <x v="5"/>
    <x v="10"/>
    <x v="10"/>
    <x v="3"/>
    <x v="0"/>
  </r>
  <r>
    <s v="AX23230"/>
    <s v="ENX2083"/>
    <s v="A111"/>
    <s v="EMP1022"/>
    <s v="C1637"/>
    <x v="673"/>
    <n v="4"/>
    <n v="2141"/>
    <n v="1777"/>
    <n v="7108"/>
    <n v="8564"/>
    <n v="1456"/>
    <s v="Product 84"/>
    <x v="54"/>
    <s v="Walter Cook"/>
    <x v="326"/>
    <n v="6"/>
    <x v="5"/>
    <x v="10"/>
    <x v="10"/>
    <x v="3"/>
    <x v="0"/>
  </r>
  <r>
    <s v="AX23769"/>
    <s v="ENX2072"/>
    <s v="A104"/>
    <s v="EMP1030"/>
    <s v="C1003"/>
    <x v="674"/>
    <n v="4"/>
    <n v="1887"/>
    <n v="1378"/>
    <n v="5512"/>
    <n v="7548"/>
    <n v="2036"/>
    <s v="Product 73"/>
    <x v="50"/>
    <s v="Bobby Russell"/>
    <x v="494"/>
    <n v="6"/>
    <x v="5"/>
    <x v="10"/>
    <x v="10"/>
    <x v="3"/>
    <x v="0"/>
  </r>
  <r>
    <s v="AX23806"/>
    <s v="ENX2028"/>
    <s v="A140"/>
    <s v="EMP1040"/>
    <s v="C1669"/>
    <x v="675"/>
    <n v="1"/>
    <n v="2283"/>
    <n v="1484"/>
    <n v="1484"/>
    <n v="2283"/>
    <n v="799"/>
    <s v="Product 29"/>
    <x v="18"/>
    <s v="Patrick Ruiz"/>
    <x v="447"/>
    <n v="6"/>
    <x v="5"/>
    <x v="10"/>
    <x v="10"/>
    <x v="3"/>
    <x v="0"/>
  </r>
  <r>
    <s v="AX24398"/>
    <s v="ENX2002"/>
    <s v="A127"/>
    <s v="EMP1027"/>
    <s v="C1138"/>
    <x v="673"/>
    <n v="4"/>
    <n v="847"/>
    <n v="534"/>
    <n v="2136"/>
    <n v="3388"/>
    <n v="1252"/>
    <s v="Product 3"/>
    <x v="69"/>
    <s v="Gary Rodriguez"/>
    <x v="325"/>
    <n v="6"/>
    <x v="5"/>
    <x v="10"/>
    <x v="10"/>
    <x v="3"/>
    <x v="0"/>
  </r>
  <r>
    <s v="AX24412"/>
    <s v="ENX2092"/>
    <s v="A110"/>
    <s v="EMP1011"/>
    <s v="C1600"/>
    <x v="674"/>
    <n v="3"/>
    <n v="1639"/>
    <n v="1295"/>
    <n v="3885"/>
    <n v="4917"/>
    <n v="1032"/>
    <s v="Product 93"/>
    <x v="63"/>
    <s v="Larry Marshall"/>
    <x v="266"/>
    <n v="6"/>
    <x v="5"/>
    <x v="10"/>
    <x v="10"/>
    <x v="3"/>
    <x v="0"/>
  </r>
  <r>
    <s v="AX24539"/>
    <s v="ENX2009"/>
    <s v="A170"/>
    <s v="EMP1008"/>
    <s v="C1653"/>
    <x v="674"/>
    <n v="3"/>
    <n v="584"/>
    <n v="420"/>
    <n v="1260"/>
    <n v="1752"/>
    <n v="492"/>
    <s v="Product 10"/>
    <x v="47"/>
    <s v="Carl Elliott"/>
    <x v="187"/>
    <n v="6"/>
    <x v="5"/>
    <x v="10"/>
    <x v="10"/>
    <x v="3"/>
    <x v="0"/>
  </r>
  <r>
    <s v="AX24836"/>
    <s v="ENX2062"/>
    <s v="A133"/>
    <s v="EMP1041"/>
    <s v="C1399"/>
    <x v="676"/>
    <n v="1"/>
    <n v="2464"/>
    <n v="1774"/>
    <n v="1774"/>
    <n v="2464"/>
    <n v="690"/>
    <s v="Product 63"/>
    <x v="46"/>
    <s v="Joe Sims"/>
    <x v="776"/>
    <n v="6"/>
    <x v="5"/>
    <x v="10"/>
    <x v="10"/>
    <x v="3"/>
    <x v="0"/>
  </r>
  <r>
    <s v="AX24861"/>
    <s v="ENX2047"/>
    <s v="A159"/>
    <s v="EMP1036"/>
    <s v="C1098"/>
    <x v="675"/>
    <n v="3"/>
    <n v="290"/>
    <n v="200"/>
    <n v="600"/>
    <n v="870"/>
    <n v="270"/>
    <s v="Product 48"/>
    <x v="13"/>
    <s v="Robert Reed"/>
    <x v="622"/>
    <n v="6"/>
    <x v="5"/>
    <x v="10"/>
    <x v="10"/>
    <x v="3"/>
    <x v="0"/>
  </r>
  <r>
    <s v="AX24948"/>
    <s v="ENX2072"/>
    <s v="A161"/>
    <s v="EMP1016"/>
    <s v="C1540"/>
    <x v="676"/>
    <n v="1"/>
    <n v="1887"/>
    <n v="1378"/>
    <n v="1378"/>
    <n v="1887"/>
    <n v="509"/>
    <s v="Product 73"/>
    <x v="6"/>
    <s v="Henry Nelson"/>
    <x v="493"/>
    <n v="6"/>
    <x v="5"/>
    <x v="10"/>
    <x v="10"/>
    <x v="3"/>
    <x v="0"/>
  </r>
  <r>
    <s v="AX10080"/>
    <s v="ENX2009"/>
    <s v="A129"/>
    <s v="EMP1029"/>
    <s v="C1550"/>
    <x v="677"/>
    <n v="3"/>
    <n v="584"/>
    <n v="420"/>
    <n v="1260"/>
    <n v="1752"/>
    <n v="492"/>
    <s v="Product 10"/>
    <x v="22"/>
    <s v="Howard Gardner"/>
    <x v="689"/>
    <n v="6"/>
    <x v="5"/>
    <x v="10"/>
    <x v="10"/>
    <x v="3"/>
    <x v="2"/>
  </r>
  <r>
    <s v="AX10764"/>
    <s v="ENX2083"/>
    <s v="A130"/>
    <s v="EMP1003"/>
    <s v="C1235"/>
    <x v="678"/>
    <n v="4"/>
    <n v="2141"/>
    <n v="1777"/>
    <n v="7108"/>
    <n v="8564"/>
    <n v="1456"/>
    <s v="Product 84"/>
    <x v="4"/>
    <s v="Christopher Tucker"/>
    <x v="353"/>
    <n v="6"/>
    <x v="5"/>
    <x v="10"/>
    <x v="10"/>
    <x v="3"/>
    <x v="2"/>
  </r>
  <r>
    <s v="AX11113"/>
    <s v="ENX2003"/>
    <s v="A136"/>
    <s v="EMP1000"/>
    <s v="C1087"/>
    <x v="679"/>
    <n v="3"/>
    <n v="1783"/>
    <n v="1516"/>
    <n v="4548"/>
    <n v="5349"/>
    <n v="801"/>
    <s v="Product 4"/>
    <x v="43"/>
    <s v="Fred Robertson"/>
    <x v="156"/>
    <n v="6"/>
    <x v="5"/>
    <x v="10"/>
    <x v="10"/>
    <x v="3"/>
    <x v="2"/>
  </r>
  <r>
    <s v="AX11129"/>
    <s v="ENX2018"/>
    <s v="A104"/>
    <s v="EMP1034"/>
    <s v="C1334"/>
    <x v="679"/>
    <n v="1"/>
    <n v="1972"/>
    <n v="1321"/>
    <n v="1321"/>
    <n v="1972"/>
    <n v="651"/>
    <s v="Product 19"/>
    <x v="50"/>
    <s v="Arthur Mccoy"/>
    <x v="53"/>
    <n v="6"/>
    <x v="5"/>
    <x v="10"/>
    <x v="10"/>
    <x v="3"/>
    <x v="2"/>
  </r>
  <r>
    <s v="AX11173"/>
    <s v="ENX2079"/>
    <s v="A120"/>
    <s v="EMP1038"/>
    <s v="C1720"/>
    <x v="680"/>
    <n v="2"/>
    <n v="1725"/>
    <n v="1363"/>
    <n v="2726"/>
    <n v="3450"/>
    <n v="724"/>
    <s v="Product 80"/>
    <x v="20"/>
    <s v="Scott Mason"/>
    <x v="152"/>
    <n v="6"/>
    <x v="5"/>
    <x v="10"/>
    <x v="10"/>
    <x v="3"/>
    <x v="2"/>
  </r>
  <r>
    <s v="AX11585"/>
    <s v="ENX2036"/>
    <s v="A131"/>
    <s v="EMP1022"/>
    <s v="C1697"/>
    <x v="680"/>
    <n v="2"/>
    <n v="1582"/>
    <n v="1234"/>
    <n v="2468"/>
    <n v="3164"/>
    <n v="696"/>
    <s v="Product 37"/>
    <x v="32"/>
    <s v="Walter Cook"/>
    <x v="589"/>
    <n v="6"/>
    <x v="5"/>
    <x v="10"/>
    <x v="10"/>
    <x v="3"/>
    <x v="2"/>
  </r>
  <r>
    <s v="AX12056"/>
    <s v="ENX2020"/>
    <s v="A148"/>
    <s v="EMP1035"/>
    <s v="C1216"/>
    <x v="678"/>
    <n v="2"/>
    <n v="2005"/>
    <n v="1223"/>
    <n v="2446"/>
    <n v="4010"/>
    <n v="1564"/>
    <s v="Product 21"/>
    <x v="62"/>
    <s v="Roger Ramos"/>
    <x v="580"/>
    <n v="6"/>
    <x v="5"/>
    <x v="10"/>
    <x v="10"/>
    <x v="3"/>
    <x v="2"/>
  </r>
  <r>
    <s v="AX12171"/>
    <s v="ENX2012"/>
    <s v="A132"/>
    <s v="EMP1001"/>
    <s v="C1040"/>
    <x v="681"/>
    <n v="4"/>
    <n v="1353"/>
    <n v="947"/>
    <n v="3788"/>
    <n v="5412"/>
    <n v="1624"/>
    <s v="Product 13"/>
    <x v="48"/>
    <s v="Kevin Butler"/>
    <x v="221"/>
    <n v="6"/>
    <x v="5"/>
    <x v="10"/>
    <x v="10"/>
    <x v="3"/>
    <x v="2"/>
  </r>
  <r>
    <s v="AX12717"/>
    <s v="ENX2043"/>
    <s v="A145"/>
    <s v="EMP1039"/>
    <s v="C1620"/>
    <x v="679"/>
    <n v="4"/>
    <n v="545"/>
    <n v="425"/>
    <n v="1700"/>
    <n v="2180"/>
    <n v="480"/>
    <s v="Product 44"/>
    <x v="35"/>
    <s v="Eugene Holmes"/>
    <x v="445"/>
    <n v="6"/>
    <x v="5"/>
    <x v="10"/>
    <x v="10"/>
    <x v="3"/>
    <x v="2"/>
  </r>
  <r>
    <s v="AX12964"/>
    <s v="ENX2053"/>
    <s v="A158"/>
    <s v="EMP1022"/>
    <s v="C1579"/>
    <x v="679"/>
    <n v="2"/>
    <n v="596"/>
    <n v="358"/>
    <n v="716"/>
    <n v="1192"/>
    <n v="476"/>
    <s v="Product 54"/>
    <x v="58"/>
    <s v="Walter Cook"/>
    <x v="422"/>
    <n v="6"/>
    <x v="5"/>
    <x v="10"/>
    <x v="10"/>
    <x v="3"/>
    <x v="2"/>
  </r>
  <r>
    <s v="AX13100"/>
    <s v="ENX2091"/>
    <s v="A112"/>
    <s v="EMP1034"/>
    <s v="C1703"/>
    <x v="679"/>
    <n v="1"/>
    <n v="368"/>
    <n v="294"/>
    <n v="294"/>
    <n v="368"/>
    <n v="74"/>
    <s v="Product 92"/>
    <x v="66"/>
    <s v="Arthur Mccoy"/>
    <x v="424"/>
    <n v="6"/>
    <x v="5"/>
    <x v="10"/>
    <x v="10"/>
    <x v="3"/>
    <x v="2"/>
  </r>
  <r>
    <s v="AX13676"/>
    <s v="ENX2034"/>
    <s v="A169"/>
    <s v="EMP1012"/>
    <s v="C1735"/>
    <x v="678"/>
    <n v="1"/>
    <n v="871"/>
    <n v="540"/>
    <n v="540"/>
    <n v="871"/>
    <n v="331"/>
    <s v="Product 35"/>
    <x v="17"/>
    <s v="John Reyes"/>
    <x v="8"/>
    <n v="6"/>
    <x v="5"/>
    <x v="10"/>
    <x v="10"/>
    <x v="3"/>
    <x v="2"/>
  </r>
  <r>
    <s v="AX13863"/>
    <s v="ENX2094"/>
    <s v="A144"/>
    <s v="EMP1041"/>
    <s v="C1352"/>
    <x v="681"/>
    <n v="1"/>
    <n v="771"/>
    <n v="648"/>
    <n v="648"/>
    <n v="771"/>
    <n v="123"/>
    <s v="Product 95"/>
    <x v="65"/>
    <s v="Joe Sims"/>
    <x v="20"/>
    <n v="6"/>
    <x v="5"/>
    <x v="10"/>
    <x v="10"/>
    <x v="3"/>
    <x v="2"/>
  </r>
  <r>
    <s v="AX13867"/>
    <s v="ENX2074"/>
    <s v="A161"/>
    <s v="EMP1004"/>
    <s v="C1653"/>
    <x v="681"/>
    <n v="2"/>
    <n v="504"/>
    <n v="408"/>
    <n v="816"/>
    <n v="1008"/>
    <n v="192"/>
    <s v="Product 75"/>
    <x v="6"/>
    <s v="Kenneth Bradley"/>
    <x v="187"/>
    <n v="6"/>
    <x v="5"/>
    <x v="10"/>
    <x v="10"/>
    <x v="3"/>
    <x v="2"/>
  </r>
  <r>
    <s v="AX14271"/>
    <s v="ENX2018"/>
    <s v="A173"/>
    <s v="EMP1021"/>
    <s v="C1233"/>
    <x v="678"/>
    <n v="4"/>
    <n v="1972"/>
    <n v="1321"/>
    <n v="5284"/>
    <n v="7888"/>
    <n v="2604"/>
    <s v="Product 19"/>
    <x v="25"/>
    <s v="Clarence Fox"/>
    <x v="396"/>
    <n v="6"/>
    <x v="5"/>
    <x v="10"/>
    <x v="10"/>
    <x v="3"/>
    <x v="2"/>
  </r>
  <r>
    <s v="AX14624"/>
    <s v="ENX2036"/>
    <s v="A128"/>
    <s v="EMP1027"/>
    <s v="C1093"/>
    <x v="677"/>
    <n v="3"/>
    <n v="1582"/>
    <n v="1234"/>
    <n v="3702"/>
    <n v="4746"/>
    <n v="1044"/>
    <s v="Product 37"/>
    <x v="12"/>
    <s v="Gary Rodriguez"/>
    <x v="290"/>
    <n v="6"/>
    <x v="5"/>
    <x v="10"/>
    <x v="10"/>
    <x v="3"/>
    <x v="2"/>
  </r>
  <r>
    <s v="AX14704"/>
    <s v="ENX2065"/>
    <s v="A114"/>
    <s v="EMP1043"/>
    <s v="C1352"/>
    <x v="679"/>
    <n v="1"/>
    <n v="2396"/>
    <n v="1965"/>
    <n v="1965"/>
    <n v="2396"/>
    <n v="431"/>
    <s v="Product 66"/>
    <x v="28"/>
    <s v="Joshua Taylor"/>
    <x v="20"/>
    <n v="6"/>
    <x v="5"/>
    <x v="10"/>
    <x v="10"/>
    <x v="3"/>
    <x v="2"/>
  </r>
  <r>
    <s v="AX15154"/>
    <s v="ENX2004"/>
    <s v="A126"/>
    <s v="EMP1007"/>
    <s v="C1458"/>
    <x v="678"/>
    <n v="1"/>
    <n v="1278"/>
    <n v="665"/>
    <n v="665"/>
    <n v="1278"/>
    <n v="613"/>
    <s v="Product 5"/>
    <x v="5"/>
    <s v="Jeremy Mendoza"/>
    <x v="291"/>
    <n v="6"/>
    <x v="5"/>
    <x v="10"/>
    <x v="10"/>
    <x v="3"/>
    <x v="2"/>
  </r>
  <r>
    <s v="AX15203"/>
    <s v="ENX2065"/>
    <s v="A102"/>
    <s v="EMP1031"/>
    <s v="C1002"/>
    <x v="679"/>
    <n v="1"/>
    <n v="2396"/>
    <n v="1965"/>
    <n v="1965"/>
    <n v="2396"/>
    <n v="431"/>
    <s v="Product 66"/>
    <x v="44"/>
    <s v="Brian Thomas"/>
    <x v="49"/>
    <n v="6"/>
    <x v="5"/>
    <x v="10"/>
    <x v="10"/>
    <x v="3"/>
    <x v="2"/>
  </r>
  <r>
    <s v="AX16113"/>
    <s v="ENX2054"/>
    <s v="A162"/>
    <s v="EMP1019"/>
    <s v="C1571"/>
    <x v="680"/>
    <n v="4"/>
    <n v="127"/>
    <n v="79"/>
    <n v="316"/>
    <n v="508"/>
    <n v="192"/>
    <s v="Product 55"/>
    <x v="2"/>
    <s v="Roger Robertson"/>
    <x v="316"/>
    <n v="6"/>
    <x v="5"/>
    <x v="10"/>
    <x v="10"/>
    <x v="3"/>
    <x v="2"/>
  </r>
  <r>
    <s v="AX16242"/>
    <s v="ENX2041"/>
    <s v="A161"/>
    <s v="EMP1021"/>
    <s v="C1313"/>
    <x v="681"/>
    <n v="1"/>
    <n v="1380"/>
    <n v="1090"/>
    <n v="1090"/>
    <n v="1380"/>
    <n v="290"/>
    <s v="Product 42"/>
    <x v="6"/>
    <s v="Clarence Fox"/>
    <x v="728"/>
    <n v="6"/>
    <x v="5"/>
    <x v="10"/>
    <x v="10"/>
    <x v="3"/>
    <x v="2"/>
  </r>
  <r>
    <s v="AX16265"/>
    <s v="ENX2025"/>
    <s v="A167"/>
    <s v="EMP1044"/>
    <s v="C1704"/>
    <x v="679"/>
    <n v="1"/>
    <n v="667"/>
    <n v="387"/>
    <n v="387"/>
    <n v="667"/>
    <n v="280"/>
    <s v="Product 26"/>
    <x v="64"/>
    <s v="Martin Carr"/>
    <x v="28"/>
    <n v="6"/>
    <x v="5"/>
    <x v="10"/>
    <x v="10"/>
    <x v="3"/>
    <x v="2"/>
  </r>
  <r>
    <s v="AX16474"/>
    <s v="ENX2016"/>
    <s v="A107"/>
    <s v="EMP1034"/>
    <s v="C1665"/>
    <x v="681"/>
    <n v="1"/>
    <n v="1351"/>
    <n v="1108"/>
    <n v="1108"/>
    <n v="1351"/>
    <n v="243"/>
    <s v="Product 17"/>
    <x v="21"/>
    <s v="Arthur Mccoy"/>
    <x v="615"/>
    <n v="6"/>
    <x v="5"/>
    <x v="10"/>
    <x v="10"/>
    <x v="3"/>
    <x v="2"/>
  </r>
  <r>
    <s v="AX16707"/>
    <s v="ENX2085"/>
    <s v="A169"/>
    <s v="EMP1011"/>
    <s v="C1402"/>
    <x v="677"/>
    <n v="2"/>
    <n v="1862"/>
    <n v="1173"/>
    <n v="2346"/>
    <n v="3724"/>
    <n v="1378"/>
    <s v="Product 86"/>
    <x v="17"/>
    <s v="Larry Marshall"/>
    <x v="79"/>
    <n v="6"/>
    <x v="5"/>
    <x v="10"/>
    <x v="10"/>
    <x v="3"/>
    <x v="2"/>
  </r>
  <r>
    <s v="AX16718"/>
    <s v="ENX2087"/>
    <s v="A172"/>
    <s v="EMP1042"/>
    <s v="C1232"/>
    <x v="678"/>
    <n v="2"/>
    <n v="1022"/>
    <n v="818"/>
    <n v="1636"/>
    <n v="2044"/>
    <n v="408"/>
    <s v="Product 88"/>
    <x v="36"/>
    <s v="Scott Clark"/>
    <x v="584"/>
    <n v="6"/>
    <x v="5"/>
    <x v="10"/>
    <x v="10"/>
    <x v="3"/>
    <x v="2"/>
  </r>
  <r>
    <s v="AX17438"/>
    <s v="ENX2036"/>
    <s v="A141"/>
    <s v="EMP1016"/>
    <s v="C1399"/>
    <x v="680"/>
    <n v="3"/>
    <n v="1582"/>
    <n v="1234"/>
    <n v="3702"/>
    <n v="4746"/>
    <n v="1044"/>
    <s v="Product 37"/>
    <x v="23"/>
    <s v="Henry Nelson"/>
    <x v="776"/>
    <n v="6"/>
    <x v="5"/>
    <x v="10"/>
    <x v="10"/>
    <x v="3"/>
    <x v="2"/>
  </r>
  <r>
    <s v="AX17597"/>
    <s v="ENX2057"/>
    <s v="A119"/>
    <s v="EMP1036"/>
    <s v="C1705"/>
    <x v="681"/>
    <n v="2"/>
    <n v="181"/>
    <n v="130"/>
    <n v="260"/>
    <n v="362"/>
    <n v="102"/>
    <s v="Product 58"/>
    <x v="16"/>
    <s v="Robert Reed"/>
    <x v="507"/>
    <n v="6"/>
    <x v="5"/>
    <x v="10"/>
    <x v="10"/>
    <x v="3"/>
    <x v="2"/>
  </r>
  <r>
    <s v="AX17849"/>
    <s v="ENX2046"/>
    <s v="A173"/>
    <s v="EMP1000"/>
    <s v="C1235"/>
    <x v="678"/>
    <n v="2"/>
    <n v="2410"/>
    <n v="1518"/>
    <n v="3036"/>
    <n v="4820"/>
    <n v="1784"/>
    <s v="Product 47"/>
    <x v="25"/>
    <s v="Fred Robertson"/>
    <x v="353"/>
    <n v="6"/>
    <x v="5"/>
    <x v="10"/>
    <x v="10"/>
    <x v="3"/>
    <x v="2"/>
  </r>
  <r>
    <s v="AX17950"/>
    <s v="ENX2025"/>
    <s v="A146"/>
    <s v="EMP1037"/>
    <s v="C1044"/>
    <x v="680"/>
    <n v="4"/>
    <n v="667"/>
    <n v="387"/>
    <n v="1548"/>
    <n v="2668"/>
    <n v="1120"/>
    <s v="Product 26"/>
    <x v="27"/>
    <s v="Carl Hall"/>
    <x v="331"/>
    <n v="6"/>
    <x v="5"/>
    <x v="10"/>
    <x v="10"/>
    <x v="3"/>
    <x v="2"/>
  </r>
  <r>
    <s v="AX18175"/>
    <s v="ENX2099"/>
    <s v="A111"/>
    <s v="EMP1035"/>
    <s v="C1704"/>
    <x v="678"/>
    <n v="3"/>
    <n v="1367"/>
    <n v="984"/>
    <n v="2952"/>
    <n v="4101"/>
    <n v="1149"/>
    <s v="Product 100"/>
    <x v="54"/>
    <s v="Roger Ramos"/>
    <x v="28"/>
    <n v="6"/>
    <x v="5"/>
    <x v="10"/>
    <x v="10"/>
    <x v="3"/>
    <x v="2"/>
  </r>
  <r>
    <s v="AX18722"/>
    <s v="ENX2040"/>
    <s v="A110"/>
    <s v="EMP1025"/>
    <s v="C1020"/>
    <x v="679"/>
    <n v="1"/>
    <n v="1889"/>
    <n v="945"/>
    <n v="945"/>
    <n v="1889"/>
    <n v="944"/>
    <s v="Product 41"/>
    <x v="63"/>
    <s v="Ernest Wagner"/>
    <x v="423"/>
    <n v="6"/>
    <x v="5"/>
    <x v="10"/>
    <x v="10"/>
    <x v="3"/>
    <x v="2"/>
  </r>
  <r>
    <s v="AX18739"/>
    <s v="ENX2042"/>
    <s v="A115"/>
    <s v="EMP1026"/>
    <s v="C1590"/>
    <x v="680"/>
    <n v="3"/>
    <n v="203"/>
    <n v="154"/>
    <n v="462"/>
    <n v="609"/>
    <n v="147"/>
    <s v="Product 43"/>
    <x v="33"/>
    <s v="Martin Perry"/>
    <x v="735"/>
    <n v="6"/>
    <x v="5"/>
    <x v="10"/>
    <x v="10"/>
    <x v="3"/>
    <x v="2"/>
  </r>
  <r>
    <s v="AX18794"/>
    <s v="ENX2068"/>
    <s v="A145"/>
    <s v="EMP1035"/>
    <s v="C1334"/>
    <x v="677"/>
    <n v="1"/>
    <n v="1500"/>
    <n v="900"/>
    <n v="900"/>
    <n v="1500"/>
    <n v="600"/>
    <s v="Product 69"/>
    <x v="35"/>
    <s v="Roger Ramos"/>
    <x v="53"/>
    <n v="6"/>
    <x v="5"/>
    <x v="10"/>
    <x v="10"/>
    <x v="3"/>
    <x v="2"/>
  </r>
  <r>
    <s v="AX19103"/>
    <s v="ENX2016"/>
    <s v="A126"/>
    <s v="EMP1009"/>
    <s v="C1624"/>
    <x v="679"/>
    <n v="4"/>
    <n v="1351"/>
    <n v="1108"/>
    <n v="4432"/>
    <n v="5404"/>
    <n v="972"/>
    <s v="Product 17"/>
    <x v="5"/>
    <s v="Kenneth Fields"/>
    <x v="339"/>
    <n v="6"/>
    <x v="5"/>
    <x v="10"/>
    <x v="10"/>
    <x v="3"/>
    <x v="2"/>
  </r>
  <r>
    <s v="AX19535"/>
    <s v="ENX2020"/>
    <s v="A168"/>
    <s v="EMP1023"/>
    <s v="C1263"/>
    <x v="681"/>
    <n v="2"/>
    <n v="2005"/>
    <n v="1223"/>
    <n v="2446"/>
    <n v="4010"/>
    <n v="1564"/>
    <s v="Product 21"/>
    <x v="40"/>
    <s v="Brian Davis"/>
    <x v="368"/>
    <n v="6"/>
    <x v="5"/>
    <x v="10"/>
    <x v="10"/>
    <x v="3"/>
    <x v="2"/>
  </r>
  <r>
    <s v="AX19574"/>
    <s v="ENX2034"/>
    <s v="A117"/>
    <s v="EMP1026"/>
    <s v="C1121"/>
    <x v="680"/>
    <n v="1"/>
    <n v="871"/>
    <n v="540"/>
    <n v="540"/>
    <n v="871"/>
    <n v="331"/>
    <s v="Product 35"/>
    <x v="29"/>
    <s v="Martin Perry"/>
    <x v="681"/>
    <n v="6"/>
    <x v="5"/>
    <x v="10"/>
    <x v="10"/>
    <x v="3"/>
    <x v="2"/>
  </r>
  <r>
    <s v="AX19611"/>
    <s v="ENX2024"/>
    <s v="A164"/>
    <s v="EMP1033"/>
    <s v="C1630"/>
    <x v="680"/>
    <n v="1"/>
    <n v="356"/>
    <n v="292"/>
    <n v="292"/>
    <n v="356"/>
    <n v="64"/>
    <s v="Product 25"/>
    <x v="3"/>
    <s v="Jerry Perry"/>
    <x v="154"/>
    <n v="6"/>
    <x v="5"/>
    <x v="10"/>
    <x v="10"/>
    <x v="3"/>
    <x v="2"/>
  </r>
  <r>
    <s v="AX19740"/>
    <s v="ENX2083"/>
    <s v="A100"/>
    <s v="EMP1023"/>
    <s v="C1168"/>
    <x v="681"/>
    <n v="1"/>
    <n v="2141"/>
    <n v="1777"/>
    <n v="1777"/>
    <n v="2141"/>
    <n v="364"/>
    <s v="Product 84"/>
    <x v="52"/>
    <s v="Brian Davis"/>
    <x v="532"/>
    <n v="6"/>
    <x v="5"/>
    <x v="10"/>
    <x v="10"/>
    <x v="3"/>
    <x v="2"/>
  </r>
  <r>
    <s v="AX20180"/>
    <s v="ENX2063"/>
    <s v="A150"/>
    <s v="EMP1022"/>
    <s v="C1178"/>
    <x v="677"/>
    <n v="1"/>
    <n v="1708"/>
    <n v="871"/>
    <n v="871"/>
    <n v="1708"/>
    <n v="837"/>
    <s v="Product 64"/>
    <x v="30"/>
    <s v="Walter Cook"/>
    <x v="465"/>
    <n v="6"/>
    <x v="5"/>
    <x v="10"/>
    <x v="10"/>
    <x v="3"/>
    <x v="2"/>
  </r>
  <r>
    <s v="AX20405"/>
    <s v="ENX2067"/>
    <s v="A120"/>
    <s v="EMP1033"/>
    <s v="C1644"/>
    <x v="678"/>
    <n v="1"/>
    <n v="1119"/>
    <n v="683"/>
    <n v="683"/>
    <n v="1119"/>
    <n v="436"/>
    <s v="Product 68"/>
    <x v="20"/>
    <s v="Jerry Perry"/>
    <x v="109"/>
    <n v="6"/>
    <x v="5"/>
    <x v="10"/>
    <x v="10"/>
    <x v="3"/>
    <x v="2"/>
  </r>
  <r>
    <s v="AX20437"/>
    <s v="ENX2067"/>
    <s v="A157"/>
    <s v="EMP1035"/>
    <s v="C1552"/>
    <x v="681"/>
    <n v="3"/>
    <n v="1119"/>
    <n v="683"/>
    <n v="2049"/>
    <n v="3357"/>
    <n v="1308"/>
    <s v="Product 68"/>
    <x v="7"/>
    <s v="Roger Ramos"/>
    <x v="92"/>
    <n v="6"/>
    <x v="5"/>
    <x v="10"/>
    <x v="10"/>
    <x v="3"/>
    <x v="2"/>
  </r>
  <r>
    <s v="AX21380"/>
    <s v="ENX2085"/>
    <s v="A159"/>
    <s v="EMP1039"/>
    <s v="C1089"/>
    <x v="679"/>
    <n v="1"/>
    <n v="1862"/>
    <n v="1173"/>
    <n v="1173"/>
    <n v="1862"/>
    <n v="689"/>
    <s v="Product 86"/>
    <x v="13"/>
    <s v="Eugene Holmes"/>
    <x v="267"/>
    <n v="6"/>
    <x v="5"/>
    <x v="10"/>
    <x v="10"/>
    <x v="3"/>
    <x v="2"/>
  </r>
  <r>
    <s v="AX21422"/>
    <s v="ENX2053"/>
    <s v="A105"/>
    <s v="EMP1042"/>
    <s v="C1625"/>
    <x v="678"/>
    <n v="1"/>
    <n v="596"/>
    <n v="358"/>
    <n v="358"/>
    <n v="596"/>
    <n v="238"/>
    <s v="Product 54"/>
    <x v="45"/>
    <s v="Scott Clark"/>
    <x v="575"/>
    <n v="6"/>
    <x v="5"/>
    <x v="10"/>
    <x v="10"/>
    <x v="3"/>
    <x v="2"/>
  </r>
  <r>
    <s v="AX21929"/>
    <s v="ENX2036"/>
    <s v="A113"/>
    <s v="EMP1026"/>
    <s v="C1003"/>
    <x v="681"/>
    <n v="3"/>
    <n v="1582"/>
    <n v="1234"/>
    <n v="3702"/>
    <n v="4746"/>
    <n v="1044"/>
    <s v="Product 37"/>
    <x v="73"/>
    <s v="Martin Perry"/>
    <x v="494"/>
    <n v="6"/>
    <x v="5"/>
    <x v="10"/>
    <x v="10"/>
    <x v="3"/>
    <x v="2"/>
  </r>
  <r>
    <s v="AX22262"/>
    <s v="ENX2030"/>
    <s v="A149"/>
    <s v="EMP1018"/>
    <s v="C1564"/>
    <x v="681"/>
    <n v="3"/>
    <n v="1899"/>
    <n v="1044"/>
    <n v="3132"/>
    <n v="5697"/>
    <n v="2565"/>
    <s v="Product 31"/>
    <x v="59"/>
    <s v="Jimmy Young"/>
    <x v="302"/>
    <n v="6"/>
    <x v="5"/>
    <x v="10"/>
    <x v="10"/>
    <x v="3"/>
    <x v="2"/>
  </r>
  <r>
    <s v="AX22399"/>
    <s v="ENX2074"/>
    <s v="A122"/>
    <s v="EMP1009"/>
    <s v="C1739"/>
    <x v="678"/>
    <n v="1"/>
    <n v="504"/>
    <n v="408"/>
    <n v="408"/>
    <n v="504"/>
    <n v="96"/>
    <s v="Product 75"/>
    <x v="71"/>
    <s v="Kenneth Fields"/>
    <x v="286"/>
    <n v="6"/>
    <x v="5"/>
    <x v="10"/>
    <x v="10"/>
    <x v="3"/>
    <x v="2"/>
  </r>
  <r>
    <s v="AX22423"/>
    <s v="ENX2089"/>
    <s v="A133"/>
    <s v="EMP1030"/>
    <s v="C1460"/>
    <x v="681"/>
    <n v="2"/>
    <n v="2294"/>
    <n v="1399"/>
    <n v="2798"/>
    <n v="4588"/>
    <n v="1790"/>
    <s v="Product 90"/>
    <x v="46"/>
    <s v="Bobby Russell"/>
    <x v="613"/>
    <n v="6"/>
    <x v="5"/>
    <x v="10"/>
    <x v="10"/>
    <x v="3"/>
    <x v="2"/>
  </r>
  <r>
    <s v="AX22435"/>
    <s v="ENX2074"/>
    <s v="A139"/>
    <s v="EMP1002"/>
    <s v="C1659"/>
    <x v="677"/>
    <n v="1"/>
    <n v="504"/>
    <n v="408"/>
    <n v="408"/>
    <n v="504"/>
    <n v="96"/>
    <s v="Product 75"/>
    <x v="38"/>
    <s v="Andrew Bowman"/>
    <x v="51"/>
    <n v="6"/>
    <x v="5"/>
    <x v="10"/>
    <x v="10"/>
    <x v="3"/>
    <x v="2"/>
  </r>
  <r>
    <s v="AX22500"/>
    <s v="ENX2086"/>
    <s v="A130"/>
    <s v="EMP1004"/>
    <s v="C1495"/>
    <x v="681"/>
    <n v="2"/>
    <n v="123"/>
    <n v="84"/>
    <n v="168"/>
    <n v="246"/>
    <n v="78"/>
    <s v="Product 87"/>
    <x v="4"/>
    <s v="Kenneth Bradley"/>
    <x v="780"/>
    <n v="6"/>
    <x v="5"/>
    <x v="10"/>
    <x v="10"/>
    <x v="3"/>
    <x v="2"/>
  </r>
  <r>
    <s v="AX22606"/>
    <s v="ENX2086"/>
    <s v="A137"/>
    <s v="EMP1022"/>
    <s v="C1633"/>
    <x v="680"/>
    <n v="4"/>
    <n v="123"/>
    <n v="84"/>
    <n v="336"/>
    <n v="492"/>
    <n v="156"/>
    <s v="Product 87"/>
    <x v="68"/>
    <s v="Walter Cook"/>
    <x v="558"/>
    <n v="6"/>
    <x v="5"/>
    <x v="10"/>
    <x v="10"/>
    <x v="3"/>
    <x v="2"/>
  </r>
  <r>
    <s v="AX22632"/>
    <s v="ENX2041"/>
    <s v="A139"/>
    <s v="EMP1006"/>
    <s v="C1197"/>
    <x v="681"/>
    <n v="3"/>
    <n v="1380"/>
    <n v="1090"/>
    <n v="3270"/>
    <n v="4140"/>
    <n v="870"/>
    <s v="Product 42"/>
    <x v="38"/>
    <s v="Sean Miller"/>
    <x v="718"/>
    <n v="6"/>
    <x v="5"/>
    <x v="10"/>
    <x v="10"/>
    <x v="3"/>
    <x v="2"/>
  </r>
  <r>
    <s v="AX23192"/>
    <s v="ENX2030"/>
    <s v="A133"/>
    <s v="EMP1009"/>
    <s v="C1589"/>
    <x v="679"/>
    <n v="1"/>
    <n v="1899"/>
    <n v="1044"/>
    <n v="1044"/>
    <n v="1899"/>
    <n v="855"/>
    <s v="Product 31"/>
    <x v="46"/>
    <s v="Kenneth Fields"/>
    <x v="39"/>
    <n v="6"/>
    <x v="5"/>
    <x v="10"/>
    <x v="10"/>
    <x v="3"/>
    <x v="2"/>
  </r>
  <r>
    <s v="AX23368"/>
    <s v="ENX2079"/>
    <s v="A117"/>
    <s v="EMP1033"/>
    <s v="C1685"/>
    <x v="680"/>
    <n v="4"/>
    <n v="1725"/>
    <n v="1363"/>
    <n v="5452"/>
    <n v="6900"/>
    <n v="1448"/>
    <s v="Product 80"/>
    <x v="29"/>
    <s v="Jerry Perry"/>
    <x v="90"/>
    <n v="6"/>
    <x v="5"/>
    <x v="10"/>
    <x v="10"/>
    <x v="3"/>
    <x v="2"/>
  </r>
  <r>
    <s v="AX23417"/>
    <s v="ENX2075"/>
    <s v="A108"/>
    <s v="EMP1021"/>
    <s v="C1656"/>
    <x v="680"/>
    <n v="1"/>
    <n v="400"/>
    <n v="208"/>
    <n v="208"/>
    <n v="400"/>
    <n v="192"/>
    <s v="Product 76"/>
    <x v="49"/>
    <s v="Clarence Fox"/>
    <x v="115"/>
    <n v="6"/>
    <x v="5"/>
    <x v="10"/>
    <x v="10"/>
    <x v="3"/>
    <x v="2"/>
  </r>
  <r>
    <s v="AX23644"/>
    <s v="ENX2020"/>
    <s v="A109"/>
    <s v="EMP1001"/>
    <s v="C1109"/>
    <x v="677"/>
    <n v="1"/>
    <n v="2005"/>
    <n v="1223"/>
    <n v="1223"/>
    <n v="2005"/>
    <n v="782"/>
    <s v="Product 21"/>
    <x v="57"/>
    <s v="Kevin Butler"/>
    <x v="756"/>
    <n v="6"/>
    <x v="5"/>
    <x v="10"/>
    <x v="10"/>
    <x v="3"/>
    <x v="2"/>
  </r>
  <r>
    <s v="AX23885"/>
    <s v="ENX2031"/>
    <s v="A113"/>
    <s v="EMP1022"/>
    <s v="C1379"/>
    <x v="677"/>
    <n v="2"/>
    <n v="1638"/>
    <n v="1261"/>
    <n v="2522"/>
    <n v="3276"/>
    <n v="754"/>
    <s v="Product 32"/>
    <x v="73"/>
    <s v="Walter Cook"/>
    <x v="549"/>
    <n v="6"/>
    <x v="5"/>
    <x v="10"/>
    <x v="10"/>
    <x v="3"/>
    <x v="2"/>
  </r>
  <r>
    <s v="AX24194"/>
    <s v="ENX2059"/>
    <s v="A135"/>
    <s v="EMP1031"/>
    <s v="C1019"/>
    <x v="679"/>
    <n v="4"/>
    <n v="1494"/>
    <n v="971"/>
    <n v="3884"/>
    <n v="5976"/>
    <n v="2092"/>
    <s v="Product 60"/>
    <x v="10"/>
    <s v="Brian Thomas"/>
    <x v="503"/>
    <n v="6"/>
    <x v="5"/>
    <x v="10"/>
    <x v="10"/>
    <x v="3"/>
    <x v="2"/>
  </r>
  <r>
    <s v="AX24355"/>
    <s v="ENX2069"/>
    <s v="A164"/>
    <s v="EMP1003"/>
    <s v="C1201"/>
    <x v="679"/>
    <n v="2"/>
    <n v="378"/>
    <n v="291"/>
    <n v="582"/>
    <n v="756"/>
    <n v="174"/>
    <s v="Product 70"/>
    <x v="3"/>
    <s v="Christopher Tucker"/>
    <x v="760"/>
    <n v="6"/>
    <x v="5"/>
    <x v="10"/>
    <x v="10"/>
    <x v="3"/>
    <x v="2"/>
  </r>
  <r>
    <s v="AX24685"/>
    <s v="ENX2092"/>
    <s v="A154"/>
    <s v="EMP1011"/>
    <s v="C1411"/>
    <x v="680"/>
    <n v="1"/>
    <n v="1639"/>
    <n v="1295"/>
    <n v="1295"/>
    <n v="1639"/>
    <n v="344"/>
    <s v="Product 93"/>
    <x v="24"/>
    <s v="Larry Marshall"/>
    <x v="600"/>
    <n v="6"/>
    <x v="5"/>
    <x v="10"/>
    <x v="10"/>
    <x v="3"/>
    <x v="2"/>
  </r>
  <r>
    <s v="AX10523"/>
    <s v="ENX2056"/>
    <s v="A166"/>
    <s v="EMP1033"/>
    <s v="C1710"/>
    <x v="682"/>
    <n v="3"/>
    <n v="1635"/>
    <n v="1046"/>
    <n v="3138"/>
    <n v="4905"/>
    <n v="1767"/>
    <s v="Product 57"/>
    <x v="70"/>
    <s v="Jerry Perry"/>
    <x v="197"/>
    <n v="6"/>
    <x v="5"/>
    <x v="11"/>
    <x v="11"/>
    <x v="3"/>
    <x v="0"/>
  </r>
  <r>
    <s v="AX10549"/>
    <s v="ENX2020"/>
    <s v="A134"/>
    <s v="EMP1011"/>
    <s v="C1231"/>
    <x v="683"/>
    <n v="1"/>
    <n v="2005"/>
    <n v="1223"/>
    <n v="1223"/>
    <n v="2005"/>
    <n v="782"/>
    <s v="Product 21"/>
    <x v="41"/>
    <s v="Larry Marshall"/>
    <x v="94"/>
    <n v="6"/>
    <x v="5"/>
    <x v="11"/>
    <x v="11"/>
    <x v="3"/>
    <x v="0"/>
  </r>
  <r>
    <s v="AX10868"/>
    <s v="ENX2013"/>
    <s v="A124"/>
    <s v="EMP1041"/>
    <s v="C1756"/>
    <x v="682"/>
    <n v="1"/>
    <n v="368"/>
    <n v="269"/>
    <n v="269"/>
    <n v="368"/>
    <n v="99"/>
    <s v="Product 14"/>
    <x v="67"/>
    <s v="Joe Sims"/>
    <x v="371"/>
    <n v="6"/>
    <x v="5"/>
    <x v="11"/>
    <x v="11"/>
    <x v="3"/>
    <x v="0"/>
  </r>
  <r>
    <s v="AX11153"/>
    <s v="ENX2019"/>
    <s v="A104"/>
    <s v="EMP1004"/>
    <s v="C1045"/>
    <x v="684"/>
    <n v="1"/>
    <n v="800"/>
    <n v="536"/>
    <n v="536"/>
    <n v="800"/>
    <n v="264"/>
    <s v="Product 20"/>
    <x v="50"/>
    <s v="Kenneth Bradley"/>
    <x v="444"/>
    <n v="6"/>
    <x v="5"/>
    <x v="11"/>
    <x v="11"/>
    <x v="3"/>
    <x v="0"/>
  </r>
  <r>
    <s v="AX11307"/>
    <s v="ENX2039"/>
    <s v="A142"/>
    <s v="EMP1005"/>
    <s v="C1576"/>
    <x v="685"/>
    <n v="2"/>
    <n v="817"/>
    <n v="409"/>
    <n v="818"/>
    <n v="1634"/>
    <n v="816"/>
    <s v="Product 40"/>
    <x v="56"/>
    <s v="Ryan Welch"/>
    <x v="398"/>
    <n v="6"/>
    <x v="5"/>
    <x v="11"/>
    <x v="11"/>
    <x v="3"/>
    <x v="0"/>
  </r>
  <r>
    <s v="AX11479"/>
    <s v="ENX2047"/>
    <s v="A156"/>
    <s v="EMP1026"/>
    <s v="C1246"/>
    <x v="682"/>
    <n v="3"/>
    <n v="290"/>
    <n v="200"/>
    <n v="600"/>
    <n v="870"/>
    <n v="270"/>
    <s v="Product 48"/>
    <x v="14"/>
    <s v="Martin Perry"/>
    <x v="665"/>
    <n v="6"/>
    <x v="5"/>
    <x v="11"/>
    <x v="11"/>
    <x v="3"/>
    <x v="0"/>
  </r>
  <r>
    <s v="AX11647"/>
    <s v="ENX2031"/>
    <s v="A116"/>
    <s v="EMP1038"/>
    <s v="C1622"/>
    <x v="682"/>
    <n v="3"/>
    <n v="1638"/>
    <n v="1261"/>
    <n v="3783"/>
    <n v="4914"/>
    <n v="1131"/>
    <s v="Product 32"/>
    <x v="15"/>
    <s v="Scott Mason"/>
    <x v="548"/>
    <n v="6"/>
    <x v="5"/>
    <x v="11"/>
    <x v="11"/>
    <x v="3"/>
    <x v="0"/>
  </r>
  <r>
    <s v="AX11690"/>
    <s v="ENX2090"/>
    <s v="A113"/>
    <s v="EMP1042"/>
    <s v="C1319"/>
    <x v="683"/>
    <n v="4"/>
    <n v="1338"/>
    <n v="682"/>
    <n v="2728"/>
    <n v="5352"/>
    <n v="2624"/>
    <s v="Product 91"/>
    <x v="73"/>
    <s v="Scott Clark"/>
    <x v="464"/>
    <n v="6"/>
    <x v="5"/>
    <x v="11"/>
    <x v="11"/>
    <x v="3"/>
    <x v="0"/>
  </r>
  <r>
    <s v="AX11969"/>
    <s v="ENX2025"/>
    <s v="A108"/>
    <s v="EMP1041"/>
    <s v="C1723"/>
    <x v="682"/>
    <n v="1"/>
    <n v="667"/>
    <n v="387"/>
    <n v="387"/>
    <n v="667"/>
    <n v="280"/>
    <s v="Product 26"/>
    <x v="49"/>
    <s v="Joe Sims"/>
    <x v="118"/>
    <n v="6"/>
    <x v="5"/>
    <x v="11"/>
    <x v="11"/>
    <x v="3"/>
    <x v="0"/>
  </r>
  <r>
    <s v="AX12118"/>
    <s v="ENX2027"/>
    <s v="A127"/>
    <s v="EMP1012"/>
    <s v="C1416"/>
    <x v="685"/>
    <n v="2"/>
    <n v="2497"/>
    <n v="1473"/>
    <n v="2946"/>
    <n v="4994"/>
    <n v="2048"/>
    <s v="Product 28"/>
    <x v="69"/>
    <s v="John Reyes"/>
    <x v="554"/>
    <n v="6"/>
    <x v="5"/>
    <x v="11"/>
    <x v="11"/>
    <x v="3"/>
    <x v="0"/>
  </r>
  <r>
    <s v="AX12893"/>
    <s v="ENX2094"/>
    <s v="A138"/>
    <s v="EMP1018"/>
    <s v="C1794"/>
    <x v="685"/>
    <n v="1"/>
    <n v="771"/>
    <n v="648"/>
    <n v="648"/>
    <n v="771"/>
    <n v="123"/>
    <s v="Product 95"/>
    <x v="37"/>
    <s v="Jimmy Young"/>
    <x v="411"/>
    <n v="6"/>
    <x v="5"/>
    <x v="11"/>
    <x v="11"/>
    <x v="3"/>
    <x v="0"/>
  </r>
  <r>
    <s v="AX13361"/>
    <s v="ENX2090"/>
    <s v="A172"/>
    <s v="EMP1011"/>
    <s v="C1611"/>
    <x v="683"/>
    <n v="1"/>
    <n v="1338"/>
    <n v="682"/>
    <n v="682"/>
    <n v="1338"/>
    <n v="656"/>
    <s v="Product 91"/>
    <x v="36"/>
    <s v="Larry Marshall"/>
    <x v="306"/>
    <n v="6"/>
    <x v="5"/>
    <x v="11"/>
    <x v="11"/>
    <x v="3"/>
    <x v="0"/>
  </r>
  <r>
    <s v="AX13456"/>
    <s v="ENX2041"/>
    <s v="A169"/>
    <s v="EMP1035"/>
    <s v="C1257"/>
    <x v="683"/>
    <n v="4"/>
    <n v="1380"/>
    <n v="1090"/>
    <n v="4360"/>
    <n v="5520"/>
    <n v="1160"/>
    <s v="Product 42"/>
    <x v="17"/>
    <s v="Roger Ramos"/>
    <x v="287"/>
    <n v="6"/>
    <x v="5"/>
    <x v="11"/>
    <x v="11"/>
    <x v="3"/>
    <x v="0"/>
  </r>
  <r>
    <s v="AX13794"/>
    <s v="ENX2094"/>
    <s v="A122"/>
    <s v="EMP1011"/>
    <s v="C1411"/>
    <x v="684"/>
    <n v="1"/>
    <n v="771"/>
    <n v="648"/>
    <n v="648"/>
    <n v="771"/>
    <n v="123"/>
    <s v="Product 95"/>
    <x v="71"/>
    <s v="Larry Marshall"/>
    <x v="600"/>
    <n v="6"/>
    <x v="5"/>
    <x v="11"/>
    <x v="11"/>
    <x v="3"/>
    <x v="0"/>
  </r>
  <r>
    <s v="AX13805"/>
    <s v="ENX2066"/>
    <s v="A146"/>
    <s v="EMP1037"/>
    <s v="C1707"/>
    <x v="685"/>
    <n v="2"/>
    <n v="2091"/>
    <n v="1485"/>
    <n v="2970"/>
    <n v="4182"/>
    <n v="1212"/>
    <s v="Product 67"/>
    <x v="27"/>
    <s v="Carl Hall"/>
    <x v="192"/>
    <n v="6"/>
    <x v="5"/>
    <x v="11"/>
    <x v="11"/>
    <x v="3"/>
    <x v="0"/>
  </r>
  <r>
    <s v="AX13907"/>
    <s v="ENX2000"/>
    <s v="A148"/>
    <s v="EMP1002"/>
    <s v="C1706"/>
    <x v="685"/>
    <n v="1"/>
    <n v="2241"/>
    <n v="1367"/>
    <n v="1367"/>
    <n v="2241"/>
    <n v="874"/>
    <s v="Product 1"/>
    <x v="62"/>
    <s v="Andrew Bowman"/>
    <x v="171"/>
    <n v="6"/>
    <x v="5"/>
    <x v="11"/>
    <x v="11"/>
    <x v="3"/>
    <x v="0"/>
  </r>
  <r>
    <s v="AX14690"/>
    <s v="ENX2001"/>
    <s v="A122"/>
    <s v="EMP1033"/>
    <s v="C1145"/>
    <x v="684"/>
    <n v="1"/>
    <n v="951"/>
    <n v="504"/>
    <n v="504"/>
    <n v="951"/>
    <n v="447"/>
    <s v="Product 2"/>
    <x v="71"/>
    <s v="Jerry Perry"/>
    <x v="489"/>
    <n v="6"/>
    <x v="5"/>
    <x v="11"/>
    <x v="11"/>
    <x v="3"/>
    <x v="0"/>
  </r>
  <r>
    <s v="AX14765"/>
    <s v="ENX2010"/>
    <s v="A118"/>
    <s v="EMP1042"/>
    <s v="C1382"/>
    <x v="684"/>
    <n v="1"/>
    <n v="1812"/>
    <n v="1305"/>
    <n v="1305"/>
    <n v="1812"/>
    <n v="507"/>
    <s v="Product 11"/>
    <x v="19"/>
    <s v="Scott Clark"/>
    <x v="334"/>
    <n v="6"/>
    <x v="5"/>
    <x v="11"/>
    <x v="11"/>
    <x v="3"/>
    <x v="0"/>
  </r>
  <r>
    <s v="AX14864"/>
    <s v="ENX2005"/>
    <s v="A122"/>
    <s v="EMP1013"/>
    <s v="C1175"/>
    <x v="682"/>
    <n v="1"/>
    <n v="684"/>
    <n v="561"/>
    <n v="561"/>
    <n v="684"/>
    <n v="123"/>
    <s v="Product 6"/>
    <x v="71"/>
    <s v="Charles Harper"/>
    <x v="89"/>
    <n v="6"/>
    <x v="5"/>
    <x v="11"/>
    <x v="11"/>
    <x v="3"/>
    <x v="0"/>
  </r>
  <r>
    <s v="AX15622"/>
    <s v="ENX2095"/>
    <s v="A132"/>
    <s v="EMP1029"/>
    <s v="C1124"/>
    <x v="684"/>
    <n v="2"/>
    <n v="1743"/>
    <n v="872"/>
    <n v="1744"/>
    <n v="3486"/>
    <n v="1742"/>
    <s v="Product 96"/>
    <x v="48"/>
    <s v="Howard Gardner"/>
    <x v="102"/>
    <n v="6"/>
    <x v="5"/>
    <x v="11"/>
    <x v="11"/>
    <x v="3"/>
    <x v="0"/>
  </r>
  <r>
    <s v="AX15830"/>
    <s v="ENX2099"/>
    <s v="A125"/>
    <s v="EMP1030"/>
    <s v="C1136"/>
    <x v="683"/>
    <n v="3"/>
    <n v="1367"/>
    <n v="984"/>
    <n v="2952"/>
    <n v="4101"/>
    <n v="1149"/>
    <s v="Product 100"/>
    <x v="31"/>
    <s v="Bobby Russell"/>
    <x v="425"/>
    <n v="6"/>
    <x v="5"/>
    <x v="11"/>
    <x v="11"/>
    <x v="3"/>
    <x v="0"/>
  </r>
  <r>
    <s v="AX15937"/>
    <s v="ENX2036"/>
    <s v="A173"/>
    <s v="EMP1028"/>
    <s v="C1157"/>
    <x v="685"/>
    <n v="2"/>
    <n v="1582"/>
    <n v="1234"/>
    <n v="2468"/>
    <n v="3164"/>
    <n v="696"/>
    <s v="Product 37"/>
    <x v="25"/>
    <s v="Howard Sims"/>
    <x v="415"/>
    <n v="6"/>
    <x v="5"/>
    <x v="11"/>
    <x v="11"/>
    <x v="3"/>
    <x v="0"/>
  </r>
  <r>
    <s v="AX15979"/>
    <s v="ENX2100"/>
    <s v="A156"/>
    <s v="EMP1035"/>
    <s v="C1101"/>
    <x v="684"/>
    <n v="1"/>
    <n v="799"/>
    <n v="455"/>
    <n v="455"/>
    <n v="799"/>
    <n v="344"/>
    <s v="Product 101"/>
    <x v="14"/>
    <s v="Roger Ramos"/>
    <x v="347"/>
    <n v="6"/>
    <x v="5"/>
    <x v="11"/>
    <x v="11"/>
    <x v="3"/>
    <x v="0"/>
  </r>
  <r>
    <s v="AX16424"/>
    <s v="ENX2054"/>
    <s v="A127"/>
    <s v="EMP1041"/>
    <s v="C1348"/>
    <x v="682"/>
    <n v="4"/>
    <n v="127"/>
    <n v="79"/>
    <n v="316"/>
    <n v="508"/>
    <n v="192"/>
    <s v="Product 55"/>
    <x v="69"/>
    <s v="Joe Sims"/>
    <x v="236"/>
    <n v="6"/>
    <x v="5"/>
    <x v="11"/>
    <x v="11"/>
    <x v="3"/>
    <x v="0"/>
  </r>
  <r>
    <s v="AX16635"/>
    <s v="ENX2064"/>
    <s v="A158"/>
    <s v="EMP1031"/>
    <s v="C1279"/>
    <x v="684"/>
    <n v="3"/>
    <n v="1414"/>
    <n v="962"/>
    <n v="2886"/>
    <n v="4242"/>
    <n v="1356"/>
    <s v="Product 65"/>
    <x v="58"/>
    <s v="Brian Thomas"/>
    <x v="210"/>
    <n v="6"/>
    <x v="5"/>
    <x v="11"/>
    <x v="11"/>
    <x v="3"/>
    <x v="0"/>
  </r>
  <r>
    <s v="AX16639"/>
    <s v="ENX2066"/>
    <s v="A169"/>
    <s v="EMP1040"/>
    <s v="C1303"/>
    <x v="685"/>
    <n v="3"/>
    <n v="2091"/>
    <n v="1485"/>
    <n v="4455"/>
    <n v="6273"/>
    <n v="1818"/>
    <s v="Product 67"/>
    <x v="17"/>
    <s v="Patrick Ruiz"/>
    <x v="531"/>
    <n v="6"/>
    <x v="5"/>
    <x v="11"/>
    <x v="11"/>
    <x v="3"/>
    <x v="0"/>
  </r>
  <r>
    <s v="AX16777"/>
    <s v="ENX2034"/>
    <s v="A154"/>
    <s v="EMP1009"/>
    <s v="C1118"/>
    <x v="683"/>
    <n v="1"/>
    <n v="871"/>
    <n v="540"/>
    <n v="540"/>
    <n v="871"/>
    <n v="331"/>
    <s v="Product 35"/>
    <x v="24"/>
    <s v="Kenneth Fields"/>
    <x v="633"/>
    <n v="6"/>
    <x v="5"/>
    <x v="11"/>
    <x v="11"/>
    <x v="3"/>
    <x v="0"/>
  </r>
  <r>
    <s v="AX16961"/>
    <s v="ENX2046"/>
    <s v="A135"/>
    <s v="EMP1005"/>
    <s v="C1674"/>
    <x v="683"/>
    <n v="4"/>
    <n v="2410"/>
    <n v="1518"/>
    <n v="6072"/>
    <n v="9640"/>
    <n v="3568"/>
    <s v="Product 47"/>
    <x v="10"/>
    <s v="Ryan Welch"/>
    <x v="774"/>
    <n v="6"/>
    <x v="5"/>
    <x v="11"/>
    <x v="11"/>
    <x v="3"/>
    <x v="0"/>
  </r>
  <r>
    <s v="AX17137"/>
    <s v="ENX2023"/>
    <s v="A152"/>
    <s v="EMP1035"/>
    <s v="C1671"/>
    <x v="685"/>
    <n v="1"/>
    <n v="818"/>
    <n v="450"/>
    <n v="450"/>
    <n v="818"/>
    <n v="368"/>
    <s v="Product 24"/>
    <x v="26"/>
    <s v="Roger Ramos"/>
    <x v="248"/>
    <n v="6"/>
    <x v="5"/>
    <x v="11"/>
    <x v="11"/>
    <x v="3"/>
    <x v="0"/>
  </r>
  <r>
    <s v="AX17519"/>
    <s v="ENX2006"/>
    <s v="A136"/>
    <s v="EMP1002"/>
    <s v="C1565"/>
    <x v="685"/>
    <n v="1"/>
    <n v="1826"/>
    <n v="1443"/>
    <n v="1443"/>
    <n v="1826"/>
    <n v="383"/>
    <s v="Product 7"/>
    <x v="43"/>
    <s v="Andrew Bowman"/>
    <x v="577"/>
    <n v="6"/>
    <x v="5"/>
    <x v="11"/>
    <x v="11"/>
    <x v="3"/>
    <x v="0"/>
  </r>
  <r>
    <s v="AX17674"/>
    <s v="ENX2053"/>
    <s v="A133"/>
    <s v="EMP1007"/>
    <s v="C1611"/>
    <x v="683"/>
    <n v="4"/>
    <n v="596"/>
    <n v="358"/>
    <n v="1432"/>
    <n v="2384"/>
    <n v="952"/>
    <s v="Product 54"/>
    <x v="46"/>
    <s v="Jeremy Mendoza"/>
    <x v="306"/>
    <n v="6"/>
    <x v="5"/>
    <x v="11"/>
    <x v="11"/>
    <x v="3"/>
    <x v="0"/>
  </r>
  <r>
    <s v="AX19580"/>
    <s v="ENX2046"/>
    <s v="A149"/>
    <s v="EMP1007"/>
    <s v="C1583"/>
    <x v="682"/>
    <n v="3"/>
    <n v="2410"/>
    <n v="1518"/>
    <n v="4554"/>
    <n v="7230"/>
    <n v="2676"/>
    <s v="Product 47"/>
    <x v="59"/>
    <s v="Jeremy Mendoza"/>
    <x v="798"/>
    <n v="6"/>
    <x v="5"/>
    <x v="11"/>
    <x v="11"/>
    <x v="3"/>
    <x v="0"/>
  </r>
  <r>
    <s v="AX19833"/>
    <s v="ENX2061"/>
    <s v="A140"/>
    <s v="EMP1024"/>
    <s v="C1487"/>
    <x v="683"/>
    <n v="3"/>
    <n v="913"/>
    <n v="584"/>
    <n v="1752"/>
    <n v="2739"/>
    <n v="987"/>
    <s v="Product 62"/>
    <x v="18"/>
    <s v="Ernest Wheeler"/>
    <x v="461"/>
    <n v="6"/>
    <x v="5"/>
    <x v="11"/>
    <x v="11"/>
    <x v="3"/>
    <x v="0"/>
  </r>
  <r>
    <s v="AX20369"/>
    <s v="ENX2074"/>
    <s v="A134"/>
    <s v="EMP1039"/>
    <s v="C1529"/>
    <x v="682"/>
    <n v="2"/>
    <n v="504"/>
    <n v="408"/>
    <n v="816"/>
    <n v="1008"/>
    <n v="192"/>
    <s v="Product 75"/>
    <x v="41"/>
    <s v="Eugene Holmes"/>
    <x v="247"/>
    <n v="6"/>
    <x v="5"/>
    <x v="11"/>
    <x v="11"/>
    <x v="3"/>
    <x v="0"/>
  </r>
  <r>
    <s v="AX20676"/>
    <s v="ENX2097"/>
    <s v="A101"/>
    <s v="EMP1043"/>
    <s v="C1120"/>
    <x v="683"/>
    <n v="3"/>
    <n v="1052"/>
    <n v="589"/>
    <n v="1767"/>
    <n v="3156"/>
    <n v="1389"/>
    <s v="Product 98"/>
    <x v="60"/>
    <s v="Joshua Taylor"/>
    <x v="685"/>
    <n v="6"/>
    <x v="5"/>
    <x v="11"/>
    <x v="11"/>
    <x v="3"/>
    <x v="0"/>
  </r>
  <r>
    <s v="AX20759"/>
    <s v="ENX2024"/>
    <s v="A127"/>
    <s v="EMP1014"/>
    <s v="C1002"/>
    <x v="683"/>
    <n v="1"/>
    <n v="356"/>
    <n v="292"/>
    <n v="292"/>
    <n v="356"/>
    <n v="64"/>
    <s v="Product 25"/>
    <x v="69"/>
    <s v="Ronald Reed"/>
    <x v="49"/>
    <n v="6"/>
    <x v="5"/>
    <x v="11"/>
    <x v="11"/>
    <x v="3"/>
    <x v="0"/>
  </r>
  <r>
    <s v="AX21194"/>
    <s v="ENX2039"/>
    <s v="A151"/>
    <s v="EMP1002"/>
    <s v="C1177"/>
    <x v="685"/>
    <n v="1"/>
    <n v="817"/>
    <n v="409"/>
    <n v="409"/>
    <n v="817"/>
    <n v="408"/>
    <s v="Product 40"/>
    <x v="1"/>
    <s v="Andrew Bowman"/>
    <x v="365"/>
    <n v="6"/>
    <x v="5"/>
    <x v="11"/>
    <x v="11"/>
    <x v="3"/>
    <x v="0"/>
  </r>
  <r>
    <s v="AX21213"/>
    <s v="ENX2007"/>
    <s v="A128"/>
    <s v="EMP1000"/>
    <s v="C1005"/>
    <x v="682"/>
    <n v="1"/>
    <n v="1405"/>
    <n v="1054"/>
    <n v="1054"/>
    <n v="1405"/>
    <n v="351"/>
    <s v="Product 8"/>
    <x v="12"/>
    <s v="Fred Robertson"/>
    <x v="304"/>
    <n v="6"/>
    <x v="5"/>
    <x v="11"/>
    <x v="11"/>
    <x v="3"/>
    <x v="0"/>
  </r>
  <r>
    <s v="AX21430"/>
    <s v="ENX2068"/>
    <s v="A154"/>
    <s v="EMP1040"/>
    <s v="C1724"/>
    <x v="683"/>
    <n v="2"/>
    <n v="1500"/>
    <n v="900"/>
    <n v="1800"/>
    <n v="3000"/>
    <n v="1200"/>
    <s v="Product 69"/>
    <x v="24"/>
    <s v="Patrick Ruiz"/>
    <x v="378"/>
    <n v="6"/>
    <x v="5"/>
    <x v="11"/>
    <x v="11"/>
    <x v="3"/>
    <x v="0"/>
  </r>
  <r>
    <s v="AX21457"/>
    <s v="ENX2023"/>
    <s v="A161"/>
    <s v="EMP1013"/>
    <s v="C1363"/>
    <x v="683"/>
    <n v="1"/>
    <n v="818"/>
    <n v="450"/>
    <n v="450"/>
    <n v="818"/>
    <n v="368"/>
    <s v="Product 24"/>
    <x v="6"/>
    <s v="Charles Harper"/>
    <x v="505"/>
    <n v="6"/>
    <x v="5"/>
    <x v="11"/>
    <x v="11"/>
    <x v="3"/>
    <x v="0"/>
  </r>
  <r>
    <s v="AX21897"/>
    <s v="ENX2066"/>
    <s v="A132"/>
    <s v="EMP1037"/>
    <s v="C1218"/>
    <x v="685"/>
    <n v="3"/>
    <n v="2091"/>
    <n v="1485"/>
    <n v="4455"/>
    <n v="6273"/>
    <n v="1818"/>
    <s v="Product 67"/>
    <x v="48"/>
    <s v="Carl Hall"/>
    <x v="786"/>
    <n v="6"/>
    <x v="5"/>
    <x v="11"/>
    <x v="11"/>
    <x v="3"/>
    <x v="0"/>
  </r>
  <r>
    <s v="AX21964"/>
    <s v="ENX2057"/>
    <s v="A111"/>
    <s v="EMP1011"/>
    <s v="C1134"/>
    <x v="684"/>
    <n v="1"/>
    <n v="181"/>
    <n v="130"/>
    <n v="130"/>
    <n v="181"/>
    <n v="51"/>
    <s v="Product 58"/>
    <x v="54"/>
    <s v="Larry Marshall"/>
    <x v="495"/>
    <n v="6"/>
    <x v="5"/>
    <x v="11"/>
    <x v="11"/>
    <x v="3"/>
    <x v="0"/>
  </r>
  <r>
    <s v="AX22001"/>
    <s v="ENX2010"/>
    <s v="A126"/>
    <s v="EMP1019"/>
    <s v="C1378"/>
    <x v="683"/>
    <n v="1"/>
    <n v="1812"/>
    <n v="1305"/>
    <n v="1305"/>
    <n v="1812"/>
    <n v="507"/>
    <s v="Product 11"/>
    <x v="5"/>
    <s v="Roger Robertson"/>
    <x v="787"/>
    <n v="6"/>
    <x v="5"/>
    <x v="11"/>
    <x v="11"/>
    <x v="3"/>
    <x v="0"/>
  </r>
  <r>
    <s v="AX22007"/>
    <s v="ENX2037"/>
    <s v="A140"/>
    <s v="EMP1042"/>
    <s v="C1763"/>
    <x v="685"/>
    <n v="1"/>
    <n v="880"/>
    <n v="634"/>
    <n v="634"/>
    <n v="880"/>
    <n v="246"/>
    <s v="Product 38"/>
    <x v="18"/>
    <s v="Scott Clark"/>
    <x v="409"/>
    <n v="6"/>
    <x v="5"/>
    <x v="11"/>
    <x v="11"/>
    <x v="3"/>
    <x v="0"/>
  </r>
  <r>
    <s v="AX22303"/>
    <s v="ENX2007"/>
    <s v="A130"/>
    <s v="EMP1020"/>
    <s v="C1589"/>
    <x v="685"/>
    <n v="2"/>
    <n v="1405"/>
    <n v="1054"/>
    <n v="2108"/>
    <n v="2810"/>
    <n v="702"/>
    <s v="Product 8"/>
    <x v="4"/>
    <s v="Ryan Butler"/>
    <x v="39"/>
    <n v="6"/>
    <x v="5"/>
    <x v="11"/>
    <x v="11"/>
    <x v="3"/>
    <x v="0"/>
  </r>
  <r>
    <s v="AX23311"/>
    <s v="ENX2077"/>
    <s v="A147"/>
    <s v="EMP1024"/>
    <s v="C1254"/>
    <x v="684"/>
    <n v="2"/>
    <n v="530"/>
    <n v="424"/>
    <n v="848"/>
    <n v="1060"/>
    <n v="212"/>
    <s v="Product 78"/>
    <x v="42"/>
    <s v="Ernest Wheeler"/>
    <x v="104"/>
    <n v="6"/>
    <x v="5"/>
    <x v="11"/>
    <x v="11"/>
    <x v="3"/>
    <x v="0"/>
  </r>
  <r>
    <s v="AX23649"/>
    <s v="ENX2021"/>
    <s v="A127"/>
    <s v="EMP1037"/>
    <s v="C1335"/>
    <x v="682"/>
    <n v="4"/>
    <n v="217"/>
    <n v="171"/>
    <n v="684"/>
    <n v="868"/>
    <n v="184"/>
    <s v="Product 22"/>
    <x v="69"/>
    <s v="Carl Hall"/>
    <x v="2"/>
    <n v="6"/>
    <x v="5"/>
    <x v="11"/>
    <x v="11"/>
    <x v="3"/>
    <x v="0"/>
  </r>
  <r>
    <s v="AX24063"/>
    <s v="ENX2081"/>
    <s v="A124"/>
    <s v="EMP1004"/>
    <s v="C1758"/>
    <x v="684"/>
    <n v="2"/>
    <n v="1566"/>
    <n v="1190"/>
    <n v="2380"/>
    <n v="3132"/>
    <n v="752"/>
    <s v="Product 82"/>
    <x v="67"/>
    <s v="Kenneth Bradley"/>
    <x v="329"/>
    <n v="6"/>
    <x v="5"/>
    <x v="11"/>
    <x v="11"/>
    <x v="3"/>
    <x v="0"/>
  </r>
  <r>
    <s v="AX24094"/>
    <s v="ENX2039"/>
    <s v="A113"/>
    <s v="EMP1039"/>
    <s v="C1098"/>
    <x v="684"/>
    <n v="3"/>
    <n v="817"/>
    <n v="409"/>
    <n v="1227"/>
    <n v="2451"/>
    <n v="1224"/>
    <s v="Product 40"/>
    <x v="73"/>
    <s v="Eugene Holmes"/>
    <x v="622"/>
    <n v="6"/>
    <x v="5"/>
    <x v="11"/>
    <x v="11"/>
    <x v="3"/>
    <x v="0"/>
  </r>
  <r>
    <s v="AX24118"/>
    <s v="ENX2052"/>
    <s v="A106"/>
    <s v="EMP1043"/>
    <s v="C1311"/>
    <x v="682"/>
    <n v="3"/>
    <n v="1526"/>
    <n v="1251"/>
    <n v="3753"/>
    <n v="4578"/>
    <n v="825"/>
    <s v="Product 53"/>
    <x v="11"/>
    <s v="Joshua Taylor"/>
    <x v="309"/>
    <n v="6"/>
    <x v="5"/>
    <x v="11"/>
    <x v="11"/>
    <x v="3"/>
    <x v="0"/>
  </r>
  <r>
    <s v="AX24627"/>
    <s v="ENX2089"/>
    <s v="A109"/>
    <s v="EMP1044"/>
    <s v="C1205"/>
    <x v="684"/>
    <n v="4"/>
    <n v="2294"/>
    <n v="1399"/>
    <n v="5596"/>
    <n v="9176"/>
    <n v="3580"/>
    <s v="Product 90"/>
    <x v="57"/>
    <s v="Martin Carr"/>
    <x v="285"/>
    <n v="6"/>
    <x v="5"/>
    <x v="11"/>
    <x v="11"/>
    <x v="3"/>
    <x v="0"/>
  </r>
  <r>
    <s v="AX24726"/>
    <s v="ENX2055"/>
    <s v="A116"/>
    <s v="EMP1021"/>
    <s v="C1479"/>
    <x v="685"/>
    <n v="2"/>
    <n v="2495"/>
    <n v="1896"/>
    <n v="3792"/>
    <n v="4990"/>
    <n v="1198"/>
    <s v="Product 56"/>
    <x v="15"/>
    <s v="Clarence Fox"/>
    <x v="385"/>
    <n v="6"/>
    <x v="5"/>
    <x v="11"/>
    <x v="11"/>
    <x v="3"/>
    <x v="0"/>
  </r>
  <r>
    <s v="AX24728"/>
    <s v="ENX2056"/>
    <s v="A142"/>
    <s v="EMP1020"/>
    <s v="C1397"/>
    <x v="684"/>
    <n v="1"/>
    <n v="1635"/>
    <n v="1046"/>
    <n v="1046"/>
    <n v="1635"/>
    <n v="589"/>
    <s v="Product 57"/>
    <x v="56"/>
    <s v="Ryan Butler"/>
    <x v="560"/>
    <n v="6"/>
    <x v="5"/>
    <x v="11"/>
    <x v="11"/>
    <x v="3"/>
    <x v="0"/>
  </r>
  <r>
    <s v="AX10053"/>
    <s v="ENX2030"/>
    <s v="A116"/>
    <s v="EMP1021"/>
    <s v="C1364"/>
    <x v="686"/>
    <n v="3"/>
    <n v="1899"/>
    <n v="1044"/>
    <n v="3132"/>
    <n v="5697"/>
    <n v="2565"/>
    <s v="Product 31"/>
    <x v="15"/>
    <s v="Clarence Fox"/>
    <x v="477"/>
    <n v="6"/>
    <x v="5"/>
    <x v="11"/>
    <x v="11"/>
    <x v="3"/>
    <x v="2"/>
  </r>
  <r>
    <s v="AX10576"/>
    <s v="ENX2058"/>
    <s v="A141"/>
    <s v="EMP1039"/>
    <s v="C1310"/>
    <x v="687"/>
    <n v="3"/>
    <n v="2257"/>
    <n v="1535"/>
    <n v="4605"/>
    <n v="6771"/>
    <n v="2166"/>
    <s v="Product 59"/>
    <x v="23"/>
    <s v="Eugene Holmes"/>
    <x v="169"/>
    <n v="6"/>
    <x v="5"/>
    <x v="11"/>
    <x v="11"/>
    <x v="3"/>
    <x v="2"/>
  </r>
  <r>
    <s v="AX10600"/>
    <s v="ENX2031"/>
    <s v="A171"/>
    <s v="EMP1024"/>
    <s v="C1066"/>
    <x v="687"/>
    <n v="4"/>
    <n v="1638"/>
    <n v="1261"/>
    <n v="5044"/>
    <n v="6552"/>
    <n v="1508"/>
    <s v="Product 32"/>
    <x v="0"/>
    <s v="Ernest Wheeler"/>
    <x v="124"/>
    <n v="6"/>
    <x v="5"/>
    <x v="11"/>
    <x v="11"/>
    <x v="3"/>
    <x v="2"/>
  </r>
  <r>
    <s v="AX10784"/>
    <s v="ENX2086"/>
    <s v="A119"/>
    <s v="EMP1031"/>
    <s v="C1187"/>
    <x v="686"/>
    <n v="1"/>
    <n v="123"/>
    <n v="84"/>
    <n v="84"/>
    <n v="123"/>
    <n v="39"/>
    <s v="Product 87"/>
    <x v="16"/>
    <s v="Brian Thomas"/>
    <x v="303"/>
    <n v="6"/>
    <x v="5"/>
    <x v="11"/>
    <x v="11"/>
    <x v="3"/>
    <x v="2"/>
  </r>
  <r>
    <s v="AX10849"/>
    <s v="ENX2051"/>
    <s v="A172"/>
    <s v="EMP1024"/>
    <s v="C1584"/>
    <x v="686"/>
    <n v="2"/>
    <n v="1077"/>
    <n v="732"/>
    <n v="1464"/>
    <n v="2154"/>
    <n v="690"/>
    <s v="Product 52"/>
    <x v="36"/>
    <s v="Ernest Wheeler"/>
    <x v="72"/>
    <n v="6"/>
    <x v="5"/>
    <x v="11"/>
    <x v="11"/>
    <x v="3"/>
    <x v="2"/>
  </r>
  <r>
    <s v="AX11283"/>
    <s v="ENX2060"/>
    <s v="A126"/>
    <s v="EMP1003"/>
    <s v="C1737"/>
    <x v="688"/>
    <n v="1"/>
    <n v="1467"/>
    <n v="807"/>
    <n v="807"/>
    <n v="1467"/>
    <n v="660"/>
    <s v="Product 61"/>
    <x v="5"/>
    <s v="Christopher Tucker"/>
    <x v="343"/>
    <n v="6"/>
    <x v="5"/>
    <x v="11"/>
    <x v="11"/>
    <x v="3"/>
    <x v="2"/>
  </r>
  <r>
    <s v="AX11383"/>
    <s v="ENX2017"/>
    <s v="A106"/>
    <s v="EMP1034"/>
    <s v="C1799"/>
    <x v="687"/>
    <n v="1"/>
    <n v="35"/>
    <n v="22"/>
    <n v="22"/>
    <n v="35"/>
    <n v="13"/>
    <s v="Product 18"/>
    <x v="11"/>
    <s v="Arthur Mccoy"/>
    <x v="390"/>
    <n v="6"/>
    <x v="5"/>
    <x v="11"/>
    <x v="11"/>
    <x v="3"/>
    <x v="2"/>
  </r>
  <r>
    <s v="AX11455"/>
    <s v="ENX2037"/>
    <s v="A160"/>
    <s v="EMP1024"/>
    <s v="C1364"/>
    <x v="687"/>
    <n v="1"/>
    <n v="880"/>
    <n v="634"/>
    <n v="634"/>
    <n v="880"/>
    <n v="246"/>
    <s v="Product 38"/>
    <x v="9"/>
    <s v="Ernest Wheeler"/>
    <x v="477"/>
    <n v="6"/>
    <x v="5"/>
    <x v="11"/>
    <x v="11"/>
    <x v="3"/>
    <x v="2"/>
  </r>
  <r>
    <s v="AX12606"/>
    <s v="ENX2049"/>
    <s v="A153"/>
    <s v="EMP1011"/>
    <s v="C1466"/>
    <x v="689"/>
    <n v="1"/>
    <n v="826"/>
    <n v="562"/>
    <n v="562"/>
    <n v="826"/>
    <n v="264"/>
    <s v="Product 50"/>
    <x v="8"/>
    <s v="Larry Marshall"/>
    <x v="132"/>
    <n v="6"/>
    <x v="5"/>
    <x v="11"/>
    <x v="11"/>
    <x v="3"/>
    <x v="2"/>
  </r>
  <r>
    <s v="AX12680"/>
    <s v="ENX2007"/>
    <s v="A113"/>
    <s v="EMP1008"/>
    <s v="C1672"/>
    <x v="687"/>
    <n v="1"/>
    <n v="1405"/>
    <n v="1054"/>
    <n v="1054"/>
    <n v="1405"/>
    <n v="351"/>
    <s v="Product 8"/>
    <x v="73"/>
    <s v="Carl Elliott"/>
    <x v="547"/>
    <n v="6"/>
    <x v="5"/>
    <x v="11"/>
    <x v="11"/>
    <x v="3"/>
    <x v="2"/>
  </r>
  <r>
    <s v="AX12825"/>
    <s v="ENX2004"/>
    <s v="A128"/>
    <s v="EMP1018"/>
    <s v="C1317"/>
    <x v="688"/>
    <n v="2"/>
    <n v="1278"/>
    <n v="665"/>
    <n v="1330"/>
    <n v="2556"/>
    <n v="1226"/>
    <s v="Product 5"/>
    <x v="12"/>
    <s v="Jimmy Young"/>
    <x v="504"/>
    <n v="6"/>
    <x v="5"/>
    <x v="11"/>
    <x v="11"/>
    <x v="3"/>
    <x v="2"/>
  </r>
  <r>
    <s v="AX12930"/>
    <s v="ENX2059"/>
    <s v="A129"/>
    <s v="EMP1020"/>
    <s v="C1506"/>
    <x v="688"/>
    <n v="1"/>
    <n v="1494"/>
    <n v="971"/>
    <n v="971"/>
    <n v="1494"/>
    <n v="523"/>
    <s v="Product 60"/>
    <x v="22"/>
    <s v="Ryan Butler"/>
    <x v="538"/>
    <n v="6"/>
    <x v="5"/>
    <x v="11"/>
    <x v="11"/>
    <x v="3"/>
    <x v="2"/>
  </r>
  <r>
    <s v="AX13107"/>
    <s v="ENX2065"/>
    <s v="A133"/>
    <s v="EMP1013"/>
    <s v="C1183"/>
    <x v="688"/>
    <n v="3"/>
    <n v="2396"/>
    <n v="1965"/>
    <n v="5895"/>
    <n v="7188"/>
    <n v="1293"/>
    <s v="Product 66"/>
    <x v="46"/>
    <s v="Charles Harper"/>
    <x v="404"/>
    <n v="6"/>
    <x v="5"/>
    <x v="11"/>
    <x v="11"/>
    <x v="3"/>
    <x v="2"/>
  </r>
  <r>
    <s v="AX13109"/>
    <s v="ENX2070"/>
    <s v="A123"/>
    <s v="EMP1031"/>
    <s v="C1688"/>
    <x v="688"/>
    <n v="1"/>
    <n v="1671"/>
    <n v="1220"/>
    <n v="1220"/>
    <n v="1671"/>
    <n v="451"/>
    <s v="Product 71"/>
    <x v="34"/>
    <s v="Brian Thomas"/>
    <x v="213"/>
    <n v="6"/>
    <x v="5"/>
    <x v="11"/>
    <x v="11"/>
    <x v="3"/>
    <x v="2"/>
  </r>
  <r>
    <s v="AX13280"/>
    <s v="ENX2053"/>
    <s v="A113"/>
    <s v="EMP1033"/>
    <s v="C1347"/>
    <x v="686"/>
    <n v="2"/>
    <n v="596"/>
    <n v="358"/>
    <n v="716"/>
    <n v="1192"/>
    <n v="476"/>
    <s v="Product 54"/>
    <x v="73"/>
    <s v="Jerry Perry"/>
    <x v="686"/>
    <n v="6"/>
    <x v="5"/>
    <x v="11"/>
    <x v="11"/>
    <x v="3"/>
    <x v="2"/>
  </r>
  <r>
    <s v="AX13464"/>
    <s v="ENX2034"/>
    <s v="A106"/>
    <s v="EMP1013"/>
    <s v="C1452"/>
    <x v="689"/>
    <n v="2"/>
    <n v="871"/>
    <n v="540"/>
    <n v="1080"/>
    <n v="1742"/>
    <n v="662"/>
    <s v="Product 35"/>
    <x v="11"/>
    <s v="Charles Harper"/>
    <x v="234"/>
    <n v="6"/>
    <x v="5"/>
    <x v="11"/>
    <x v="11"/>
    <x v="3"/>
    <x v="2"/>
  </r>
  <r>
    <s v="AX13990"/>
    <s v="ENX2070"/>
    <s v="A146"/>
    <s v="EMP1043"/>
    <s v="C1010"/>
    <x v="687"/>
    <n v="4"/>
    <n v="1671"/>
    <n v="1220"/>
    <n v="4880"/>
    <n v="6684"/>
    <n v="1804"/>
    <s v="Product 71"/>
    <x v="27"/>
    <s v="Joshua Taylor"/>
    <x v="399"/>
    <n v="6"/>
    <x v="5"/>
    <x v="11"/>
    <x v="11"/>
    <x v="3"/>
    <x v="2"/>
  </r>
  <r>
    <s v="AX14303"/>
    <s v="ENX2074"/>
    <s v="A141"/>
    <s v="EMP1015"/>
    <s v="C1073"/>
    <x v="687"/>
    <n v="1"/>
    <n v="504"/>
    <n v="408"/>
    <n v="408"/>
    <n v="504"/>
    <n v="96"/>
    <s v="Product 75"/>
    <x v="23"/>
    <s v="Justin Lynch"/>
    <x v="237"/>
    <n v="6"/>
    <x v="5"/>
    <x v="11"/>
    <x v="11"/>
    <x v="3"/>
    <x v="2"/>
  </r>
  <r>
    <s v="AX14894"/>
    <s v="ENX2059"/>
    <s v="A152"/>
    <s v="EMP1033"/>
    <s v="C1445"/>
    <x v="687"/>
    <n v="3"/>
    <n v="1494"/>
    <n v="971"/>
    <n v="2913"/>
    <n v="4482"/>
    <n v="1569"/>
    <s v="Product 60"/>
    <x v="26"/>
    <s v="Jerry Perry"/>
    <x v="239"/>
    <n v="6"/>
    <x v="5"/>
    <x v="11"/>
    <x v="11"/>
    <x v="3"/>
    <x v="2"/>
  </r>
  <r>
    <s v="AX14955"/>
    <s v="ENX2099"/>
    <s v="A146"/>
    <s v="EMP1041"/>
    <s v="C1087"/>
    <x v="688"/>
    <n v="2"/>
    <n v="1367"/>
    <n v="984"/>
    <n v="1968"/>
    <n v="2734"/>
    <n v="766"/>
    <s v="Product 100"/>
    <x v="27"/>
    <s v="Joe Sims"/>
    <x v="156"/>
    <n v="6"/>
    <x v="5"/>
    <x v="11"/>
    <x v="11"/>
    <x v="3"/>
    <x v="2"/>
  </r>
  <r>
    <s v="AX15118"/>
    <s v="ENX2012"/>
    <s v="A150"/>
    <s v="EMP1026"/>
    <s v="C1425"/>
    <x v="688"/>
    <n v="1"/>
    <n v="1353"/>
    <n v="947"/>
    <n v="947"/>
    <n v="1353"/>
    <n v="406"/>
    <s v="Product 13"/>
    <x v="30"/>
    <s v="Martin Perry"/>
    <x v="474"/>
    <n v="6"/>
    <x v="5"/>
    <x v="11"/>
    <x v="11"/>
    <x v="3"/>
    <x v="2"/>
  </r>
  <r>
    <s v="AX15500"/>
    <s v="ENX2030"/>
    <s v="A102"/>
    <s v="EMP1000"/>
    <s v="C1672"/>
    <x v="687"/>
    <n v="1"/>
    <n v="1899"/>
    <n v="1044"/>
    <n v="1044"/>
    <n v="1899"/>
    <n v="855"/>
    <s v="Product 31"/>
    <x v="44"/>
    <s v="Fred Robertson"/>
    <x v="547"/>
    <n v="6"/>
    <x v="5"/>
    <x v="11"/>
    <x v="11"/>
    <x v="3"/>
    <x v="2"/>
  </r>
  <r>
    <s v="AX15677"/>
    <s v="ENX2079"/>
    <s v="A137"/>
    <s v="EMP1013"/>
    <s v="C1418"/>
    <x v="687"/>
    <n v="4"/>
    <n v="1725"/>
    <n v="1363"/>
    <n v="5452"/>
    <n v="6900"/>
    <n v="1448"/>
    <s v="Product 80"/>
    <x v="68"/>
    <s v="Charles Harper"/>
    <x v="441"/>
    <n v="6"/>
    <x v="5"/>
    <x v="11"/>
    <x v="11"/>
    <x v="3"/>
    <x v="2"/>
  </r>
  <r>
    <s v="AX15981"/>
    <s v="ENX2015"/>
    <s v="A154"/>
    <s v="EMP1002"/>
    <s v="C1481"/>
    <x v="687"/>
    <n v="4"/>
    <n v="637"/>
    <n v="389"/>
    <n v="1556"/>
    <n v="2548"/>
    <n v="992"/>
    <s v="Product 16"/>
    <x v="24"/>
    <s v="Andrew Bowman"/>
    <x v="764"/>
    <n v="6"/>
    <x v="5"/>
    <x v="11"/>
    <x v="11"/>
    <x v="3"/>
    <x v="2"/>
  </r>
  <r>
    <s v="AX16390"/>
    <s v="ENX2074"/>
    <s v="A147"/>
    <s v="EMP1009"/>
    <s v="C1441"/>
    <x v="688"/>
    <n v="1"/>
    <n v="504"/>
    <n v="408"/>
    <n v="408"/>
    <n v="504"/>
    <n v="96"/>
    <s v="Product 75"/>
    <x v="42"/>
    <s v="Kenneth Fields"/>
    <x v="667"/>
    <n v="6"/>
    <x v="5"/>
    <x v="11"/>
    <x v="11"/>
    <x v="3"/>
    <x v="2"/>
  </r>
  <r>
    <s v="AX16488"/>
    <s v="ENX2037"/>
    <s v="A110"/>
    <s v="EMP1028"/>
    <s v="C1344"/>
    <x v="686"/>
    <n v="1"/>
    <n v="880"/>
    <n v="634"/>
    <n v="634"/>
    <n v="880"/>
    <n v="246"/>
    <s v="Product 38"/>
    <x v="63"/>
    <s v="Howard Sims"/>
    <x v="22"/>
    <n v="6"/>
    <x v="5"/>
    <x v="11"/>
    <x v="11"/>
    <x v="3"/>
    <x v="2"/>
  </r>
  <r>
    <s v="AX16874"/>
    <s v="ENX2062"/>
    <s v="A116"/>
    <s v="EMP1040"/>
    <s v="C1738"/>
    <x v="687"/>
    <n v="3"/>
    <n v="2464"/>
    <n v="1774"/>
    <n v="5322"/>
    <n v="7392"/>
    <n v="2070"/>
    <s v="Product 63"/>
    <x v="15"/>
    <s v="Patrick Ruiz"/>
    <x v="35"/>
    <n v="6"/>
    <x v="5"/>
    <x v="11"/>
    <x v="11"/>
    <x v="3"/>
    <x v="2"/>
  </r>
  <r>
    <s v="AX17111"/>
    <s v="ENX2100"/>
    <s v="A119"/>
    <s v="EMP1013"/>
    <s v="C1240"/>
    <x v="687"/>
    <n v="2"/>
    <n v="799"/>
    <n v="455"/>
    <n v="910"/>
    <n v="1598"/>
    <n v="688"/>
    <s v="Product 101"/>
    <x v="16"/>
    <s v="Charles Harper"/>
    <x v="455"/>
    <n v="6"/>
    <x v="5"/>
    <x v="11"/>
    <x v="11"/>
    <x v="3"/>
    <x v="2"/>
  </r>
  <r>
    <s v="AX17489"/>
    <s v="ENX2090"/>
    <s v="A117"/>
    <s v="EMP1013"/>
    <s v="C1506"/>
    <x v="689"/>
    <n v="1"/>
    <n v="1338"/>
    <n v="682"/>
    <n v="682"/>
    <n v="1338"/>
    <n v="656"/>
    <s v="Product 91"/>
    <x v="29"/>
    <s v="Charles Harper"/>
    <x v="538"/>
    <n v="6"/>
    <x v="5"/>
    <x v="11"/>
    <x v="11"/>
    <x v="3"/>
    <x v="2"/>
  </r>
  <r>
    <s v="AX17638"/>
    <s v="ENX2048"/>
    <s v="A168"/>
    <s v="EMP1015"/>
    <s v="C1643"/>
    <x v="686"/>
    <n v="1"/>
    <n v="502"/>
    <n v="296"/>
    <n v="296"/>
    <n v="502"/>
    <n v="206"/>
    <s v="Product 49"/>
    <x v="40"/>
    <s v="Justin Lynch"/>
    <x v="142"/>
    <n v="6"/>
    <x v="5"/>
    <x v="11"/>
    <x v="11"/>
    <x v="3"/>
    <x v="2"/>
  </r>
  <r>
    <s v="AX18847"/>
    <s v="ENX2003"/>
    <s v="A164"/>
    <s v="EMP1042"/>
    <s v="C1518"/>
    <x v="688"/>
    <n v="1"/>
    <n v="1783"/>
    <n v="1516"/>
    <n v="1516"/>
    <n v="1783"/>
    <n v="267"/>
    <s v="Product 4"/>
    <x v="3"/>
    <s v="Scott Clark"/>
    <x v="703"/>
    <n v="6"/>
    <x v="5"/>
    <x v="11"/>
    <x v="11"/>
    <x v="3"/>
    <x v="2"/>
  </r>
  <r>
    <s v="AX19261"/>
    <s v="ENX2096"/>
    <s v="A133"/>
    <s v="EMP1001"/>
    <s v="C1149"/>
    <x v="689"/>
    <n v="1"/>
    <n v="1587"/>
    <n v="1301"/>
    <n v="1301"/>
    <n v="1587"/>
    <n v="286"/>
    <s v="Product 97"/>
    <x v="46"/>
    <s v="Kevin Butler"/>
    <x v="514"/>
    <n v="6"/>
    <x v="5"/>
    <x v="11"/>
    <x v="11"/>
    <x v="3"/>
    <x v="2"/>
  </r>
  <r>
    <s v="AX20072"/>
    <s v="ENX2042"/>
    <s v="A103"/>
    <s v="EMP1036"/>
    <s v="C1684"/>
    <x v="689"/>
    <n v="1"/>
    <n v="203"/>
    <n v="154"/>
    <n v="154"/>
    <n v="203"/>
    <n v="49"/>
    <s v="Product 43"/>
    <x v="61"/>
    <s v="Robert Reed"/>
    <x v="258"/>
    <n v="6"/>
    <x v="5"/>
    <x v="11"/>
    <x v="11"/>
    <x v="3"/>
    <x v="2"/>
  </r>
  <r>
    <s v="AX20359"/>
    <s v="ENX2096"/>
    <s v="A100"/>
    <s v="EMP1015"/>
    <s v="C1250"/>
    <x v="688"/>
    <n v="2"/>
    <n v="1587"/>
    <n v="1301"/>
    <n v="2602"/>
    <n v="3174"/>
    <n v="572"/>
    <s v="Product 97"/>
    <x v="52"/>
    <s v="Justin Lynch"/>
    <x v="705"/>
    <n v="6"/>
    <x v="5"/>
    <x v="11"/>
    <x v="11"/>
    <x v="3"/>
    <x v="2"/>
  </r>
  <r>
    <s v="AX20412"/>
    <s v="ENX2067"/>
    <s v="A125"/>
    <s v="EMP1039"/>
    <s v="C1594"/>
    <x v="687"/>
    <n v="3"/>
    <n v="1119"/>
    <n v="683"/>
    <n v="2049"/>
    <n v="3357"/>
    <n v="1308"/>
    <s v="Product 68"/>
    <x v="31"/>
    <s v="Eugene Holmes"/>
    <x v="770"/>
    <n v="6"/>
    <x v="5"/>
    <x v="11"/>
    <x v="11"/>
    <x v="3"/>
    <x v="2"/>
  </r>
  <r>
    <s v="AX22135"/>
    <s v="ENX2002"/>
    <s v="A138"/>
    <s v="EMP1039"/>
    <s v="C1430"/>
    <x v="688"/>
    <n v="2"/>
    <n v="847"/>
    <n v="534"/>
    <n v="1068"/>
    <n v="1694"/>
    <n v="626"/>
    <s v="Product 3"/>
    <x v="37"/>
    <s v="Eugene Holmes"/>
    <x v="741"/>
    <n v="6"/>
    <x v="5"/>
    <x v="11"/>
    <x v="11"/>
    <x v="3"/>
    <x v="2"/>
  </r>
  <r>
    <s v="AX22226"/>
    <s v="ENX2059"/>
    <s v="A157"/>
    <s v="EMP1043"/>
    <s v="C1460"/>
    <x v="689"/>
    <n v="1"/>
    <n v="1494"/>
    <n v="971"/>
    <n v="971"/>
    <n v="1494"/>
    <n v="523"/>
    <s v="Product 60"/>
    <x v="7"/>
    <s v="Joshua Taylor"/>
    <x v="613"/>
    <n v="6"/>
    <x v="5"/>
    <x v="11"/>
    <x v="11"/>
    <x v="3"/>
    <x v="2"/>
  </r>
  <r>
    <s v="AX22629"/>
    <s v="ENX2100"/>
    <s v="A104"/>
    <s v="EMP1008"/>
    <s v="C1736"/>
    <x v="688"/>
    <n v="1"/>
    <n v="799"/>
    <n v="455"/>
    <n v="455"/>
    <n v="799"/>
    <n v="344"/>
    <s v="Product 101"/>
    <x v="50"/>
    <s v="Carl Elliott"/>
    <x v="472"/>
    <n v="6"/>
    <x v="5"/>
    <x v="11"/>
    <x v="11"/>
    <x v="3"/>
    <x v="2"/>
  </r>
  <r>
    <s v="AX22642"/>
    <s v="ENX2032"/>
    <s v="A168"/>
    <s v="EMP1008"/>
    <s v="C1684"/>
    <x v="686"/>
    <n v="1"/>
    <n v="1967"/>
    <n v="1397"/>
    <n v="1397"/>
    <n v="1967"/>
    <n v="570"/>
    <s v="Product 33"/>
    <x v="40"/>
    <s v="Carl Elliott"/>
    <x v="258"/>
    <n v="6"/>
    <x v="5"/>
    <x v="11"/>
    <x v="11"/>
    <x v="3"/>
    <x v="2"/>
  </r>
  <r>
    <s v="AX22953"/>
    <s v="ENX2036"/>
    <s v="A133"/>
    <s v="EMP1016"/>
    <s v="C1489"/>
    <x v="686"/>
    <n v="3"/>
    <n v="1582"/>
    <n v="1234"/>
    <n v="3702"/>
    <n v="4746"/>
    <n v="1044"/>
    <s v="Product 37"/>
    <x v="46"/>
    <s v="Henry Nelson"/>
    <x v="19"/>
    <n v="6"/>
    <x v="5"/>
    <x v="11"/>
    <x v="11"/>
    <x v="3"/>
    <x v="2"/>
  </r>
  <r>
    <s v="AX23620"/>
    <s v="ENX2092"/>
    <s v="A102"/>
    <s v="EMP1001"/>
    <s v="C1450"/>
    <x v="688"/>
    <n v="3"/>
    <n v="1639"/>
    <n v="1295"/>
    <n v="3885"/>
    <n v="4917"/>
    <n v="1032"/>
    <s v="Product 93"/>
    <x v="44"/>
    <s v="Kevin Butler"/>
    <x v="13"/>
    <n v="6"/>
    <x v="5"/>
    <x v="11"/>
    <x v="11"/>
    <x v="3"/>
    <x v="2"/>
  </r>
  <r>
    <s v="AX24127"/>
    <s v="ENX2076"/>
    <s v="A158"/>
    <s v="EMP1026"/>
    <s v="C1522"/>
    <x v="689"/>
    <n v="1"/>
    <n v="1522"/>
    <n v="791"/>
    <n v="791"/>
    <n v="1522"/>
    <n v="731"/>
    <s v="Product 77"/>
    <x v="58"/>
    <s v="Martin Perry"/>
    <x v="121"/>
    <n v="6"/>
    <x v="5"/>
    <x v="11"/>
    <x v="11"/>
    <x v="3"/>
    <x v="2"/>
  </r>
  <r>
    <s v="AX24456"/>
    <s v="ENX2047"/>
    <s v="A162"/>
    <s v="EMP1041"/>
    <s v="C1149"/>
    <x v="688"/>
    <n v="2"/>
    <n v="290"/>
    <n v="200"/>
    <n v="400"/>
    <n v="580"/>
    <n v="180"/>
    <s v="Product 48"/>
    <x v="2"/>
    <s v="Joe Sims"/>
    <x v="514"/>
    <n v="6"/>
    <x v="5"/>
    <x v="11"/>
    <x v="11"/>
    <x v="3"/>
    <x v="2"/>
  </r>
  <r>
    <s v="AX24754"/>
    <s v="ENX2039"/>
    <s v="A143"/>
    <s v="EMP1032"/>
    <s v="C1601"/>
    <x v="689"/>
    <n v="4"/>
    <n v="817"/>
    <n v="409"/>
    <n v="1636"/>
    <n v="3268"/>
    <n v="1632"/>
    <s v="Product 40"/>
    <x v="39"/>
    <s v="Larry Castillo"/>
    <x v="324"/>
    <n v="6"/>
    <x v="5"/>
    <x v="11"/>
    <x v="11"/>
    <x v="3"/>
    <x v="2"/>
  </r>
  <r>
    <s v="AX24856"/>
    <s v="ENX2000"/>
    <s v="A143"/>
    <s v="EMP1023"/>
    <s v="C1633"/>
    <x v="687"/>
    <n v="2"/>
    <n v="2241"/>
    <n v="1367"/>
    <n v="2734"/>
    <n v="4482"/>
    <n v="1748"/>
    <s v="Product 1"/>
    <x v="39"/>
    <s v="Brian Davis"/>
    <x v="558"/>
    <n v="6"/>
    <x v="5"/>
    <x v="11"/>
    <x v="11"/>
    <x v="3"/>
    <x v="2"/>
  </r>
  <r>
    <s v="AX10214"/>
    <s v="ENX2068"/>
    <s v="A149"/>
    <s v="EMP1044"/>
    <s v="C1274"/>
    <x v="690"/>
    <n v="1"/>
    <n v="1500"/>
    <n v="900"/>
    <n v="900"/>
    <n v="1500"/>
    <n v="600"/>
    <s v="Product 69"/>
    <x v="59"/>
    <s v="Martin Carr"/>
    <x v="173"/>
    <n v="7"/>
    <x v="6"/>
    <x v="0"/>
    <x v="0"/>
    <x v="0"/>
    <x v="0"/>
  </r>
  <r>
    <s v="AX10288"/>
    <s v="ENX2097"/>
    <s v="A150"/>
    <s v="EMP1044"/>
    <s v="C1459"/>
    <x v="691"/>
    <n v="1"/>
    <n v="1052"/>
    <n v="589"/>
    <n v="589"/>
    <n v="1052"/>
    <n v="463"/>
    <s v="Product 98"/>
    <x v="30"/>
    <s v="Martin Carr"/>
    <x v="330"/>
    <n v="7"/>
    <x v="6"/>
    <x v="0"/>
    <x v="0"/>
    <x v="0"/>
    <x v="0"/>
  </r>
  <r>
    <s v="AX10681"/>
    <s v="ENX2052"/>
    <s v="A143"/>
    <s v="EMP1021"/>
    <s v="C1560"/>
    <x v="690"/>
    <n v="4"/>
    <n v="1526"/>
    <n v="1251"/>
    <n v="5004"/>
    <n v="6104"/>
    <n v="1100"/>
    <s v="Product 53"/>
    <x v="39"/>
    <s v="Clarence Fox"/>
    <x v="208"/>
    <n v="7"/>
    <x v="6"/>
    <x v="0"/>
    <x v="0"/>
    <x v="0"/>
    <x v="0"/>
  </r>
  <r>
    <s v="AX10969"/>
    <s v="ENX2027"/>
    <s v="A115"/>
    <s v="EMP1026"/>
    <s v="C1784"/>
    <x v="690"/>
    <n v="1"/>
    <n v="2497"/>
    <n v="1473"/>
    <n v="1473"/>
    <n v="2497"/>
    <n v="1024"/>
    <s v="Product 28"/>
    <x v="33"/>
    <s v="Martin Perry"/>
    <x v="397"/>
    <n v="7"/>
    <x v="6"/>
    <x v="0"/>
    <x v="0"/>
    <x v="0"/>
    <x v="0"/>
  </r>
  <r>
    <s v="AX11225"/>
    <s v="ENX2006"/>
    <s v="A117"/>
    <s v="EMP1006"/>
    <s v="C1314"/>
    <x v="692"/>
    <n v="1"/>
    <n v="1826"/>
    <n v="1443"/>
    <n v="1443"/>
    <n v="1826"/>
    <n v="383"/>
    <s v="Product 7"/>
    <x v="29"/>
    <s v="Sean Miller"/>
    <x v="421"/>
    <n v="7"/>
    <x v="6"/>
    <x v="0"/>
    <x v="0"/>
    <x v="0"/>
    <x v="0"/>
  </r>
  <r>
    <s v="AX11321"/>
    <s v="ENX2072"/>
    <s v="A157"/>
    <s v="EMP1044"/>
    <s v="C1086"/>
    <x v="690"/>
    <n v="2"/>
    <n v="1887"/>
    <n v="1378"/>
    <n v="2756"/>
    <n v="3774"/>
    <n v="1018"/>
    <s v="Product 73"/>
    <x v="7"/>
    <s v="Martin Carr"/>
    <x v="769"/>
    <n v="7"/>
    <x v="6"/>
    <x v="0"/>
    <x v="0"/>
    <x v="0"/>
    <x v="0"/>
  </r>
  <r>
    <s v="AX11364"/>
    <s v="ENX2024"/>
    <s v="A116"/>
    <s v="EMP1038"/>
    <s v="C1400"/>
    <x v="691"/>
    <n v="3"/>
    <n v="356"/>
    <n v="292"/>
    <n v="876"/>
    <n v="1068"/>
    <n v="192"/>
    <s v="Product 25"/>
    <x v="15"/>
    <s v="Scott Mason"/>
    <x v="437"/>
    <n v="7"/>
    <x v="6"/>
    <x v="0"/>
    <x v="0"/>
    <x v="0"/>
    <x v="0"/>
  </r>
  <r>
    <s v="AX11573"/>
    <s v="ENX2042"/>
    <s v="A152"/>
    <s v="EMP1001"/>
    <s v="C1264"/>
    <x v="693"/>
    <n v="1"/>
    <n v="203"/>
    <n v="154"/>
    <n v="154"/>
    <n v="203"/>
    <n v="49"/>
    <s v="Product 43"/>
    <x v="26"/>
    <s v="Kevin Butler"/>
    <x v="206"/>
    <n v="7"/>
    <x v="6"/>
    <x v="0"/>
    <x v="0"/>
    <x v="0"/>
    <x v="0"/>
  </r>
  <r>
    <s v="AX11630"/>
    <s v="ENX2029"/>
    <s v="A104"/>
    <s v="EMP1026"/>
    <s v="C1623"/>
    <x v="693"/>
    <n v="4"/>
    <n v="1848"/>
    <n v="1294"/>
    <n v="5176"/>
    <n v="7392"/>
    <n v="2216"/>
    <s v="Product 30"/>
    <x v="50"/>
    <s v="Martin Perry"/>
    <x v="282"/>
    <n v="7"/>
    <x v="6"/>
    <x v="0"/>
    <x v="0"/>
    <x v="0"/>
    <x v="0"/>
  </r>
  <r>
    <s v="AX11762"/>
    <s v="ENX2019"/>
    <s v="A163"/>
    <s v="EMP1004"/>
    <s v="C1333"/>
    <x v="692"/>
    <n v="3"/>
    <n v="800"/>
    <n v="536"/>
    <n v="1608"/>
    <n v="2400"/>
    <n v="792"/>
    <s v="Product 20"/>
    <x v="51"/>
    <s v="Kenneth Bradley"/>
    <x v="673"/>
    <n v="7"/>
    <x v="6"/>
    <x v="0"/>
    <x v="0"/>
    <x v="0"/>
    <x v="0"/>
  </r>
  <r>
    <s v="AX11827"/>
    <s v="ENX2034"/>
    <s v="A120"/>
    <s v="EMP1036"/>
    <s v="C1622"/>
    <x v="692"/>
    <n v="2"/>
    <n v="871"/>
    <n v="540"/>
    <n v="1080"/>
    <n v="1742"/>
    <n v="662"/>
    <s v="Product 35"/>
    <x v="20"/>
    <s v="Robert Reed"/>
    <x v="548"/>
    <n v="7"/>
    <x v="6"/>
    <x v="0"/>
    <x v="0"/>
    <x v="0"/>
    <x v="0"/>
  </r>
  <r>
    <s v="AX12239"/>
    <s v="ENX2069"/>
    <s v="A133"/>
    <s v="EMP1016"/>
    <s v="C1122"/>
    <x v="692"/>
    <n v="4"/>
    <n v="378"/>
    <n v="291"/>
    <n v="1164"/>
    <n v="1512"/>
    <n v="348"/>
    <s v="Product 70"/>
    <x v="46"/>
    <s v="Henry Nelson"/>
    <x v="84"/>
    <n v="7"/>
    <x v="6"/>
    <x v="0"/>
    <x v="0"/>
    <x v="0"/>
    <x v="0"/>
  </r>
  <r>
    <s v="AX12314"/>
    <s v="ENX2013"/>
    <s v="A134"/>
    <s v="EMP1012"/>
    <s v="C1095"/>
    <x v="691"/>
    <n v="1"/>
    <n v="368"/>
    <n v="269"/>
    <n v="269"/>
    <n v="368"/>
    <n v="99"/>
    <s v="Product 14"/>
    <x v="41"/>
    <s v="John Reyes"/>
    <x v="240"/>
    <n v="7"/>
    <x v="6"/>
    <x v="0"/>
    <x v="0"/>
    <x v="0"/>
    <x v="0"/>
  </r>
  <r>
    <s v="AX12721"/>
    <s v="ENX2076"/>
    <s v="A116"/>
    <s v="EMP1014"/>
    <s v="C1086"/>
    <x v="691"/>
    <n v="1"/>
    <n v="1522"/>
    <n v="791"/>
    <n v="791"/>
    <n v="1522"/>
    <n v="731"/>
    <s v="Product 77"/>
    <x v="15"/>
    <s v="Ronald Reed"/>
    <x v="769"/>
    <n v="7"/>
    <x v="6"/>
    <x v="0"/>
    <x v="0"/>
    <x v="0"/>
    <x v="0"/>
  </r>
  <r>
    <s v="AX13175"/>
    <s v="ENX2050"/>
    <s v="A152"/>
    <s v="EMP1028"/>
    <s v="C1022"/>
    <x v="692"/>
    <n v="4"/>
    <n v="2391"/>
    <n v="1291"/>
    <n v="5164"/>
    <n v="9564"/>
    <n v="4400"/>
    <s v="Product 51"/>
    <x v="26"/>
    <s v="Howard Sims"/>
    <x v="249"/>
    <n v="7"/>
    <x v="6"/>
    <x v="0"/>
    <x v="0"/>
    <x v="0"/>
    <x v="0"/>
  </r>
  <r>
    <s v="AX13269"/>
    <s v="ENX2055"/>
    <s v="A131"/>
    <s v="EMP1006"/>
    <s v="C1007"/>
    <x v="691"/>
    <n v="1"/>
    <n v="2495"/>
    <n v="1896"/>
    <n v="1896"/>
    <n v="2495"/>
    <n v="599"/>
    <s v="Product 56"/>
    <x v="32"/>
    <s v="Sean Miller"/>
    <x v="413"/>
    <n v="7"/>
    <x v="6"/>
    <x v="0"/>
    <x v="0"/>
    <x v="0"/>
    <x v="0"/>
  </r>
  <r>
    <s v="AX13408"/>
    <s v="ENX2034"/>
    <s v="A109"/>
    <s v="EMP1038"/>
    <s v="C1382"/>
    <x v="691"/>
    <n v="3"/>
    <n v="871"/>
    <n v="540"/>
    <n v="1620"/>
    <n v="2613"/>
    <n v="993"/>
    <s v="Product 35"/>
    <x v="57"/>
    <s v="Scott Mason"/>
    <x v="334"/>
    <n v="7"/>
    <x v="6"/>
    <x v="0"/>
    <x v="0"/>
    <x v="0"/>
    <x v="0"/>
  </r>
  <r>
    <s v="AX13959"/>
    <s v="ENX2063"/>
    <s v="A114"/>
    <s v="EMP1034"/>
    <s v="C1211"/>
    <x v="690"/>
    <n v="4"/>
    <n v="1708"/>
    <n v="871"/>
    <n v="3484"/>
    <n v="6832"/>
    <n v="3348"/>
    <s v="Product 64"/>
    <x v="28"/>
    <s v="Arthur Mccoy"/>
    <x v="137"/>
    <n v="7"/>
    <x v="6"/>
    <x v="0"/>
    <x v="0"/>
    <x v="0"/>
    <x v="0"/>
  </r>
  <r>
    <s v="AX14016"/>
    <s v="ENX2100"/>
    <s v="A102"/>
    <s v="EMP1007"/>
    <s v="C1349"/>
    <x v="693"/>
    <n v="2"/>
    <n v="799"/>
    <n v="455"/>
    <n v="910"/>
    <n v="1598"/>
    <n v="688"/>
    <s v="Product 101"/>
    <x v="44"/>
    <s v="Jeremy Mendoza"/>
    <x v="501"/>
    <n v="7"/>
    <x v="6"/>
    <x v="0"/>
    <x v="0"/>
    <x v="0"/>
    <x v="0"/>
  </r>
  <r>
    <s v="AX14871"/>
    <s v="ENX2052"/>
    <s v="A162"/>
    <s v="EMP1034"/>
    <s v="C1612"/>
    <x v="691"/>
    <n v="1"/>
    <n v="1526"/>
    <n v="1251"/>
    <n v="1251"/>
    <n v="1526"/>
    <n v="275"/>
    <s v="Product 53"/>
    <x v="2"/>
    <s v="Arthur Mccoy"/>
    <x v="46"/>
    <n v="7"/>
    <x v="6"/>
    <x v="0"/>
    <x v="0"/>
    <x v="0"/>
    <x v="0"/>
  </r>
  <r>
    <s v="AX15054"/>
    <s v="ENX2086"/>
    <s v="A121"/>
    <s v="EMP1023"/>
    <s v="C1261"/>
    <x v="692"/>
    <n v="2"/>
    <n v="123"/>
    <n v="84"/>
    <n v="168"/>
    <n v="246"/>
    <n v="78"/>
    <s v="Product 87"/>
    <x v="72"/>
    <s v="Brian Davis"/>
    <x v="295"/>
    <n v="7"/>
    <x v="6"/>
    <x v="0"/>
    <x v="0"/>
    <x v="0"/>
    <x v="0"/>
  </r>
  <r>
    <s v="AX15253"/>
    <s v="ENX2025"/>
    <s v="A117"/>
    <s v="EMP1001"/>
    <s v="C1105"/>
    <x v="692"/>
    <n v="1"/>
    <n v="667"/>
    <n v="387"/>
    <n v="387"/>
    <n v="667"/>
    <n v="280"/>
    <s v="Product 26"/>
    <x v="29"/>
    <s v="Kevin Butler"/>
    <x v="15"/>
    <n v="7"/>
    <x v="6"/>
    <x v="0"/>
    <x v="0"/>
    <x v="0"/>
    <x v="0"/>
  </r>
  <r>
    <s v="AX15366"/>
    <s v="ENX2058"/>
    <s v="A135"/>
    <s v="EMP1001"/>
    <s v="C1210"/>
    <x v="692"/>
    <n v="1"/>
    <n v="2257"/>
    <n v="1535"/>
    <n v="1535"/>
    <n v="2257"/>
    <n v="722"/>
    <s v="Product 59"/>
    <x v="10"/>
    <s v="Kevin Butler"/>
    <x v="629"/>
    <n v="7"/>
    <x v="6"/>
    <x v="0"/>
    <x v="0"/>
    <x v="0"/>
    <x v="0"/>
  </r>
  <r>
    <s v="AX15537"/>
    <s v="ENX2070"/>
    <s v="A112"/>
    <s v="EMP1023"/>
    <s v="C1471"/>
    <x v="690"/>
    <n v="1"/>
    <n v="1671"/>
    <n v="1220"/>
    <n v="1220"/>
    <n v="1671"/>
    <n v="451"/>
    <s v="Product 71"/>
    <x v="66"/>
    <s v="Brian Davis"/>
    <x v="586"/>
    <n v="7"/>
    <x v="6"/>
    <x v="0"/>
    <x v="0"/>
    <x v="0"/>
    <x v="0"/>
  </r>
  <r>
    <s v="AX15628"/>
    <s v="ENX2052"/>
    <s v="A156"/>
    <s v="EMP1009"/>
    <s v="C1522"/>
    <x v="690"/>
    <n v="4"/>
    <n v="1526"/>
    <n v="1251"/>
    <n v="5004"/>
    <n v="6104"/>
    <n v="1100"/>
    <s v="Product 53"/>
    <x v="14"/>
    <s v="Kenneth Fields"/>
    <x v="121"/>
    <n v="7"/>
    <x v="6"/>
    <x v="0"/>
    <x v="0"/>
    <x v="0"/>
    <x v="0"/>
  </r>
  <r>
    <s v="AX15827"/>
    <s v="ENX2062"/>
    <s v="A166"/>
    <s v="EMP1004"/>
    <s v="C1596"/>
    <x v="692"/>
    <n v="3"/>
    <n v="2464"/>
    <n v="1774"/>
    <n v="5322"/>
    <n v="7392"/>
    <n v="2070"/>
    <s v="Product 63"/>
    <x v="70"/>
    <s v="Kenneth Bradley"/>
    <x v="217"/>
    <n v="7"/>
    <x v="6"/>
    <x v="0"/>
    <x v="0"/>
    <x v="0"/>
    <x v="0"/>
  </r>
  <r>
    <s v="AX15832"/>
    <s v="ENX2063"/>
    <s v="A129"/>
    <s v="EMP1001"/>
    <s v="C1014"/>
    <x v="692"/>
    <n v="1"/>
    <n v="1708"/>
    <n v="871"/>
    <n v="871"/>
    <n v="1708"/>
    <n v="837"/>
    <s v="Product 64"/>
    <x v="22"/>
    <s v="Kevin Butler"/>
    <x v="26"/>
    <n v="7"/>
    <x v="6"/>
    <x v="0"/>
    <x v="0"/>
    <x v="0"/>
    <x v="0"/>
  </r>
  <r>
    <s v="AX16393"/>
    <s v="ENX2011"/>
    <s v="A101"/>
    <s v="EMP1011"/>
    <s v="C1277"/>
    <x v="691"/>
    <n v="1"/>
    <n v="530"/>
    <n v="435"/>
    <n v="435"/>
    <n v="530"/>
    <n v="95"/>
    <s v="Product 12"/>
    <x v="60"/>
    <s v="Larry Marshall"/>
    <x v="151"/>
    <n v="7"/>
    <x v="6"/>
    <x v="0"/>
    <x v="0"/>
    <x v="0"/>
    <x v="0"/>
  </r>
  <r>
    <s v="AX16656"/>
    <s v="ENX2095"/>
    <s v="A101"/>
    <s v="EMP1023"/>
    <s v="C1169"/>
    <x v="691"/>
    <n v="3"/>
    <n v="1743"/>
    <n v="872"/>
    <n v="2616"/>
    <n v="5229"/>
    <n v="2613"/>
    <s v="Product 96"/>
    <x v="60"/>
    <s v="Brian Davis"/>
    <x v="293"/>
    <n v="7"/>
    <x v="6"/>
    <x v="0"/>
    <x v="0"/>
    <x v="0"/>
    <x v="0"/>
  </r>
  <r>
    <s v="AX16663"/>
    <s v="ENX2096"/>
    <s v="A163"/>
    <s v="EMP1016"/>
    <s v="C1666"/>
    <x v="691"/>
    <n v="2"/>
    <n v="1587"/>
    <n v="1301"/>
    <n v="2602"/>
    <n v="3174"/>
    <n v="572"/>
    <s v="Product 97"/>
    <x v="51"/>
    <s v="Henry Nelson"/>
    <x v="473"/>
    <n v="7"/>
    <x v="6"/>
    <x v="0"/>
    <x v="0"/>
    <x v="0"/>
    <x v="0"/>
  </r>
  <r>
    <s v="AX16890"/>
    <s v="ENX2074"/>
    <s v="A143"/>
    <s v="EMP1014"/>
    <s v="C1029"/>
    <x v="692"/>
    <n v="1"/>
    <n v="504"/>
    <n v="408"/>
    <n v="408"/>
    <n v="504"/>
    <n v="96"/>
    <s v="Product 75"/>
    <x v="39"/>
    <s v="Ronald Reed"/>
    <x v="601"/>
    <n v="7"/>
    <x v="6"/>
    <x v="0"/>
    <x v="0"/>
    <x v="0"/>
    <x v="0"/>
  </r>
  <r>
    <s v="AX17341"/>
    <s v="ENX2092"/>
    <s v="A159"/>
    <s v="EMP1001"/>
    <s v="C1553"/>
    <x v="691"/>
    <n v="1"/>
    <n v="1639"/>
    <n v="1295"/>
    <n v="1295"/>
    <n v="1639"/>
    <n v="344"/>
    <s v="Product 93"/>
    <x v="13"/>
    <s v="Kevin Butler"/>
    <x v="726"/>
    <n v="7"/>
    <x v="6"/>
    <x v="0"/>
    <x v="0"/>
    <x v="0"/>
    <x v="0"/>
  </r>
  <r>
    <s v="AX17407"/>
    <s v="ENX2019"/>
    <s v="A128"/>
    <s v="EMP1032"/>
    <s v="C1197"/>
    <x v="693"/>
    <n v="4"/>
    <n v="800"/>
    <n v="536"/>
    <n v="2144"/>
    <n v="3200"/>
    <n v="1056"/>
    <s v="Product 20"/>
    <x v="12"/>
    <s v="Larry Castillo"/>
    <x v="718"/>
    <n v="7"/>
    <x v="6"/>
    <x v="0"/>
    <x v="0"/>
    <x v="0"/>
    <x v="0"/>
  </r>
  <r>
    <s v="AX18008"/>
    <s v="ENX2031"/>
    <s v="A120"/>
    <s v="EMP1009"/>
    <s v="C1033"/>
    <x v="692"/>
    <n v="1"/>
    <n v="1638"/>
    <n v="1261"/>
    <n v="1261"/>
    <n v="1638"/>
    <n v="377"/>
    <s v="Product 32"/>
    <x v="20"/>
    <s v="Kenneth Fields"/>
    <x v="515"/>
    <n v="7"/>
    <x v="6"/>
    <x v="0"/>
    <x v="0"/>
    <x v="0"/>
    <x v="0"/>
  </r>
  <r>
    <s v="AX18325"/>
    <s v="ENX2032"/>
    <s v="A152"/>
    <s v="EMP1014"/>
    <s v="C1759"/>
    <x v="693"/>
    <n v="3"/>
    <n v="1967"/>
    <n v="1397"/>
    <n v="4191"/>
    <n v="5901"/>
    <n v="1710"/>
    <s v="Product 33"/>
    <x v="26"/>
    <s v="Ronald Reed"/>
    <x v="355"/>
    <n v="7"/>
    <x v="6"/>
    <x v="0"/>
    <x v="0"/>
    <x v="0"/>
    <x v="0"/>
  </r>
  <r>
    <s v="AX18326"/>
    <s v="ENX2025"/>
    <s v="A108"/>
    <s v="EMP1002"/>
    <s v="C1743"/>
    <x v="693"/>
    <n v="1"/>
    <n v="667"/>
    <n v="387"/>
    <n v="387"/>
    <n v="667"/>
    <n v="280"/>
    <s v="Product 26"/>
    <x v="49"/>
    <s v="Andrew Bowman"/>
    <x v="276"/>
    <n v="7"/>
    <x v="6"/>
    <x v="0"/>
    <x v="0"/>
    <x v="0"/>
    <x v="0"/>
  </r>
  <r>
    <s v="AX18327"/>
    <s v="ENX2098"/>
    <s v="A170"/>
    <s v="EMP1004"/>
    <s v="C1623"/>
    <x v="691"/>
    <n v="2"/>
    <n v="1178"/>
    <n v="683"/>
    <n v="1366"/>
    <n v="2356"/>
    <n v="990"/>
    <s v="Product 99"/>
    <x v="47"/>
    <s v="Kenneth Bradley"/>
    <x v="282"/>
    <n v="7"/>
    <x v="6"/>
    <x v="0"/>
    <x v="0"/>
    <x v="0"/>
    <x v="0"/>
  </r>
  <r>
    <s v="AX18330"/>
    <s v="ENX2071"/>
    <s v="A159"/>
    <s v="EMP1023"/>
    <s v="C1799"/>
    <x v="693"/>
    <n v="2"/>
    <n v="136"/>
    <n v="72"/>
    <n v="144"/>
    <n v="272"/>
    <n v="128"/>
    <s v="Product 72"/>
    <x v="13"/>
    <s v="Brian Davis"/>
    <x v="390"/>
    <n v="7"/>
    <x v="6"/>
    <x v="0"/>
    <x v="0"/>
    <x v="0"/>
    <x v="0"/>
  </r>
  <r>
    <s v="AX18788"/>
    <s v="ENX2029"/>
    <s v="A124"/>
    <s v="EMP1025"/>
    <s v="C1339"/>
    <x v="690"/>
    <n v="1"/>
    <n v="1848"/>
    <n v="1294"/>
    <n v="1294"/>
    <n v="1848"/>
    <n v="554"/>
    <s v="Product 30"/>
    <x v="67"/>
    <s v="Ernest Wagner"/>
    <x v="401"/>
    <n v="7"/>
    <x v="6"/>
    <x v="0"/>
    <x v="0"/>
    <x v="0"/>
    <x v="0"/>
  </r>
  <r>
    <s v="AX19120"/>
    <s v="ENX2035"/>
    <s v="A167"/>
    <s v="EMP1029"/>
    <s v="C1693"/>
    <x v="693"/>
    <n v="1"/>
    <n v="458"/>
    <n v="376"/>
    <n v="376"/>
    <n v="458"/>
    <n v="82"/>
    <s v="Product 36"/>
    <x v="64"/>
    <s v="Howard Gardner"/>
    <x v="724"/>
    <n v="7"/>
    <x v="6"/>
    <x v="0"/>
    <x v="0"/>
    <x v="0"/>
    <x v="0"/>
  </r>
  <r>
    <s v="AX19798"/>
    <s v="ENX2087"/>
    <s v="A131"/>
    <s v="EMP1031"/>
    <s v="C1249"/>
    <x v="690"/>
    <n v="2"/>
    <n v="1022"/>
    <n v="818"/>
    <n v="1636"/>
    <n v="2044"/>
    <n v="408"/>
    <s v="Product 88"/>
    <x v="32"/>
    <s v="Brian Thomas"/>
    <x v="709"/>
    <n v="7"/>
    <x v="6"/>
    <x v="0"/>
    <x v="0"/>
    <x v="0"/>
    <x v="0"/>
  </r>
  <r>
    <s v="AX19901"/>
    <s v="ENX2016"/>
    <s v="A154"/>
    <s v="EMP1018"/>
    <s v="C1637"/>
    <x v="692"/>
    <n v="3"/>
    <n v="1351"/>
    <n v="1108"/>
    <n v="3324"/>
    <n v="4053"/>
    <n v="729"/>
    <s v="Product 17"/>
    <x v="24"/>
    <s v="Jimmy Young"/>
    <x v="326"/>
    <n v="7"/>
    <x v="6"/>
    <x v="0"/>
    <x v="0"/>
    <x v="0"/>
    <x v="0"/>
  </r>
  <r>
    <s v="AX20566"/>
    <s v="ENX2005"/>
    <s v="A138"/>
    <s v="EMP1043"/>
    <s v="C1056"/>
    <x v="690"/>
    <n v="1"/>
    <n v="684"/>
    <n v="561"/>
    <n v="561"/>
    <n v="684"/>
    <n v="123"/>
    <s v="Product 6"/>
    <x v="37"/>
    <s v="Joshua Taylor"/>
    <x v="260"/>
    <n v="7"/>
    <x v="6"/>
    <x v="0"/>
    <x v="0"/>
    <x v="0"/>
    <x v="0"/>
  </r>
  <r>
    <s v="AX20684"/>
    <s v="ENX2096"/>
    <s v="A116"/>
    <s v="EMP1010"/>
    <s v="C1298"/>
    <x v="690"/>
    <n v="1"/>
    <n v="1587"/>
    <n v="1301"/>
    <n v="1301"/>
    <n v="1587"/>
    <n v="286"/>
    <s v="Product 97"/>
    <x v="15"/>
    <s v="Joshua Cook"/>
    <x v="623"/>
    <n v="7"/>
    <x v="6"/>
    <x v="0"/>
    <x v="0"/>
    <x v="0"/>
    <x v="0"/>
  </r>
  <r>
    <s v="AX20771"/>
    <s v="ENX2066"/>
    <s v="A164"/>
    <s v="EMP1005"/>
    <s v="C1648"/>
    <x v="691"/>
    <n v="3"/>
    <n v="2091"/>
    <n v="1485"/>
    <n v="4455"/>
    <n v="6273"/>
    <n v="1818"/>
    <s v="Product 67"/>
    <x v="3"/>
    <s v="Ryan Welch"/>
    <x v="430"/>
    <n v="7"/>
    <x v="6"/>
    <x v="0"/>
    <x v="0"/>
    <x v="0"/>
    <x v="0"/>
  </r>
  <r>
    <s v="AX20844"/>
    <s v="ENX2003"/>
    <s v="A127"/>
    <s v="EMP1000"/>
    <s v="C1459"/>
    <x v="692"/>
    <n v="3"/>
    <n v="1783"/>
    <n v="1516"/>
    <n v="4548"/>
    <n v="5349"/>
    <n v="801"/>
    <s v="Product 4"/>
    <x v="69"/>
    <s v="Fred Robertson"/>
    <x v="330"/>
    <n v="7"/>
    <x v="6"/>
    <x v="0"/>
    <x v="0"/>
    <x v="0"/>
    <x v="0"/>
  </r>
  <r>
    <s v="AX21111"/>
    <s v="ENX2030"/>
    <s v="A150"/>
    <s v="EMP1044"/>
    <s v="C1677"/>
    <x v="690"/>
    <n v="2"/>
    <n v="1899"/>
    <n v="1044"/>
    <n v="2088"/>
    <n v="3798"/>
    <n v="1710"/>
    <s v="Product 31"/>
    <x v="30"/>
    <s v="Martin Carr"/>
    <x v="641"/>
    <n v="7"/>
    <x v="6"/>
    <x v="0"/>
    <x v="0"/>
    <x v="0"/>
    <x v="0"/>
  </r>
  <r>
    <s v="AX21238"/>
    <s v="ENX2095"/>
    <s v="A170"/>
    <s v="EMP1035"/>
    <s v="C1273"/>
    <x v="692"/>
    <n v="4"/>
    <n v="1743"/>
    <n v="872"/>
    <n v="3488"/>
    <n v="6972"/>
    <n v="3484"/>
    <s v="Product 96"/>
    <x v="47"/>
    <s v="Roger Ramos"/>
    <x v="469"/>
    <n v="7"/>
    <x v="6"/>
    <x v="0"/>
    <x v="0"/>
    <x v="0"/>
    <x v="0"/>
  </r>
  <r>
    <s v="AX21277"/>
    <s v="ENX2027"/>
    <s v="A100"/>
    <s v="EMP1013"/>
    <s v="C1640"/>
    <x v="693"/>
    <n v="1"/>
    <n v="2497"/>
    <n v="1473"/>
    <n v="1473"/>
    <n v="2497"/>
    <n v="1024"/>
    <s v="Product 28"/>
    <x v="52"/>
    <s v="Charles Harper"/>
    <x v="59"/>
    <n v="7"/>
    <x v="6"/>
    <x v="0"/>
    <x v="0"/>
    <x v="0"/>
    <x v="0"/>
  </r>
  <r>
    <s v="AX21281"/>
    <s v="ENX2040"/>
    <s v="A158"/>
    <s v="EMP1000"/>
    <s v="C1475"/>
    <x v="690"/>
    <n v="3"/>
    <n v="1889"/>
    <n v="945"/>
    <n v="2835"/>
    <n v="5667"/>
    <n v="2832"/>
    <s v="Product 41"/>
    <x v="58"/>
    <s v="Fred Robertson"/>
    <x v="527"/>
    <n v="7"/>
    <x v="6"/>
    <x v="0"/>
    <x v="0"/>
    <x v="0"/>
    <x v="0"/>
  </r>
  <r>
    <s v="AX21440"/>
    <s v="ENX2087"/>
    <s v="A153"/>
    <s v="EMP1004"/>
    <s v="C1719"/>
    <x v="692"/>
    <n v="1"/>
    <n v="1022"/>
    <n v="818"/>
    <n v="818"/>
    <n v="1022"/>
    <n v="204"/>
    <s v="Product 88"/>
    <x v="8"/>
    <s v="Kenneth Bradley"/>
    <x v="666"/>
    <n v="7"/>
    <x v="6"/>
    <x v="0"/>
    <x v="0"/>
    <x v="0"/>
    <x v="0"/>
  </r>
  <r>
    <s v="AX21443"/>
    <s v="ENX2088"/>
    <s v="A103"/>
    <s v="EMP1033"/>
    <s v="C1045"/>
    <x v="693"/>
    <n v="3"/>
    <n v="603"/>
    <n v="416"/>
    <n v="1248"/>
    <n v="1809"/>
    <n v="561"/>
    <s v="Product 89"/>
    <x v="61"/>
    <s v="Jerry Perry"/>
    <x v="444"/>
    <n v="7"/>
    <x v="6"/>
    <x v="0"/>
    <x v="0"/>
    <x v="0"/>
    <x v="0"/>
  </r>
  <r>
    <s v="AX22336"/>
    <s v="ENX2092"/>
    <s v="A124"/>
    <s v="EMP1029"/>
    <s v="C1615"/>
    <x v="693"/>
    <n v="2"/>
    <n v="1639"/>
    <n v="1295"/>
    <n v="2590"/>
    <n v="3278"/>
    <n v="688"/>
    <s v="Product 93"/>
    <x v="67"/>
    <s v="Howard Gardner"/>
    <x v="457"/>
    <n v="7"/>
    <x v="6"/>
    <x v="0"/>
    <x v="0"/>
    <x v="0"/>
    <x v="0"/>
  </r>
  <r>
    <s v="AX22709"/>
    <s v="ENX2066"/>
    <s v="A148"/>
    <s v="EMP1012"/>
    <s v="C1529"/>
    <x v="692"/>
    <n v="1"/>
    <n v="2091"/>
    <n v="1485"/>
    <n v="1485"/>
    <n v="2091"/>
    <n v="606"/>
    <s v="Product 67"/>
    <x v="62"/>
    <s v="John Reyes"/>
    <x v="247"/>
    <n v="7"/>
    <x v="6"/>
    <x v="0"/>
    <x v="0"/>
    <x v="0"/>
    <x v="0"/>
  </r>
  <r>
    <s v="AX23552"/>
    <s v="ENX2008"/>
    <s v="A137"/>
    <s v="EMP1023"/>
    <s v="C1205"/>
    <x v="692"/>
    <n v="1"/>
    <n v="315"/>
    <n v="208"/>
    <n v="208"/>
    <n v="315"/>
    <n v="107"/>
    <s v="Product 9"/>
    <x v="68"/>
    <s v="Brian Davis"/>
    <x v="285"/>
    <n v="7"/>
    <x v="6"/>
    <x v="0"/>
    <x v="0"/>
    <x v="0"/>
    <x v="0"/>
  </r>
  <r>
    <s v="AX23791"/>
    <s v="ENX2042"/>
    <s v="A141"/>
    <s v="EMP1042"/>
    <s v="C1270"/>
    <x v="691"/>
    <n v="4"/>
    <n v="203"/>
    <n v="154"/>
    <n v="616"/>
    <n v="812"/>
    <n v="196"/>
    <s v="Product 43"/>
    <x v="23"/>
    <s v="Scott Clark"/>
    <x v="517"/>
    <n v="7"/>
    <x v="6"/>
    <x v="0"/>
    <x v="0"/>
    <x v="0"/>
    <x v="0"/>
  </r>
  <r>
    <s v="AX23817"/>
    <s v="ENX2023"/>
    <s v="A147"/>
    <s v="EMP1012"/>
    <s v="C1069"/>
    <x v="691"/>
    <n v="1"/>
    <n v="818"/>
    <n v="450"/>
    <n v="450"/>
    <n v="818"/>
    <n v="368"/>
    <s v="Product 24"/>
    <x v="42"/>
    <s v="John Reyes"/>
    <x v="284"/>
    <n v="7"/>
    <x v="6"/>
    <x v="0"/>
    <x v="0"/>
    <x v="0"/>
    <x v="0"/>
  </r>
  <r>
    <s v="AX24204"/>
    <s v="ENX2014"/>
    <s v="A120"/>
    <s v="EMP1034"/>
    <s v="C1602"/>
    <x v="693"/>
    <n v="3"/>
    <n v="1809"/>
    <n v="1067"/>
    <n v="3201"/>
    <n v="5427"/>
    <n v="2226"/>
    <s v="Product 15"/>
    <x v="20"/>
    <s v="Arthur Mccoy"/>
    <x v="749"/>
    <n v="7"/>
    <x v="6"/>
    <x v="0"/>
    <x v="0"/>
    <x v="0"/>
    <x v="0"/>
  </r>
  <r>
    <s v="AX24434"/>
    <s v="ENX2033"/>
    <s v="A117"/>
    <s v="EMP1004"/>
    <s v="C1107"/>
    <x v="691"/>
    <n v="1"/>
    <n v="2182"/>
    <n v="1200"/>
    <n v="1200"/>
    <n v="2182"/>
    <n v="982"/>
    <s v="Product 34"/>
    <x v="29"/>
    <s v="Kenneth Bradley"/>
    <x v="278"/>
    <n v="7"/>
    <x v="6"/>
    <x v="0"/>
    <x v="0"/>
    <x v="0"/>
    <x v="0"/>
  </r>
  <r>
    <s v="AX10032"/>
    <s v="ENX2083"/>
    <s v="A156"/>
    <s v="EMP1025"/>
    <s v="C1342"/>
    <x v="694"/>
    <n v="1"/>
    <n v="2141"/>
    <n v="1777"/>
    <n v="1777"/>
    <n v="2141"/>
    <n v="364"/>
    <s v="Product 84"/>
    <x v="14"/>
    <s v="Ernest Wagner"/>
    <x v="62"/>
    <n v="7"/>
    <x v="6"/>
    <x v="0"/>
    <x v="0"/>
    <x v="0"/>
    <x v="1"/>
  </r>
  <r>
    <s v="AX10042"/>
    <s v="ENX2100"/>
    <s v="A147"/>
    <s v="EMP1019"/>
    <s v="C1267"/>
    <x v="695"/>
    <n v="1"/>
    <n v="799"/>
    <n v="455"/>
    <n v="455"/>
    <n v="799"/>
    <n v="344"/>
    <s v="Product 101"/>
    <x v="42"/>
    <s v="Roger Robertson"/>
    <x v="657"/>
    <n v="7"/>
    <x v="6"/>
    <x v="0"/>
    <x v="0"/>
    <x v="0"/>
    <x v="1"/>
  </r>
  <r>
    <s v="AX10070"/>
    <s v="ENX2046"/>
    <s v="A159"/>
    <s v="EMP1040"/>
    <s v="C1147"/>
    <x v="695"/>
    <n v="1"/>
    <n v="2410"/>
    <n v="1518"/>
    <n v="1518"/>
    <n v="2410"/>
    <n v="892"/>
    <s v="Product 47"/>
    <x v="13"/>
    <s v="Patrick Ruiz"/>
    <x v="427"/>
    <n v="7"/>
    <x v="6"/>
    <x v="0"/>
    <x v="0"/>
    <x v="0"/>
    <x v="1"/>
  </r>
  <r>
    <s v="AX10133"/>
    <s v="ENX2045"/>
    <s v="A104"/>
    <s v="EMP1038"/>
    <s v="C1350"/>
    <x v="696"/>
    <n v="1"/>
    <n v="556"/>
    <n v="395"/>
    <n v="395"/>
    <n v="556"/>
    <n v="161"/>
    <s v="Product 46"/>
    <x v="50"/>
    <s v="Scott Mason"/>
    <x v="625"/>
    <n v="7"/>
    <x v="6"/>
    <x v="0"/>
    <x v="0"/>
    <x v="0"/>
    <x v="1"/>
  </r>
  <r>
    <s v="AX10259"/>
    <s v="ENX2040"/>
    <s v="A139"/>
    <s v="EMP1029"/>
    <s v="C1528"/>
    <x v="697"/>
    <n v="1"/>
    <n v="1889"/>
    <n v="945"/>
    <n v="945"/>
    <n v="1889"/>
    <n v="944"/>
    <s v="Product 41"/>
    <x v="38"/>
    <s v="Howard Gardner"/>
    <x v="158"/>
    <n v="7"/>
    <x v="6"/>
    <x v="0"/>
    <x v="0"/>
    <x v="0"/>
    <x v="1"/>
  </r>
  <r>
    <s v="AX10324"/>
    <s v="ENX2027"/>
    <s v="A108"/>
    <s v="EMP1002"/>
    <s v="C1582"/>
    <x v="697"/>
    <n v="1"/>
    <n v="2497"/>
    <n v="1473"/>
    <n v="1473"/>
    <n v="2497"/>
    <n v="1024"/>
    <s v="Product 28"/>
    <x v="49"/>
    <s v="Andrew Bowman"/>
    <x v="259"/>
    <n v="7"/>
    <x v="6"/>
    <x v="0"/>
    <x v="0"/>
    <x v="0"/>
    <x v="1"/>
  </r>
  <r>
    <s v="AX10649"/>
    <s v="ENX2030"/>
    <s v="A120"/>
    <s v="EMP1023"/>
    <s v="C1595"/>
    <x v="695"/>
    <n v="1"/>
    <n v="1899"/>
    <n v="1044"/>
    <n v="1044"/>
    <n v="1899"/>
    <n v="855"/>
    <s v="Product 31"/>
    <x v="20"/>
    <s v="Brian Davis"/>
    <x v="372"/>
    <n v="7"/>
    <x v="6"/>
    <x v="0"/>
    <x v="0"/>
    <x v="0"/>
    <x v="1"/>
  </r>
  <r>
    <s v="AX11508"/>
    <s v="ENX2020"/>
    <s v="A149"/>
    <s v="EMP1010"/>
    <s v="C1237"/>
    <x v="697"/>
    <n v="1"/>
    <n v="2005"/>
    <n v="1223"/>
    <n v="1223"/>
    <n v="2005"/>
    <n v="782"/>
    <s v="Product 21"/>
    <x v="59"/>
    <s v="Joshua Cook"/>
    <x v="484"/>
    <n v="7"/>
    <x v="6"/>
    <x v="0"/>
    <x v="0"/>
    <x v="0"/>
    <x v="1"/>
  </r>
  <r>
    <s v="AX11610"/>
    <s v="ENX2089"/>
    <s v="A108"/>
    <s v="EMP1040"/>
    <s v="C1189"/>
    <x v="697"/>
    <n v="4"/>
    <n v="2294"/>
    <n v="1399"/>
    <n v="5596"/>
    <n v="9176"/>
    <n v="3580"/>
    <s v="Product 90"/>
    <x v="49"/>
    <s v="Patrick Ruiz"/>
    <x v="752"/>
    <n v="7"/>
    <x v="6"/>
    <x v="0"/>
    <x v="0"/>
    <x v="0"/>
    <x v="1"/>
  </r>
  <r>
    <s v="AX11676"/>
    <s v="ENX2078"/>
    <s v="A130"/>
    <s v="EMP1015"/>
    <s v="C1458"/>
    <x v="694"/>
    <n v="3"/>
    <n v="1798"/>
    <n v="971"/>
    <n v="2913"/>
    <n v="5394"/>
    <n v="2481"/>
    <s v="Product 79"/>
    <x v="4"/>
    <s v="Justin Lynch"/>
    <x v="291"/>
    <n v="7"/>
    <x v="6"/>
    <x v="0"/>
    <x v="0"/>
    <x v="0"/>
    <x v="1"/>
  </r>
  <r>
    <s v="AX11733"/>
    <s v="ENX2033"/>
    <s v="A167"/>
    <s v="EMP1014"/>
    <s v="C1137"/>
    <x v="698"/>
    <n v="1"/>
    <n v="2182"/>
    <n v="1200"/>
    <n v="1200"/>
    <n v="2182"/>
    <n v="982"/>
    <s v="Product 34"/>
    <x v="64"/>
    <s v="Ronald Reed"/>
    <x v="131"/>
    <n v="7"/>
    <x v="6"/>
    <x v="0"/>
    <x v="0"/>
    <x v="0"/>
    <x v="1"/>
  </r>
  <r>
    <s v="AX11779"/>
    <s v="ENX2022"/>
    <s v="A140"/>
    <s v="EMP1016"/>
    <s v="C1800"/>
    <x v="695"/>
    <n v="1"/>
    <n v="561"/>
    <n v="421"/>
    <n v="421"/>
    <n v="561"/>
    <n v="140"/>
    <s v="Product 23"/>
    <x v="18"/>
    <s v="Henry Nelson"/>
    <x v="319"/>
    <n v="7"/>
    <x v="6"/>
    <x v="0"/>
    <x v="0"/>
    <x v="0"/>
    <x v="1"/>
  </r>
  <r>
    <s v="AX12111"/>
    <s v="ENX2029"/>
    <s v="A122"/>
    <s v="EMP1027"/>
    <s v="C1063"/>
    <x v="694"/>
    <n v="1"/>
    <n v="1848"/>
    <n v="1294"/>
    <n v="1294"/>
    <n v="1848"/>
    <n v="554"/>
    <s v="Product 30"/>
    <x v="71"/>
    <s v="Gary Rodriguez"/>
    <x v="296"/>
    <n v="7"/>
    <x v="6"/>
    <x v="0"/>
    <x v="0"/>
    <x v="0"/>
    <x v="1"/>
  </r>
  <r>
    <s v="AX12477"/>
    <s v="ENX2044"/>
    <s v="A125"/>
    <s v="EMP1019"/>
    <s v="C1035"/>
    <x v="695"/>
    <n v="1"/>
    <n v="886"/>
    <n v="478"/>
    <n v="478"/>
    <n v="886"/>
    <n v="408"/>
    <s v="Product 45"/>
    <x v="31"/>
    <s v="Roger Robertson"/>
    <x v="95"/>
    <n v="7"/>
    <x v="6"/>
    <x v="0"/>
    <x v="0"/>
    <x v="0"/>
    <x v="1"/>
  </r>
  <r>
    <s v="AX12630"/>
    <s v="ENX2076"/>
    <s v="A140"/>
    <s v="EMP1006"/>
    <s v="C1708"/>
    <x v="698"/>
    <n v="1"/>
    <n v="1522"/>
    <n v="791"/>
    <n v="791"/>
    <n v="1522"/>
    <n v="731"/>
    <s v="Product 77"/>
    <x v="18"/>
    <s v="Sean Miller"/>
    <x v="579"/>
    <n v="7"/>
    <x v="6"/>
    <x v="0"/>
    <x v="0"/>
    <x v="0"/>
    <x v="1"/>
  </r>
  <r>
    <s v="AX12636"/>
    <s v="ENX2020"/>
    <s v="A158"/>
    <s v="EMP1030"/>
    <s v="C1032"/>
    <x v="697"/>
    <n v="3"/>
    <n v="2005"/>
    <n v="1223"/>
    <n v="3669"/>
    <n v="6015"/>
    <n v="2346"/>
    <s v="Product 21"/>
    <x v="58"/>
    <s v="Bobby Russell"/>
    <x v="270"/>
    <n v="7"/>
    <x v="6"/>
    <x v="0"/>
    <x v="0"/>
    <x v="0"/>
    <x v="1"/>
  </r>
  <r>
    <s v="AX12651"/>
    <s v="ENX2005"/>
    <s v="A150"/>
    <s v="EMP1002"/>
    <s v="C1339"/>
    <x v="696"/>
    <n v="3"/>
    <n v="684"/>
    <n v="561"/>
    <n v="1683"/>
    <n v="2052"/>
    <n v="369"/>
    <s v="Product 6"/>
    <x v="30"/>
    <s v="Andrew Bowman"/>
    <x v="401"/>
    <n v="7"/>
    <x v="6"/>
    <x v="0"/>
    <x v="0"/>
    <x v="0"/>
    <x v="1"/>
  </r>
  <r>
    <s v="AX13017"/>
    <s v="ENX2004"/>
    <s v="A109"/>
    <s v="EMP1017"/>
    <s v="C1575"/>
    <x v="697"/>
    <n v="4"/>
    <n v="1278"/>
    <n v="665"/>
    <n v="2660"/>
    <n v="5112"/>
    <n v="2452"/>
    <s v="Product 5"/>
    <x v="57"/>
    <s v="Brian Hansen"/>
    <x v="99"/>
    <n v="7"/>
    <x v="6"/>
    <x v="0"/>
    <x v="0"/>
    <x v="0"/>
    <x v="1"/>
  </r>
  <r>
    <s v="AX13106"/>
    <s v="ENX2047"/>
    <s v="A155"/>
    <s v="EMP1018"/>
    <s v="C1434"/>
    <x v="694"/>
    <n v="1"/>
    <n v="290"/>
    <n v="200"/>
    <n v="200"/>
    <n v="290"/>
    <n v="90"/>
    <s v="Product 48"/>
    <x v="53"/>
    <s v="Jimmy Young"/>
    <x v="722"/>
    <n v="7"/>
    <x v="6"/>
    <x v="0"/>
    <x v="0"/>
    <x v="0"/>
    <x v="1"/>
  </r>
  <r>
    <s v="AX13237"/>
    <s v="ENX2035"/>
    <s v="A148"/>
    <s v="EMP1018"/>
    <s v="C1543"/>
    <x v="695"/>
    <n v="1"/>
    <n v="458"/>
    <n v="376"/>
    <n v="376"/>
    <n v="458"/>
    <n v="82"/>
    <s v="Product 36"/>
    <x v="62"/>
    <s v="Jimmy Young"/>
    <x v="337"/>
    <n v="7"/>
    <x v="6"/>
    <x v="0"/>
    <x v="0"/>
    <x v="0"/>
    <x v="1"/>
  </r>
  <r>
    <s v="AX13281"/>
    <s v="ENX2014"/>
    <s v="A157"/>
    <s v="EMP1012"/>
    <s v="C1663"/>
    <x v="698"/>
    <n v="1"/>
    <n v="1809"/>
    <n v="1067"/>
    <n v="1067"/>
    <n v="1809"/>
    <n v="742"/>
    <s v="Product 15"/>
    <x v="7"/>
    <s v="John Reyes"/>
    <x v="602"/>
    <n v="7"/>
    <x v="6"/>
    <x v="0"/>
    <x v="0"/>
    <x v="0"/>
    <x v="1"/>
  </r>
  <r>
    <s v="AX13463"/>
    <s v="ENX2065"/>
    <s v="A164"/>
    <s v="EMP1004"/>
    <s v="C1322"/>
    <x v="697"/>
    <n v="1"/>
    <n v="2396"/>
    <n v="1965"/>
    <n v="1965"/>
    <n v="2396"/>
    <n v="431"/>
    <s v="Product 66"/>
    <x v="3"/>
    <s v="Kenneth Bradley"/>
    <x v="604"/>
    <n v="7"/>
    <x v="6"/>
    <x v="0"/>
    <x v="0"/>
    <x v="0"/>
    <x v="1"/>
  </r>
  <r>
    <s v="AX13469"/>
    <s v="ENX2080"/>
    <s v="A148"/>
    <s v="EMP1043"/>
    <s v="C1065"/>
    <x v="694"/>
    <n v="1"/>
    <n v="2353"/>
    <n v="1788"/>
    <n v="1788"/>
    <n v="2353"/>
    <n v="565"/>
    <s v="Product 81"/>
    <x v="62"/>
    <s v="Joshua Taylor"/>
    <x v="637"/>
    <n v="7"/>
    <x v="6"/>
    <x v="0"/>
    <x v="0"/>
    <x v="0"/>
    <x v="1"/>
  </r>
  <r>
    <s v="AX13724"/>
    <s v="ENX2018"/>
    <s v="A115"/>
    <s v="EMP1005"/>
    <s v="C1573"/>
    <x v="696"/>
    <n v="2"/>
    <n v="1972"/>
    <n v="1321"/>
    <n v="2642"/>
    <n v="3944"/>
    <n v="1302"/>
    <s v="Product 19"/>
    <x v="33"/>
    <s v="Ryan Welch"/>
    <x v="383"/>
    <n v="7"/>
    <x v="6"/>
    <x v="0"/>
    <x v="0"/>
    <x v="0"/>
    <x v="1"/>
  </r>
  <r>
    <s v="AX14141"/>
    <s v="ENX2080"/>
    <s v="A173"/>
    <s v="EMP1028"/>
    <s v="C1254"/>
    <x v="694"/>
    <n v="4"/>
    <n v="2353"/>
    <n v="1788"/>
    <n v="7152"/>
    <n v="9412"/>
    <n v="2260"/>
    <s v="Product 81"/>
    <x v="25"/>
    <s v="Howard Sims"/>
    <x v="104"/>
    <n v="7"/>
    <x v="6"/>
    <x v="0"/>
    <x v="0"/>
    <x v="0"/>
    <x v="1"/>
  </r>
  <r>
    <s v="AX14359"/>
    <s v="ENX2074"/>
    <s v="A118"/>
    <s v="EMP1029"/>
    <s v="C1695"/>
    <x v="696"/>
    <n v="1"/>
    <n v="504"/>
    <n v="408"/>
    <n v="408"/>
    <n v="504"/>
    <n v="96"/>
    <s v="Product 75"/>
    <x v="19"/>
    <s v="Howard Gardner"/>
    <x v="18"/>
    <n v="7"/>
    <x v="6"/>
    <x v="0"/>
    <x v="0"/>
    <x v="0"/>
    <x v="1"/>
  </r>
  <r>
    <s v="AX14384"/>
    <s v="ENX2085"/>
    <s v="A123"/>
    <s v="EMP1015"/>
    <s v="C1442"/>
    <x v="694"/>
    <n v="1"/>
    <n v="1862"/>
    <n v="1173"/>
    <n v="1173"/>
    <n v="1862"/>
    <n v="689"/>
    <s v="Product 86"/>
    <x v="34"/>
    <s v="Justin Lynch"/>
    <x v="299"/>
    <n v="7"/>
    <x v="6"/>
    <x v="0"/>
    <x v="0"/>
    <x v="0"/>
    <x v="1"/>
  </r>
  <r>
    <s v="AX14609"/>
    <s v="ENX2093"/>
    <s v="A127"/>
    <s v="EMP1024"/>
    <s v="C1303"/>
    <x v="696"/>
    <n v="2"/>
    <n v="112"/>
    <n v="90"/>
    <n v="180"/>
    <n v="224"/>
    <n v="44"/>
    <s v="Product 94"/>
    <x v="69"/>
    <s v="Ernest Wheeler"/>
    <x v="531"/>
    <n v="7"/>
    <x v="6"/>
    <x v="0"/>
    <x v="0"/>
    <x v="0"/>
    <x v="1"/>
  </r>
  <r>
    <s v="AX14823"/>
    <s v="ENX2049"/>
    <s v="A145"/>
    <s v="EMP1032"/>
    <s v="C1543"/>
    <x v="694"/>
    <n v="2"/>
    <n v="826"/>
    <n v="562"/>
    <n v="1124"/>
    <n v="1652"/>
    <n v="528"/>
    <s v="Product 50"/>
    <x v="35"/>
    <s v="Larry Castillo"/>
    <x v="337"/>
    <n v="7"/>
    <x v="6"/>
    <x v="0"/>
    <x v="0"/>
    <x v="0"/>
    <x v="1"/>
  </r>
  <r>
    <s v="AX14911"/>
    <s v="ENX2003"/>
    <s v="A123"/>
    <s v="EMP1021"/>
    <s v="C1306"/>
    <x v="697"/>
    <n v="4"/>
    <n v="1783"/>
    <n v="1516"/>
    <n v="6064"/>
    <n v="7132"/>
    <n v="1068"/>
    <s v="Product 4"/>
    <x v="34"/>
    <s v="Clarence Fox"/>
    <x v="692"/>
    <n v="7"/>
    <x v="6"/>
    <x v="0"/>
    <x v="0"/>
    <x v="0"/>
    <x v="1"/>
  </r>
  <r>
    <s v="AX15007"/>
    <s v="ENX2005"/>
    <s v="A141"/>
    <s v="EMP1041"/>
    <s v="C1431"/>
    <x v="698"/>
    <n v="1"/>
    <n v="684"/>
    <n v="561"/>
    <n v="561"/>
    <n v="684"/>
    <n v="123"/>
    <s v="Product 6"/>
    <x v="23"/>
    <s v="Joe Sims"/>
    <x v="587"/>
    <n v="7"/>
    <x v="6"/>
    <x v="0"/>
    <x v="0"/>
    <x v="0"/>
    <x v="1"/>
  </r>
  <r>
    <s v="AX15401"/>
    <s v="ENX2099"/>
    <s v="A151"/>
    <s v="EMP1027"/>
    <s v="C1330"/>
    <x v="698"/>
    <n v="2"/>
    <n v="1367"/>
    <n v="984"/>
    <n v="1968"/>
    <n v="2734"/>
    <n v="766"/>
    <s v="Product 100"/>
    <x v="1"/>
    <s v="Gary Rodriguez"/>
    <x v="511"/>
    <n v="7"/>
    <x v="6"/>
    <x v="0"/>
    <x v="0"/>
    <x v="0"/>
    <x v="1"/>
  </r>
  <r>
    <s v="AX15474"/>
    <s v="ENX2084"/>
    <s v="A133"/>
    <s v="EMP1003"/>
    <s v="C1213"/>
    <x v="696"/>
    <n v="1"/>
    <n v="1783"/>
    <n v="1230"/>
    <n v="1230"/>
    <n v="1783"/>
    <n v="553"/>
    <s v="Product 85"/>
    <x v="46"/>
    <s v="Christopher Tucker"/>
    <x v="487"/>
    <n v="7"/>
    <x v="6"/>
    <x v="0"/>
    <x v="0"/>
    <x v="0"/>
    <x v="1"/>
  </r>
  <r>
    <s v="AX15512"/>
    <s v="ENX2022"/>
    <s v="A135"/>
    <s v="EMP1007"/>
    <s v="C1096"/>
    <x v="694"/>
    <n v="1"/>
    <n v="561"/>
    <n v="421"/>
    <n v="421"/>
    <n v="561"/>
    <n v="140"/>
    <s v="Product 23"/>
    <x v="10"/>
    <s v="Jeremy Mendoza"/>
    <x v="91"/>
    <n v="7"/>
    <x v="6"/>
    <x v="0"/>
    <x v="0"/>
    <x v="0"/>
    <x v="1"/>
  </r>
  <r>
    <s v="AX15683"/>
    <s v="ENX2042"/>
    <s v="A123"/>
    <s v="EMP1015"/>
    <s v="C1109"/>
    <x v="696"/>
    <n v="1"/>
    <n v="203"/>
    <n v="154"/>
    <n v="154"/>
    <n v="203"/>
    <n v="49"/>
    <s v="Product 43"/>
    <x v="34"/>
    <s v="Justin Lynch"/>
    <x v="756"/>
    <n v="7"/>
    <x v="6"/>
    <x v="0"/>
    <x v="0"/>
    <x v="0"/>
    <x v="1"/>
  </r>
  <r>
    <s v="AX15730"/>
    <s v="ENX2083"/>
    <s v="A156"/>
    <s v="EMP1015"/>
    <s v="C1751"/>
    <x v="694"/>
    <n v="4"/>
    <n v="2141"/>
    <n v="1777"/>
    <n v="7108"/>
    <n v="8564"/>
    <n v="1456"/>
    <s v="Product 84"/>
    <x v="14"/>
    <s v="Justin Lynch"/>
    <x v="332"/>
    <n v="7"/>
    <x v="6"/>
    <x v="0"/>
    <x v="0"/>
    <x v="0"/>
    <x v="1"/>
  </r>
  <r>
    <s v="AX15747"/>
    <s v="ENX2023"/>
    <s v="A136"/>
    <s v="EMP1027"/>
    <s v="C1519"/>
    <x v="695"/>
    <n v="1"/>
    <n v="818"/>
    <n v="450"/>
    <n v="450"/>
    <n v="818"/>
    <n v="368"/>
    <s v="Product 24"/>
    <x v="43"/>
    <s v="Gary Rodriguez"/>
    <x v="426"/>
    <n v="7"/>
    <x v="6"/>
    <x v="0"/>
    <x v="0"/>
    <x v="0"/>
    <x v="1"/>
  </r>
  <r>
    <s v="AX15775"/>
    <s v="ENX2052"/>
    <s v="A113"/>
    <s v="EMP1036"/>
    <s v="C1023"/>
    <x v="698"/>
    <n v="1"/>
    <n v="1526"/>
    <n v="1251"/>
    <n v="1251"/>
    <n v="1526"/>
    <n v="275"/>
    <s v="Product 53"/>
    <x v="73"/>
    <s v="Robert Reed"/>
    <x v="799"/>
    <n v="7"/>
    <x v="6"/>
    <x v="0"/>
    <x v="0"/>
    <x v="0"/>
    <x v="1"/>
  </r>
  <r>
    <s v="AX16063"/>
    <s v="ENX2028"/>
    <s v="A164"/>
    <s v="EMP1029"/>
    <s v="C1510"/>
    <x v="694"/>
    <n v="1"/>
    <n v="2283"/>
    <n v="1484"/>
    <n v="1484"/>
    <n v="2283"/>
    <n v="799"/>
    <s v="Product 29"/>
    <x v="3"/>
    <s v="Howard Gardner"/>
    <x v="113"/>
    <n v="7"/>
    <x v="6"/>
    <x v="0"/>
    <x v="0"/>
    <x v="0"/>
    <x v="1"/>
  </r>
  <r>
    <s v="AX16567"/>
    <s v="ENX2054"/>
    <s v="A118"/>
    <s v="EMP1000"/>
    <s v="C1439"/>
    <x v="697"/>
    <n v="4"/>
    <n v="127"/>
    <n v="79"/>
    <n v="316"/>
    <n v="508"/>
    <n v="192"/>
    <s v="Product 55"/>
    <x v="19"/>
    <s v="Fred Robertson"/>
    <x v="172"/>
    <n v="7"/>
    <x v="6"/>
    <x v="0"/>
    <x v="0"/>
    <x v="0"/>
    <x v="1"/>
  </r>
  <r>
    <s v="AX16937"/>
    <s v="ENX2043"/>
    <s v="A151"/>
    <s v="EMP1031"/>
    <s v="C1622"/>
    <x v="698"/>
    <n v="3"/>
    <n v="545"/>
    <n v="425"/>
    <n v="1275"/>
    <n v="1635"/>
    <n v="360"/>
    <s v="Product 44"/>
    <x v="1"/>
    <s v="Brian Thomas"/>
    <x v="548"/>
    <n v="7"/>
    <x v="6"/>
    <x v="0"/>
    <x v="0"/>
    <x v="0"/>
    <x v="1"/>
  </r>
  <r>
    <s v="AX16944"/>
    <s v="ENX2055"/>
    <s v="A127"/>
    <s v="EMP1038"/>
    <s v="C1657"/>
    <x v="695"/>
    <n v="3"/>
    <n v="2495"/>
    <n v="1896"/>
    <n v="5688"/>
    <n v="7485"/>
    <n v="1797"/>
    <s v="Product 56"/>
    <x v="69"/>
    <s v="Scott Mason"/>
    <x v="361"/>
    <n v="7"/>
    <x v="6"/>
    <x v="0"/>
    <x v="0"/>
    <x v="0"/>
    <x v="1"/>
  </r>
  <r>
    <s v="AX17066"/>
    <s v="ENX2022"/>
    <s v="A151"/>
    <s v="EMP1024"/>
    <s v="C1481"/>
    <x v="694"/>
    <n v="4"/>
    <n v="561"/>
    <n v="421"/>
    <n v="1684"/>
    <n v="2244"/>
    <n v="560"/>
    <s v="Product 23"/>
    <x v="1"/>
    <s v="Ernest Wheeler"/>
    <x v="764"/>
    <n v="7"/>
    <x v="6"/>
    <x v="0"/>
    <x v="0"/>
    <x v="0"/>
    <x v="1"/>
  </r>
  <r>
    <s v="AX17227"/>
    <s v="ENX2059"/>
    <s v="A141"/>
    <s v="EMP1015"/>
    <s v="C1515"/>
    <x v="698"/>
    <n v="3"/>
    <n v="1494"/>
    <n v="971"/>
    <n v="2913"/>
    <n v="4482"/>
    <n v="1569"/>
    <s v="Product 60"/>
    <x v="23"/>
    <s v="Justin Lynch"/>
    <x v="570"/>
    <n v="7"/>
    <x v="6"/>
    <x v="0"/>
    <x v="0"/>
    <x v="0"/>
    <x v="1"/>
  </r>
  <r>
    <s v="AX17493"/>
    <s v="ENX2073"/>
    <s v="A100"/>
    <s v="EMP1040"/>
    <s v="C1371"/>
    <x v="698"/>
    <n v="3"/>
    <n v="95"/>
    <n v="61"/>
    <n v="183"/>
    <n v="285"/>
    <n v="102"/>
    <s v="Product 74"/>
    <x v="52"/>
    <s v="Patrick Ruiz"/>
    <x v="180"/>
    <n v="7"/>
    <x v="6"/>
    <x v="0"/>
    <x v="0"/>
    <x v="0"/>
    <x v="1"/>
  </r>
  <r>
    <s v="AX17608"/>
    <s v="ENX2044"/>
    <s v="A122"/>
    <s v="EMP1006"/>
    <s v="C1450"/>
    <x v="697"/>
    <n v="1"/>
    <n v="886"/>
    <n v="478"/>
    <n v="478"/>
    <n v="886"/>
    <n v="408"/>
    <s v="Product 45"/>
    <x v="71"/>
    <s v="Sean Miller"/>
    <x v="13"/>
    <n v="7"/>
    <x v="6"/>
    <x v="0"/>
    <x v="0"/>
    <x v="0"/>
    <x v="1"/>
  </r>
  <r>
    <s v="AX18600"/>
    <s v="ENX2037"/>
    <s v="A152"/>
    <s v="EMP1009"/>
    <s v="C1245"/>
    <x v="697"/>
    <n v="1"/>
    <n v="880"/>
    <n v="634"/>
    <n v="634"/>
    <n v="880"/>
    <n v="246"/>
    <s v="Product 38"/>
    <x v="26"/>
    <s v="Kenneth Fields"/>
    <x v="165"/>
    <n v="7"/>
    <x v="6"/>
    <x v="0"/>
    <x v="0"/>
    <x v="0"/>
    <x v="1"/>
  </r>
  <r>
    <s v="AX18608"/>
    <s v="ENX2076"/>
    <s v="A157"/>
    <s v="EMP1022"/>
    <s v="C1207"/>
    <x v="696"/>
    <n v="1"/>
    <n v="1522"/>
    <n v="791"/>
    <n v="791"/>
    <n v="1522"/>
    <n v="731"/>
    <s v="Product 77"/>
    <x v="7"/>
    <s v="Walter Cook"/>
    <x v="694"/>
    <n v="7"/>
    <x v="6"/>
    <x v="0"/>
    <x v="0"/>
    <x v="0"/>
    <x v="1"/>
  </r>
  <r>
    <s v="AX18829"/>
    <s v="ENX2011"/>
    <s v="A101"/>
    <s v="EMP1029"/>
    <s v="C1449"/>
    <x v="695"/>
    <n v="1"/>
    <n v="530"/>
    <n v="435"/>
    <n v="435"/>
    <n v="530"/>
    <n v="95"/>
    <s v="Product 12"/>
    <x v="60"/>
    <s v="Howard Gardner"/>
    <x v="230"/>
    <n v="7"/>
    <x v="6"/>
    <x v="0"/>
    <x v="0"/>
    <x v="0"/>
    <x v="1"/>
  </r>
  <r>
    <s v="AX19082"/>
    <s v="ENX2040"/>
    <s v="A151"/>
    <s v="EMP1003"/>
    <s v="C1260"/>
    <x v="696"/>
    <n v="1"/>
    <n v="1889"/>
    <n v="945"/>
    <n v="945"/>
    <n v="1889"/>
    <n v="944"/>
    <s v="Product 41"/>
    <x v="1"/>
    <s v="Christopher Tucker"/>
    <x v="27"/>
    <n v="7"/>
    <x v="6"/>
    <x v="0"/>
    <x v="0"/>
    <x v="0"/>
    <x v="1"/>
  </r>
  <r>
    <s v="AX19118"/>
    <s v="ENX2096"/>
    <s v="A144"/>
    <s v="EMP1026"/>
    <s v="C1363"/>
    <x v="697"/>
    <n v="1"/>
    <n v="1587"/>
    <n v="1301"/>
    <n v="1301"/>
    <n v="1587"/>
    <n v="286"/>
    <s v="Product 97"/>
    <x v="65"/>
    <s v="Martin Perry"/>
    <x v="505"/>
    <n v="7"/>
    <x v="6"/>
    <x v="0"/>
    <x v="0"/>
    <x v="0"/>
    <x v="1"/>
  </r>
  <r>
    <s v="AX19790"/>
    <s v="ENX2039"/>
    <s v="A149"/>
    <s v="EMP1030"/>
    <s v="C1725"/>
    <x v="696"/>
    <n v="2"/>
    <n v="817"/>
    <n v="409"/>
    <n v="818"/>
    <n v="1634"/>
    <n v="816"/>
    <s v="Product 40"/>
    <x v="59"/>
    <s v="Bobby Russell"/>
    <x v="81"/>
    <n v="7"/>
    <x v="6"/>
    <x v="0"/>
    <x v="0"/>
    <x v="0"/>
    <x v="1"/>
  </r>
  <r>
    <s v="AX19795"/>
    <s v="ENX2076"/>
    <s v="A110"/>
    <s v="EMP1039"/>
    <s v="C1707"/>
    <x v="697"/>
    <n v="1"/>
    <n v="1522"/>
    <n v="791"/>
    <n v="791"/>
    <n v="1522"/>
    <n v="731"/>
    <s v="Product 77"/>
    <x v="63"/>
    <s v="Eugene Holmes"/>
    <x v="192"/>
    <n v="7"/>
    <x v="6"/>
    <x v="0"/>
    <x v="0"/>
    <x v="0"/>
    <x v="1"/>
  </r>
  <r>
    <s v="AX19842"/>
    <s v="ENX2013"/>
    <s v="A131"/>
    <s v="EMP1041"/>
    <s v="C1751"/>
    <x v="697"/>
    <n v="4"/>
    <n v="368"/>
    <n v="269"/>
    <n v="1076"/>
    <n v="1472"/>
    <n v="396"/>
    <s v="Product 14"/>
    <x v="32"/>
    <s v="Joe Sims"/>
    <x v="332"/>
    <n v="7"/>
    <x v="6"/>
    <x v="0"/>
    <x v="0"/>
    <x v="0"/>
    <x v="1"/>
  </r>
  <r>
    <s v="AX20083"/>
    <s v="ENX2093"/>
    <s v="A124"/>
    <s v="EMP1031"/>
    <s v="C1184"/>
    <x v="694"/>
    <n v="1"/>
    <n v="112"/>
    <n v="90"/>
    <n v="90"/>
    <n v="112"/>
    <n v="22"/>
    <s v="Product 94"/>
    <x v="67"/>
    <s v="Brian Thomas"/>
    <x v="707"/>
    <n v="7"/>
    <x v="6"/>
    <x v="0"/>
    <x v="0"/>
    <x v="0"/>
    <x v="1"/>
  </r>
  <r>
    <s v="AX20414"/>
    <s v="ENX2084"/>
    <s v="A145"/>
    <s v="EMP1009"/>
    <s v="C1384"/>
    <x v="696"/>
    <n v="1"/>
    <n v="1783"/>
    <n v="1230"/>
    <n v="1230"/>
    <n v="1783"/>
    <n v="553"/>
    <s v="Product 85"/>
    <x v="35"/>
    <s v="Kenneth Fields"/>
    <x v="690"/>
    <n v="7"/>
    <x v="6"/>
    <x v="0"/>
    <x v="0"/>
    <x v="0"/>
    <x v="1"/>
  </r>
  <r>
    <s v="AX20553"/>
    <s v="ENX2073"/>
    <s v="A112"/>
    <s v="EMP1012"/>
    <s v="C1154"/>
    <x v="695"/>
    <n v="1"/>
    <n v="95"/>
    <n v="61"/>
    <n v="61"/>
    <n v="95"/>
    <n v="34"/>
    <s v="Product 74"/>
    <x v="66"/>
    <s v="John Reyes"/>
    <x v="243"/>
    <n v="7"/>
    <x v="6"/>
    <x v="0"/>
    <x v="0"/>
    <x v="0"/>
    <x v="1"/>
  </r>
  <r>
    <s v="AX21393"/>
    <s v="ENX2060"/>
    <s v="A120"/>
    <s v="EMP1039"/>
    <s v="C1160"/>
    <x v="695"/>
    <n v="1"/>
    <n v="1467"/>
    <n v="807"/>
    <n v="807"/>
    <n v="1467"/>
    <n v="660"/>
    <s v="Product 61"/>
    <x v="20"/>
    <s v="Eugene Holmes"/>
    <x v="566"/>
    <n v="7"/>
    <x v="6"/>
    <x v="0"/>
    <x v="0"/>
    <x v="0"/>
    <x v="1"/>
  </r>
  <r>
    <s v="AX21589"/>
    <s v="ENX2086"/>
    <s v="A101"/>
    <s v="EMP1013"/>
    <s v="C1725"/>
    <x v="696"/>
    <n v="3"/>
    <n v="123"/>
    <n v="84"/>
    <n v="252"/>
    <n v="369"/>
    <n v="117"/>
    <s v="Product 87"/>
    <x v="60"/>
    <s v="Charles Harper"/>
    <x v="81"/>
    <n v="7"/>
    <x v="6"/>
    <x v="0"/>
    <x v="0"/>
    <x v="0"/>
    <x v="1"/>
  </r>
  <r>
    <s v="AX21793"/>
    <s v="ENX2051"/>
    <s v="A124"/>
    <s v="EMP1025"/>
    <s v="C1680"/>
    <x v="695"/>
    <n v="1"/>
    <n v="1077"/>
    <n v="732"/>
    <n v="732"/>
    <n v="1077"/>
    <n v="345"/>
    <s v="Product 52"/>
    <x v="67"/>
    <s v="Ernest Wagner"/>
    <x v="797"/>
    <n v="7"/>
    <x v="6"/>
    <x v="0"/>
    <x v="0"/>
    <x v="0"/>
    <x v="1"/>
  </r>
  <r>
    <s v="AX22036"/>
    <s v="ENX2083"/>
    <s v="A137"/>
    <s v="EMP1015"/>
    <s v="C1687"/>
    <x v="696"/>
    <n v="1"/>
    <n v="2141"/>
    <n v="1777"/>
    <n v="1777"/>
    <n v="2141"/>
    <n v="364"/>
    <s v="Product 84"/>
    <x v="68"/>
    <s v="Justin Lynch"/>
    <x v="389"/>
    <n v="7"/>
    <x v="6"/>
    <x v="0"/>
    <x v="0"/>
    <x v="0"/>
    <x v="1"/>
  </r>
  <r>
    <s v="AX22180"/>
    <s v="ENX2057"/>
    <s v="A166"/>
    <s v="EMP1002"/>
    <s v="C1116"/>
    <x v="695"/>
    <n v="1"/>
    <n v="181"/>
    <n v="130"/>
    <n v="130"/>
    <n v="181"/>
    <n v="51"/>
    <s v="Product 58"/>
    <x v="70"/>
    <s v="Andrew Bowman"/>
    <x v="747"/>
    <n v="7"/>
    <x v="6"/>
    <x v="0"/>
    <x v="0"/>
    <x v="0"/>
    <x v="1"/>
  </r>
  <r>
    <s v="AX22205"/>
    <s v="ENX2002"/>
    <s v="A173"/>
    <s v="EMP1012"/>
    <s v="C1382"/>
    <x v="698"/>
    <n v="3"/>
    <n v="847"/>
    <n v="534"/>
    <n v="1602"/>
    <n v="2541"/>
    <n v="939"/>
    <s v="Product 3"/>
    <x v="25"/>
    <s v="John Reyes"/>
    <x v="334"/>
    <n v="7"/>
    <x v="6"/>
    <x v="0"/>
    <x v="0"/>
    <x v="0"/>
    <x v="1"/>
  </r>
  <r>
    <s v="AX22413"/>
    <s v="ENX2041"/>
    <s v="A141"/>
    <s v="EMP1007"/>
    <s v="C1234"/>
    <x v="694"/>
    <n v="1"/>
    <n v="1380"/>
    <n v="1090"/>
    <n v="1090"/>
    <n v="1380"/>
    <n v="290"/>
    <s v="Product 42"/>
    <x v="23"/>
    <s v="Jeremy Mendoza"/>
    <x v="636"/>
    <n v="7"/>
    <x v="6"/>
    <x v="0"/>
    <x v="0"/>
    <x v="0"/>
    <x v="1"/>
  </r>
  <r>
    <s v="AX23334"/>
    <s v="ENX2091"/>
    <s v="A143"/>
    <s v="EMP1005"/>
    <s v="C1036"/>
    <x v="694"/>
    <n v="1"/>
    <n v="368"/>
    <n v="294"/>
    <n v="294"/>
    <n v="368"/>
    <n v="74"/>
    <s v="Product 92"/>
    <x v="39"/>
    <s v="Ryan Welch"/>
    <x v="256"/>
    <n v="7"/>
    <x v="6"/>
    <x v="0"/>
    <x v="0"/>
    <x v="0"/>
    <x v="1"/>
  </r>
  <r>
    <s v="AX23548"/>
    <s v="ENX2009"/>
    <s v="A137"/>
    <s v="EMP1040"/>
    <s v="C1011"/>
    <x v="697"/>
    <n v="2"/>
    <n v="584"/>
    <n v="420"/>
    <n v="840"/>
    <n v="1168"/>
    <n v="328"/>
    <s v="Product 10"/>
    <x v="68"/>
    <s v="Patrick Ruiz"/>
    <x v="275"/>
    <n v="7"/>
    <x v="6"/>
    <x v="0"/>
    <x v="0"/>
    <x v="0"/>
    <x v="1"/>
  </r>
  <r>
    <s v="AX23756"/>
    <s v="ENX2062"/>
    <s v="A129"/>
    <s v="EMP1030"/>
    <s v="C1210"/>
    <x v="695"/>
    <n v="4"/>
    <n v="2464"/>
    <n v="1774"/>
    <n v="7096"/>
    <n v="9856"/>
    <n v="2760"/>
    <s v="Product 63"/>
    <x v="22"/>
    <s v="Bobby Russell"/>
    <x v="629"/>
    <n v="7"/>
    <x v="6"/>
    <x v="0"/>
    <x v="0"/>
    <x v="0"/>
    <x v="1"/>
  </r>
  <r>
    <s v="AX23970"/>
    <s v="ENX2022"/>
    <s v="A145"/>
    <s v="EMP1028"/>
    <s v="C1255"/>
    <x v="697"/>
    <n v="2"/>
    <n v="561"/>
    <n v="421"/>
    <n v="842"/>
    <n v="1122"/>
    <n v="280"/>
    <s v="Product 23"/>
    <x v="35"/>
    <s v="Howard Sims"/>
    <x v="111"/>
    <n v="7"/>
    <x v="6"/>
    <x v="0"/>
    <x v="0"/>
    <x v="0"/>
    <x v="1"/>
  </r>
  <r>
    <s v="AX24088"/>
    <s v="ENX2091"/>
    <s v="A161"/>
    <s v="EMP1042"/>
    <s v="C1353"/>
    <x v="695"/>
    <n v="1"/>
    <n v="368"/>
    <n v="294"/>
    <n v="294"/>
    <n v="368"/>
    <n v="74"/>
    <s v="Product 92"/>
    <x v="6"/>
    <s v="Scott Clark"/>
    <x v="642"/>
    <n v="7"/>
    <x v="6"/>
    <x v="0"/>
    <x v="0"/>
    <x v="0"/>
    <x v="1"/>
  </r>
  <r>
    <s v="AX24482"/>
    <s v="ENX2083"/>
    <s v="A151"/>
    <s v="EMP1041"/>
    <s v="C1779"/>
    <x v="694"/>
    <n v="4"/>
    <n v="2141"/>
    <n v="1777"/>
    <n v="7108"/>
    <n v="8564"/>
    <n v="1456"/>
    <s v="Product 84"/>
    <x v="1"/>
    <s v="Joe Sims"/>
    <x v="648"/>
    <n v="7"/>
    <x v="6"/>
    <x v="0"/>
    <x v="0"/>
    <x v="0"/>
    <x v="1"/>
  </r>
  <r>
    <s v="AX24800"/>
    <s v="ENX2069"/>
    <s v="A152"/>
    <s v="EMP1015"/>
    <s v="C1476"/>
    <x v="694"/>
    <n v="3"/>
    <n v="378"/>
    <n v="291"/>
    <n v="873"/>
    <n v="1134"/>
    <n v="261"/>
    <s v="Product 70"/>
    <x v="26"/>
    <s v="Justin Lynch"/>
    <x v="207"/>
    <n v="7"/>
    <x v="6"/>
    <x v="0"/>
    <x v="0"/>
    <x v="0"/>
    <x v="1"/>
  </r>
  <r>
    <s v="AX10419"/>
    <s v="ENX2017"/>
    <s v="A101"/>
    <s v="EMP1040"/>
    <s v="C1196"/>
    <x v="699"/>
    <n v="1"/>
    <n v="35"/>
    <n v="22"/>
    <n v="22"/>
    <n v="35"/>
    <n v="13"/>
    <s v="Product 18"/>
    <x v="60"/>
    <s v="Patrick Ruiz"/>
    <x v="65"/>
    <n v="7"/>
    <x v="6"/>
    <x v="0"/>
    <x v="0"/>
    <x v="0"/>
    <x v="2"/>
  </r>
  <r>
    <s v="AX10532"/>
    <s v="ENX2033"/>
    <s v="A156"/>
    <s v="EMP1012"/>
    <s v="C1100"/>
    <x v="700"/>
    <n v="1"/>
    <n v="2182"/>
    <n v="1200"/>
    <n v="1200"/>
    <n v="2182"/>
    <n v="982"/>
    <s v="Product 34"/>
    <x v="14"/>
    <s v="John Reyes"/>
    <x v="110"/>
    <n v="7"/>
    <x v="6"/>
    <x v="0"/>
    <x v="0"/>
    <x v="0"/>
    <x v="2"/>
  </r>
  <r>
    <s v="AX10604"/>
    <s v="ENX2022"/>
    <s v="A162"/>
    <s v="EMP1038"/>
    <s v="C1653"/>
    <x v="701"/>
    <n v="1"/>
    <n v="561"/>
    <n v="421"/>
    <n v="421"/>
    <n v="561"/>
    <n v="140"/>
    <s v="Product 23"/>
    <x v="2"/>
    <s v="Scott Mason"/>
    <x v="187"/>
    <n v="7"/>
    <x v="6"/>
    <x v="0"/>
    <x v="0"/>
    <x v="0"/>
    <x v="2"/>
  </r>
  <r>
    <s v="AX10940"/>
    <s v="ENX2066"/>
    <s v="A161"/>
    <s v="EMP1041"/>
    <s v="C1004"/>
    <x v="700"/>
    <n v="4"/>
    <n v="2091"/>
    <n v="1485"/>
    <n v="5940"/>
    <n v="8364"/>
    <n v="2424"/>
    <s v="Product 67"/>
    <x v="6"/>
    <s v="Joe Sims"/>
    <x v="708"/>
    <n v="7"/>
    <x v="6"/>
    <x v="0"/>
    <x v="0"/>
    <x v="0"/>
    <x v="2"/>
  </r>
  <r>
    <s v="AX11127"/>
    <s v="ENX2069"/>
    <s v="A130"/>
    <s v="EMP1021"/>
    <s v="C1216"/>
    <x v="701"/>
    <n v="2"/>
    <n v="378"/>
    <n v="291"/>
    <n v="582"/>
    <n v="756"/>
    <n v="174"/>
    <s v="Product 70"/>
    <x v="4"/>
    <s v="Clarence Fox"/>
    <x v="580"/>
    <n v="7"/>
    <x v="6"/>
    <x v="0"/>
    <x v="0"/>
    <x v="0"/>
    <x v="2"/>
  </r>
  <r>
    <s v="AX11178"/>
    <s v="ENX2070"/>
    <s v="A164"/>
    <s v="EMP1018"/>
    <s v="C1499"/>
    <x v="699"/>
    <n v="4"/>
    <n v="1671"/>
    <n v="1220"/>
    <n v="4880"/>
    <n v="6684"/>
    <n v="1804"/>
    <s v="Product 71"/>
    <x v="3"/>
    <s v="Jimmy Young"/>
    <x v="610"/>
    <n v="7"/>
    <x v="6"/>
    <x v="0"/>
    <x v="0"/>
    <x v="0"/>
    <x v="2"/>
  </r>
  <r>
    <s v="AX11215"/>
    <s v="ENX2049"/>
    <s v="A153"/>
    <s v="EMP1016"/>
    <s v="C1040"/>
    <x v="701"/>
    <n v="1"/>
    <n v="826"/>
    <n v="562"/>
    <n v="562"/>
    <n v="826"/>
    <n v="264"/>
    <s v="Product 50"/>
    <x v="8"/>
    <s v="Henry Nelson"/>
    <x v="221"/>
    <n v="7"/>
    <x v="6"/>
    <x v="0"/>
    <x v="0"/>
    <x v="0"/>
    <x v="2"/>
  </r>
  <r>
    <s v="AX11710"/>
    <s v="ENX2019"/>
    <s v="A142"/>
    <s v="EMP1000"/>
    <s v="C1773"/>
    <x v="700"/>
    <n v="1"/>
    <n v="800"/>
    <n v="536"/>
    <n v="536"/>
    <n v="800"/>
    <n v="264"/>
    <s v="Product 20"/>
    <x v="56"/>
    <s v="Fred Robertson"/>
    <x v="723"/>
    <n v="7"/>
    <x v="6"/>
    <x v="0"/>
    <x v="0"/>
    <x v="0"/>
    <x v="2"/>
  </r>
  <r>
    <s v="AX11832"/>
    <s v="ENX2034"/>
    <s v="A133"/>
    <s v="EMP1036"/>
    <s v="C1170"/>
    <x v="700"/>
    <n v="3"/>
    <n v="871"/>
    <n v="540"/>
    <n v="1620"/>
    <n v="2613"/>
    <n v="993"/>
    <s v="Product 35"/>
    <x v="46"/>
    <s v="Robert Reed"/>
    <x v="616"/>
    <n v="7"/>
    <x v="6"/>
    <x v="0"/>
    <x v="0"/>
    <x v="0"/>
    <x v="2"/>
  </r>
  <r>
    <s v="AX12006"/>
    <s v="ENX2050"/>
    <s v="A132"/>
    <s v="EMP1043"/>
    <s v="C1768"/>
    <x v="702"/>
    <n v="1"/>
    <n v="2391"/>
    <n v="1291"/>
    <n v="1291"/>
    <n v="2391"/>
    <n v="1100"/>
    <s v="Product 51"/>
    <x v="48"/>
    <s v="Joshua Taylor"/>
    <x v="496"/>
    <n v="7"/>
    <x v="6"/>
    <x v="0"/>
    <x v="0"/>
    <x v="0"/>
    <x v="2"/>
  </r>
  <r>
    <s v="AX12053"/>
    <s v="ENX2020"/>
    <s v="A113"/>
    <s v="EMP1005"/>
    <s v="C1273"/>
    <x v="699"/>
    <n v="3"/>
    <n v="2005"/>
    <n v="1223"/>
    <n v="3669"/>
    <n v="6015"/>
    <n v="2346"/>
    <s v="Product 21"/>
    <x v="73"/>
    <s v="Ryan Welch"/>
    <x v="469"/>
    <n v="7"/>
    <x v="6"/>
    <x v="0"/>
    <x v="0"/>
    <x v="0"/>
    <x v="2"/>
  </r>
  <r>
    <s v="AX12317"/>
    <s v="ENX2016"/>
    <s v="A117"/>
    <s v="EMP1017"/>
    <s v="C1511"/>
    <x v="702"/>
    <n v="3"/>
    <n v="1351"/>
    <n v="1108"/>
    <n v="3324"/>
    <n v="4053"/>
    <n v="729"/>
    <s v="Product 17"/>
    <x v="29"/>
    <s v="Brian Hansen"/>
    <x v="754"/>
    <n v="7"/>
    <x v="6"/>
    <x v="0"/>
    <x v="0"/>
    <x v="0"/>
    <x v="2"/>
  </r>
  <r>
    <s v="AX12341"/>
    <s v="ENX2024"/>
    <s v="A126"/>
    <s v="EMP1024"/>
    <s v="C1419"/>
    <x v="699"/>
    <n v="2"/>
    <n v="356"/>
    <n v="292"/>
    <n v="584"/>
    <n v="712"/>
    <n v="128"/>
    <s v="Product 25"/>
    <x v="5"/>
    <s v="Ernest Wheeler"/>
    <x v="163"/>
    <n v="7"/>
    <x v="6"/>
    <x v="0"/>
    <x v="0"/>
    <x v="0"/>
    <x v="2"/>
  </r>
  <r>
    <s v="AX12399"/>
    <s v="ENX2059"/>
    <s v="A153"/>
    <s v="EMP1004"/>
    <s v="C1345"/>
    <x v="701"/>
    <n v="3"/>
    <n v="1494"/>
    <n v="971"/>
    <n v="2913"/>
    <n v="4482"/>
    <n v="1569"/>
    <s v="Product 60"/>
    <x v="8"/>
    <s v="Kenneth Bradley"/>
    <x v="567"/>
    <n v="7"/>
    <x v="6"/>
    <x v="0"/>
    <x v="0"/>
    <x v="0"/>
    <x v="2"/>
  </r>
  <r>
    <s v="AX12769"/>
    <s v="ENX2020"/>
    <s v="A107"/>
    <s v="EMP1018"/>
    <s v="C1790"/>
    <x v="700"/>
    <n v="1"/>
    <n v="2005"/>
    <n v="1223"/>
    <n v="1223"/>
    <n v="2005"/>
    <n v="782"/>
    <s v="Product 21"/>
    <x v="21"/>
    <s v="Jimmy Young"/>
    <x v="428"/>
    <n v="7"/>
    <x v="6"/>
    <x v="0"/>
    <x v="0"/>
    <x v="0"/>
    <x v="2"/>
  </r>
  <r>
    <s v="AX12869"/>
    <s v="ENX2078"/>
    <s v="A161"/>
    <s v="EMP1026"/>
    <s v="C1543"/>
    <x v="701"/>
    <n v="1"/>
    <n v="1798"/>
    <n v="971"/>
    <n v="971"/>
    <n v="1798"/>
    <n v="827"/>
    <s v="Product 79"/>
    <x v="6"/>
    <s v="Martin Perry"/>
    <x v="337"/>
    <n v="7"/>
    <x v="6"/>
    <x v="0"/>
    <x v="0"/>
    <x v="0"/>
    <x v="2"/>
  </r>
  <r>
    <s v="AX12892"/>
    <s v="ENX2033"/>
    <s v="A173"/>
    <s v="EMP1044"/>
    <s v="C1112"/>
    <x v="700"/>
    <n v="1"/>
    <n v="2182"/>
    <n v="1200"/>
    <n v="1200"/>
    <n v="2182"/>
    <n v="982"/>
    <s v="Product 34"/>
    <x v="25"/>
    <s v="Martin Carr"/>
    <x v="590"/>
    <n v="7"/>
    <x v="6"/>
    <x v="0"/>
    <x v="0"/>
    <x v="0"/>
    <x v="2"/>
  </r>
  <r>
    <s v="AX13275"/>
    <s v="ENX2022"/>
    <s v="A105"/>
    <s v="EMP1007"/>
    <s v="C1643"/>
    <x v="701"/>
    <n v="1"/>
    <n v="561"/>
    <n v="421"/>
    <n v="421"/>
    <n v="561"/>
    <n v="140"/>
    <s v="Product 23"/>
    <x v="45"/>
    <s v="Jeremy Mendoza"/>
    <x v="142"/>
    <n v="7"/>
    <x v="6"/>
    <x v="0"/>
    <x v="0"/>
    <x v="0"/>
    <x v="2"/>
  </r>
  <r>
    <s v="AX13893"/>
    <s v="ENX2004"/>
    <s v="A117"/>
    <s v="EMP1008"/>
    <s v="C1328"/>
    <x v="701"/>
    <n v="1"/>
    <n v="1278"/>
    <n v="665"/>
    <n v="665"/>
    <n v="1278"/>
    <n v="613"/>
    <s v="Product 5"/>
    <x v="29"/>
    <s v="Carl Elliott"/>
    <x v="488"/>
    <n v="7"/>
    <x v="6"/>
    <x v="0"/>
    <x v="0"/>
    <x v="0"/>
    <x v="2"/>
  </r>
  <r>
    <s v="AX13969"/>
    <s v="ENX2036"/>
    <s v="A172"/>
    <s v="EMP1040"/>
    <s v="C1263"/>
    <x v="701"/>
    <n v="3"/>
    <n v="1582"/>
    <n v="1234"/>
    <n v="3702"/>
    <n v="4746"/>
    <n v="1044"/>
    <s v="Product 37"/>
    <x v="36"/>
    <s v="Patrick Ruiz"/>
    <x v="368"/>
    <n v="7"/>
    <x v="6"/>
    <x v="0"/>
    <x v="0"/>
    <x v="0"/>
    <x v="2"/>
  </r>
  <r>
    <s v="AX14261"/>
    <s v="ENX2022"/>
    <s v="A129"/>
    <s v="EMP1038"/>
    <s v="C1300"/>
    <x v="702"/>
    <n v="4"/>
    <n v="561"/>
    <n v="421"/>
    <n v="1684"/>
    <n v="2244"/>
    <n v="560"/>
    <s v="Product 23"/>
    <x v="22"/>
    <s v="Scott Mason"/>
    <x v="201"/>
    <n v="7"/>
    <x v="6"/>
    <x v="0"/>
    <x v="0"/>
    <x v="0"/>
    <x v="2"/>
  </r>
  <r>
    <s v="AX14463"/>
    <s v="ENX2028"/>
    <s v="A101"/>
    <s v="EMP1030"/>
    <s v="C1318"/>
    <x v="700"/>
    <n v="4"/>
    <n v="2283"/>
    <n v="1484"/>
    <n v="5936"/>
    <n v="9132"/>
    <n v="3196"/>
    <s v="Product 29"/>
    <x v="60"/>
    <s v="Bobby Russell"/>
    <x v="730"/>
    <n v="7"/>
    <x v="6"/>
    <x v="0"/>
    <x v="0"/>
    <x v="0"/>
    <x v="2"/>
  </r>
  <r>
    <s v="AX14647"/>
    <s v="ENX2048"/>
    <s v="A142"/>
    <s v="EMP1022"/>
    <s v="C1330"/>
    <x v="700"/>
    <n v="1"/>
    <n v="502"/>
    <n v="296"/>
    <n v="296"/>
    <n v="502"/>
    <n v="206"/>
    <s v="Product 49"/>
    <x v="56"/>
    <s v="Walter Cook"/>
    <x v="511"/>
    <n v="7"/>
    <x v="6"/>
    <x v="0"/>
    <x v="0"/>
    <x v="0"/>
    <x v="2"/>
  </r>
  <r>
    <s v="AX14658"/>
    <s v="ENX2015"/>
    <s v="A116"/>
    <s v="EMP1043"/>
    <s v="C1173"/>
    <x v="702"/>
    <n v="1"/>
    <n v="637"/>
    <n v="389"/>
    <n v="389"/>
    <n v="637"/>
    <n v="248"/>
    <s v="Product 16"/>
    <x v="15"/>
    <s v="Joshua Taylor"/>
    <x v="167"/>
    <n v="7"/>
    <x v="6"/>
    <x v="0"/>
    <x v="0"/>
    <x v="0"/>
    <x v="2"/>
  </r>
  <r>
    <s v="AX14722"/>
    <s v="ENX2081"/>
    <s v="A171"/>
    <s v="EMP1017"/>
    <s v="C1275"/>
    <x v="701"/>
    <n v="4"/>
    <n v="1566"/>
    <n v="1190"/>
    <n v="4760"/>
    <n v="6264"/>
    <n v="1504"/>
    <s v="Product 82"/>
    <x v="0"/>
    <s v="Brian Hansen"/>
    <x v="144"/>
    <n v="7"/>
    <x v="6"/>
    <x v="0"/>
    <x v="0"/>
    <x v="0"/>
    <x v="2"/>
  </r>
  <r>
    <s v="AX15235"/>
    <s v="ENX2017"/>
    <s v="A125"/>
    <s v="EMP1013"/>
    <s v="C1291"/>
    <x v="702"/>
    <n v="1"/>
    <n v="35"/>
    <n v="22"/>
    <n v="22"/>
    <n v="35"/>
    <n v="13"/>
    <s v="Product 18"/>
    <x v="31"/>
    <s v="Charles Harper"/>
    <x v="16"/>
    <n v="7"/>
    <x v="6"/>
    <x v="0"/>
    <x v="0"/>
    <x v="0"/>
    <x v="2"/>
  </r>
  <r>
    <s v="AX16527"/>
    <s v="ENX2035"/>
    <s v="A124"/>
    <s v="EMP1011"/>
    <s v="C1407"/>
    <x v="699"/>
    <n v="1"/>
    <n v="458"/>
    <n v="376"/>
    <n v="376"/>
    <n v="458"/>
    <n v="82"/>
    <s v="Product 36"/>
    <x v="67"/>
    <s v="Larry Marshall"/>
    <x v="294"/>
    <n v="7"/>
    <x v="6"/>
    <x v="0"/>
    <x v="0"/>
    <x v="0"/>
    <x v="2"/>
  </r>
  <r>
    <s v="AX17051"/>
    <s v="ENX2012"/>
    <s v="A121"/>
    <s v="EMP1016"/>
    <s v="C1386"/>
    <x v="702"/>
    <n v="4"/>
    <n v="1353"/>
    <n v="947"/>
    <n v="3788"/>
    <n v="5412"/>
    <n v="1624"/>
    <s v="Product 13"/>
    <x v="72"/>
    <s v="Henry Nelson"/>
    <x v="123"/>
    <n v="7"/>
    <x v="6"/>
    <x v="0"/>
    <x v="0"/>
    <x v="0"/>
    <x v="2"/>
  </r>
  <r>
    <s v="AX17108"/>
    <s v="ENX2038"/>
    <s v="A123"/>
    <s v="EMP1014"/>
    <s v="C1042"/>
    <x v="700"/>
    <n v="1"/>
    <n v="392"/>
    <n v="255"/>
    <n v="255"/>
    <n v="392"/>
    <n v="137"/>
    <s v="Product 39"/>
    <x v="34"/>
    <s v="Ronald Reed"/>
    <x v="459"/>
    <n v="7"/>
    <x v="6"/>
    <x v="0"/>
    <x v="0"/>
    <x v="0"/>
    <x v="2"/>
  </r>
  <r>
    <s v="AX17173"/>
    <s v="ENX2034"/>
    <s v="A171"/>
    <s v="EMP1028"/>
    <s v="C1303"/>
    <x v="699"/>
    <n v="2"/>
    <n v="871"/>
    <n v="540"/>
    <n v="1080"/>
    <n v="1742"/>
    <n v="662"/>
    <s v="Product 35"/>
    <x v="0"/>
    <s v="Howard Sims"/>
    <x v="531"/>
    <n v="7"/>
    <x v="6"/>
    <x v="0"/>
    <x v="0"/>
    <x v="0"/>
    <x v="2"/>
  </r>
  <r>
    <s v="AX17902"/>
    <s v="ENX2042"/>
    <s v="A125"/>
    <s v="EMP1039"/>
    <s v="C1121"/>
    <x v="701"/>
    <n v="1"/>
    <n v="203"/>
    <n v="154"/>
    <n v="154"/>
    <n v="203"/>
    <n v="49"/>
    <s v="Product 43"/>
    <x v="31"/>
    <s v="Eugene Holmes"/>
    <x v="681"/>
    <n v="7"/>
    <x v="6"/>
    <x v="0"/>
    <x v="0"/>
    <x v="0"/>
    <x v="2"/>
  </r>
  <r>
    <s v="AX18435"/>
    <s v="ENX2084"/>
    <s v="A106"/>
    <s v="EMP1004"/>
    <s v="C1772"/>
    <x v="701"/>
    <n v="4"/>
    <n v="1783"/>
    <n v="1230"/>
    <n v="4920"/>
    <n v="7132"/>
    <n v="2212"/>
    <s v="Product 85"/>
    <x v="11"/>
    <s v="Kenneth Bradley"/>
    <x v="643"/>
    <n v="7"/>
    <x v="6"/>
    <x v="0"/>
    <x v="0"/>
    <x v="0"/>
    <x v="2"/>
  </r>
  <r>
    <s v="AX18592"/>
    <s v="ENX2023"/>
    <s v="A131"/>
    <s v="EMP1024"/>
    <s v="C1531"/>
    <x v="701"/>
    <n v="4"/>
    <n v="818"/>
    <n v="450"/>
    <n v="1800"/>
    <n v="3272"/>
    <n v="1472"/>
    <s v="Product 24"/>
    <x v="32"/>
    <s v="Ernest Wheeler"/>
    <x v="743"/>
    <n v="7"/>
    <x v="6"/>
    <x v="0"/>
    <x v="0"/>
    <x v="0"/>
    <x v="2"/>
  </r>
  <r>
    <s v="AX18609"/>
    <s v="ENX2038"/>
    <s v="A109"/>
    <s v="EMP1005"/>
    <s v="C1034"/>
    <x v="701"/>
    <n v="1"/>
    <n v="392"/>
    <n v="255"/>
    <n v="255"/>
    <n v="392"/>
    <n v="137"/>
    <s v="Product 39"/>
    <x v="57"/>
    <s v="Ryan Welch"/>
    <x v="704"/>
    <n v="7"/>
    <x v="6"/>
    <x v="0"/>
    <x v="0"/>
    <x v="0"/>
    <x v="2"/>
  </r>
  <r>
    <s v="AX18978"/>
    <s v="ENX2044"/>
    <s v="A112"/>
    <s v="EMP1019"/>
    <s v="C1069"/>
    <x v="700"/>
    <n v="1"/>
    <n v="886"/>
    <n v="478"/>
    <n v="478"/>
    <n v="886"/>
    <n v="408"/>
    <s v="Product 45"/>
    <x v="66"/>
    <s v="Roger Robertson"/>
    <x v="284"/>
    <n v="7"/>
    <x v="6"/>
    <x v="0"/>
    <x v="0"/>
    <x v="0"/>
    <x v="2"/>
  </r>
  <r>
    <s v="AX18991"/>
    <s v="ENX2056"/>
    <s v="A106"/>
    <s v="EMP1044"/>
    <s v="C1504"/>
    <x v="699"/>
    <n v="3"/>
    <n v="1635"/>
    <n v="1046"/>
    <n v="3138"/>
    <n v="4905"/>
    <n v="1767"/>
    <s v="Product 57"/>
    <x v="11"/>
    <s v="Martin Carr"/>
    <x v="559"/>
    <n v="7"/>
    <x v="6"/>
    <x v="0"/>
    <x v="0"/>
    <x v="0"/>
    <x v="2"/>
  </r>
  <r>
    <s v="AX19025"/>
    <s v="ENX2036"/>
    <s v="A161"/>
    <s v="EMP1043"/>
    <s v="C1285"/>
    <x v="700"/>
    <n v="4"/>
    <n v="1582"/>
    <n v="1234"/>
    <n v="4936"/>
    <n v="6328"/>
    <n v="1392"/>
    <s v="Product 37"/>
    <x v="6"/>
    <s v="Joshua Taylor"/>
    <x v="440"/>
    <n v="7"/>
    <x v="6"/>
    <x v="0"/>
    <x v="0"/>
    <x v="0"/>
    <x v="2"/>
  </r>
  <r>
    <s v="AX19044"/>
    <s v="ENX2047"/>
    <s v="A133"/>
    <s v="EMP1000"/>
    <s v="C1772"/>
    <x v="701"/>
    <n v="3"/>
    <n v="290"/>
    <n v="200"/>
    <n v="600"/>
    <n v="870"/>
    <n v="270"/>
    <s v="Product 48"/>
    <x v="46"/>
    <s v="Fred Robertson"/>
    <x v="643"/>
    <n v="7"/>
    <x v="6"/>
    <x v="0"/>
    <x v="0"/>
    <x v="0"/>
    <x v="2"/>
  </r>
  <r>
    <s v="AX19143"/>
    <s v="ENX2008"/>
    <s v="A148"/>
    <s v="EMP1038"/>
    <s v="C1307"/>
    <x v="700"/>
    <n v="3"/>
    <n v="315"/>
    <n v="208"/>
    <n v="624"/>
    <n v="945"/>
    <n v="321"/>
    <s v="Product 9"/>
    <x v="62"/>
    <s v="Scott Mason"/>
    <x v="416"/>
    <n v="7"/>
    <x v="6"/>
    <x v="0"/>
    <x v="0"/>
    <x v="0"/>
    <x v="2"/>
  </r>
  <r>
    <s v="AX19787"/>
    <s v="ENX2038"/>
    <s v="A167"/>
    <s v="EMP1024"/>
    <s v="C1257"/>
    <x v="699"/>
    <n v="2"/>
    <n v="392"/>
    <n v="255"/>
    <n v="510"/>
    <n v="784"/>
    <n v="274"/>
    <s v="Product 39"/>
    <x v="64"/>
    <s v="Ernest Wheeler"/>
    <x v="287"/>
    <n v="7"/>
    <x v="6"/>
    <x v="0"/>
    <x v="0"/>
    <x v="0"/>
    <x v="2"/>
  </r>
  <r>
    <s v="AX20019"/>
    <s v="ENX2047"/>
    <s v="A129"/>
    <s v="EMP1035"/>
    <s v="C1339"/>
    <x v="702"/>
    <n v="1"/>
    <n v="290"/>
    <n v="200"/>
    <n v="200"/>
    <n v="290"/>
    <n v="90"/>
    <s v="Product 48"/>
    <x v="22"/>
    <s v="Roger Ramos"/>
    <x v="401"/>
    <n v="7"/>
    <x v="6"/>
    <x v="0"/>
    <x v="0"/>
    <x v="0"/>
    <x v="2"/>
  </r>
  <r>
    <s v="AX20223"/>
    <s v="ENX2097"/>
    <s v="A143"/>
    <s v="EMP1038"/>
    <s v="C1338"/>
    <x v="700"/>
    <n v="2"/>
    <n v="1052"/>
    <n v="589"/>
    <n v="1178"/>
    <n v="2104"/>
    <n v="926"/>
    <s v="Product 98"/>
    <x v="39"/>
    <s v="Scott Mason"/>
    <x v="542"/>
    <n v="7"/>
    <x v="6"/>
    <x v="0"/>
    <x v="0"/>
    <x v="0"/>
    <x v="2"/>
  </r>
  <r>
    <s v="AX20571"/>
    <s v="ENX2100"/>
    <s v="A154"/>
    <s v="EMP1030"/>
    <s v="C1353"/>
    <x v="702"/>
    <n v="3"/>
    <n v="799"/>
    <n v="455"/>
    <n v="1365"/>
    <n v="2397"/>
    <n v="1032"/>
    <s v="Product 101"/>
    <x v="24"/>
    <s v="Bobby Russell"/>
    <x v="642"/>
    <n v="7"/>
    <x v="6"/>
    <x v="0"/>
    <x v="0"/>
    <x v="0"/>
    <x v="2"/>
  </r>
  <r>
    <s v="AX21070"/>
    <s v="ENX2003"/>
    <s v="A126"/>
    <s v="EMP1025"/>
    <s v="C1336"/>
    <x v="700"/>
    <n v="3"/>
    <n v="1783"/>
    <n v="1516"/>
    <n v="4548"/>
    <n v="5349"/>
    <n v="801"/>
    <s v="Product 4"/>
    <x v="5"/>
    <s v="Ernest Wagner"/>
    <x v="721"/>
    <n v="7"/>
    <x v="6"/>
    <x v="0"/>
    <x v="0"/>
    <x v="0"/>
    <x v="2"/>
  </r>
  <r>
    <s v="AX21551"/>
    <s v="ENX2099"/>
    <s v="A149"/>
    <s v="EMP1006"/>
    <s v="C1157"/>
    <x v="702"/>
    <n v="1"/>
    <n v="1367"/>
    <n v="984"/>
    <n v="984"/>
    <n v="1367"/>
    <n v="383"/>
    <s v="Product 100"/>
    <x v="59"/>
    <s v="Sean Miller"/>
    <x v="415"/>
    <n v="7"/>
    <x v="6"/>
    <x v="0"/>
    <x v="0"/>
    <x v="0"/>
    <x v="2"/>
  </r>
  <r>
    <s v="AX21726"/>
    <s v="ENX2096"/>
    <s v="A115"/>
    <s v="EMP1016"/>
    <s v="C1715"/>
    <x v="700"/>
    <n v="1"/>
    <n v="1587"/>
    <n v="1301"/>
    <n v="1301"/>
    <n v="1587"/>
    <n v="286"/>
    <s v="Product 97"/>
    <x v="33"/>
    <s v="Henry Nelson"/>
    <x v="342"/>
    <n v="7"/>
    <x v="6"/>
    <x v="0"/>
    <x v="0"/>
    <x v="0"/>
    <x v="2"/>
  </r>
  <r>
    <s v="AX21885"/>
    <s v="ENX2092"/>
    <s v="A144"/>
    <s v="EMP1017"/>
    <s v="C1075"/>
    <x v="702"/>
    <n v="2"/>
    <n v="1639"/>
    <n v="1295"/>
    <n v="2590"/>
    <n v="3278"/>
    <n v="688"/>
    <s v="Product 93"/>
    <x v="65"/>
    <s v="Brian Hansen"/>
    <x v="594"/>
    <n v="7"/>
    <x v="6"/>
    <x v="0"/>
    <x v="0"/>
    <x v="0"/>
    <x v="2"/>
  </r>
  <r>
    <s v="AX21941"/>
    <s v="ENX2069"/>
    <s v="A100"/>
    <s v="EMP1005"/>
    <s v="C1455"/>
    <x v="701"/>
    <n v="1"/>
    <n v="378"/>
    <n v="291"/>
    <n v="291"/>
    <n v="378"/>
    <n v="87"/>
    <s v="Product 70"/>
    <x v="52"/>
    <s v="Ryan Welch"/>
    <x v="47"/>
    <n v="7"/>
    <x v="6"/>
    <x v="0"/>
    <x v="0"/>
    <x v="0"/>
    <x v="2"/>
  </r>
  <r>
    <s v="AX22285"/>
    <s v="ENX2003"/>
    <s v="A167"/>
    <s v="EMP1023"/>
    <s v="C1264"/>
    <x v="701"/>
    <n v="1"/>
    <n v="1783"/>
    <n v="1516"/>
    <n v="1516"/>
    <n v="1783"/>
    <n v="267"/>
    <s v="Product 4"/>
    <x v="64"/>
    <s v="Brian Davis"/>
    <x v="206"/>
    <n v="7"/>
    <x v="6"/>
    <x v="0"/>
    <x v="0"/>
    <x v="0"/>
    <x v="2"/>
  </r>
  <r>
    <s v="AX22689"/>
    <s v="ENX2013"/>
    <s v="A146"/>
    <s v="EMP1037"/>
    <s v="C1233"/>
    <x v="701"/>
    <n v="1"/>
    <n v="368"/>
    <n v="269"/>
    <n v="269"/>
    <n v="368"/>
    <n v="99"/>
    <s v="Product 14"/>
    <x v="27"/>
    <s v="Carl Hall"/>
    <x v="396"/>
    <n v="7"/>
    <x v="6"/>
    <x v="0"/>
    <x v="0"/>
    <x v="0"/>
    <x v="2"/>
  </r>
  <r>
    <s v="AX23092"/>
    <s v="ENX2001"/>
    <s v="A149"/>
    <s v="EMP1004"/>
    <s v="C1733"/>
    <x v="701"/>
    <n v="2"/>
    <n v="951"/>
    <n v="504"/>
    <n v="1008"/>
    <n v="1902"/>
    <n v="894"/>
    <s v="Product 2"/>
    <x v="59"/>
    <s v="Kenneth Bradley"/>
    <x v="32"/>
    <n v="7"/>
    <x v="6"/>
    <x v="0"/>
    <x v="0"/>
    <x v="0"/>
    <x v="2"/>
  </r>
  <r>
    <s v="AX23260"/>
    <s v="ENX2083"/>
    <s v="A129"/>
    <s v="EMP1024"/>
    <s v="C1400"/>
    <x v="702"/>
    <n v="2"/>
    <n v="2141"/>
    <n v="1777"/>
    <n v="3554"/>
    <n v="4282"/>
    <n v="728"/>
    <s v="Product 84"/>
    <x v="22"/>
    <s v="Ernest Wheeler"/>
    <x v="437"/>
    <n v="7"/>
    <x v="6"/>
    <x v="0"/>
    <x v="0"/>
    <x v="0"/>
    <x v="2"/>
  </r>
  <r>
    <s v="AX23475"/>
    <s v="ENX2016"/>
    <s v="A156"/>
    <s v="EMP1020"/>
    <s v="C1597"/>
    <x v="702"/>
    <n v="2"/>
    <n v="1351"/>
    <n v="1108"/>
    <n v="2216"/>
    <n v="2702"/>
    <n v="486"/>
    <s v="Product 17"/>
    <x v="14"/>
    <s v="Ryan Butler"/>
    <x v="183"/>
    <n v="7"/>
    <x v="6"/>
    <x v="0"/>
    <x v="0"/>
    <x v="0"/>
    <x v="2"/>
  </r>
  <r>
    <s v="AX24210"/>
    <s v="ENX2018"/>
    <s v="A160"/>
    <s v="EMP1005"/>
    <s v="C1391"/>
    <x v="701"/>
    <n v="2"/>
    <n v="1972"/>
    <n v="1321"/>
    <n v="2642"/>
    <n v="3944"/>
    <n v="1302"/>
    <s v="Product 19"/>
    <x v="9"/>
    <s v="Ryan Welch"/>
    <x v="745"/>
    <n v="7"/>
    <x v="6"/>
    <x v="0"/>
    <x v="0"/>
    <x v="0"/>
    <x v="2"/>
  </r>
  <r>
    <s v="AX24544"/>
    <s v="ENX2075"/>
    <s v="A112"/>
    <s v="EMP1002"/>
    <s v="C1040"/>
    <x v="701"/>
    <n v="1"/>
    <n v="400"/>
    <n v="208"/>
    <n v="208"/>
    <n v="400"/>
    <n v="192"/>
    <s v="Product 76"/>
    <x v="66"/>
    <s v="Andrew Bowman"/>
    <x v="221"/>
    <n v="7"/>
    <x v="6"/>
    <x v="0"/>
    <x v="0"/>
    <x v="0"/>
    <x v="2"/>
  </r>
  <r>
    <s v="AX24601"/>
    <s v="ENX2019"/>
    <s v="A130"/>
    <s v="EMP1031"/>
    <s v="C1309"/>
    <x v="702"/>
    <n v="1"/>
    <n v="800"/>
    <n v="536"/>
    <n v="536"/>
    <n v="800"/>
    <n v="264"/>
    <s v="Product 20"/>
    <x v="4"/>
    <s v="Brian Thomas"/>
    <x v="139"/>
    <n v="7"/>
    <x v="6"/>
    <x v="0"/>
    <x v="0"/>
    <x v="0"/>
    <x v="2"/>
  </r>
  <r>
    <s v="AX10227"/>
    <s v="ENX2069"/>
    <s v="A103"/>
    <s v="EMP1024"/>
    <s v="C1768"/>
    <x v="703"/>
    <n v="2"/>
    <n v="378"/>
    <n v="291"/>
    <n v="582"/>
    <n v="756"/>
    <n v="174"/>
    <s v="Product 70"/>
    <x v="61"/>
    <s v="Ernest Wheeler"/>
    <x v="496"/>
    <n v="7"/>
    <x v="6"/>
    <x v="1"/>
    <x v="1"/>
    <x v="0"/>
    <x v="0"/>
  </r>
  <r>
    <s v="AX10260"/>
    <s v="ENX2027"/>
    <s v="A130"/>
    <s v="EMP1033"/>
    <s v="C1028"/>
    <x v="704"/>
    <n v="3"/>
    <n v="2497"/>
    <n v="1473"/>
    <n v="4419"/>
    <n v="7491"/>
    <n v="3072"/>
    <s v="Product 28"/>
    <x v="4"/>
    <s v="Jerry Perry"/>
    <x v="135"/>
    <n v="7"/>
    <x v="6"/>
    <x v="1"/>
    <x v="1"/>
    <x v="0"/>
    <x v="0"/>
  </r>
  <r>
    <s v="AX10329"/>
    <s v="ENX2090"/>
    <s v="A152"/>
    <s v="EMP1043"/>
    <s v="C1388"/>
    <x v="705"/>
    <n v="2"/>
    <n v="1338"/>
    <n v="682"/>
    <n v="1364"/>
    <n v="2676"/>
    <n v="1312"/>
    <s v="Product 91"/>
    <x v="26"/>
    <s v="Joshua Taylor"/>
    <x v="120"/>
    <n v="7"/>
    <x v="6"/>
    <x v="1"/>
    <x v="1"/>
    <x v="0"/>
    <x v="0"/>
  </r>
  <r>
    <s v="AX10388"/>
    <s v="ENX2007"/>
    <s v="A148"/>
    <s v="EMP1015"/>
    <s v="C1402"/>
    <x v="706"/>
    <n v="1"/>
    <n v="1405"/>
    <n v="1054"/>
    <n v="1054"/>
    <n v="1405"/>
    <n v="351"/>
    <s v="Product 8"/>
    <x v="62"/>
    <s v="Justin Lynch"/>
    <x v="79"/>
    <n v="7"/>
    <x v="6"/>
    <x v="1"/>
    <x v="1"/>
    <x v="0"/>
    <x v="0"/>
  </r>
  <r>
    <s v="AX10596"/>
    <s v="ENX2072"/>
    <s v="A103"/>
    <s v="EMP1023"/>
    <s v="C1317"/>
    <x v="703"/>
    <n v="1"/>
    <n v="1887"/>
    <n v="1378"/>
    <n v="1378"/>
    <n v="1887"/>
    <n v="509"/>
    <s v="Product 73"/>
    <x v="61"/>
    <s v="Brian Davis"/>
    <x v="504"/>
    <n v="7"/>
    <x v="6"/>
    <x v="1"/>
    <x v="1"/>
    <x v="0"/>
    <x v="0"/>
  </r>
  <r>
    <s v="AX10811"/>
    <s v="ENX2100"/>
    <s v="A131"/>
    <s v="EMP1003"/>
    <s v="C1569"/>
    <x v="706"/>
    <n v="1"/>
    <n v="799"/>
    <n v="455"/>
    <n v="455"/>
    <n v="799"/>
    <n v="344"/>
    <s v="Product 101"/>
    <x v="32"/>
    <s v="Christopher Tucker"/>
    <x v="485"/>
    <n v="7"/>
    <x v="6"/>
    <x v="1"/>
    <x v="1"/>
    <x v="0"/>
    <x v="0"/>
  </r>
  <r>
    <s v="AX10812"/>
    <s v="ENX2094"/>
    <s v="A113"/>
    <s v="EMP1007"/>
    <s v="C1307"/>
    <x v="706"/>
    <n v="3"/>
    <n v="771"/>
    <n v="648"/>
    <n v="1944"/>
    <n v="2313"/>
    <n v="369"/>
    <s v="Product 95"/>
    <x v="73"/>
    <s v="Jeremy Mendoza"/>
    <x v="416"/>
    <n v="7"/>
    <x v="6"/>
    <x v="1"/>
    <x v="1"/>
    <x v="0"/>
    <x v="0"/>
  </r>
  <r>
    <s v="AX10874"/>
    <s v="ENX2099"/>
    <s v="A140"/>
    <s v="EMP1042"/>
    <s v="C1056"/>
    <x v="705"/>
    <n v="3"/>
    <n v="1367"/>
    <n v="984"/>
    <n v="2952"/>
    <n v="4101"/>
    <n v="1149"/>
    <s v="Product 100"/>
    <x v="18"/>
    <s v="Scott Clark"/>
    <x v="260"/>
    <n v="7"/>
    <x v="6"/>
    <x v="1"/>
    <x v="1"/>
    <x v="0"/>
    <x v="0"/>
  </r>
  <r>
    <s v="AX11265"/>
    <s v="ENX2057"/>
    <s v="A118"/>
    <s v="EMP1013"/>
    <s v="C1536"/>
    <x v="705"/>
    <n v="1"/>
    <n v="181"/>
    <n v="130"/>
    <n v="130"/>
    <n v="181"/>
    <n v="51"/>
    <s v="Product 58"/>
    <x v="19"/>
    <s v="Charles Harper"/>
    <x v="74"/>
    <n v="7"/>
    <x v="6"/>
    <x v="1"/>
    <x v="1"/>
    <x v="0"/>
    <x v="0"/>
  </r>
  <r>
    <s v="AX11404"/>
    <s v="ENX2057"/>
    <s v="A148"/>
    <s v="EMP1024"/>
    <s v="C1104"/>
    <x v="706"/>
    <n v="1"/>
    <n v="181"/>
    <n v="130"/>
    <n v="130"/>
    <n v="181"/>
    <n v="51"/>
    <s v="Product 58"/>
    <x v="62"/>
    <s v="Ernest Wheeler"/>
    <x v="367"/>
    <n v="7"/>
    <x v="6"/>
    <x v="1"/>
    <x v="1"/>
    <x v="0"/>
    <x v="0"/>
  </r>
  <r>
    <s v="AX11614"/>
    <s v="ENX2084"/>
    <s v="A156"/>
    <s v="EMP1016"/>
    <s v="C1179"/>
    <x v="704"/>
    <n v="2"/>
    <n v="1783"/>
    <n v="1230"/>
    <n v="2460"/>
    <n v="3566"/>
    <n v="1106"/>
    <s v="Product 85"/>
    <x v="14"/>
    <s v="Henry Nelson"/>
    <x v="788"/>
    <n v="7"/>
    <x v="6"/>
    <x v="1"/>
    <x v="1"/>
    <x v="0"/>
    <x v="0"/>
  </r>
  <r>
    <s v="AX11717"/>
    <s v="ENX2045"/>
    <s v="A141"/>
    <s v="EMP1040"/>
    <s v="C1023"/>
    <x v="706"/>
    <n v="2"/>
    <n v="556"/>
    <n v="395"/>
    <n v="790"/>
    <n v="1112"/>
    <n v="322"/>
    <s v="Product 46"/>
    <x v="23"/>
    <s v="Patrick Ruiz"/>
    <x v="799"/>
    <n v="7"/>
    <x v="6"/>
    <x v="1"/>
    <x v="1"/>
    <x v="0"/>
    <x v="0"/>
  </r>
  <r>
    <s v="AX12354"/>
    <s v="ENX2088"/>
    <s v="A168"/>
    <s v="EMP1035"/>
    <s v="C1512"/>
    <x v="704"/>
    <n v="4"/>
    <n v="603"/>
    <n v="416"/>
    <n v="1664"/>
    <n v="2412"/>
    <n v="748"/>
    <s v="Product 89"/>
    <x v="40"/>
    <s v="Roger Ramos"/>
    <x v="671"/>
    <n v="7"/>
    <x v="6"/>
    <x v="1"/>
    <x v="1"/>
    <x v="0"/>
    <x v="0"/>
  </r>
  <r>
    <s v="AX12514"/>
    <s v="ENX2086"/>
    <s v="A152"/>
    <s v="EMP1033"/>
    <s v="C1744"/>
    <x v="704"/>
    <n v="2"/>
    <n v="123"/>
    <n v="84"/>
    <n v="168"/>
    <n v="246"/>
    <n v="78"/>
    <s v="Product 87"/>
    <x v="26"/>
    <s v="Jerry Perry"/>
    <x v="500"/>
    <n v="7"/>
    <x v="6"/>
    <x v="1"/>
    <x v="1"/>
    <x v="0"/>
    <x v="0"/>
  </r>
  <r>
    <s v="AX12750"/>
    <s v="ENX2003"/>
    <s v="A111"/>
    <s v="EMP1024"/>
    <s v="C1554"/>
    <x v="703"/>
    <n v="1"/>
    <n v="1783"/>
    <n v="1516"/>
    <n v="1516"/>
    <n v="1783"/>
    <n v="267"/>
    <s v="Product 4"/>
    <x v="54"/>
    <s v="Ernest Wheeler"/>
    <x v="516"/>
    <n v="7"/>
    <x v="6"/>
    <x v="1"/>
    <x v="1"/>
    <x v="0"/>
    <x v="0"/>
  </r>
  <r>
    <s v="AX12991"/>
    <s v="ENX2062"/>
    <s v="A134"/>
    <s v="EMP1038"/>
    <s v="C1096"/>
    <x v="703"/>
    <n v="1"/>
    <n v="2464"/>
    <n v="1774"/>
    <n v="1774"/>
    <n v="2464"/>
    <n v="690"/>
    <s v="Product 63"/>
    <x v="41"/>
    <s v="Scott Mason"/>
    <x v="91"/>
    <n v="7"/>
    <x v="6"/>
    <x v="1"/>
    <x v="1"/>
    <x v="0"/>
    <x v="0"/>
  </r>
  <r>
    <s v="AX13131"/>
    <s v="ENX2056"/>
    <s v="A148"/>
    <s v="EMP1040"/>
    <s v="C1487"/>
    <x v="706"/>
    <n v="3"/>
    <n v="1635"/>
    <n v="1046"/>
    <n v="3138"/>
    <n v="4905"/>
    <n v="1767"/>
    <s v="Product 57"/>
    <x v="62"/>
    <s v="Patrick Ruiz"/>
    <x v="461"/>
    <n v="7"/>
    <x v="6"/>
    <x v="1"/>
    <x v="1"/>
    <x v="0"/>
    <x v="0"/>
  </r>
  <r>
    <s v="AX13240"/>
    <s v="ENX2010"/>
    <s v="A125"/>
    <s v="EMP1023"/>
    <s v="C1780"/>
    <x v="704"/>
    <n v="1"/>
    <n v="1812"/>
    <n v="1305"/>
    <n v="1305"/>
    <n v="1812"/>
    <n v="507"/>
    <s v="Product 11"/>
    <x v="31"/>
    <s v="Brian Davis"/>
    <x v="320"/>
    <n v="7"/>
    <x v="6"/>
    <x v="1"/>
    <x v="1"/>
    <x v="0"/>
    <x v="0"/>
  </r>
  <r>
    <s v="AX13356"/>
    <s v="ENX2048"/>
    <s v="A143"/>
    <s v="EMP1042"/>
    <s v="C1459"/>
    <x v="706"/>
    <n v="1"/>
    <n v="502"/>
    <n v="296"/>
    <n v="296"/>
    <n v="502"/>
    <n v="206"/>
    <s v="Product 49"/>
    <x v="39"/>
    <s v="Scott Clark"/>
    <x v="330"/>
    <n v="7"/>
    <x v="6"/>
    <x v="1"/>
    <x v="1"/>
    <x v="0"/>
    <x v="0"/>
  </r>
  <r>
    <s v="AX13441"/>
    <s v="ENX2065"/>
    <s v="A168"/>
    <s v="EMP1009"/>
    <s v="C1031"/>
    <x v="703"/>
    <n v="1"/>
    <n v="2396"/>
    <n v="1965"/>
    <n v="1965"/>
    <n v="2396"/>
    <n v="431"/>
    <s v="Product 66"/>
    <x v="40"/>
    <s v="Kenneth Fields"/>
    <x v="782"/>
    <n v="7"/>
    <x v="6"/>
    <x v="1"/>
    <x v="1"/>
    <x v="0"/>
    <x v="0"/>
  </r>
  <r>
    <s v="AX13673"/>
    <s v="ENX2001"/>
    <s v="A118"/>
    <s v="EMP1040"/>
    <s v="C1697"/>
    <x v="704"/>
    <n v="3"/>
    <n v="951"/>
    <n v="504"/>
    <n v="1512"/>
    <n v="2853"/>
    <n v="1341"/>
    <s v="Product 2"/>
    <x v="19"/>
    <s v="Patrick Ruiz"/>
    <x v="589"/>
    <n v="7"/>
    <x v="6"/>
    <x v="1"/>
    <x v="1"/>
    <x v="0"/>
    <x v="0"/>
  </r>
  <r>
    <s v="AX13899"/>
    <s v="ENX2019"/>
    <s v="A141"/>
    <s v="EMP1024"/>
    <s v="C1449"/>
    <x v="706"/>
    <n v="2"/>
    <n v="800"/>
    <n v="536"/>
    <n v="1072"/>
    <n v="1600"/>
    <n v="528"/>
    <s v="Product 20"/>
    <x v="23"/>
    <s v="Ernest Wheeler"/>
    <x v="230"/>
    <n v="7"/>
    <x v="6"/>
    <x v="1"/>
    <x v="1"/>
    <x v="0"/>
    <x v="0"/>
  </r>
  <r>
    <s v="AX14001"/>
    <s v="ENX2019"/>
    <s v="A160"/>
    <s v="EMP1003"/>
    <s v="C1164"/>
    <x v="704"/>
    <n v="1"/>
    <n v="800"/>
    <n v="536"/>
    <n v="536"/>
    <n v="800"/>
    <n v="264"/>
    <s v="Product 20"/>
    <x v="9"/>
    <s v="Christopher Tucker"/>
    <x v="149"/>
    <n v="7"/>
    <x v="6"/>
    <x v="1"/>
    <x v="1"/>
    <x v="0"/>
    <x v="0"/>
  </r>
  <r>
    <s v="AX14257"/>
    <s v="ENX2028"/>
    <s v="A129"/>
    <s v="EMP1036"/>
    <s v="C1418"/>
    <x v="704"/>
    <n v="1"/>
    <n v="2283"/>
    <n v="1484"/>
    <n v="1484"/>
    <n v="2283"/>
    <n v="799"/>
    <s v="Product 29"/>
    <x v="22"/>
    <s v="Robert Reed"/>
    <x v="441"/>
    <n v="7"/>
    <x v="6"/>
    <x v="1"/>
    <x v="1"/>
    <x v="0"/>
    <x v="0"/>
  </r>
  <r>
    <s v="AX14393"/>
    <s v="ENX2088"/>
    <s v="A121"/>
    <s v="EMP1031"/>
    <s v="C1780"/>
    <x v="704"/>
    <n v="2"/>
    <n v="603"/>
    <n v="416"/>
    <n v="832"/>
    <n v="1206"/>
    <n v="374"/>
    <s v="Product 89"/>
    <x v="72"/>
    <s v="Brian Thomas"/>
    <x v="320"/>
    <n v="7"/>
    <x v="6"/>
    <x v="1"/>
    <x v="1"/>
    <x v="0"/>
    <x v="0"/>
  </r>
  <r>
    <s v="AX14460"/>
    <s v="ENX2071"/>
    <s v="A111"/>
    <s v="EMP1022"/>
    <s v="C1302"/>
    <x v="706"/>
    <n v="2"/>
    <n v="136"/>
    <n v="72"/>
    <n v="144"/>
    <n v="272"/>
    <n v="128"/>
    <s v="Product 72"/>
    <x v="54"/>
    <s v="Walter Cook"/>
    <x v="451"/>
    <n v="7"/>
    <x v="6"/>
    <x v="1"/>
    <x v="1"/>
    <x v="0"/>
    <x v="0"/>
  </r>
  <r>
    <s v="AX14469"/>
    <s v="ENX2077"/>
    <s v="A157"/>
    <s v="EMP1011"/>
    <s v="C1220"/>
    <x v="705"/>
    <n v="2"/>
    <n v="530"/>
    <n v="424"/>
    <n v="848"/>
    <n v="1060"/>
    <n v="212"/>
    <s v="Product 78"/>
    <x v="7"/>
    <s v="Larry Marshall"/>
    <x v="204"/>
    <n v="7"/>
    <x v="6"/>
    <x v="1"/>
    <x v="1"/>
    <x v="0"/>
    <x v="0"/>
  </r>
  <r>
    <s v="AX15254"/>
    <s v="ENX2054"/>
    <s v="A126"/>
    <s v="EMP1000"/>
    <s v="C1351"/>
    <x v="706"/>
    <n v="1"/>
    <n v="127"/>
    <n v="79"/>
    <n v="79"/>
    <n v="127"/>
    <n v="48"/>
    <s v="Product 55"/>
    <x v="5"/>
    <s v="Fred Robertson"/>
    <x v="122"/>
    <n v="7"/>
    <x v="6"/>
    <x v="1"/>
    <x v="1"/>
    <x v="0"/>
    <x v="0"/>
  </r>
  <r>
    <s v="AX15376"/>
    <s v="ENX2099"/>
    <s v="A166"/>
    <s v="EMP1001"/>
    <s v="C1432"/>
    <x v="706"/>
    <n v="3"/>
    <n v="1367"/>
    <n v="984"/>
    <n v="2952"/>
    <n v="4101"/>
    <n v="1149"/>
    <s v="Product 100"/>
    <x v="70"/>
    <s v="Kevin Butler"/>
    <x v="186"/>
    <n v="7"/>
    <x v="6"/>
    <x v="1"/>
    <x v="1"/>
    <x v="0"/>
    <x v="0"/>
  </r>
  <r>
    <s v="AX16191"/>
    <s v="ENX2088"/>
    <s v="A119"/>
    <s v="EMP1039"/>
    <s v="C1462"/>
    <x v="706"/>
    <n v="2"/>
    <n v="603"/>
    <n v="416"/>
    <n v="832"/>
    <n v="1206"/>
    <n v="374"/>
    <s v="Product 89"/>
    <x v="16"/>
    <s v="Eugene Holmes"/>
    <x v="418"/>
    <n v="7"/>
    <x v="6"/>
    <x v="1"/>
    <x v="1"/>
    <x v="0"/>
    <x v="0"/>
  </r>
  <r>
    <s v="AX16237"/>
    <s v="ENX2051"/>
    <s v="A117"/>
    <s v="EMP1015"/>
    <s v="C1166"/>
    <x v="706"/>
    <n v="2"/>
    <n v="1077"/>
    <n v="732"/>
    <n v="1464"/>
    <n v="2154"/>
    <n v="690"/>
    <s v="Product 52"/>
    <x v="29"/>
    <s v="Justin Lynch"/>
    <x v="733"/>
    <n v="7"/>
    <x v="6"/>
    <x v="1"/>
    <x v="1"/>
    <x v="0"/>
    <x v="0"/>
  </r>
  <r>
    <s v="AX16471"/>
    <s v="ENX2090"/>
    <s v="A108"/>
    <s v="EMP1012"/>
    <s v="C1553"/>
    <x v="703"/>
    <n v="2"/>
    <n v="1338"/>
    <n v="682"/>
    <n v="1364"/>
    <n v="2676"/>
    <n v="1312"/>
    <s v="Product 91"/>
    <x v="49"/>
    <s v="John Reyes"/>
    <x v="726"/>
    <n v="7"/>
    <x v="6"/>
    <x v="1"/>
    <x v="1"/>
    <x v="0"/>
    <x v="0"/>
  </r>
  <r>
    <s v="AX17253"/>
    <s v="ENX2070"/>
    <s v="A112"/>
    <s v="EMP1025"/>
    <s v="C1535"/>
    <x v="705"/>
    <n v="3"/>
    <n v="1671"/>
    <n v="1220"/>
    <n v="3660"/>
    <n v="5013"/>
    <n v="1353"/>
    <s v="Product 71"/>
    <x v="66"/>
    <s v="Ernest Wagner"/>
    <x v="85"/>
    <n v="7"/>
    <x v="6"/>
    <x v="1"/>
    <x v="1"/>
    <x v="0"/>
    <x v="0"/>
  </r>
  <r>
    <s v="AX17911"/>
    <s v="ENX2011"/>
    <s v="A173"/>
    <s v="EMP1000"/>
    <s v="C1651"/>
    <x v="703"/>
    <n v="4"/>
    <n v="530"/>
    <n v="435"/>
    <n v="1740"/>
    <n v="2120"/>
    <n v="380"/>
    <s v="Product 12"/>
    <x v="25"/>
    <s v="Fred Robertson"/>
    <x v="660"/>
    <n v="7"/>
    <x v="6"/>
    <x v="1"/>
    <x v="1"/>
    <x v="0"/>
    <x v="0"/>
  </r>
  <r>
    <s v="AX18550"/>
    <s v="ENX2001"/>
    <s v="A168"/>
    <s v="EMP1044"/>
    <s v="C1656"/>
    <x v="706"/>
    <n v="2"/>
    <n v="951"/>
    <n v="504"/>
    <n v="1008"/>
    <n v="1902"/>
    <n v="894"/>
    <s v="Product 2"/>
    <x v="40"/>
    <s v="Martin Carr"/>
    <x v="115"/>
    <n v="7"/>
    <x v="6"/>
    <x v="1"/>
    <x v="1"/>
    <x v="0"/>
    <x v="0"/>
  </r>
  <r>
    <s v="AX18810"/>
    <s v="ENX2087"/>
    <s v="A138"/>
    <s v="EMP1041"/>
    <s v="C1264"/>
    <x v="705"/>
    <n v="1"/>
    <n v="1022"/>
    <n v="818"/>
    <n v="818"/>
    <n v="1022"/>
    <n v="204"/>
    <s v="Product 88"/>
    <x v="37"/>
    <s v="Joe Sims"/>
    <x v="206"/>
    <n v="7"/>
    <x v="6"/>
    <x v="1"/>
    <x v="1"/>
    <x v="0"/>
    <x v="0"/>
  </r>
  <r>
    <s v="AX19287"/>
    <s v="ENX2082"/>
    <s v="A101"/>
    <s v="EMP1013"/>
    <s v="C1275"/>
    <x v="704"/>
    <n v="1"/>
    <n v="1103"/>
    <n v="838"/>
    <n v="838"/>
    <n v="1103"/>
    <n v="265"/>
    <s v="Product 83"/>
    <x v="60"/>
    <s v="Charles Harper"/>
    <x v="144"/>
    <n v="7"/>
    <x v="6"/>
    <x v="1"/>
    <x v="1"/>
    <x v="0"/>
    <x v="0"/>
  </r>
  <r>
    <s v="AX19323"/>
    <s v="ENX2036"/>
    <s v="A114"/>
    <s v="EMP1017"/>
    <s v="C1423"/>
    <x v="704"/>
    <n v="2"/>
    <n v="1582"/>
    <n v="1234"/>
    <n v="2468"/>
    <n v="3164"/>
    <n v="696"/>
    <s v="Product 37"/>
    <x v="28"/>
    <s v="Brian Hansen"/>
    <x v="182"/>
    <n v="7"/>
    <x v="6"/>
    <x v="1"/>
    <x v="1"/>
    <x v="0"/>
    <x v="0"/>
  </r>
  <r>
    <s v="AX19866"/>
    <s v="ENX2078"/>
    <s v="A125"/>
    <s v="EMP1024"/>
    <s v="C1500"/>
    <x v="704"/>
    <n v="2"/>
    <n v="1798"/>
    <n v="971"/>
    <n v="1942"/>
    <n v="3596"/>
    <n v="1654"/>
    <s v="Product 79"/>
    <x v="31"/>
    <s v="Ernest Wheeler"/>
    <x v="639"/>
    <n v="7"/>
    <x v="6"/>
    <x v="1"/>
    <x v="1"/>
    <x v="0"/>
    <x v="0"/>
  </r>
  <r>
    <s v="AX19974"/>
    <s v="ENX2037"/>
    <s v="A166"/>
    <s v="EMP1019"/>
    <s v="C1125"/>
    <x v="703"/>
    <n v="2"/>
    <n v="880"/>
    <n v="634"/>
    <n v="1268"/>
    <n v="1760"/>
    <n v="492"/>
    <s v="Product 38"/>
    <x v="70"/>
    <s v="Roger Robertson"/>
    <x v="539"/>
    <n v="7"/>
    <x v="6"/>
    <x v="1"/>
    <x v="1"/>
    <x v="0"/>
    <x v="0"/>
  </r>
  <r>
    <s v="AX20009"/>
    <s v="ENX2001"/>
    <s v="A160"/>
    <s v="EMP1025"/>
    <s v="C1155"/>
    <x v="705"/>
    <n v="3"/>
    <n v="951"/>
    <n v="504"/>
    <n v="1512"/>
    <n v="2853"/>
    <n v="1341"/>
    <s v="Product 2"/>
    <x v="9"/>
    <s v="Ernest Wagner"/>
    <x v="711"/>
    <n v="7"/>
    <x v="6"/>
    <x v="1"/>
    <x v="1"/>
    <x v="0"/>
    <x v="0"/>
  </r>
  <r>
    <s v="AX20272"/>
    <s v="ENX2039"/>
    <s v="A146"/>
    <s v="EMP1015"/>
    <s v="C1199"/>
    <x v="706"/>
    <n v="3"/>
    <n v="817"/>
    <n v="409"/>
    <n v="1227"/>
    <n v="2451"/>
    <n v="1224"/>
    <s v="Product 40"/>
    <x v="27"/>
    <s v="Justin Lynch"/>
    <x v="245"/>
    <n v="7"/>
    <x v="6"/>
    <x v="1"/>
    <x v="1"/>
    <x v="0"/>
    <x v="0"/>
  </r>
  <r>
    <s v="AX20433"/>
    <s v="ENX2010"/>
    <s v="A168"/>
    <s v="EMP1001"/>
    <s v="C1118"/>
    <x v="705"/>
    <n v="2"/>
    <n v="1812"/>
    <n v="1305"/>
    <n v="2610"/>
    <n v="3624"/>
    <n v="1014"/>
    <s v="Product 11"/>
    <x v="40"/>
    <s v="Kevin Butler"/>
    <x v="633"/>
    <n v="7"/>
    <x v="6"/>
    <x v="1"/>
    <x v="1"/>
    <x v="0"/>
    <x v="0"/>
  </r>
  <r>
    <s v="AX20446"/>
    <s v="ENX2082"/>
    <s v="A142"/>
    <s v="EMP1001"/>
    <s v="C1785"/>
    <x v="706"/>
    <n v="4"/>
    <n v="1103"/>
    <n v="838"/>
    <n v="3352"/>
    <n v="4412"/>
    <n v="1060"/>
    <s v="Product 83"/>
    <x v="56"/>
    <s v="Kevin Butler"/>
    <x v="107"/>
    <n v="7"/>
    <x v="6"/>
    <x v="1"/>
    <x v="1"/>
    <x v="0"/>
    <x v="0"/>
  </r>
  <r>
    <s v="AX20893"/>
    <s v="ENX2064"/>
    <s v="A136"/>
    <s v="EMP1031"/>
    <s v="C1722"/>
    <x v="705"/>
    <n v="1"/>
    <n v="1414"/>
    <n v="962"/>
    <n v="962"/>
    <n v="1414"/>
    <n v="452"/>
    <s v="Product 65"/>
    <x v="43"/>
    <s v="Brian Thomas"/>
    <x v="257"/>
    <n v="7"/>
    <x v="6"/>
    <x v="1"/>
    <x v="1"/>
    <x v="0"/>
    <x v="0"/>
  </r>
  <r>
    <s v="AX20910"/>
    <s v="ENX2084"/>
    <s v="A118"/>
    <s v="EMP1013"/>
    <s v="C1696"/>
    <x v="703"/>
    <n v="1"/>
    <n v="1783"/>
    <n v="1230"/>
    <n v="1230"/>
    <n v="1783"/>
    <n v="553"/>
    <s v="Product 85"/>
    <x v="19"/>
    <s v="Charles Harper"/>
    <x v="436"/>
    <n v="7"/>
    <x v="6"/>
    <x v="1"/>
    <x v="1"/>
    <x v="0"/>
    <x v="0"/>
  </r>
  <r>
    <s v="AX20976"/>
    <s v="ENX2077"/>
    <s v="A116"/>
    <s v="EMP1020"/>
    <s v="C1173"/>
    <x v="705"/>
    <n v="2"/>
    <n v="530"/>
    <n v="424"/>
    <n v="848"/>
    <n v="1060"/>
    <n v="212"/>
    <s v="Product 78"/>
    <x v="15"/>
    <s v="Ryan Butler"/>
    <x v="167"/>
    <n v="7"/>
    <x v="6"/>
    <x v="1"/>
    <x v="1"/>
    <x v="0"/>
    <x v="0"/>
  </r>
  <r>
    <s v="AX21511"/>
    <s v="ENX2081"/>
    <s v="A156"/>
    <s v="EMP1027"/>
    <s v="C1624"/>
    <x v="706"/>
    <n v="1"/>
    <n v="1566"/>
    <n v="1190"/>
    <n v="1190"/>
    <n v="1566"/>
    <n v="376"/>
    <s v="Product 82"/>
    <x v="14"/>
    <s v="Gary Rodriguez"/>
    <x v="339"/>
    <n v="7"/>
    <x v="6"/>
    <x v="1"/>
    <x v="1"/>
    <x v="0"/>
    <x v="0"/>
  </r>
  <r>
    <s v="AX21513"/>
    <s v="ENX2046"/>
    <s v="A173"/>
    <s v="EMP1041"/>
    <s v="C1402"/>
    <x v="703"/>
    <n v="1"/>
    <n v="2410"/>
    <n v="1518"/>
    <n v="1518"/>
    <n v="2410"/>
    <n v="892"/>
    <s v="Product 47"/>
    <x v="25"/>
    <s v="Joe Sims"/>
    <x v="79"/>
    <n v="7"/>
    <x v="6"/>
    <x v="1"/>
    <x v="1"/>
    <x v="0"/>
    <x v="0"/>
  </r>
  <r>
    <s v="AX21745"/>
    <s v="ENX2099"/>
    <s v="A140"/>
    <s v="EMP1040"/>
    <s v="C1397"/>
    <x v="704"/>
    <n v="1"/>
    <n v="1367"/>
    <n v="984"/>
    <n v="984"/>
    <n v="1367"/>
    <n v="383"/>
    <s v="Product 100"/>
    <x v="18"/>
    <s v="Patrick Ruiz"/>
    <x v="560"/>
    <n v="7"/>
    <x v="6"/>
    <x v="1"/>
    <x v="1"/>
    <x v="0"/>
    <x v="0"/>
  </r>
  <r>
    <s v="AX22054"/>
    <s v="ENX2001"/>
    <s v="A110"/>
    <s v="EMP1003"/>
    <s v="C1139"/>
    <x v="703"/>
    <n v="1"/>
    <n v="951"/>
    <n v="504"/>
    <n v="504"/>
    <n v="951"/>
    <n v="447"/>
    <s v="Product 2"/>
    <x v="63"/>
    <s v="Christopher Tucker"/>
    <x v="561"/>
    <n v="7"/>
    <x v="6"/>
    <x v="1"/>
    <x v="1"/>
    <x v="0"/>
    <x v="0"/>
  </r>
  <r>
    <s v="AX22684"/>
    <s v="ENX2012"/>
    <s v="A136"/>
    <s v="EMP1012"/>
    <s v="C1307"/>
    <x v="706"/>
    <n v="2"/>
    <n v="1353"/>
    <n v="947"/>
    <n v="1894"/>
    <n v="2706"/>
    <n v="812"/>
    <s v="Product 13"/>
    <x v="43"/>
    <s v="John Reyes"/>
    <x v="416"/>
    <n v="7"/>
    <x v="6"/>
    <x v="1"/>
    <x v="1"/>
    <x v="0"/>
    <x v="0"/>
  </r>
  <r>
    <s v="AX22699"/>
    <s v="ENX2086"/>
    <s v="A161"/>
    <s v="EMP1015"/>
    <s v="C1159"/>
    <x v="703"/>
    <n v="3"/>
    <n v="123"/>
    <n v="84"/>
    <n v="252"/>
    <n v="369"/>
    <n v="117"/>
    <s v="Product 87"/>
    <x v="6"/>
    <s v="Justin Lynch"/>
    <x v="793"/>
    <n v="7"/>
    <x v="6"/>
    <x v="1"/>
    <x v="1"/>
    <x v="0"/>
    <x v="0"/>
  </r>
  <r>
    <s v="AX23257"/>
    <s v="ENX2088"/>
    <s v="A135"/>
    <s v="EMP1014"/>
    <s v="C1330"/>
    <x v="703"/>
    <n v="4"/>
    <n v="603"/>
    <n v="416"/>
    <n v="1664"/>
    <n v="2412"/>
    <n v="748"/>
    <s v="Product 89"/>
    <x v="10"/>
    <s v="Ronald Reed"/>
    <x v="511"/>
    <n v="7"/>
    <x v="6"/>
    <x v="1"/>
    <x v="1"/>
    <x v="0"/>
    <x v="0"/>
  </r>
  <r>
    <s v="AX23370"/>
    <s v="ENX2078"/>
    <s v="A167"/>
    <s v="EMP1000"/>
    <s v="C1546"/>
    <x v="703"/>
    <n v="1"/>
    <n v="1798"/>
    <n v="971"/>
    <n v="971"/>
    <n v="1798"/>
    <n v="827"/>
    <s v="Product 79"/>
    <x v="64"/>
    <s v="Fred Robertson"/>
    <x v="119"/>
    <n v="7"/>
    <x v="6"/>
    <x v="1"/>
    <x v="1"/>
    <x v="0"/>
    <x v="0"/>
  </r>
  <r>
    <s v="AX23496"/>
    <s v="ENX2057"/>
    <s v="A144"/>
    <s v="EMP1008"/>
    <s v="C1229"/>
    <x v="703"/>
    <n v="1"/>
    <n v="181"/>
    <n v="130"/>
    <n v="130"/>
    <n v="181"/>
    <n v="51"/>
    <s v="Product 58"/>
    <x v="65"/>
    <s v="Carl Elliott"/>
    <x v="562"/>
    <n v="7"/>
    <x v="6"/>
    <x v="1"/>
    <x v="1"/>
    <x v="0"/>
    <x v="0"/>
  </r>
  <r>
    <s v="AX24136"/>
    <s v="ENX2025"/>
    <s v="A109"/>
    <s v="EMP1018"/>
    <s v="C1086"/>
    <x v="704"/>
    <n v="1"/>
    <n v="667"/>
    <n v="387"/>
    <n v="387"/>
    <n v="667"/>
    <n v="280"/>
    <s v="Product 26"/>
    <x v="57"/>
    <s v="Jimmy Young"/>
    <x v="769"/>
    <n v="7"/>
    <x v="6"/>
    <x v="1"/>
    <x v="1"/>
    <x v="0"/>
    <x v="0"/>
  </r>
  <r>
    <s v="AX24292"/>
    <s v="ENX2007"/>
    <s v="A144"/>
    <s v="EMP1029"/>
    <s v="C1475"/>
    <x v="704"/>
    <n v="1"/>
    <n v="1405"/>
    <n v="1054"/>
    <n v="1054"/>
    <n v="1405"/>
    <n v="351"/>
    <s v="Product 8"/>
    <x v="65"/>
    <s v="Howard Gardner"/>
    <x v="527"/>
    <n v="7"/>
    <x v="6"/>
    <x v="1"/>
    <x v="1"/>
    <x v="0"/>
    <x v="0"/>
  </r>
  <r>
    <s v="AX24774"/>
    <s v="ENX2024"/>
    <s v="A149"/>
    <s v="EMP1004"/>
    <s v="C1593"/>
    <x v="704"/>
    <n v="3"/>
    <n v="356"/>
    <n v="292"/>
    <n v="876"/>
    <n v="1068"/>
    <n v="192"/>
    <s v="Product 25"/>
    <x v="59"/>
    <s v="Kenneth Bradley"/>
    <x v="25"/>
    <n v="7"/>
    <x v="6"/>
    <x v="1"/>
    <x v="1"/>
    <x v="0"/>
    <x v="0"/>
  </r>
  <r>
    <s v="AX10323"/>
    <s v="ENX2010"/>
    <s v="A134"/>
    <s v="EMP1038"/>
    <s v="C1407"/>
    <x v="707"/>
    <n v="3"/>
    <n v="1812"/>
    <n v="1305"/>
    <n v="3915"/>
    <n v="5436"/>
    <n v="1521"/>
    <s v="Product 11"/>
    <x v="41"/>
    <s v="Scott Mason"/>
    <x v="294"/>
    <n v="7"/>
    <x v="6"/>
    <x v="1"/>
    <x v="1"/>
    <x v="0"/>
    <x v="1"/>
  </r>
  <r>
    <s v="AX10439"/>
    <s v="ENX2056"/>
    <s v="A157"/>
    <s v="EMP1001"/>
    <s v="C1036"/>
    <x v="708"/>
    <n v="1"/>
    <n v="1635"/>
    <n v="1046"/>
    <n v="1046"/>
    <n v="1635"/>
    <n v="589"/>
    <s v="Product 57"/>
    <x v="7"/>
    <s v="Kevin Butler"/>
    <x v="256"/>
    <n v="7"/>
    <x v="6"/>
    <x v="1"/>
    <x v="1"/>
    <x v="0"/>
    <x v="1"/>
  </r>
  <r>
    <s v="AX10569"/>
    <s v="ENX2074"/>
    <s v="A161"/>
    <s v="EMP1021"/>
    <s v="C1240"/>
    <x v="707"/>
    <n v="4"/>
    <n v="504"/>
    <n v="408"/>
    <n v="1632"/>
    <n v="2016"/>
    <n v="384"/>
    <s v="Product 75"/>
    <x v="6"/>
    <s v="Clarence Fox"/>
    <x v="455"/>
    <n v="7"/>
    <x v="6"/>
    <x v="1"/>
    <x v="1"/>
    <x v="0"/>
    <x v="1"/>
  </r>
  <r>
    <s v="AX10661"/>
    <s v="ENX2083"/>
    <s v="A142"/>
    <s v="EMP1043"/>
    <s v="C1267"/>
    <x v="709"/>
    <n v="2"/>
    <n v="2141"/>
    <n v="1777"/>
    <n v="3554"/>
    <n v="4282"/>
    <n v="728"/>
    <s v="Product 84"/>
    <x v="56"/>
    <s v="Joshua Taylor"/>
    <x v="657"/>
    <n v="7"/>
    <x v="6"/>
    <x v="1"/>
    <x v="1"/>
    <x v="0"/>
    <x v="1"/>
  </r>
  <r>
    <s v="AX10726"/>
    <s v="ENX2036"/>
    <s v="A102"/>
    <s v="EMP1019"/>
    <s v="C1374"/>
    <x v="707"/>
    <n v="2"/>
    <n v="1582"/>
    <n v="1234"/>
    <n v="2468"/>
    <n v="3164"/>
    <n v="696"/>
    <s v="Product 37"/>
    <x v="44"/>
    <s v="Roger Robertson"/>
    <x v="189"/>
    <n v="7"/>
    <x v="6"/>
    <x v="1"/>
    <x v="1"/>
    <x v="0"/>
    <x v="1"/>
  </r>
  <r>
    <s v="AX11039"/>
    <s v="ENX2031"/>
    <s v="A145"/>
    <s v="EMP1031"/>
    <s v="C1483"/>
    <x v="709"/>
    <n v="2"/>
    <n v="1638"/>
    <n v="1261"/>
    <n v="2522"/>
    <n v="3276"/>
    <n v="754"/>
    <s v="Product 32"/>
    <x v="35"/>
    <s v="Brian Thomas"/>
    <x v="255"/>
    <n v="7"/>
    <x v="6"/>
    <x v="1"/>
    <x v="1"/>
    <x v="0"/>
    <x v="1"/>
  </r>
  <r>
    <s v="AX11282"/>
    <s v="ENX2005"/>
    <s v="A102"/>
    <s v="EMP1018"/>
    <s v="C1754"/>
    <x v="707"/>
    <n v="3"/>
    <n v="684"/>
    <n v="561"/>
    <n v="1683"/>
    <n v="2052"/>
    <n v="369"/>
    <s v="Product 6"/>
    <x v="44"/>
    <s v="Jimmy Young"/>
    <x v="742"/>
    <n v="7"/>
    <x v="6"/>
    <x v="1"/>
    <x v="1"/>
    <x v="0"/>
    <x v="1"/>
  </r>
  <r>
    <s v="AX11368"/>
    <s v="ENX2071"/>
    <s v="A103"/>
    <s v="EMP1011"/>
    <s v="C1768"/>
    <x v="709"/>
    <n v="1"/>
    <n v="136"/>
    <n v="72"/>
    <n v="72"/>
    <n v="136"/>
    <n v="64"/>
    <s v="Product 72"/>
    <x v="61"/>
    <s v="Larry Marshall"/>
    <x v="496"/>
    <n v="7"/>
    <x v="6"/>
    <x v="1"/>
    <x v="1"/>
    <x v="0"/>
    <x v="1"/>
  </r>
  <r>
    <s v="AX11370"/>
    <s v="ENX2031"/>
    <s v="A173"/>
    <s v="EMP1022"/>
    <s v="C1781"/>
    <x v="707"/>
    <n v="3"/>
    <n v="1638"/>
    <n v="1261"/>
    <n v="3783"/>
    <n v="4914"/>
    <n v="1131"/>
    <s v="Product 32"/>
    <x v="25"/>
    <s v="Walter Cook"/>
    <x v="606"/>
    <n v="7"/>
    <x v="6"/>
    <x v="1"/>
    <x v="1"/>
    <x v="0"/>
    <x v="1"/>
  </r>
  <r>
    <s v="AX11575"/>
    <s v="ENX2093"/>
    <s v="A128"/>
    <s v="EMP1020"/>
    <s v="C1359"/>
    <x v="709"/>
    <n v="1"/>
    <n v="112"/>
    <n v="90"/>
    <n v="90"/>
    <n v="112"/>
    <n v="22"/>
    <s v="Product 94"/>
    <x v="12"/>
    <s v="Ryan Butler"/>
    <x v="652"/>
    <n v="7"/>
    <x v="6"/>
    <x v="1"/>
    <x v="1"/>
    <x v="0"/>
    <x v="1"/>
  </r>
  <r>
    <s v="AX11873"/>
    <s v="ENX2048"/>
    <s v="A123"/>
    <s v="EMP1018"/>
    <s v="C1406"/>
    <x v="710"/>
    <n v="1"/>
    <n v="502"/>
    <n v="296"/>
    <n v="296"/>
    <n v="502"/>
    <n v="206"/>
    <s v="Product 49"/>
    <x v="34"/>
    <s v="Jimmy Young"/>
    <x v="783"/>
    <n v="7"/>
    <x v="6"/>
    <x v="1"/>
    <x v="1"/>
    <x v="0"/>
    <x v="1"/>
  </r>
  <r>
    <s v="AX11947"/>
    <s v="ENX2000"/>
    <s v="A111"/>
    <s v="EMP1001"/>
    <s v="C1065"/>
    <x v="707"/>
    <n v="1"/>
    <n v="2241"/>
    <n v="1367"/>
    <n v="1367"/>
    <n v="2241"/>
    <n v="874"/>
    <s v="Product 1"/>
    <x v="54"/>
    <s v="Kevin Butler"/>
    <x v="637"/>
    <n v="7"/>
    <x v="6"/>
    <x v="1"/>
    <x v="1"/>
    <x v="0"/>
    <x v="1"/>
  </r>
  <r>
    <s v="AX11995"/>
    <s v="ENX2076"/>
    <s v="A159"/>
    <s v="EMP1036"/>
    <s v="C1286"/>
    <x v="709"/>
    <n v="1"/>
    <n v="1522"/>
    <n v="791"/>
    <n v="791"/>
    <n v="1522"/>
    <n v="731"/>
    <s v="Product 77"/>
    <x v="13"/>
    <s v="Robert Reed"/>
    <x v="308"/>
    <n v="7"/>
    <x v="6"/>
    <x v="1"/>
    <x v="1"/>
    <x v="0"/>
    <x v="1"/>
  </r>
  <r>
    <s v="AX12517"/>
    <s v="ENX2044"/>
    <s v="A147"/>
    <s v="EMP1027"/>
    <s v="C1369"/>
    <x v="710"/>
    <n v="2"/>
    <n v="886"/>
    <n v="478"/>
    <n v="956"/>
    <n v="1772"/>
    <n v="816"/>
    <s v="Product 45"/>
    <x v="42"/>
    <s v="Gary Rodriguez"/>
    <x v="126"/>
    <n v="7"/>
    <x v="6"/>
    <x v="1"/>
    <x v="1"/>
    <x v="0"/>
    <x v="1"/>
  </r>
  <r>
    <s v="AX12518"/>
    <s v="ENX2053"/>
    <s v="A107"/>
    <s v="EMP1034"/>
    <s v="C1343"/>
    <x v="710"/>
    <n v="2"/>
    <n v="596"/>
    <n v="358"/>
    <n v="716"/>
    <n v="1192"/>
    <n v="476"/>
    <s v="Product 54"/>
    <x v="21"/>
    <s v="Arthur Mccoy"/>
    <x v="175"/>
    <n v="7"/>
    <x v="6"/>
    <x v="1"/>
    <x v="1"/>
    <x v="0"/>
    <x v="1"/>
  </r>
  <r>
    <s v="AX12785"/>
    <s v="ENX2010"/>
    <s v="A157"/>
    <s v="EMP1031"/>
    <s v="C1526"/>
    <x v="709"/>
    <n v="1"/>
    <n v="1812"/>
    <n v="1305"/>
    <n v="1305"/>
    <n v="1812"/>
    <n v="507"/>
    <s v="Product 11"/>
    <x v="7"/>
    <s v="Brian Thomas"/>
    <x v="6"/>
    <n v="7"/>
    <x v="6"/>
    <x v="1"/>
    <x v="1"/>
    <x v="0"/>
    <x v="1"/>
  </r>
  <r>
    <s v="AX13053"/>
    <s v="ENX2008"/>
    <s v="A162"/>
    <s v="EMP1007"/>
    <s v="C1224"/>
    <x v="707"/>
    <n v="1"/>
    <n v="315"/>
    <n v="208"/>
    <n v="208"/>
    <n v="315"/>
    <n v="107"/>
    <s v="Product 9"/>
    <x v="2"/>
    <s v="Jeremy Mendoza"/>
    <x v="492"/>
    <n v="7"/>
    <x v="6"/>
    <x v="1"/>
    <x v="1"/>
    <x v="0"/>
    <x v="1"/>
  </r>
  <r>
    <s v="AX13150"/>
    <s v="ENX2036"/>
    <s v="A103"/>
    <s v="EMP1005"/>
    <s v="C1386"/>
    <x v="707"/>
    <n v="3"/>
    <n v="1582"/>
    <n v="1234"/>
    <n v="3702"/>
    <n v="4746"/>
    <n v="1044"/>
    <s v="Product 37"/>
    <x v="61"/>
    <s v="Ryan Welch"/>
    <x v="123"/>
    <n v="7"/>
    <x v="6"/>
    <x v="1"/>
    <x v="1"/>
    <x v="0"/>
    <x v="1"/>
  </r>
  <r>
    <s v="AX13166"/>
    <s v="ENX2048"/>
    <s v="A117"/>
    <s v="EMP1006"/>
    <s v="C1716"/>
    <x v="708"/>
    <n v="1"/>
    <n v="502"/>
    <n v="296"/>
    <n v="296"/>
    <n v="502"/>
    <n v="206"/>
    <s v="Product 49"/>
    <x v="29"/>
    <s v="Sean Miller"/>
    <x v="24"/>
    <n v="7"/>
    <x v="6"/>
    <x v="1"/>
    <x v="1"/>
    <x v="0"/>
    <x v="1"/>
  </r>
  <r>
    <s v="AX13559"/>
    <s v="ENX2079"/>
    <s v="A126"/>
    <s v="EMP1032"/>
    <s v="C1488"/>
    <x v="708"/>
    <n v="2"/>
    <n v="1725"/>
    <n v="1363"/>
    <n v="2726"/>
    <n v="3450"/>
    <n v="724"/>
    <s v="Product 80"/>
    <x v="5"/>
    <s v="Larry Castillo"/>
    <x v="763"/>
    <n v="7"/>
    <x v="6"/>
    <x v="1"/>
    <x v="1"/>
    <x v="0"/>
    <x v="1"/>
  </r>
  <r>
    <s v="AX13614"/>
    <s v="ENX2004"/>
    <s v="A124"/>
    <s v="EMP1036"/>
    <s v="C1360"/>
    <x v="710"/>
    <n v="3"/>
    <n v="1278"/>
    <n v="665"/>
    <n v="1995"/>
    <n v="3834"/>
    <n v="1839"/>
    <s v="Product 5"/>
    <x v="67"/>
    <s v="Robert Reed"/>
    <x v="573"/>
    <n v="7"/>
    <x v="6"/>
    <x v="1"/>
    <x v="1"/>
    <x v="0"/>
    <x v="1"/>
  </r>
  <r>
    <s v="AX15185"/>
    <s v="ENX2063"/>
    <s v="A145"/>
    <s v="EMP1033"/>
    <s v="C1182"/>
    <x v="710"/>
    <n v="4"/>
    <n v="1708"/>
    <n v="871"/>
    <n v="3484"/>
    <n v="6832"/>
    <n v="3348"/>
    <s v="Product 64"/>
    <x v="35"/>
    <s v="Jerry Perry"/>
    <x v="759"/>
    <n v="7"/>
    <x v="6"/>
    <x v="1"/>
    <x v="1"/>
    <x v="0"/>
    <x v="1"/>
  </r>
  <r>
    <s v="AX15245"/>
    <s v="ENX2088"/>
    <s v="A100"/>
    <s v="EMP1010"/>
    <s v="C1714"/>
    <x v="708"/>
    <n v="3"/>
    <n v="603"/>
    <n v="416"/>
    <n v="1248"/>
    <n v="1809"/>
    <n v="561"/>
    <s v="Product 89"/>
    <x v="52"/>
    <s v="Joshua Cook"/>
    <x v="317"/>
    <n v="7"/>
    <x v="6"/>
    <x v="1"/>
    <x v="1"/>
    <x v="0"/>
    <x v="1"/>
  </r>
  <r>
    <s v="AX15906"/>
    <s v="ENX2042"/>
    <s v="A170"/>
    <s v="EMP1018"/>
    <s v="C1606"/>
    <x v="710"/>
    <n v="3"/>
    <n v="203"/>
    <n v="154"/>
    <n v="462"/>
    <n v="609"/>
    <n v="147"/>
    <s v="Product 43"/>
    <x v="47"/>
    <s v="Jimmy Young"/>
    <x v="250"/>
    <n v="7"/>
    <x v="6"/>
    <x v="1"/>
    <x v="1"/>
    <x v="0"/>
    <x v="1"/>
  </r>
  <r>
    <s v="AX16151"/>
    <s v="ENX2019"/>
    <s v="A126"/>
    <s v="EMP1012"/>
    <s v="C1774"/>
    <x v="708"/>
    <n v="1"/>
    <n v="800"/>
    <n v="536"/>
    <n v="536"/>
    <n v="800"/>
    <n v="264"/>
    <s v="Product 20"/>
    <x v="5"/>
    <s v="John Reyes"/>
    <x v="232"/>
    <n v="7"/>
    <x v="6"/>
    <x v="1"/>
    <x v="1"/>
    <x v="0"/>
    <x v="1"/>
  </r>
  <r>
    <s v="AX16827"/>
    <s v="ENX2086"/>
    <s v="A128"/>
    <s v="EMP1022"/>
    <s v="C1408"/>
    <x v="710"/>
    <n v="3"/>
    <n v="123"/>
    <n v="84"/>
    <n v="252"/>
    <n v="369"/>
    <n v="117"/>
    <s v="Product 87"/>
    <x v="12"/>
    <s v="Walter Cook"/>
    <x v="647"/>
    <n v="7"/>
    <x v="6"/>
    <x v="1"/>
    <x v="1"/>
    <x v="0"/>
    <x v="1"/>
  </r>
  <r>
    <s v="AX17010"/>
    <s v="ENX2082"/>
    <s v="A103"/>
    <s v="EMP1031"/>
    <s v="C1675"/>
    <x v="710"/>
    <n v="3"/>
    <n v="1103"/>
    <n v="838"/>
    <n v="2514"/>
    <n v="3309"/>
    <n v="795"/>
    <s v="Product 83"/>
    <x v="61"/>
    <s v="Brian Thomas"/>
    <x v="453"/>
    <n v="7"/>
    <x v="6"/>
    <x v="1"/>
    <x v="1"/>
    <x v="0"/>
    <x v="1"/>
  </r>
  <r>
    <s v="AX17036"/>
    <s v="ENX2036"/>
    <s v="A159"/>
    <s v="EMP1020"/>
    <s v="C1209"/>
    <x v="710"/>
    <n v="1"/>
    <n v="1582"/>
    <n v="1234"/>
    <n v="1234"/>
    <n v="1582"/>
    <n v="348"/>
    <s v="Product 37"/>
    <x v="13"/>
    <s v="Ryan Butler"/>
    <x v="225"/>
    <n v="7"/>
    <x v="6"/>
    <x v="1"/>
    <x v="1"/>
    <x v="0"/>
    <x v="1"/>
  </r>
  <r>
    <s v="AX17408"/>
    <s v="ENX2062"/>
    <s v="A146"/>
    <s v="EMP1037"/>
    <s v="C1713"/>
    <x v="710"/>
    <n v="2"/>
    <n v="2464"/>
    <n v="1774"/>
    <n v="3548"/>
    <n v="4928"/>
    <n v="1380"/>
    <s v="Product 63"/>
    <x v="27"/>
    <s v="Carl Hall"/>
    <x v="753"/>
    <n v="7"/>
    <x v="6"/>
    <x v="1"/>
    <x v="1"/>
    <x v="0"/>
    <x v="1"/>
  </r>
  <r>
    <s v="AX17536"/>
    <s v="ENX2084"/>
    <s v="A117"/>
    <s v="EMP1023"/>
    <s v="C1101"/>
    <x v="709"/>
    <n v="1"/>
    <n v="1783"/>
    <n v="1230"/>
    <n v="1230"/>
    <n v="1783"/>
    <n v="553"/>
    <s v="Product 85"/>
    <x v="29"/>
    <s v="Brian Davis"/>
    <x v="347"/>
    <n v="7"/>
    <x v="6"/>
    <x v="1"/>
    <x v="1"/>
    <x v="0"/>
    <x v="1"/>
  </r>
  <r>
    <s v="AX17860"/>
    <s v="ENX2044"/>
    <s v="A113"/>
    <s v="EMP1006"/>
    <s v="C1499"/>
    <x v="707"/>
    <n v="4"/>
    <n v="886"/>
    <n v="478"/>
    <n v="1912"/>
    <n v="3544"/>
    <n v="1632"/>
    <s v="Product 45"/>
    <x v="73"/>
    <s v="Sean Miller"/>
    <x v="610"/>
    <n v="7"/>
    <x v="6"/>
    <x v="1"/>
    <x v="1"/>
    <x v="0"/>
    <x v="1"/>
  </r>
  <r>
    <s v="AX18303"/>
    <s v="ENX2066"/>
    <s v="A141"/>
    <s v="EMP1043"/>
    <s v="C1570"/>
    <x v="710"/>
    <n v="3"/>
    <n v="2091"/>
    <n v="1485"/>
    <n v="4455"/>
    <n v="6273"/>
    <n v="1818"/>
    <s v="Product 67"/>
    <x v="23"/>
    <s v="Joshua Taylor"/>
    <x v="695"/>
    <n v="7"/>
    <x v="6"/>
    <x v="1"/>
    <x v="1"/>
    <x v="0"/>
    <x v="1"/>
  </r>
  <r>
    <s v="AX18921"/>
    <s v="ENX2031"/>
    <s v="A125"/>
    <s v="EMP1043"/>
    <s v="C1138"/>
    <x v="708"/>
    <n v="3"/>
    <n v="1638"/>
    <n v="1261"/>
    <n v="3783"/>
    <n v="4914"/>
    <n v="1131"/>
    <s v="Product 32"/>
    <x v="31"/>
    <s v="Joshua Taylor"/>
    <x v="325"/>
    <n v="7"/>
    <x v="6"/>
    <x v="1"/>
    <x v="1"/>
    <x v="0"/>
    <x v="1"/>
  </r>
  <r>
    <s v="AX19182"/>
    <s v="ENX2029"/>
    <s v="A116"/>
    <s v="EMP1017"/>
    <s v="C1365"/>
    <x v="709"/>
    <n v="1"/>
    <n v="1848"/>
    <n v="1294"/>
    <n v="1294"/>
    <n v="1848"/>
    <n v="554"/>
    <s v="Product 30"/>
    <x v="15"/>
    <s v="Brian Hansen"/>
    <x v="450"/>
    <n v="7"/>
    <x v="6"/>
    <x v="1"/>
    <x v="1"/>
    <x v="0"/>
    <x v="1"/>
  </r>
  <r>
    <s v="AX19440"/>
    <s v="ENX2077"/>
    <s v="A145"/>
    <s v="EMP1012"/>
    <s v="C1348"/>
    <x v="710"/>
    <n v="4"/>
    <n v="530"/>
    <n v="424"/>
    <n v="1696"/>
    <n v="2120"/>
    <n v="424"/>
    <s v="Product 78"/>
    <x v="35"/>
    <s v="John Reyes"/>
    <x v="236"/>
    <n v="7"/>
    <x v="6"/>
    <x v="1"/>
    <x v="1"/>
    <x v="0"/>
    <x v="1"/>
  </r>
  <r>
    <s v="AX19449"/>
    <s v="ENX2028"/>
    <s v="A151"/>
    <s v="EMP1029"/>
    <s v="C1153"/>
    <x v="708"/>
    <n v="3"/>
    <n v="2283"/>
    <n v="1484"/>
    <n v="4452"/>
    <n v="6849"/>
    <n v="2397"/>
    <s v="Product 29"/>
    <x v="1"/>
    <s v="Howard Gardner"/>
    <x v="382"/>
    <n v="7"/>
    <x v="6"/>
    <x v="1"/>
    <x v="1"/>
    <x v="0"/>
    <x v="1"/>
  </r>
  <r>
    <s v="AX19603"/>
    <s v="ENX2000"/>
    <s v="A121"/>
    <s v="EMP1010"/>
    <s v="C1031"/>
    <x v="710"/>
    <n v="3"/>
    <n v="2241"/>
    <n v="1367"/>
    <n v="4101"/>
    <n v="6723"/>
    <n v="2622"/>
    <s v="Product 1"/>
    <x v="72"/>
    <s v="Joshua Cook"/>
    <x v="782"/>
    <n v="7"/>
    <x v="6"/>
    <x v="1"/>
    <x v="1"/>
    <x v="0"/>
    <x v="1"/>
  </r>
  <r>
    <s v="AX19686"/>
    <s v="ENX2021"/>
    <s v="A162"/>
    <s v="EMP1006"/>
    <s v="C1243"/>
    <x v="707"/>
    <n v="3"/>
    <n v="217"/>
    <n v="171"/>
    <n v="513"/>
    <n v="651"/>
    <n v="138"/>
    <s v="Product 22"/>
    <x v="2"/>
    <s v="Sean Miller"/>
    <x v="129"/>
    <n v="7"/>
    <x v="6"/>
    <x v="1"/>
    <x v="1"/>
    <x v="0"/>
    <x v="1"/>
  </r>
  <r>
    <s v="AX19935"/>
    <s v="ENX2003"/>
    <s v="A143"/>
    <s v="EMP1005"/>
    <s v="C1658"/>
    <x v="710"/>
    <n v="1"/>
    <n v="1783"/>
    <n v="1516"/>
    <n v="1516"/>
    <n v="1783"/>
    <n v="267"/>
    <s v="Product 4"/>
    <x v="39"/>
    <s v="Ryan Welch"/>
    <x v="612"/>
    <n v="7"/>
    <x v="6"/>
    <x v="1"/>
    <x v="1"/>
    <x v="0"/>
    <x v="1"/>
  </r>
  <r>
    <s v="AX19996"/>
    <s v="ENX2031"/>
    <s v="A116"/>
    <s v="EMP1019"/>
    <s v="C1433"/>
    <x v="708"/>
    <n v="1"/>
    <n v="1638"/>
    <n v="1261"/>
    <n v="1261"/>
    <n v="1638"/>
    <n v="377"/>
    <s v="Product 32"/>
    <x v="15"/>
    <s v="Roger Robertson"/>
    <x v="525"/>
    <n v="7"/>
    <x v="6"/>
    <x v="1"/>
    <x v="1"/>
    <x v="0"/>
    <x v="1"/>
  </r>
  <r>
    <s v="AX20258"/>
    <s v="ENX2066"/>
    <s v="A138"/>
    <s v="EMP1037"/>
    <s v="C1752"/>
    <x v="709"/>
    <n v="2"/>
    <n v="2091"/>
    <n v="1485"/>
    <n v="2970"/>
    <n v="4182"/>
    <n v="1212"/>
    <s v="Product 67"/>
    <x v="37"/>
    <s v="Carl Hall"/>
    <x v="233"/>
    <n v="7"/>
    <x v="6"/>
    <x v="1"/>
    <x v="1"/>
    <x v="0"/>
    <x v="1"/>
  </r>
  <r>
    <s v="AX20599"/>
    <s v="ENX2028"/>
    <s v="A152"/>
    <s v="EMP1017"/>
    <s v="C1676"/>
    <x v="709"/>
    <n v="4"/>
    <n v="2283"/>
    <n v="1484"/>
    <n v="5936"/>
    <n v="9132"/>
    <n v="3196"/>
    <s v="Product 29"/>
    <x v="26"/>
    <s v="Brian Hansen"/>
    <x v="497"/>
    <n v="7"/>
    <x v="6"/>
    <x v="1"/>
    <x v="1"/>
    <x v="0"/>
    <x v="1"/>
  </r>
  <r>
    <s v="AX21857"/>
    <s v="ENX2076"/>
    <s v="A173"/>
    <s v="EMP1003"/>
    <s v="C1252"/>
    <x v="708"/>
    <n v="2"/>
    <n v="1522"/>
    <n v="791"/>
    <n v="1582"/>
    <n v="3044"/>
    <n v="1462"/>
    <s v="Product 77"/>
    <x v="25"/>
    <s v="Christopher Tucker"/>
    <x v="358"/>
    <n v="7"/>
    <x v="6"/>
    <x v="1"/>
    <x v="1"/>
    <x v="0"/>
    <x v="1"/>
  </r>
  <r>
    <s v="AX22179"/>
    <s v="ENX2056"/>
    <s v="A164"/>
    <s v="EMP1039"/>
    <s v="C1375"/>
    <x v="710"/>
    <n v="2"/>
    <n v="1635"/>
    <n v="1046"/>
    <n v="2092"/>
    <n v="3270"/>
    <n v="1178"/>
    <s v="Product 57"/>
    <x v="3"/>
    <s v="Eugene Holmes"/>
    <x v="9"/>
    <n v="7"/>
    <x v="6"/>
    <x v="1"/>
    <x v="1"/>
    <x v="0"/>
    <x v="1"/>
  </r>
  <r>
    <s v="AX22385"/>
    <s v="ENX2054"/>
    <s v="A129"/>
    <s v="EMP1004"/>
    <s v="C1699"/>
    <x v="707"/>
    <n v="2"/>
    <n v="127"/>
    <n v="79"/>
    <n v="158"/>
    <n v="254"/>
    <n v="96"/>
    <s v="Product 55"/>
    <x v="22"/>
    <s v="Kenneth Bradley"/>
    <x v="672"/>
    <n v="7"/>
    <x v="6"/>
    <x v="1"/>
    <x v="1"/>
    <x v="0"/>
    <x v="1"/>
  </r>
  <r>
    <s v="AX22491"/>
    <s v="ENX2032"/>
    <s v="A165"/>
    <s v="EMP1009"/>
    <s v="C1232"/>
    <x v="709"/>
    <n v="3"/>
    <n v="1967"/>
    <n v="1397"/>
    <n v="4191"/>
    <n v="5901"/>
    <n v="1710"/>
    <s v="Product 33"/>
    <x v="55"/>
    <s v="Kenneth Fields"/>
    <x v="584"/>
    <n v="7"/>
    <x v="6"/>
    <x v="1"/>
    <x v="1"/>
    <x v="0"/>
    <x v="1"/>
  </r>
  <r>
    <s v="AX22655"/>
    <s v="ENX2094"/>
    <s v="A111"/>
    <s v="EMP1030"/>
    <s v="C1255"/>
    <x v="709"/>
    <n v="2"/>
    <n v="771"/>
    <n v="648"/>
    <n v="1296"/>
    <n v="1542"/>
    <n v="246"/>
    <s v="Product 95"/>
    <x v="54"/>
    <s v="Bobby Russell"/>
    <x v="111"/>
    <n v="7"/>
    <x v="6"/>
    <x v="1"/>
    <x v="1"/>
    <x v="0"/>
    <x v="1"/>
  </r>
  <r>
    <s v="AX22985"/>
    <s v="ENX2075"/>
    <s v="A139"/>
    <s v="EMP1007"/>
    <s v="C1359"/>
    <x v="709"/>
    <n v="2"/>
    <n v="400"/>
    <n v="208"/>
    <n v="416"/>
    <n v="800"/>
    <n v="384"/>
    <s v="Product 76"/>
    <x v="38"/>
    <s v="Jeremy Mendoza"/>
    <x v="652"/>
    <n v="7"/>
    <x v="6"/>
    <x v="1"/>
    <x v="1"/>
    <x v="0"/>
    <x v="1"/>
  </r>
  <r>
    <s v="AX23284"/>
    <s v="ENX2021"/>
    <s v="A110"/>
    <s v="EMP1001"/>
    <s v="C1561"/>
    <x v="708"/>
    <n v="3"/>
    <n v="217"/>
    <n v="171"/>
    <n v="513"/>
    <n v="651"/>
    <n v="138"/>
    <s v="Product 22"/>
    <x v="63"/>
    <s v="Kevin Butler"/>
    <x v="114"/>
    <n v="7"/>
    <x v="6"/>
    <x v="1"/>
    <x v="1"/>
    <x v="0"/>
    <x v="1"/>
  </r>
  <r>
    <s v="AX23404"/>
    <s v="ENX2078"/>
    <s v="A103"/>
    <s v="EMP1014"/>
    <s v="C1235"/>
    <x v="707"/>
    <n v="1"/>
    <n v="1798"/>
    <n v="971"/>
    <n v="971"/>
    <n v="1798"/>
    <n v="827"/>
    <s v="Product 79"/>
    <x v="61"/>
    <s v="Ronald Reed"/>
    <x v="353"/>
    <n v="7"/>
    <x v="6"/>
    <x v="1"/>
    <x v="1"/>
    <x v="0"/>
    <x v="1"/>
  </r>
  <r>
    <s v="AX23413"/>
    <s v="ENX2068"/>
    <s v="A172"/>
    <s v="EMP1032"/>
    <s v="C1512"/>
    <x v="708"/>
    <n v="4"/>
    <n v="1500"/>
    <n v="900"/>
    <n v="3600"/>
    <n v="6000"/>
    <n v="2400"/>
    <s v="Product 69"/>
    <x v="36"/>
    <s v="Larry Castillo"/>
    <x v="671"/>
    <n v="7"/>
    <x v="6"/>
    <x v="1"/>
    <x v="1"/>
    <x v="0"/>
    <x v="1"/>
  </r>
  <r>
    <s v="AX23420"/>
    <s v="ENX2066"/>
    <s v="A126"/>
    <s v="EMP1024"/>
    <s v="C1701"/>
    <x v="708"/>
    <n v="1"/>
    <n v="2091"/>
    <n v="1485"/>
    <n v="1485"/>
    <n v="2091"/>
    <n v="606"/>
    <s v="Product 67"/>
    <x v="5"/>
    <s v="Ernest Wheeler"/>
    <x v="736"/>
    <n v="7"/>
    <x v="6"/>
    <x v="1"/>
    <x v="1"/>
    <x v="0"/>
    <x v="1"/>
  </r>
  <r>
    <s v="AX23483"/>
    <s v="ENX2018"/>
    <s v="A150"/>
    <s v="EMP1011"/>
    <s v="C1532"/>
    <x v="709"/>
    <n v="1"/>
    <n v="1972"/>
    <n v="1321"/>
    <n v="1321"/>
    <n v="1972"/>
    <n v="651"/>
    <s v="Product 19"/>
    <x v="30"/>
    <s v="Larry Marshall"/>
    <x v="103"/>
    <n v="7"/>
    <x v="6"/>
    <x v="1"/>
    <x v="1"/>
    <x v="0"/>
    <x v="1"/>
  </r>
  <r>
    <s v="AX23645"/>
    <s v="ENX2023"/>
    <s v="A168"/>
    <s v="EMP1007"/>
    <s v="C1728"/>
    <x v="708"/>
    <n v="2"/>
    <n v="818"/>
    <n v="450"/>
    <n v="900"/>
    <n v="1636"/>
    <n v="736"/>
    <s v="Product 24"/>
    <x v="40"/>
    <s v="Jeremy Mendoza"/>
    <x v="446"/>
    <n v="7"/>
    <x v="6"/>
    <x v="1"/>
    <x v="1"/>
    <x v="0"/>
    <x v="1"/>
  </r>
  <r>
    <s v="AX23927"/>
    <s v="ENX2070"/>
    <s v="A168"/>
    <s v="EMP1004"/>
    <s v="C1729"/>
    <x v="710"/>
    <n v="4"/>
    <n v="1671"/>
    <n v="1220"/>
    <n v="4880"/>
    <n v="6684"/>
    <n v="1804"/>
    <s v="Product 71"/>
    <x v="40"/>
    <s v="Kenneth Bradley"/>
    <x v="268"/>
    <n v="7"/>
    <x v="6"/>
    <x v="1"/>
    <x v="1"/>
    <x v="0"/>
    <x v="1"/>
  </r>
  <r>
    <s v="AX24247"/>
    <s v="ENX2066"/>
    <s v="A152"/>
    <s v="EMP1017"/>
    <s v="C1155"/>
    <x v="709"/>
    <n v="2"/>
    <n v="2091"/>
    <n v="1485"/>
    <n v="2970"/>
    <n v="4182"/>
    <n v="1212"/>
    <s v="Product 67"/>
    <x v="26"/>
    <s v="Brian Hansen"/>
    <x v="711"/>
    <n v="7"/>
    <x v="6"/>
    <x v="1"/>
    <x v="1"/>
    <x v="0"/>
    <x v="1"/>
  </r>
  <r>
    <s v="AX24596"/>
    <s v="ENX2016"/>
    <s v="A136"/>
    <s v="EMP1043"/>
    <s v="C1173"/>
    <x v="708"/>
    <n v="2"/>
    <n v="1351"/>
    <n v="1108"/>
    <n v="2216"/>
    <n v="2702"/>
    <n v="486"/>
    <s v="Product 17"/>
    <x v="43"/>
    <s v="Joshua Taylor"/>
    <x v="167"/>
    <n v="7"/>
    <x v="6"/>
    <x v="1"/>
    <x v="1"/>
    <x v="0"/>
    <x v="1"/>
  </r>
  <r>
    <s v="AX24604"/>
    <s v="ENX2021"/>
    <s v="A120"/>
    <s v="EMP1040"/>
    <s v="C1078"/>
    <x v="708"/>
    <n v="2"/>
    <n v="217"/>
    <n v="171"/>
    <n v="342"/>
    <n v="434"/>
    <n v="92"/>
    <s v="Product 22"/>
    <x v="20"/>
    <s v="Patrick Ruiz"/>
    <x v="565"/>
    <n v="7"/>
    <x v="6"/>
    <x v="1"/>
    <x v="1"/>
    <x v="0"/>
    <x v="1"/>
  </r>
  <r>
    <s v="AX24787"/>
    <s v="ENX2087"/>
    <s v="A141"/>
    <s v="EMP1027"/>
    <s v="C1142"/>
    <x v="710"/>
    <n v="2"/>
    <n v="1022"/>
    <n v="818"/>
    <n v="1636"/>
    <n v="2044"/>
    <n v="408"/>
    <s v="Product 88"/>
    <x v="23"/>
    <s v="Gary Rodriguez"/>
    <x v="731"/>
    <n v="7"/>
    <x v="6"/>
    <x v="1"/>
    <x v="1"/>
    <x v="0"/>
    <x v="1"/>
  </r>
  <r>
    <s v="AX10040"/>
    <s v="ENX2053"/>
    <s v="A122"/>
    <s v="EMP1040"/>
    <s v="C1301"/>
    <x v="711"/>
    <n v="4"/>
    <n v="596"/>
    <n v="358"/>
    <n v="1432"/>
    <n v="2384"/>
    <n v="952"/>
    <s v="Product 54"/>
    <x v="71"/>
    <s v="Patrick Ruiz"/>
    <x v="231"/>
    <n v="7"/>
    <x v="6"/>
    <x v="1"/>
    <x v="1"/>
    <x v="0"/>
    <x v="2"/>
  </r>
  <r>
    <s v="AX10095"/>
    <s v="ENX2027"/>
    <s v="A105"/>
    <s v="EMP1039"/>
    <s v="C1007"/>
    <x v="712"/>
    <n v="1"/>
    <n v="2497"/>
    <n v="1473"/>
    <n v="1473"/>
    <n v="2497"/>
    <n v="1024"/>
    <s v="Product 28"/>
    <x v="45"/>
    <s v="Eugene Holmes"/>
    <x v="413"/>
    <n v="7"/>
    <x v="6"/>
    <x v="1"/>
    <x v="1"/>
    <x v="0"/>
    <x v="2"/>
  </r>
  <r>
    <s v="AX10679"/>
    <s v="ENX2035"/>
    <s v="A169"/>
    <s v="EMP1015"/>
    <s v="C1719"/>
    <x v="712"/>
    <n v="2"/>
    <n v="458"/>
    <n v="376"/>
    <n v="752"/>
    <n v="916"/>
    <n v="164"/>
    <s v="Product 36"/>
    <x v="17"/>
    <s v="Justin Lynch"/>
    <x v="666"/>
    <n v="7"/>
    <x v="6"/>
    <x v="1"/>
    <x v="1"/>
    <x v="0"/>
    <x v="2"/>
  </r>
  <r>
    <s v="AX10914"/>
    <s v="ENX2040"/>
    <s v="A127"/>
    <s v="EMP1032"/>
    <s v="C1336"/>
    <x v="711"/>
    <n v="3"/>
    <n v="1889"/>
    <n v="945"/>
    <n v="2835"/>
    <n v="5667"/>
    <n v="2832"/>
    <s v="Product 41"/>
    <x v="69"/>
    <s v="Larry Castillo"/>
    <x v="721"/>
    <n v="7"/>
    <x v="6"/>
    <x v="1"/>
    <x v="1"/>
    <x v="0"/>
    <x v="2"/>
  </r>
  <r>
    <s v="AX11094"/>
    <s v="ENX2074"/>
    <s v="A146"/>
    <s v="EMP1043"/>
    <s v="C1181"/>
    <x v="713"/>
    <n v="3"/>
    <n v="504"/>
    <n v="408"/>
    <n v="1224"/>
    <n v="1512"/>
    <n v="288"/>
    <s v="Product 75"/>
    <x v="27"/>
    <s v="Joshua Taylor"/>
    <x v="449"/>
    <n v="7"/>
    <x v="6"/>
    <x v="1"/>
    <x v="1"/>
    <x v="0"/>
    <x v="2"/>
  </r>
  <r>
    <s v="AX11107"/>
    <s v="ENX2016"/>
    <s v="A108"/>
    <s v="EMP1012"/>
    <s v="C1607"/>
    <x v="714"/>
    <n v="1"/>
    <n v="1351"/>
    <n v="1108"/>
    <n v="1108"/>
    <n v="1351"/>
    <n v="243"/>
    <s v="Product 17"/>
    <x v="49"/>
    <s v="John Reyes"/>
    <x v="211"/>
    <n v="7"/>
    <x v="6"/>
    <x v="1"/>
    <x v="1"/>
    <x v="0"/>
    <x v="2"/>
  </r>
  <r>
    <s v="AX11123"/>
    <s v="ENX2078"/>
    <s v="A173"/>
    <s v="EMP1007"/>
    <s v="C1165"/>
    <x v="714"/>
    <n v="3"/>
    <n v="1798"/>
    <n v="971"/>
    <n v="2913"/>
    <n v="5394"/>
    <n v="2481"/>
    <s v="Product 79"/>
    <x v="25"/>
    <s v="Jeremy Mendoza"/>
    <x v="82"/>
    <n v="7"/>
    <x v="6"/>
    <x v="1"/>
    <x v="1"/>
    <x v="0"/>
    <x v="2"/>
  </r>
  <r>
    <s v="AX11186"/>
    <s v="ENX2062"/>
    <s v="A153"/>
    <s v="EMP1034"/>
    <s v="C1558"/>
    <x v="712"/>
    <n v="1"/>
    <n v="2464"/>
    <n v="1774"/>
    <n v="1774"/>
    <n v="2464"/>
    <n v="690"/>
    <s v="Product 63"/>
    <x v="8"/>
    <s v="Arthur Mccoy"/>
    <x v="170"/>
    <n v="7"/>
    <x v="6"/>
    <x v="1"/>
    <x v="1"/>
    <x v="0"/>
    <x v="2"/>
  </r>
  <r>
    <s v="AX11302"/>
    <s v="ENX2017"/>
    <s v="A134"/>
    <s v="EMP1031"/>
    <s v="C1633"/>
    <x v="714"/>
    <n v="1"/>
    <n v="35"/>
    <n v="22"/>
    <n v="22"/>
    <n v="35"/>
    <n v="13"/>
    <s v="Product 18"/>
    <x v="41"/>
    <s v="Brian Thomas"/>
    <x v="558"/>
    <n v="7"/>
    <x v="6"/>
    <x v="1"/>
    <x v="1"/>
    <x v="0"/>
    <x v="2"/>
  </r>
  <r>
    <s v="AX11477"/>
    <s v="ENX2043"/>
    <s v="A161"/>
    <s v="EMP1006"/>
    <s v="C1202"/>
    <x v="713"/>
    <n v="3"/>
    <n v="545"/>
    <n v="425"/>
    <n v="1275"/>
    <n v="1635"/>
    <n v="360"/>
    <s v="Product 44"/>
    <x v="6"/>
    <s v="Sean Miller"/>
    <x v="3"/>
    <n v="7"/>
    <x v="6"/>
    <x v="1"/>
    <x v="1"/>
    <x v="0"/>
    <x v="2"/>
  </r>
  <r>
    <s v="AX11674"/>
    <s v="ENX2060"/>
    <s v="A164"/>
    <s v="EMP1028"/>
    <s v="C1093"/>
    <x v="713"/>
    <n v="3"/>
    <n v="1467"/>
    <n v="807"/>
    <n v="2421"/>
    <n v="4401"/>
    <n v="1980"/>
    <s v="Product 61"/>
    <x v="3"/>
    <s v="Howard Sims"/>
    <x v="290"/>
    <n v="7"/>
    <x v="6"/>
    <x v="1"/>
    <x v="1"/>
    <x v="0"/>
    <x v="2"/>
  </r>
  <r>
    <s v="AX11695"/>
    <s v="ENX2069"/>
    <s v="A114"/>
    <s v="EMP1040"/>
    <s v="C1602"/>
    <x v="713"/>
    <n v="1"/>
    <n v="378"/>
    <n v="291"/>
    <n v="291"/>
    <n v="378"/>
    <n v="87"/>
    <s v="Product 70"/>
    <x v="28"/>
    <s v="Patrick Ruiz"/>
    <x v="749"/>
    <n v="7"/>
    <x v="6"/>
    <x v="1"/>
    <x v="1"/>
    <x v="0"/>
    <x v="2"/>
  </r>
  <r>
    <s v="AX11983"/>
    <s v="ENX2068"/>
    <s v="A105"/>
    <s v="EMP1018"/>
    <s v="C1333"/>
    <x v="711"/>
    <n v="1"/>
    <n v="1500"/>
    <n v="900"/>
    <n v="900"/>
    <n v="1500"/>
    <n v="600"/>
    <s v="Product 69"/>
    <x v="45"/>
    <s v="Jimmy Young"/>
    <x v="673"/>
    <n v="7"/>
    <x v="6"/>
    <x v="1"/>
    <x v="1"/>
    <x v="0"/>
    <x v="2"/>
  </r>
  <r>
    <s v="AX12292"/>
    <s v="ENX2025"/>
    <s v="A169"/>
    <s v="EMP1031"/>
    <s v="C1620"/>
    <x v="714"/>
    <n v="1"/>
    <n v="667"/>
    <n v="387"/>
    <n v="387"/>
    <n v="667"/>
    <n v="280"/>
    <s v="Product 26"/>
    <x v="17"/>
    <s v="Brian Thomas"/>
    <x v="445"/>
    <n v="7"/>
    <x v="6"/>
    <x v="1"/>
    <x v="1"/>
    <x v="0"/>
    <x v="2"/>
  </r>
  <r>
    <s v="AX12397"/>
    <s v="ENX2086"/>
    <s v="A107"/>
    <s v="EMP1036"/>
    <s v="C1192"/>
    <x v="711"/>
    <n v="1"/>
    <n v="123"/>
    <n v="84"/>
    <n v="84"/>
    <n v="123"/>
    <n v="39"/>
    <s v="Product 87"/>
    <x v="21"/>
    <s v="Robert Reed"/>
    <x v="746"/>
    <n v="7"/>
    <x v="6"/>
    <x v="1"/>
    <x v="1"/>
    <x v="0"/>
    <x v="2"/>
  </r>
  <r>
    <s v="AX12789"/>
    <s v="ENX2016"/>
    <s v="A132"/>
    <s v="EMP1005"/>
    <s v="C1112"/>
    <x v="711"/>
    <n v="4"/>
    <n v="1351"/>
    <n v="1108"/>
    <n v="4432"/>
    <n v="5404"/>
    <n v="972"/>
    <s v="Product 17"/>
    <x v="48"/>
    <s v="Ryan Welch"/>
    <x v="590"/>
    <n v="7"/>
    <x v="6"/>
    <x v="1"/>
    <x v="1"/>
    <x v="0"/>
    <x v="2"/>
  </r>
  <r>
    <s v="AX12963"/>
    <s v="ENX2013"/>
    <s v="A166"/>
    <s v="EMP1028"/>
    <s v="C1671"/>
    <x v="711"/>
    <n v="1"/>
    <n v="368"/>
    <n v="269"/>
    <n v="269"/>
    <n v="368"/>
    <n v="99"/>
    <s v="Product 14"/>
    <x v="70"/>
    <s v="Howard Sims"/>
    <x v="248"/>
    <n v="7"/>
    <x v="6"/>
    <x v="1"/>
    <x v="1"/>
    <x v="0"/>
    <x v="2"/>
  </r>
  <r>
    <s v="AX13229"/>
    <s v="ENX2025"/>
    <s v="A142"/>
    <s v="EMP1002"/>
    <s v="C1686"/>
    <x v="714"/>
    <n v="1"/>
    <n v="667"/>
    <n v="387"/>
    <n v="387"/>
    <n v="667"/>
    <n v="280"/>
    <s v="Product 26"/>
    <x v="56"/>
    <s v="Andrew Bowman"/>
    <x v="748"/>
    <n v="7"/>
    <x v="6"/>
    <x v="1"/>
    <x v="1"/>
    <x v="0"/>
    <x v="2"/>
  </r>
  <r>
    <s v="AX14836"/>
    <s v="ENX2049"/>
    <s v="A112"/>
    <s v="EMP1040"/>
    <s v="C1509"/>
    <x v="714"/>
    <n v="2"/>
    <n v="826"/>
    <n v="562"/>
    <n v="1124"/>
    <n v="1652"/>
    <n v="528"/>
    <s v="Product 50"/>
    <x v="66"/>
    <s v="Patrick Ruiz"/>
    <x v="442"/>
    <n v="7"/>
    <x v="6"/>
    <x v="1"/>
    <x v="1"/>
    <x v="0"/>
    <x v="2"/>
  </r>
  <r>
    <s v="AX15128"/>
    <s v="ENX2074"/>
    <s v="A111"/>
    <s v="EMP1013"/>
    <s v="C1658"/>
    <x v="714"/>
    <n v="1"/>
    <n v="504"/>
    <n v="408"/>
    <n v="408"/>
    <n v="504"/>
    <n v="96"/>
    <s v="Product 75"/>
    <x v="54"/>
    <s v="Charles Harper"/>
    <x v="612"/>
    <n v="7"/>
    <x v="6"/>
    <x v="1"/>
    <x v="1"/>
    <x v="0"/>
    <x v="2"/>
  </r>
  <r>
    <s v="AX15327"/>
    <s v="ENX2009"/>
    <s v="A133"/>
    <s v="EMP1010"/>
    <s v="C1784"/>
    <x v="711"/>
    <n v="1"/>
    <n v="584"/>
    <n v="420"/>
    <n v="420"/>
    <n v="584"/>
    <n v="164"/>
    <s v="Product 10"/>
    <x v="46"/>
    <s v="Joshua Cook"/>
    <x v="397"/>
    <n v="7"/>
    <x v="6"/>
    <x v="1"/>
    <x v="1"/>
    <x v="0"/>
    <x v="2"/>
  </r>
  <r>
    <s v="AX15410"/>
    <s v="ENX2002"/>
    <s v="A106"/>
    <s v="EMP1030"/>
    <s v="C1492"/>
    <x v="713"/>
    <n v="3"/>
    <n v="847"/>
    <n v="534"/>
    <n v="1602"/>
    <n v="2541"/>
    <n v="939"/>
    <s v="Product 3"/>
    <x v="11"/>
    <s v="Bobby Russell"/>
    <x v="533"/>
    <n v="7"/>
    <x v="6"/>
    <x v="1"/>
    <x v="1"/>
    <x v="0"/>
    <x v="2"/>
  </r>
  <r>
    <s v="AX15482"/>
    <s v="ENX2000"/>
    <s v="A155"/>
    <s v="EMP1002"/>
    <s v="C1520"/>
    <x v="713"/>
    <n v="1"/>
    <n v="2241"/>
    <n v="1367"/>
    <n v="1367"/>
    <n v="2241"/>
    <n v="874"/>
    <s v="Product 1"/>
    <x v="53"/>
    <s v="Andrew Bowman"/>
    <x v="576"/>
    <n v="7"/>
    <x v="6"/>
    <x v="1"/>
    <x v="1"/>
    <x v="0"/>
    <x v="2"/>
  </r>
  <r>
    <s v="AX15833"/>
    <s v="ENX2022"/>
    <s v="A106"/>
    <s v="EMP1038"/>
    <s v="C1194"/>
    <x v="712"/>
    <n v="3"/>
    <n v="561"/>
    <n v="421"/>
    <n v="1263"/>
    <n v="1683"/>
    <n v="420"/>
    <s v="Product 23"/>
    <x v="11"/>
    <s v="Scott Mason"/>
    <x v="323"/>
    <n v="7"/>
    <x v="6"/>
    <x v="1"/>
    <x v="1"/>
    <x v="0"/>
    <x v="2"/>
  </r>
  <r>
    <s v="AX16081"/>
    <s v="ENX2096"/>
    <s v="A105"/>
    <s v="EMP1036"/>
    <s v="C1613"/>
    <x v="712"/>
    <n v="4"/>
    <n v="1587"/>
    <n v="1301"/>
    <n v="5204"/>
    <n v="6348"/>
    <n v="1144"/>
    <s v="Product 97"/>
    <x v="45"/>
    <s v="Robert Reed"/>
    <x v="143"/>
    <n v="7"/>
    <x v="6"/>
    <x v="1"/>
    <x v="1"/>
    <x v="0"/>
    <x v="2"/>
  </r>
  <r>
    <s v="AX16216"/>
    <s v="ENX2005"/>
    <s v="A167"/>
    <s v="EMP1009"/>
    <s v="C1661"/>
    <x v="711"/>
    <n v="2"/>
    <n v="684"/>
    <n v="561"/>
    <n v="1122"/>
    <n v="1368"/>
    <n v="246"/>
    <s v="Product 6"/>
    <x v="64"/>
    <s v="Kenneth Fields"/>
    <x v="767"/>
    <n v="7"/>
    <x v="6"/>
    <x v="1"/>
    <x v="1"/>
    <x v="0"/>
    <x v="2"/>
  </r>
  <r>
    <s v="AX16273"/>
    <s v="ENX2077"/>
    <s v="A152"/>
    <s v="EMP1016"/>
    <s v="C1002"/>
    <x v="712"/>
    <n v="3"/>
    <n v="530"/>
    <n v="424"/>
    <n v="1272"/>
    <n v="1590"/>
    <n v="318"/>
    <s v="Product 78"/>
    <x v="26"/>
    <s v="Henry Nelson"/>
    <x v="49"/>
    <n v="7"/>
    <x v="6"/>
    <x v="1"/>
    <x v="1"/>
    <x v="0"/>
    <x v="2"/>
  </r>
  <r>
    <s v="AX16383"/>
    <s v="ENX2077"/>
    <s v="A173"/>
    <s v="EMP1011"/>
    <s v="C1030"/>
    <x v="713"/>
    <n v="2"/>
    <n v="530"/>
    <n v="424"/>
    <n v="848"/>
    <n v="1060"/>
    <n v="212"/>
    <s v="Product 78"/>
    <x v="25"/>
    <s v="Larry Marshall"/>
    <x v="106"/>
    <n v="7"/>
    <x v="6"/>
    <x v="1"/>
    <x v="1"/>
    <x v="0"/>
    <x v="2"/>
  </r>
  <r>
    <s v="AX16539"/>
    <s v="ENX2019"/>
    <s v="A118"/>
    <s v="EMP1016"/>
    <s v="C1087"/>
    <x v="712"/>
    <n v="4"/>
    <n v="800"/>
    <n v="536"/>
    <n v="2144"/>
    <n v="3200"/>
    <n v="1056"/>
    <s v="Product 20"/>
    <x v="19"/>
    <s v="Henry Nelson"/>
    <x v="156"/>
    <n v="7"/>
    <x v="6"/>
    <x v="1"/>
    <x v="1"/>
    <x v="0"/>
    <x v="2"/>
  </r>
  <r>
    <s v="AX16624"/>
    <s v="ENX2017"/>
    <s v="A113"/>
    <s v="EMP1038"/>
    <s v="C1513"/>
    <x v="712"/>
    <n v="3"/>
    <n v="35"/>
    <n v="22"/>
    <n v="66"/>
    <n v="105"/>
    <n v="39"/>
    <s v="Product 18"/>
    <x v="73"/>
    <s v="Scott Mason"/>
    <x v="414"/>
    <n v="7"/>
    <x v="6"/>
    <x v="1"/>
    <x v="1"/>
    <x v="0"/>
    <x v="2"/>
  </r>
  <r>
    <s v="AX16822"/>
    <s v="ENX2070"/>
    <s v="A159"/>
    <s v="EMP1007"/>
    <s v="C1496"/>
    <x v="714"/>
    <n v="1"/>
    <n v="1671"/>
    <n v="1220"/>
    <n v="1220"/>
    <n v="1671"/>
    <n v="451"/>
    <s v="Product 71"/>
    <x v="13"/>
    <s v="Jeremy Mendoza"/>
    <x v="54"/>
    <n v="7"/>
    <x v="6"/>
    <x v="1"/>
    <x v="1"/>
    <x v="0"/>
    <x v="2"/>
  </r>
  <r>
    <s v="AX16864"/>
    <s v="ENX2024"/>
    <s v="A159"/>
    <s v="EMP1011"/>
    <s v="C1033"/>
    <x v="712"/>
    <n v="1"/>
    <n v="356"/>
    <n v="292"/>
    <n v="292"/>
    <n v="356"/>
    <n v="64"/>
    <s v="Product 25"/>
    <x v="13"/>
    <s v="Larry Marshall"/>
    <x v="515"/>
    <n v="7"/>
    <x v="6"/>
    <x v="1"/>
    <x v="1"/>
    <x v="0"/>
    <x v="2"/>
  </r>
  <r>
    <s v="AX17016"/>
    <s v="ENX2017"/>
    <s v="A112"/>
    <s v="EMP1002"/>
    <s v="C1479"/>
    <x v="713"/>
    <n v="1"/>
    <n v="35"/>
    <n v="22"/>
    <n v="22"/>
    <n v="35"/>
    <n v="13"/>
    <s v="Product 18"/>
    <x v="66"/>
    <s v="Andrew Bowman"/>
    <x v="385"/>
    <n v="7"/>
    <x v="6"/>
    <x v="1"/>
    <x v="1"/>
    <x v="0"/>
    <x v="2"/>
  </r>
  <r>
    <s v="AX17232"/>
    <s v="ENX2032"/>
    <s v="A154"/>
    <s v="EMP1029"/>
    <s v="C1336"/>
    <x v="714"/>
    <n v="1"/>
    <n v="1967"/>
    <n v="1397"/>
    <n v="1397"/>
    <n v="1967"/>
    <n v="570"/>
    <s v="Product 33"/>
    <x v="24"/>
    <s v="Howard Gardner"/>
    <x v="721"/>
    <n v="7"/>
    <x v="6"/>
    <x v="1"/>
    <x v="1"/>
    <x v="0"/>
    <x v="2"/>
  </r>
  <r>
    <s v="AX17278"/>
    <s v="ENX2021"/>
    <s v="A143"/>
    <s v="EMP1019"/>
    <s v="C1394"/>
    <x v="711"/>
    <n v="1"/>
    <n v="217"/>
    <n v="171"/>
    <n v="171"/>
    <n v="217"/>
    <n v="46"/>
    <s v="Product 22"/>
    <x v="39"/>
    <s v="Roger Robertson"/>
    <x v="116"/>
    <n v="7"/>
    <x v="6"/>
    <x v="1"/>
    <x v="1"/>
    <x v="0"/>
    <x v="2"/>
  </r>
  <r>
    <s v="AX17306"/>
    <s v="ENX2006"/>
    <s v="A166"/>
    <s v="EMP1040"/>
    <s v="C1248"/>
    <x v="714"/>
    <n v="1"/>
    <n v="1826"/>
    <n v="1443"/>
    <n v="1443"/>
    <n v="1826"/>
    <n v="383"/>
    <s v="Product 7"/>
    <x v="70"/>
    <s v="Patrick Ruiz"/>
    <x v="354"/>
    <n v="7"/>
    <x v="6"/>
    <x v="1"/>
    <x v="1"/>
    <x v="0"/>
    <x v="2"/>
  </r>
  <r>
    <s v="AX17564"/>
    <s v="ENX2080"/>
    <s v="A158"/>
    <s v="EMP1024"/>
    <s v="C1169"/>
    <x v="711"/>
    <n v="2"/>
    <n v="2353"/>
    <n v="1788"/>
    <n v="3576"/>
    <n v="4706"/>
    <n v="1130"/>
    <s v="Product 81"/>
    <x v="58"/>
    <s v="Ernest Wheeler"/>
    <x v="293"/>
    <n v="7"/>
    <x v="6"/>
    <x v="1"/>
    <x v="1"/>
    <x v="0"/>
    <x v="2"/>
  </r>
  <r>
    <s v="AX18258"/>
    <s v="ENX2031"/>
    <s v="A121"/>
    <s v="EMP1029"/>
    <s v="C1604"/>
    <x v="713"/>
    <n v="1"/>
    <n v="1638"/>
    <n v="1261"/>
    <n v="1261"/>
    <n v="1638"/>
    <n v="377"/>
    <s v="Product 32"/>
    <x v="72"/>
    <s v="Howard Gardner"/>
    <x v="700"/>
    <n v="7"/>
    <x v="6"/>
    <x v="1"/>
    <x v="1"/>
    <x v="0"/>
    <x v="2"/>
  </r>
  <r>
    <s v="AX18274"/>
    <s v="ENX2020"/>
    <s v="A170"/>
    <s v="EMP1005"/>
    <s v="C1788"/>
    <x v="714"/>
    <n v="4"/>
    <n v="2005"/>
    <n v="1223"/>
    <n v="4892"/>
    <n v="8020"/>
    <n v="3128"/>
    <s v="Product 21"/>
    <x v="47"/>
    <s v="Ryan Welch"/>
    <x v="218"/>
    <n v="7"/>
    <x v="6"/>
    <x v="1"/>
    <x v="1"/>
    <x v="0"/>
    <x v="2"/>
  </r>
  <r>
    <s v="AX19222"/>
    <s v="ENX2024"/>
    <s v="A166"/>
    <s v="EMP1010"/>
    <s v="C1773"/>
    <x v="713"/>
    <n v="1"/>
    <n v="356"/>
    <n v="292"/>
    <n v="292"/>
    <n v="356"/>
    <n v="64"/>
    <s v="Product 25"/>
    <x v="70"/>
    <s v="Joshua Cook"/>
    <x v="723"/>
    <n v="7"/>
    <x v="6"/>
    <x v="1"/>
    <x v="1"/>
    <x v="0"/>
    <x v="2"/>
  </r>
  <r>
    <s v="AX21209"/>
    <s v="ENX2010"/>
    <s v="A159"/>
    <s v="EMP1024"/>
    <s v="C1539"/>
    <x v="712"/>
    <n v="1"/>
    <n v="1812"/>
    <n v="1305"/>
    <n v="1305"/>
    <n v="1812"/>
    <n v="507"/>
    <s v="Product 11"/>
    <x v="13"/>
    <s v="Ernest Wheeler"/>
    <x v="280"/>
    <n v="7"/>
    <x v="6"/>
    <x v="1"/>
    <x v="1"/>
    <x v="0"/>
    <x v="2"/>
  </r>
  <r>
    <s v="AX21216"/>
    <s v="ENX2007"/>
    <s v="A106"/>
    <s v="EMP1041"/>
    <s v="C1064"/>
    <x v="714"/>
    <n v="1"/>
    <n v="1405"/>
    <n v="1054"/>
    <n v="1054"/>
    <n v="1405"/>
    <n v="351"/>
    <s v="Product 8"/>
    <x v="11"/>
    <s v="Joe Sims"/>
    <x v="597"/>
    <n v="7"/>
    <x v="6"/>
    <x v="1"/>
    <x v="1"/>
    <x v="0"/>
    <x v="2"/>
  </r>
  <r>
    <s v="AX21231"/>
    <s v="ENX2019"/>
    <s v="A164"/>
    <s v="EMP1021"/>
    <s v="C1173"/>
    <x v="711"/>
    <n v="3"/>
    <n v="800"/>
    <n v="536"/>
    <n v="1608"/>
    <n v="2400"/>
    <n v="792"/>
    <s v="Product 20"/>
    <x v="3"/>
    <s v="Clarence Fox"/>
    <x v="167"/>
    <n v="7"/>
    <x v="6"/>
    <x v="1"/>
    <x v="1"/>
    <x v="0"/>
    <x v="2"/>
  </r>
  <r>
    <s v="AX21275"/>
    <s v="ENX2027"/>
    <s v="A139"/>
    <s v="EMP1025"/>
    <s v="C1246"/>
    <x v="711"/>
    <n v="4"/>
    <n v="2497"/>
    <n v="1473"/>
    <n v="5892"/>
    <n v="9988"/>
    <n v="4096"/>
    <s v="Product 28"/>
    <x v="38"/>
    <s v="Ernest Wagner"/>
    <x v="665"/>
    <n v="7"/>
    <x v="6"/>
    <x v="1"/>
    <x v="1"/>
    <x v="0"/>
    <x v="2"/>
  </r>
  <r>
    <s v="AX21344"/>
    <s v="ENX2034"/>
    <s v="A115"/>
    <s v="EMP1044"/>
    <s v="C1268"/>
    <x v="714"/>
    <n v="2"/>
    <n v="871"/>
    <n v="540"/>
    <n v="1080"/>
    <n v="1742"/>
    <n v="662"/>
    <s v="Product 35"/>
    <x v="33"/>
    <s v="Martin Carr"/>
    <x v="526"/>
    <n v="7"/>
    <x v="6"/>
    <x v="1"/>
    <x v="1"/>
    <x v="0"/>
    <x v="2"/>
  </r>
  <r>
    <s v="AX22902"/>
    <s v="ENX2096"/>
    <s v="A116"/>
    <s v="EMP1004"/>
    <s v="C1040"/>
    <x v="714"/>
    <n v="1"/>
    <n v="1587"/>
    <n v="1301"/>
    <n v="1301"/>
    <n v="1587"/>
    <n v="286"/>
    <s v="Product 97"/>
    <x v="15"/>
    <s v="Kenneth Bradley"/>
    <x v="221"/>
    <n v="7"/>
    <x v="6"/>
    <x v="1"/>
    <x v="1"/>
    <x v="0"/>
    <x v="2"/>
  </r>
  <r>
    <s v="AX23158"/>
    <s v="ENX2056"/>
    <s v="A152"/>
    <s v="EMP1035"/>
    <s v="C1326"/>
    <x v="714"/>
    <n v="1"/>
    <n v="1635"/>
    <n v="1046"/>
    <n v="1046"/>
    <n v="1635"/>
    <n v="589"/>
    <s v="Product 57"/>
    <x v="26"/>
    <s v="Roger Ramos"/>
    <x v="98"/>
    <n v="7"/>
    <x v="6"/>
    <x v="1"/>
    <x v="1"/>
    <x v="0"/>
    <x v="2"/>
  </r>
  <r>
    <s v="AX23170"/>
    <s v="ENX2062"/>
    <s v="A133"/>
    <s v="EMP1039"/>
    <s v="C1154"/>
    <x v="711"/>
    <n v="1"/>
    <n v="2464"/>
    <n v="1774"/>
    <n v="1774"/>
    <n v="2464"/>
    <n v="690"/>
    <s v="Product 63"/>
    <x v="46"/>
    <s v="Eugene Holmes"/>
    <x v="243"/>
    <n v="7"/>
    <x v="6"/>
    <x v="1"/>
    <x v="1"/>
    <x v="0"/>
    <x v="2"/>
  </r>
  <r>
    <s v="AX23208"/>
    <s v="ENX2028"/>
    <s v="A102"/>
    <s v="EMP1021"/>
    <s v="C1642"/>
    <x v="711"/>
    <n v="1"/>
    <n v="2283"/>
    <n v="1484"/>
    <n v="1484"/>
    <n v="2283"/>
    <n v="799"/>
    <s v="Product 29"/>
    <x v="44"/>
    <s v="Clarence Fox"/>
    <x v="97"/>
    <n v="7"/>
    <x v="6"/>
    <x v="1"/>
    <x v="1"/>
    <x v="0"/>
    <x v="2"/>
  </r>
  <r>
    <s v="AX23694"/>
    <s v="ENX2056"/>
    <s v="A126"/>
    <s v="EMP1023"/>
    <s v="C1246"/>
    <x v="713"/>
    <n v="4"/>
    <n v="1635"/>
    <n v="1046"/>
    <n v="4184"/>
    <n v="6540"/>
    <n v="2356"/>
    <s v="Product 57"/>
    <x v="5"/>
    <s v="Brian Davis"/>
    <x v="665"/>
    <n v="7"/>
    <x v="6"/>
    <x v="1"/>
    <x v="1"/>
    <x v="0"/>
    <x v="2"/>
  </r>
  <r>
    <s v="AX23784"/>
    <s v="ENX2080"/>
    <s v="A107"/>
    <s v="EMP1028"/>
    <s v="C1227"/>
    <x v="713"/>
    <n v="2"/>
    <n v="2353"/>
    <n v="1788"/>
    <n v="3576"/>
    <n v="4706"/>
    <n v="1130"/>
    <s v="Product 81"/>
    <x v="21"/>
    <s v="Howard Sims"/>
    <x v="765"/>
    <n v="7"/>
    <x v="6"/>
    <x v="1"/>
    <x v="1"/>
    <x v="0"/>
    <x v="2"/>
  </r>
  <r>
    <s v="AX23814"/>
    <s v="ENX2068"/>
    <s v="A115"/>
    <s v="EMP1026"/>
    <s v="C1775"/>
    <x v="711"/>
    <n v="4"/>
    <n v="1500"/>
    <n v="900"/>
    <n v="3600"/>
    <n v="6000"/>
    <n v="2400"/>
    <s v="Product 69"/>
    <x v="33"/>
    <s v="Martin Perry"/>
    <x v="69"/>
    <n v="7"/>
    <x v="6"/>
    <x v="1"/>
    <x v="1"/>
    <x v="0"/>
    <x v="2"/>
  </r>
  <r>
    <s v="AX23861"/>
    <s v="ENX2044"/>
    <s v="A153"/>
    <s v="EMP1043"/>
    <s v="C1251"/>
    <x v="713"/>
    <n v="1"/>
    <n v="886"/>
    <n v="478"/>
    <n v="478"/>
    <n v="886"/>
    <n v="408"/>
    <s v="Product 45"/>
    <x v="8"/>
    <s v="Joshua Taylor"/>
    <x v="199"/>
    <n v="7"/>
    <x v="6"/>
    <x v="1"/>
    <x v="1"/>
    <x v="0"/>
    <x v="2"/>
  </r>
  <r>
    <s v="AX23910"/>
    <s v="ENX2093"/>
    <s v="A167"/>
    <s v="EMP1023"/>
    <s v="C1389"/>
    <x v="714"/>
    <n v="1"/>
    <n v="112"/>
    <n v="90"/>
    <n v="90"/>
    <n v="112"/>
    <n v="22"/>
    <s v="Product 94"/>
    <x v="64"/>
    <s v="Brian Davis"/>
    <x v="38"/>
    <n v="7"/>
    <x v="6"/>
    <x v="1"/>
    <x v="1"/>
    <x v="0"/>
    <x v="2"/>
  </r>
  <r>
    <s v="AX24540"/>
    <s v="ENX2036"/>
    <s v="A104"/>
    <s v="EMP1018"/>
    <s v="C1494"/>
    <x v="712"/>
    <n v="2"/>
    <n v="1582"/>
    <n v="1234"/>
    <n v="2468"/>
    <n v="3164"/>
    <n v="696"/>
    <s v="Product 37"/>
    <x v="50"/>
    <s v="Jimmy Young"/>
    <x v="698"/>
    <n v="7"/>
    <x v="6"/>
    <x v="1"/>
    <x v="1"/>
    <x v="0"/>
    <x v="2"/>
  </r>
  <r>
    <s v="AX24777"/>
    <s v="ENX2090"/>
    <s v="A136"/>
    <s v="EMP1023"/>
    <s v="C1277"/>
    <x v="712"/>
    <n v="2"/>
    <n v="1338"/>
    <n v="682"/>
    <n v="1364"/>
    <n v="2676"/>
    <n v="1312"/>
    <s v="Product 91"/>
    <x v="43"/>
    <s v="Brian Davis"/>
    <x v="151"/>
    <n v="7"/>
    <x v="6"/>
    <x v="1"/>
    <x v="1"/>
    <x v="0"/>
    <x v="2"/>
  </r>
  <r>
    <s v="AX10310"/>
    <s v="ENX2091"/>
    <s v="A111"/>
    <s v="EMP1011"/>
    <s v="C1198"/>
    <x v="715"/>
    <n v="2"/>
    <n v="368"/>
    <n v="294"/>
    <n v="588"/>
    <n v="736"/>
    <n v="148"/>
    <s v="Product 92"/>
    <x v="54"/>
    <s v="Larry Marshall"/>
    <x v="42"/>
    <n v="7"/>
    <x v="6"/>
    <x v="2"/>
    <x v="2"/>
    <x v="0"/>
    <x v="0"/>
  </r>
  <r>
    <s v="AX10677"/>
    <s v="ENX2028"/>
    <s v="A136"/>
    <s v="EMP1018"/>
    <s v="C1024"/>
    <x v="716"/>
    <n v="1"/>
    <n v="2283"/>
    <n v="1484"/>
    <n v="1484"/>
    <n v="2283"/>
    <n v="799"/>
    <s v="Product 29"/>
    <x v="43"/>
    <s v="Jimmy Young"/>
    <x v="599"/>
    <n v="7"/>
    <x v="6"/>
    <x v="2"/>
    <x v="2"/>
    <x v="0"/>
    <x v="0"/>
  </r>
  <r>
    <s v="AX10836"/>
    <s v="ENX2014"/>
    <s v="A130"/>
    <s v="EMP1003"/>
    <s v="C1200"/>
    <x v="715"/>
    <n v="3"/>
    <n v="1809"/>
    <n v="1067"/>
    <n v="3201"/>
    <n v="5427"/>
    <n v="2226"/>
    <s v="Product 15"/>
    <x v="4"/>
    <s v="Christopher Tucker"/>
    <x v="778"/>
    <n v="7"/>
    <x v="6"/>
    <x v="2"/>
    <x v="2"/>
    <x v="0"/>
    <x v="0"/>
  </r>
  <r>
    <s v="AX11311"/>
    <s v="ENX2068"/>
    <s v="A153"/>
    <s v="EMP1040"/>
    <s v="C1243"/>
    <x v="717"/>
    <n v="2"/>
    <n v="1500"/>
    <n v="900"/>
    <n v="1800"/>
    <n v="3000"/>
    <n v="1200"/>
    <s v="Product 69"/>
    <x v="8"/>
    <s v="Patrick Ruiz"/>
    <x v="129"/>
    <n v="7"/>
    <x v="6"/>
    <x v="2"/>
    <x v="2"/>
    <x v="0"/>
    <x v="0"/>
  </r>
  <r>
    <s v="AX11378"/>
    <s v="ENX2063"/>
    <s v="A109"/>
    <s v="EMP1022"/>
    <s v="C1116"/>
    <x v="715"/>
    <n v="2"/>
    <n v="1708"/>
    <n v="871"/>
    <n v="1742"/>
    <n v="3416"/>
    <n v="1674"/>
    <s v="Product 64"/>
    <x v="57"/>
    <s v="Walter Cook"/>
    <x v="747"/>
    <n v="7"/>
    <x v="6"/>
    <x v="2"/>
    <x v="2"/>
    <x v="0"/>
    <x v="0"/>
  </r>
  <r>
    <s v="AX11390"/>
    <s v="ENX2088"/>
    <s v="A122"/>
    <s v="EMP1004"/>
    <s v="C1393"/>
    <x v="715"/>
    <n v="1"/>
    <n v="603"/>
    <n v="416"/>
    <n v="416"/>
    <n v="603"/>
    <n v="187"/>
    <s v="Product 89"/>
    <x v="71"/>
    <s v="Kenneth Bradley"/>
    <x v="93"/>
    <n v="7"/>
    <x v="6"/>
    <x v="2"/>
    <x v="2"/>
    <x v="0"/>
    <x v="0"/>
  </r>
  <r>
    <s v="AX11439"/>
    <s v="ENX2073"/>
    <s v="A145"/>
    <s v="EMP1039"/>
    <s v="C1701"/>
    <x v="716"/>
    <n v="1"/>
    <n v="95"/>
    <n v="61"/>
    <n v="61"/>
    <n v="95"/>
    <n v="34"/>
    <s v="Product 74"/>
    <x v="35"/>
    <s v="Eugene Holmes"/>
    <x v="736"/>
    <n v="7"/>
    <x v="6"/>
    <x v="2"/>
    <x v="2"/>
    <x v="0"/>
    <x v="0"/>
  </r>
  <r>
    <s v="AX11478"/>
    <s v="ENX2085"/>
    <s v="A142"/>
    <s v="EMP1010"/>
    <s v="C1440"/>
    <x v="716"/>
    <n v="1"/>
    <n v="1862"/>
    <n v="1173"/>
    <n v="1173"/>
    <n v="1862"/>
    <n v="689"/>
    <s v="Product 86"/>
    <x v="56"/>
    <s v="Joshua Cook"/>
    <x v="52"/>
    <n v="7"/>
    <x v="6"/>
    <x v="2"/>
    <x v="2"/>
    <x v="0"/>
    <x v="0"/>
  </r>
  <r>
    <s v="AX11482"/>
    <s v="ENX2067"/>
    <s v="A146"/>
    <s v="EMP1030"/>
    <s v="C1611"/>
    <x v="718"/>
    <n v="3"/>
    <n v="1119"/>
    <n v="683"/>
    <n v="2049"/>
    <n v="3357"/>
    <n v="1308"/>
    <s v="Product 68"/>
    <x v="27"/>
    <s v="Bobby Russell"/>
    <x v="306"/>
    <n v="7"/>
    <x v="6"/>
    <x v="2"/>
    <x v="2"/>
    <x v="0"/>
    <x v="0"/>
  </r>
  <r>
    <s v="AX11753"/>
    <s v="ENX2022"/>
    <s v="A172"/>
    <s v="EMP1024"/>
    <s v="C1247"/>
    <x v="719"/>
    <n v="1"/>
    <n v="561"/>
    <n v="421"/>
    <n v="421"/>
    <n v="561"/>
    <n v="140"/>
    <s v="Product 23"/>
    <x v="36"/>
    <s v="Ernest Wheeler"/>
    <x v="552"/>
    <n v="7"/>
    <x v="6"/>
    <x v="2"/>
    <x v="2"/>
    <x v="0"/>
    <x v="0"/>
  </r>
  <r>
    <s v="AX11938"/>
    <s v="ENX2098"/>
    <s v="A123"/>
    <s v="EMP1029"/>
    <s v="C1081"/>
    <x v="715"/>
    <n v="1"/>
    <n v="1178"/>
    <n v="683"/>
    <n v="683"/>
    <n v="1178"/>
    <n v="495"/>
    <s v="Product 99"/>
    <x v="34"/>
    <s v="Howard Gardner"/>
    <x v="168"/>
    <n v="7"/>
    <x v="6"/>
    <x v="2"/>
    <x v="2"/>
    <x v="0"/>
    <x v="0"/>
  </r>
  <r>
    <s v="AX11963"/>
    <s v="ENX2024"/>
    <s v="A162"/>
    <s v="EMP1033"/>
    <s v="C1434"/>
    <x v="718"/>
    <n v="3"/>
    <n v="356"/>
    <n v="292"/>
    <n v="876"/>
    <n v="1068"/>
    <n v="192"/>
    <s v="Product 25"/>
    <x v="2"/>
    <s v="Jerry Perry"/>
    <x v="722"/>
    <n v="7"/>
    <x v="6"/>
    <x v="2"/>
    <x v="2"/>
    <x v="0"/>
    <x v="0"/>
  </r>
  <r>
    <s v="AX12744"/>
    <s v="ENX2021"/>
    <s v="A158"/>
    <s v="EMP1010"/>
    <s v="C1753"/>
    <x v="719"/>
    <n v="1"/>
    <n v="217"/>
    <n v="171"/>
    <n v="171"/>
    <n v="217"/>
    <n v="46"/>
    <s v="Product 22"/>
    <x v="58"/>
    <s v="Joshua Cook"/>
    <x v="696"/>
    <n v="7"/>
    <x v="6"/>
    <x v="2"/>
    <x v="2"/>
    <x v="0"/>
    <x v="0"/>
  </r>
  <r>
    <s v="AX14796"/>
    <s v="ENX2018"/>
    <s v="A141"/>
    <s v="EMP1015"/>
    <s v="C1454"/>
    <x v="716"/>
    <n v="2"/>
    <n v="1972"/>
    <n v="1321"/>
    <n v="2642"/>
    <n v="3944"/>
    <n v="1302"/>
    <s v="Product 19"/>
    <x v="23"/>
    <s v="Justin Lynch"/>
    <x v="68"/>
    <n v="7"/>
    <x v="6"/>
    <x v="2"/>
    <x v="2"/>
    <x v="0"/>
    <x v="0"/>
  </r>
  <r>
    <s v="AX15028"/>
    <s v="ENX2002"/>
    <s v="A141"/>
    <s v="EMP1028"/>
    <s v="C1738"/>
    <x v="715"/>
    <n v="1"/>
    <n v="847"/>
    <n v="534"/>
    <n v="534"/>
    <n v="847"/>
    <n v="313"/>
    <s v="Product 3"/>
    <x v="23"/>
    <s v="Howard Sims"/>
    <x v="35"/>
    <n v="7"/>
    <x v="6"/>
    <x v="2"/>
    <x v="2"/>
    <x v="0"/>
    <x v="0"/>
  </r>
  <r>
    <s v="AX15071"/>
    <s v="ENX2054"/>
    <s v="A139"/>
    <s v="EMP1036"/>
    <s v="C1237"/>
    <x v="717"/>
    <n v="1"/>
    <n v="127"/>
    <n v="79"/>
    <n v="79"/>
    <n v="127"/>
    <n v="48"/>
    <s v="Product 55"/>
    <x v="38"/>
    <s v="Robert Reed"/>
    <x v="484"/>
    <n v="7"/>
    <x v="6"/>
    <x v="2"/>
    <x v="2"/>
    <x v="0"/>
    <x v="0"/>
  </r>
  <r>
    <s v="AX15636"/>
    <s v="ENX2027"/>
    <s v="A132"/>
    <s v="EMP1028"/>
    <s v="C1414"/>
    <x v="716"/>
    <n v="1"/>
    <n v="2497"/>
    <n v="1473"/>
    <n v="1473"/>
    <n v="2497"/>
    <n v="1024"/>
    <s v="Product 28"/>
    <x v="48"/>
    <s v="Howard Sims"/>
    <x v="140"/>
    <n v="7"/>
    <x v="6"/>
    <x v="2"/>
    <x v="2"/>
    <x v="0"/>
    <x v="0"/>
  </r>
  <r>
    <s v="AX15673"/>
    <s v="ENX2056"/>
    <s v="A149"/>
    <s v="EMP1012"/>
    <s v="C1766"/>
    <x v="716"/>
    <n v="2"/>
    <n v="1635"/>
    <n v="1046"/>
    <n v="2092"/>
    <n v="3270"/>
    <n v="1178"/>
    <s v="Product 57"/>
    <x v="59"/>
    <s v="John Reyes"/>
    <x v="452"/>
    <n v="7"/>
    <x v="6"/>
    <x v="2"/>
    <x v="2"/>
    <x v="0"/>
    <x v="0"/>
  </r>
  <r>
    <s v="AX16010"/>
    <s v="ENX2029"/>
    <s v="A173"/>
    <s v="EMP1014"/>
    <s v="C1380"/>
    <x v="715"/>
    <n v="1"/>
    <n v="1848"/>
    <n v="1294"/>
    <n v="1294"/>
    <n v="1848"/>
    <n v="554"/>
    <s v="Product 30"/>
    <x v="25"/>
    <s v="Ronald Reed"/>
    <x v="540"/>
    <n v="7"/>
    <x v="6"/>
    <x v="2"/>
    <x v="2"/>
    <x v="0"/>
    <x v="0"/>
  </r>
  <r>
    <s v="AX16374"/>
    <s v="ENX2002"/>
    <s v="A155"/>
    <s v="EMP1001"/>
    <s v="C1699"/>
    <x v="717"/>
    <n v="1"/>
    <n v="847"/>
    <n v="534"/>
    <n v="534"/>
    <n v="847"/>
    <n v="313"/>
    <s v="Product 3"/>
    <x v="53"/>
    <s v="Kevin Butler"/>
    <x v="672"/>
    <n v="7"/>
    <x v="6"/>
    <x v="2"/>
    <x v="2"/>
    <x v="0"/>
    <x v="0"/>
  </r>
  <r>
    <s v="AX16440"/>
    <s v="ENX2013"/>
    <s v="A120"/>
    <s v="EMP1015"/>
    <s v="C1124"/>
    <x v="718"/>
    <n v="2"/>
    <n v="368"/>
    <n v="269"/>
    <n v="538"/>
    <n v="736"/>
    <n v="198"/>
    <s v="Product 14"/>
    <x v="20"/>
    <s v="Justin Lynch"/>
    <x v="102"/>
    <n v="7"/>
    <x v="6"/>
    <x v="2"/>
    <x v="2"/>
    <x v="0"/>
    <x v="0"/>
  </r>
  <r>
    <s v="AX16686"/>
    <s v="ENX2039"/>
    <s v="A126"/>
    <s v="EMP1039"/>
    <s v="C1108"/>
    <x v="716"/>
    <n v="3"/>
    <n v="817"/>
    <n v="409"/>
    <n v="1227"/>
    <n v="2451"/>
    <n v="1224"/>
    <s v="Product 40"/>
    <x v="5"/>
    <s v="Eugene Holmes"/>
    <x v="656"/>
    <n v="7"/>
    <x v="6"/>
    <x v="2"/>
    <x v="2"/>
    <x v="0"/>
    <x v="0"/>
  </r>
  <r>
    <s v="AX16732"/>
    <s v="ENX2070"/>
    <s v="A116"/>
    <s v="EMP1041"/>
    <s v="C1012"/>
    <x v="718"/>
    <n v="1"/>
    <n v="1671"/>
    <n v="1220"/>
    <n v="1220"/>
    <n v="1671"/>
    <n v="451"/>
    <s v="Product 71"/>
    <x v="15"/>
    <s v="Joe Sims"/>
    <x v="738"/>
    <n v="7"/>
    <x v="6"/>
    <x v="2"/>
    <x v="2"/>
    <x v="0"/>
    <x v="0"/>
  </r>
  <r>
    <s v="AX16761"/>
    <s v="ENX2022"/>
    <s v="A117"/>
    <s v="EMP1028"/>
    <s v="C1006"/>
    <x v="717"/>
    <n v="1"/>
    <n v="561"/>
    <n v="421"/>
    <n v="421"/>
    <n v="561"/>
    <n v="140"/>
    <s v="Product 23"/>
    <x v="29"/>
    <s v="Howard Sims"/>
    <x v="687"/>
    <n v="7"/>
    <x v="6"/>
    <x v="2"/>
    <x v="2"/>
    <x v="0"/>
    <x v="0"/>
  </r>
  <r>
    <s v="AX16993"/>
    <s v="ENX2013"/>
    <s v="A145"/>
    <s v="EMP1021"/>
    <s v="C1116"/>
    <x v="718"/>
    <n v="2"/>
    <n v="368"/>
    <n v="269"/>
    <n v="538"/>
    <n v="736"/>
    <n v="198"/>
    <s v="Product 14"/>
    <x v="35"/>
    <s v="Clarence Fox"/>
    <x v="747"/>
    <n v="7"/>
    <x v="6"/>
    <x v="2"/>
    <x v="2"/>
    <x v="0"/>
    <x v="0"/>
  </r>
  <r>
    <s v="AX17143"/>
    <s v="ENX2007"/>
    <s v="A112"/>
    <s v="EMP1004"/>
    <s v="C1235"/>
    <x v="718"/>
    <n v="4"/>
    <n v="1405"/>
    <n v="1054"/>
    <n v="4216"/>
    <n v="5620"/>
    <n v="1404"/>
    <s v="Product 8"/>
    <x v="66"/>
    <s v="Kenneth Bradley"/>
    <x v="353"/>
    <n v="7"/>
    <x v="6"/>
    <x v="2"/>
    <x v="2"/>
    <x v="0"/>
    <x v="0"/>
  </r>
  <r>
    <s v="AX17607"/>
    <s v="ENX2072"/>
    <s v="A102"/>
    <s v="EMP1027"/>
    <s v="C1692"/>
    <x v="718"/>
    <n v="1"/>
    <n v="1887"/>
    <n v="1378"/>
    <n v="1378"/>
    <n v="1887"/>
    <n v="509"/>
    <s v="Product 73"/>
    <x v="44"/>
    <s v="Gary Rodriguez"/>
    <x v="555"/>
    <n v="7"/>
    <x v="6"/>
    <x v="2"/>
    <x v="2"/>
    <x v="0"/>
    <x v="0"/>
  </r>
  <r>
    <s v="AX18072"/>
    <s v="ENX2010"/>
    <s v="A107"/>
    <s v="EMP1001"/>
    <s v="C1677"/>
    <x v="717"/>
    <n v="1"/>
    <n v="1812"/>
    <n v="1305"/>
    <n v="1305"/>
    <n v="1812"/>
    <n v="507"/>
    <s v="Product 11"/>
    <x v="21"/>
    <s v="Kevin Butler"/>
    <x v="641"/>
    <n v="7"/>
    <x v="6"/>
    <x v="2"/>
    <x v="2"/>
    <x v="0"/>
    <x v="0"/>
  </r>
  <r>
    <s v="AX18085"/>
    <s v="ENX2015"/>
    <s v="A154"/>
    <s v="EMP1001"/>
    <s v="C1116"/>
    <x v="715"/>
    <n v="1"/>
    <n v="637"/>
    <n v="389"/>
    <n v="389"/>
    <n v="637"/>
    <n v="248"/>
    <s v="Product 16"/>
    <x v="24"/>
    <s v="Kevin Butler"/>
    <x v="747"/>
    <n v="7"/>
    <x v="6"/>
    <x v="2"/>
    <x v="2"/>
    <x v="0"/>
    <x v="0"/>
  </r>
  <r>
    <s v="AX18126"/>
    <s v="ENX2003"/>
    <s v="A149"/>
    <s v="EMP1040"/>
    <s v="C1478"/>
    <x v="718"/>
    <n v="1"/>
    <n v="1783"/>
    <n v="1516"/>
    <n v="1516"/>
    <n v="1783"/>
    <n v="267"/>
    <s v="Product 4"/>
    <x v="59"/>
    <s v="Patrick Ruiz"/>
    <x v="483"/>
    <n v="7"/>
    <x v="6"/>
    <x v="2"/>
    <x v="2"/>
    <x v="0"/>
    <x v="0"/>
  </r>
  <r>
    <s v="AX18196"/>
    <s v="ENX2058"/>
    <s v="A157"/>
    <s v="EMP1009"/>
    <s v="C1676"/>
    <x v="716"/>
    <n v="2"/>
    <n v="2257"/>
    <n v="1535"/>
    <n v="3070"/>
    <n v="4514"/>
    <n v="1444"/>
    <s v="Product 59"/>
    <x v="7"/>
    <s v="Kenneth Fields"/>
    <x v="497"/>
    <n v="7"/>
    <x v="6"/>
    <x v="2"/>
    <x v="2"/>
    <x v="0"/>
    <x v="0"/>
  </r>
  <r>
    <s v="AX18241"/>
    <s v="ENX2055"/>
    <s v="A172"/>
    <s v="EMP1009"/>
    <s v="C1099"/>
    <x v="719"/>
    <n v="1"/>
    <n v="2495"/>
    <n v="1896"/>
    <n v="1896"/>
    <n v="2495"/>
    <n v="599"/>
    <s v="Product 56"/>
    <x v="36"/>
    <s v="Kenneth Fields"/>
    <x v="394"/>
    <n v="7"/>
    <x v="6"/>
    <x v="2"/>
    <x v="2"/>
    <x v="0"/>
    <x v="0"/>
  </r>
  <r>
    <s v="AX18426"/>
    <s v="ENX2058"/>
    <s v="A137"/>
    <s v="EMP1037"/>
    <s v="C1446"/>
    <x v="718"/>
    <n v="3"/>
    <n v="2257"/>
    <n v="1535"/>
    <n v="4605"/>
    <n v="6771"/>
    <n v="2166"/>
    <s v="Product 59"/>
    <x v="68"/>
    <s v="Carl Hall"/>
    <x v="345"/>
    <n v="7"/>
    <x v="6"/>
    <x v="2"/>
    <x v="2"/>
    <x v="0"/>
    <x v="0"/>
  </r>
  <r>
    <s v="AX18487"/>
    <s v="ENX2039"/>
    <s v="A158"/>
    <s v="EMP1002"/>
    <s v="C1075"/>
    <x v="718"/>
    <n v="3"/>
    <n v="817"/>
    <n v="409"/>
    <n v="1227"/>
    <n v="2451"/>
    <n v="1224"/>
    <s v="Product 40"/>
    <x v="58"/>
    <s v="Andrew Bowman"/>
    <x v="594"/>
    <n v="7"/>
    <x v="6"/>
    <x v="2"/>
    <x v="2"/>
    <x v="0"/>
    <x v="0"/>
  </r>
  <r>
    <s v="AX18735"/>
    <s v="ENX2009"/>
    <s v="A115"/>
    <s v="EMP1042"/>
    <s v="C1798"/>
    <x v="719"/>
    <n v="3"/>
    <n v="584"/>
    <n v="420"/>
    <n v="1260"/>
    <n v="1752"/>
    <n v="492"/>
    <s v="Product 10"/>
    <x v="33"/>
    <s v="Scott Clark"/>
    <x v="608"/>
    <n v="7"/>
    <x v="6"/>
    <x v="2"/>
    <x v="2"/>
    <x v="0"/>
    <x v="0"/>
  </r>
  <r>
    <s v="AX18824"/>
    <s v="ENX2022"/>
    <s v="A115"/>
    <s v="EMP1036"/>
    <s v="C1212"/>
    <x v="718"/>
    <n v="1"/>
    <n v="561"/>
    <n v="421"/>
    <n v="421"/>
    <n v="561"/>
    <n v="140"/>
    <s v="Product 23"/>
    <x v="33"/>
    <s v="Robert Reed"/>
    <x v="220"/>
    <n v="7"/>
    <x v="6"/>
    <x v="2"/>
    <x v="2"/>
    <x v="0"/>
    <x v="0"/>
  </r>
  <r>
    <s v="AX18853"/>
    <s v="ENX2073"/>
    <s v="A124"/>
    <s v="EMP1021"/>
    <s v="C1701"/>
    <x v="718"/>
    <n v="1"/>
    <n v="95"/>
    <n v="61"/>
    <n v="61"/>
    <n v="95"/>
    <n v="34"/>
    <s v="Product 74"/>
    <x v="67"/>
    <s v="Clarence Fox"/>
    <x v="736"/>
    <n v="7"/>
    <x v="6"/>
    <x v="2"/>
    <x v="2"/>
    <x v="0"/>
    <x v="0"/>
  </r>
  <r>
    <s v="AX19256"/>
    <s v="ENX2075"/>
    <s v="A118"/>
    <s v="EMP1025"/>
    <s v="C1709"/>
    <x v="716"/>
    <n v="1"/>
    <n v="400"/>
    <n v="208"/>
    <n v="208"/>
    <n v="400"/>
    <n v="192"/>
    <s v="Product 76"/>
    <x v="19"/>
    <s v="Ernest Wagner"/>
    <x v="203"/>
    <n v="7"/>
    <x v="6"/>
    <x v="2"/>
    <x v="2"/>
    <x v="0"/>
    <x v="0"/>
  </r>
  <r>
    <s v="AX19296"/>
    <s v="ENX2041"/>
    <s v="A128"/>
    <s v="EMP1014"/>
    <s v="C1483"/>
    <x v="719"/>
    <n v="1"/>
    <n v="1380"/>
    <n v="1090"/>
    <n v="1090"/>
    <n v="1380"/>
    <n v="290"/>
    <s v="Product 42"/>
    <x v="12"/>
    <s v="Ronald Reed"/>
    <x v="255"/>
    <n v="7"/>
    <x v="6"/>
    <x v="2"/>
    <x v="2"/>
    <x v="0"/>
    <x v="0"/>
  </r>
  <r>
    <s v="AX19830"/>
    <s v="ENX2005"/>
    <s v="A107"/>
    <s v="EMP1016"/>
    <s v="C1093"/>
    <x v="718"/>
    <n v="3"/>
    <n v="684"/>
    <n v="561"/>
    <n v="1683"/>
    <n v="2052"/>
    <n v="369"/>
    <s v="Product 6"/>
    <x v="21"/>
    <s v="Henry Nelson"/>
    <x v="290"/>
    <n v="7"/>
    <x v="6"/>
    <x v="2"/>
    <x v="2"/>
    <x v="0"/>
    <x v="0"/>
  </r>
  <r>
    <s v="AX20245"/>
    <s v="ENX2083"/>
    <s v="A102"/>
    <s v="EMP1015"/>
    <s v="C1481"/>
    <x v="716"/>
    <n v="1"/>
    <n v="2141"/>
    <n v="1777"/>
    <n v="1777"/>
    <n v="2141"/>
    <n v="364"/>
    <s v="Product 84"/>
    <x v="44"/>
    <s v="Justin Lynch"/>
    <x v="764"/>
    <n v="7"/>
    <x v="6"/>
    <x v="2"/>
    <x v="2"/>
    <x v="0"/>
    <x v="0"/>
  </r>
  <r>
    <s v="AX20345"/>
    <s v="ENX2073"/>
    <s v="A132"/>
    <s v="EMP1041"/>
    <s v="C1475"/>
    <x v="716"/>
    <n v="3"/>
    <n v="95"/>
    <n v="61"/>
    <n v="183"/>
    <n v="285"/>
    <n v="102"/>
    <s v="Product 74"/>
    <x v="48"/>
    <s v="Joe Sims"/>
    <x v="527"/>
    <n v="7"/>
    <x v="6"/>
    <x v="2"/>
    <x v="2"/>
    <x v="0"/>
    <x v="0"/>
  </r>
  <r>
    <s v="AX20438"/>
    <s v="ENX2087"/>
    <s v="A149"/>
    <s v="EMP1002"/>
    <s v="C1378"/>
    <x v="717"/>
    <n v="2"/>
    <n v="1022"/>
    <n v="818"/>
    <n v="1636"/>
    <n v="2044"/>
    <n v="408"/>
    <s v="Product 88"/>
    <x v="59"/>
    <s v="Andrew Bowman"/>
    <x v="787"/>
    <n v="7"/>
    <x v="6"/>
    <x v="2"/>
    <x v="2"/>
    <x v="0"/>
    <x v="0"/>
  </r>
  <r>
    <s v="AX20459"/>
    <s v="ENX2048"/>
    <s v="A132"/>
    <s v="EMP1028"/>
    <s v="C1748"/>
    <x v="717"/>
    <n v="1"/>
    <n v="502"/>
    <n v="296"/>
    <n v="296"/>
    <n v="502"/>
    <n v="206"/>
    <s v="Product 49"/>
    <x v="48"/>
    <s v="Howard Sims"/>
    <x v="162"/>
    <n v="7"/>
    <x v="6"/>
    <x v="2"/>
    <x v="2"/>
    <x v="0"/>
    <x v="0"/>
  </r>
  <r>
    <s v="AX20749"/>
    <s v="ENX2044"/>
    <s v="A172"/>
    <s v="EMP1005"/>
    <s v="C1265"/>
    <x v="715"/>
    <n v="1"/>
    <n v="886"/>
    <n v="478"/>
    <n v="478"/>
    <n v="886"/>
    <n v="408"/>
    <s v="Product 45"/>
    <x v="36"/>
    <s v="Ryan Welch"/>
    <x v="348"/>
    <n v="7"/>
    <x v="6"/>
    <x v="2"/>
    <x v="2"/>
    <x v="0"/>
    <x v="0"/>
  </r>
  <r>
    <s v="AX21219"/>
    <s v="ENX2032"/>
    <s v="A113"/>
    <s v="EMP1011"/>
    <s v="C1580"/>
    <x v="717"/>
    <n v="2"/>
    <n v="1967"/>
    <n v="1397"/>
    <n v="2794"/>
    <n v="3934"/>
    <n v="1140"/>
    <s v="Product 33"/>
    <x v="73"/>
    <s v="Larry Marshall"/>
    <x v="617"/>
    <n v="7"/>
    <x v="6"/>
    <x v="2"/>
    <x v="2"/>
    <x v="0"/>
    <x v="0"/>
  </r>
  <r>
    <s v="AX21262"/>
    <s v="ENX2045"/>
    <s v="A126"/>
    <s v="EMP1015"/>
    <s v="C1034"/>
    <x v="715"/>
    <n v="2"/>
    <n v="556"/>
    <n v="395"/>
    <n v="790"/>
    <n v="1112"/>
    <n v="322"/>
    <s v="Product 46"/>
    <x v="5"/>
    <s v="Justin Lynch"/>
    <x v="704"/>
    <n v="7"/>
    <x v="6"/>
    <x v="2"/>
    <x v="2"/>
    <x v="0"/>
    <x v="0"/>
  </r>
  <r>
    <s v="AX21266"/>
    <s v="ENX2019"/>
    <s v="A171"/>
    <s v="EMP1013"/>
    <s v="C1695"/>
    <x v="717"/>
    <n v="4"/>
    <n v="800"/>
    <n v="536"/>
    <n v="2144"/>
    <n v="3200"/>
    <n v="1056"/>
    <s v="Product 20"/>
    <x v="0"/>
    <s v="Charles Harper"/>
    <x v="18"/>
    <n v="7"/>
    <x v="6"/>
    <x v="2"/>
    <x v="2"/>
    <x v="0"/>
    <x v="0"/>
  </r>
  <r>
    <s v="AX21592"/>
    <s v="ENX2029"/>
    <s v="A114"/>
    <s v="EMP1030"/>
    <s v="C1368"/>
    <x v="716"/>
    <n v="4"/>
    <n v="1848"/>
    <n v="1294"/>
    <n v="5176"/>
    <n v="7392"/>
    <n v="2216"/>
    <s v="Product 30"/>
    <x v="28"/>
    <s v="Bobby Russell"/>
    <x v="200"/>
    <n v="7"/>
    <x v="6"/>
    <x v="2"/>
    <x v="2"/>
    <x v="0"/>
    <x v="0"/>
  </r>
  <r>
    <s v="AX21854"/>
    <s v="ENX2081"/>
    <s v="A125"/>
    <s v="EMP1038"/>
    <s v="C1326"/>
    <x v="715"/>
    <n v="3"/>
    <n v="1566"/>
    <n v="1190"/>
    <n v="3570"/>
    <n v="4698"/>
    <n v="1128"/>
    <s v="Product 82"/>
    <x v="31"/>
    <s v="Scott Mason"/>
    <x v="98"/>
    <n v="7"/>
    <x v="6"/>
    <x v="2"/>
    <x v="2"/>
    <x v="0"/>
    <x v="0"/>
  </r>
  <r>
    <s v="AX22616"/>
    <s v="ENX2053"/>
    <s v="A118"/>
    <s v="EMP1040"/>
    <s v="C1428"/>
    <x v="719"/>
    <n v="1"/>
    <n v="596"/>
    <n v="358"/>
    <n v="358"/>
    <n v="596"/>
    <n v="238"/>
    <s v="Product 54"/>
    <x v="19"/>
    <s v="Patrick Ruiz"/>
    <x v="509"/>
    <n v="7"/>
    <x v="6"/>
    <x v="2"/>
    <x v="2"/>
    <x v="0"/>
    <x v="0"/>
  </r>
  <r>
    <s v="AX22821"/>
    <s v="ENX2089"/>
    <s v="A170"/>
    <s v="EMP1003"/>
    <s v="C1612"/>
    <x v="716"/>
    <n v="1"/>
    <n v="2294"/>
    <n v="1399"/>
    <n v="1399"/>
    <n v="2294"/>
    <n v="895"/>
    <s v="Product 90"/>
    <x v="47"/>
    <s v="Christopher Tucker"/>
    <x v="46"/>
    <n v="7"/>
    <x v="6"/>
    <x v="2"/>
    <x v="2"/>
    <x v="0"/>
    <x v="0"/>
  </r>
  <r>
    <s v="AX23017"/>
    <s v="ENX2086"/>
    <s v="A128"/>
    <s v="EMP1025"/>
    <s v="C1132"/>
    <x v="717"/>
    <n v="4"/>
    <n v="123"/>
    <n v="84"/>
    <n v="336"/>
    <n v="492"/>
    <n v="156"/>
    <s v="Product 87"/>
    <x v="12"/>
    <s v="Ernest Wagner"/>
    <x v="751"/>
    <n v="7"/>
    <x v="6"/>
    <x v="2"/>
    <x v="2"/>
    <x v="0"/>
    <x v="0"/>
  </r>
  <r>
    <s v="AX23112"/>
    <s v="ENX2079"/>
    <s v="A161"/>
    <s v="EMP1031"/>
    <s v="C1743"/>
    <x v="716"/>
    <n v="2"/>
    <n v="1725"/>
    <n v="1363"/>
    <n v="2726"/>
    <n v="3450"/>
    <n v="724"/>
    <s v="Product 80"/>
    <x v="6"/>
    <s v="Brian Thomas"/>
    <x v="276"/>
    <n v="7"/>
    <x v="6"/>
    <x v="2"/>
    <x v="2"/>
    <x v="0"/>
    <x v="0"/>
  </r>
  <r>
    <s v="AX23200"/>
    <s v="ENX2024"/>
    <s v="A161"/>
    <s v="EMP1009"/>
    <s v="C1579"/>
    <x v="716"/>
    <n v="3"/>
    <n v="356"/>
    <n v="292"/>
    <n v="876"/>
    <n v="1068"/>
    <n v="192"/>
    <s v="Product 25"/>
    <x v="6"/>
    <s v="Kenneth Fields"/>
    <x v="422"/>
    <n v="7"/>
    <x v="6"/>
    <x v="2"/>
    <x v="2"/>
    <x v="0"/>
    <x v="0"/>
  </r>
  <r>
    <s v="AX23215"/>
    <s v="ENX2047"/>
    <s v="A152"/>
    <s v="EMP1044"/>
    <s v="C1155"/>
    <x v="718"/>
    <n v="2"/>
    <n v="290"/>
    <n v="200"/>
    <n v="400"/>
    <n v="580"/>
    <n v="180"/>
    <s v="Product 48"/>
    <x v="26"/>
    <s v="Martin Carr"/>
    <x v="711"/>
    <n v="7"/>
    <x v="6"/>
    <x v="2"/>
    <x v="2"/>
    <x v="0"/>
    <x v="0"/>
  </r>
  <r>
    <s v="AX23554"/>
    <s v="ENX2098"/>
    <s v="A123"/>
    <s v="EMP1036"/>
    <s v="C1650"/>
    <x v="719"/>
    <n v="1"/>
    <n v="1178"/>
    <n v="683"/>
    <n v="683"/>
    <n v="1178"/>
    <n v="495"/>
    <s v="Product 99"/>
    <x v="34"/>
    <s v="Robert Reed"/>
    <x v="645"/>
    <n v="7"/>
    <x v="6"/>
    <x v="2"/>
    <x v="2"/>
    <x v="0"/>
    <x v="0"/>
  </r>
  <r>
    <s v="AX23623"/>
    <s v="ENX2024"/>
    <s v="A161"/>
    <s v="EMP1023"/>
    <s v="C1418"/>
    <x v="719"/>
    <n v="1"/>
    <n v="356"/>
    <n v="292"/>
    <n v="292"/>
    <n v="356"/>
    <n v="64"/>
    <s v="Product 25"/>
    <x v="6"/>
    <s v="Brian Davis"/>
    <x v="441"/>
    <n v="7"/>
    <x v="6"/>
    <x v="2"/>
    <x v="2"/>
    <x v="0"/>
    <x v="0"/>
  </r>
  <r>
    <s v="AX24275"/>
    <s v="ENX2027"/>
    <s v="A114"/>
    <s v="EMP1018"/>
    <s v="C1244"/>
    <x v="719"/>
    <n v="4"/>
    <n v="2497"/>
    <n v="1473"/>
    <n v="5892"/>
    <n v="9988"/>
    <n v="4096"/>
    <s v="Product 28"/>
    <x v="28"/>
    <s v="Jimmy Young"/>
    <x v="381"/>
    <n v="7"/>
    <x v="6"/>
    <x v="2"/>
    <x v="2"/>
    <x v="0"/>
    <x v="0"/>
  </r>
  <r>
    <s v="AX24338"/>
    <s v="ENX2062"/>
    <s v="A119"/>
    <s v="EMP1022"/>
    <s v="C1186"/>
    <x v="718"/>
    <n v="3"/>
    <n v="2464"/>
    <n v="1774"/>
    <n v="5322"/>
    <n v="7392"/>
    <n v="2070"/>
    <s v="Product 63"/>
    <x v="16"/>
    <s v="Walter Cook"/>
    <x v="467"/>
    <n v="7"/>
    <x v="6"/>
    <x v="2"/>
    <x v="2"/>
    <x v="0"/>
    <x v="0"/>
  </r>
  <r>
    <s v="AX24394"/>
    <s v="ENX2042"/>
    <s v="A141"/>
    <s v="EMP1039"/>
    <s v="C1594"/>
    <x v="716"/>
    <n v="4"/>
    <n v="203"/>
    <n v="154"/>
    <n v="616"/>
    <n v="812"/>
    <n v="196"/>
    <s v="Product 43"/>
    <x v="23"/>
    <s v="Eugene Holmes"/>
    <x v="770"/>
    <n v="7"/>
    <x v="6"/>
    <x v="2"/>
    <x v="2"/>
    <x v="0"/>
    <x v="0"/>
  </r>
  <r>
    <s v="AX24415"/>
    <s v="ENX2021"/>
    <s v="A171"/>
    <s v="EMP1041"/>
    <s v="C1419"/>
    <x v="716"/>
    <n v="2"/>
    <n v="217"/>
    <n v="171"/>
    <n v="342"/>
    <n v="434"/>
    <n v="92"/>
    <s v="Product 22"/>
    <x v="0"/>
    <s v="Joe Sims"/>
    <x v="163"/>
    <n v="7"/>
    <x v="6"/>
    <x v="2"/>
    <x v="2"/>
    <x v="0"/>
    <x v="0"/>
  </r>
  <r>
    <s v="AX24435"/>
    <s v="ENX2089"/>
    <s v="A166"/>
    <s v="EMP1034"/>
    <s v="C1719"/>
    <x v="719"/>
    <n v="1"/>
    <n v="2294"/>
    <n v="1399"/>
    <n v="1399"/>
    <n v="2294"/>
    <n v="895"/>
    <s v="Product 90"/>
    <x v="70"/>
    <s v="Arthur Mccoy"/>
    <x v="666"/>
    <n v="7"/>
    <x v="6"/>
    <x v="2"/>
    <x v="2"/>
    <x v="0"/>
    <x v="0"/>
  </r>
  <r>
    <s v="AX24939"/>
    <s v="ENX2098"/>
    <s v="A139"/>
    <s v="EMP1011"/>
    <s v="C1297"/>
    <x v="717"/>
    <n v="1"/>
    <n v="1178"/>
    <n v="683"/>
    <n v="683"/>
    <n v="1178"/>
    <n v="495"/>
    <s v="Product 99"/>
    <x v="38"/>
    <s v="Larry Marshall"/>
    <x v="537"/>
    <n v="7"/>
    <x v="6"/>
    <x v="2"/>
    <x v="2"/>
    <x v="0"/>
    <x v="0"/>
  </r>
  <r>
    <s v="AX10208"/>
    <s v="ENX2054"/>
    <s v="A132"/>
    <s v="EMP1029"/>
    <s v="C1194"/>
    <x v="720"/>
    <n v="1"/>
    <n v="127"/>
    <n v="79"/>
    <n v="79"/>
    <n v="127"/>
    <n v="48"/>
    <s v="Product 55"/>
    <x v="48"/>
    <s v="Howard Gardner"/>
    <x v="323"/>
    <n v="7"/>
    <x v="6"/>
    <x v="2"/>
    <x v="2"/>
    <x v="0"/>
    <x v="1"/>
  </r>
  <r>
    <s v="AX10307"/>
    <s v="ENX2098"/>
    <s v="A155"/>
    <s v="EMP1005"/>
    <s v="C1203"/>
    <x v="720"/>
    <n v="2"/>
    <n v="1178"/>
    <n v="683"/>
    <n v="1366"/>
    <n v="2356"/>
    <n v="990"/>
    <s v="Product 99"/>
    <x v="53"/>
    <s v="Ryan Welch"/>
    <x v="792"/>
    <n v="7"/>
    <x v="6"/>
    <x v="2"/>
    <x v="2"/>
    <x v="0"/>
    <x v="1"/>
  </r>
  <r>
    <s v="AX10335"/>
    <s v="ENX2023"/>
    <s v="A134"/>
    <s v="EMP1033"/>
    <s v="C1370"/>
    <x v="721"/>
    <n v="1"/>
    <n v="818"/>
    <n v="450"/>
    <n v="450"/>
    <n v="818"/>
    <n v="368"/>
    <s v="Product 24"/>
    <x v="41"/>
    <s v="Jerry Perry"/>
    <x v="341"/>
    <n v="7"/>
    <x v="6"/>
    <x v="2"/>
    <x v="2"/>
    <x v="0"/>
    <x v="1"/>
  </r>
  <r>
    <s v="AX10350"/>
    <s v="ENX2000"/>
    <s v="A129"/>
    <s v="EMP1008"/>
    <s v="C1648"/>
    <x v="720"/>
    <n v="1"/>
    <n v="2241"/>
    <n v="1367"/>
    <n v="1367"/>
    <n v="2241"/>
    <n v="874"/>
    <s v="Product 1"/>
    <x v="22"/>
    <s v="Carl Elliott"/>
    <x v="430"/>
    <n v="7"/>
    <x v="6"/>
    <x v="2"/>
    <x v="2"/>
    <x v="0"/>
    <x v="1"/>
  </r>
  <r>
    <s v="AX11975"/>
    <s v="ENX2031"/>
    <s v="A112"/>
    <s v="EMP1029"/>
    <s v="C1752"/>
    <x v="721"/>
    <n v="2"/>
    <n v="1638"/>
    <n v="1261"/>
    <n v="2522"/>
    <n v="3276"/>
    <n v="754"/>
    <s v="Product 32"/>
    <x v="66"/>
    <s v="Howard Gardner"/>
    <x v="233"/>
    <n v="7"/>
    <x v="6"/>
    <x v="2"/>
    <x v="2"/>
    <x v="0"/>
    <x v="1"/>
  </r>
  <r>
    <s v="AX13202"/>
    <s v="ENX2048"/>
    <s v="A166"/>
    <s v="EMP1025"/>
    <s v="C1613"/>
    <x v="720"/>
    <n v="1"/>
    <n v="502"/>
    <n v="296"/>
    <n v="296"/>
    <n v="502"/>
    <n v="206"/>
    <s v="Product 49"/>
    <x v="70"/>
    <s v="Ernest Wagner"/>
    <x v="143"/>
    <n v="7"/>
    <x v="6"/>
    <x v="2"/>
    <x v="2"/>
    <x v="0"/>
    <x v="1"/>
  </r>
  <r>
    <s v="AX13242"/>
    <s v="ENX2036"/>
    <s v="A146"/>
    <s v="EMP1011"/>
    <s v="C1335"/>
    <x v="720"/>
    <n v="1"/>
    <n v="1582"/>
    <n v="1234"/>
    <n v="1234"/>
    <n v="1582"/>
    <n v="348"/>
    <s v="Product 37"/>
    <x v="27"/>
    <s v="Larry Marshall"/>
    <x v="2"/>
    <n v="7"/>
    <x v="6"/>
    <x v="2"/>
    <x v="2"/>
    <x v="0"/>
    <x v="1"/>
  </r>
  <r>
    <s v="AX13549"/>
    <s v="ENX2096"/>
    <s v="A105"/>
    <s v="EMP1031"/>
    <s v="C1539"/>
    <x v="720"/>
    <n v="1"/>
    <n v="1587"/>
    <n v="1301"/>
    <n v="1301"/>
    <n v="1587"/>
    <n v="286"/>
    <s v="Product 97"/>
    <x v="45"/>
    <s v="Brian Thomas"/>
    <x v="280"/>
    <n v="7"/>
    <x v="6"/>
    <x v="2"/>
    <x v="2"/>
    <x v="0"/>
    <x v="1"/>
  </r>
  <r>
    <s v="AX14026"/>
    <s v="ENX2022"/>
    <s v="A115"/>
    <s v="EMP1017"/>
    <s v="C1118"/>
    <x v="721"/>
    <n v="1"/>
    <n v="561"/>
    <n v="421"/>
    <n v="421"/>
    <n v="561"/>
    <n v="140"/>
    <s v="Product 23"/>
    <x v="33"/>
    <s v="Brian Hansen"/>
    <x v="633"/>
    <n v="7"/>
    <x v="6"/>
    <x v="2"/>
    <x v="2"/>
    <x v="0"/>
    <x v="1"/>
  </r>
  <r>
    <s v="AX14183"/>
    <s v="ENX2041"/>
    <s v="A156"/>
    <s v="EMP1016"/>
    <s v="C1257"/>
    <x v="721"/>
    <n v="1"/>
    <n v="1380"/>
    <n v="1090"/>
    <n v="1090"/>
    <n v="1380"/>
    <n v="290"/>
    <s v="Product 42"/>
    <x v="14"/>
    <s v="Henry Nelson"/>
    <x v="287"/>
    <n v="7"/>
    <x v="6"/>
    <x v="2"/>
    <x v="2"/>
    <x v="0"/>
    <x v="1"/>
  </r>
  <r>
    <s v="AX14418"/>
    <s v="ENX2020"/>
    <s v="A109"/>
    <s v="EMP1004"/>
    <s v="C1687"/>
    <x v="720"/>
    <n v="1"/>
    <n v="2005"/>
    <n v="1223"/>
    <n v="1223"/>
    <n v="2005"/>
    <n v="782"/>
    <s v="Product 21"/>
    <x v="57"/>
    <s v="Kenneth Bradley"/>
    <x v="389"/>
    <n v="7"/>
    <x v="6"/>
    <x v="2"/>
    <x v="2"/>
    <x v="0"/>
    <x v="1"/>
  </r>
  <r>
    <s v="AX14512"/>
    <s v="ENX2025"/>
    <s v="A129"/>
    <s v="EMP1023"/>
    <s v="C1525"/>
    <x v="720"/>
    <n v="2"/>
    <n v="667"/>
    <n v="387"/>
    <n v="774"/>
    <n v="1334"/>
    <n v="560"/>
    <s v="Product 26"/>
    <x v="22"/>
    <s v="Brian Davis"/>
    <x v="360"/>
    <n v="7"/>
    <x v="6"/>
    <x v="2"/>
    <x v="2"/>
    <x v="0"/>
    <x v="1"/>
  </r>
  <r>
    <s v="AX15752"/>
    <s v="ENX2002"/>
    <s v="A160"/>
    <s v="EMP1039"/>
    <s v="C1342"/>
    <x v="720"/>
    <n v="1"/>
    <n v="847"/>
    <n v="534"/>
    <n v="534"/>
    <n v="847"/>
    <n v="313"/>
    <s v="Product 3"/>
    <x v="9"/>
    <s v="Eugene Holmes"/>
    <x v="62"/>
    <n v="7"/>
    <x v="6"/>
    <x v="2"/>
    <x v="2"/>
    <x v="0"/>
    <x v="1"/>
  </r>
  <r>
    <s v="AX16286"/>
    <s v="ENX2091"/>
    <s v="A159"/>
    <s v="EMP1044"/>
    <s v="C1296"/>
    <x v="721"/>
    <n v="1"/>
    <n v="368"/>
    <n v="294"/>
    <n v="294"/>
    <n v="368"/>
    <n v="74"/>
    <s v="Product 92"/>
    <x v="13"/>
    <s v="Martin Carr"/>
    <x v="105"/>
    <n v="7"/>
    <x v="6"/>
    <x v="2"/>
    <x v="2"/>
    <x v="0"/>
    <x v="1"/>
  </r>
  <r>
    <s v="AX17248"/>
    <s v="ENX2048"/>
    <s v="A134"/>
    <s v="EMP1028"/>
    <s v="C1698"/>
    <x v="720"/>
    <n v="1"/>
    <n v="502"/>
    <n v="296"/>
    <n v="296"/>
    <n v="502"/>
    <n v="206"/>
    <s v="Product 49"/>
    <x v="41"/>
    <s v="Howard Sims"/>
    <x v="86"/>
    <n v="7"/>
    <x v="6"/>
    <x v="2"/>
    <x v="2"/>
    <x v="0"/>
    <x v="1"/>
  </r>
  <r>
    <s v="AX17558"/>
    <s v="ENX2020"/>
    <s v="A151"/>
    <s v="EMP1030"/>
    <s v="C1351"/>
    <x v="720"/>
    <n v="2"/>
    <n v="2005"/>
    <n v="1223"/>
    <n v="2446"/>
    <n v="4010"/>
    <n v="1564"/>
    <s v="Product 21"/>
    <x v="1"/>
    <s v="Bobby Russell"/>
    <x v="122"/>
    <n v="7"/>
    <x v="6"/>
    <x v="2"/>
    <x v="2"/>
    <x v="0"/>
    <x v="1"/>
  </r>
  <r>
    <s v="AX17648"/>
    <s v="ENX2075"/>
    <s v="A169"/>
    <s v="EMP1024"/>
    <s v="C1597"/>
    <x v="720"/>
    <n v="1"/>
    <n v="400"/>
    <n v="208"/>
    <n v="208"/>
    <n v="400"/>
    <n v="192"/>
    <s v="Product 76"/>
    <x v="17"/>
    <s v="Ernest Wheeler"/>
    <x v="183"/>
    <n v="7"/>
    <x v="6"/>
    <x v="2"/>
    <x v="2"/>
    <x v="0"/>
    <x v="1"/>
  </r>
  <r>
    <s v="AX18010"/>
    <s v="ENX2014"/>
    <s v="A131"/>
    <s v="EMP1008"/>
    <s v="C1497"/>
    <x v="721"/>
    <n v="2"/>
    <n v="1809"/>
    <n v="1067"/>
    <n v="2134"/>
    <n v="3618"/>
    <n v="1484"/>
    <s v="Product 15"/>
    <x v="32"/>
    <s v="Carl Elliott"/>
    <x v="794"/>
    <n v="7"/>
    <x v="6"/>
    <x v="2"/>
    <x v="2"/>
    <x v="0"/>
    <x v="1"/>
  </r>
  <r>
    <s v="AX19102"/>
    <s v="ENX2034"/>
    <s v="A119"/>
    <s v="EMP1026"/>
    <s v="C1350"/>
    <x v="721"/>
    <n v="1"/>
    <n v="871"/>
    <n v="540"/>
    <n v="540"/>
    <n v="871"/>
    <n v="331"/>
    <s v="Product 35"/>
    <x v="16"/>
    <s v="Martin Perry"/>
    <x v="625"/>
    <n v="7"/>
    <x v="6"/>
    <x v="2"/>
    <x v="2"/>
    <x v="0"/>
    <x v="1"/>
  </r>
  <r>
    <s v="AX19332"/>
    <s v="ENX2012"/>
    <s v="A147"/>
    <s v="EMP1002"/>
    <s v="C1021"/>
    <x v="721"/>
    <n v="4"/>
    <n v="1353"/>
    <n v="947"/>
    <n v="3788"/>
    <n v="5412"/>
    <n v="1624"/>
    <s v="Product 13"/>
    <x v="42"/>
    <s v="Andrew Bowman"/>
    <x v="246"/>
    <n v="7"/>
    <x v="6"/>
    <x v="2"/>
    <x v="2"/>
    <x v="0"/>
    <x v="1"/>
  </r>
  <r>
    <s v="AX19571"/>
    <s v="ENX2095"/>
    <s v="A128"/>
    <s v="EMP1015"/>
    <s v="C1671"/>
    <x v="721"/>
    <n v="2"/>
    <n v="1743"/>
    <n v="872"/>
    <n v="1744"/>
    <n v="3486"/>
    <n v="1742"/>
    <s v="Product 96"/>
    <x v="12"/>
    <s v="Justin Lynch"/>
    <x v="248"/>
    <n v="7"/>
    <x v="6"/>
    <x v="2"/>
    <x v="2"/>
    <x v="0"/>
    <x v="1"/>
  </r>
  <r>
    <s v="AX19626"/>
    <s v="ENX2003"/>
    <s v="A106"/>
    <s v="EMP1005"/>
    <s v="C1259"/>
    <x v="721"/>
    <n v="3"/>
    <n v="1783"/>
    <n v="1516"/>
    <n v="4548"/>
    <n v="5349"/>
    <n v="801"/>
    <s v="Product 4"/>
    <x v="11"/>
    <s v="Ryan Welch"/>
    <x v="475"/>
    <n v="7"/>
    <x v="6"/>
    <x v="2"/>
    <x v="2"/>
    <x v="0"/>
    <x v="1"/>
  </r>
  <r>
    <s v="AX19755"/>
    <s v="ENX2011"/>
    <s v="A163"/>
    <s v="EMP1006"/>
    <s v="C1062"/>
    <x v="721"/>
    <n v="4"/>
    <n v="530"/>
    <n v="435"/>
    <n v="1740"/>
    <n v="2120"/>
    <n v="380"/>
    <s v="Product 12"/>
    <x v="51"/>
    <s v="Sean Miller"/>
    <x v="595"/>
    <n v="7"/>
    <x v="6"/>
    <x v="2"/>
    <x v="2"/>
    <x v="0"/>
    <x v="1"/>
  </r>
  <r>
    <s v="AX20017"/>
    <s v="ENX2018"/>
    <s v="A160"/>
    <s v="EMP1030"/>
    <s v="C1043"/>
    <x v="720"/>
    <n v="1"/>
    <n v="1972"/>
    <n v="1321"/>
    <n v="1321"/>
    <n v="1972"/>
    <n v="651"/>
    <s v="Product 19"/>
    <x v="9"/>
    <s v="Bobby Russell"/>
    <x v="546"/>
    <n v="7"/>
    <x v="6"/>
    <x v="2"/>
    <x v="2"/>
    <x v="0"/>
    <x v="1"/>
  </r>
  <r>
    <s v="AX20172"/>
    <s v="ENX2061"/>
    <s v="A121"/>
    <s v="EMP1041"/>
    <s v="C1521"/>
    <x v="720"/>
    <n v="1"/>
    <n v="913"/>
    <n v="584"/>
    <n v="584"/>
    <n v="913"/>
    <n v="329"/>
    <s v="Product 62"/>
    <x v="72"/>
    <s v="Joe Sims"/>
    <x v="697"/>
    <n v="7"/>
    <x v="6"/>
    <x v="2"/>
    <x v="2"/>
    <x v="0"/>
    <x v="1"/>
  </r>
  <r>
    <s v="AX21079"/>
    <s v="ENX2086"/>
    <s v="A158"/>
    <s v="EMP1033"/>
    <s v="C1714"/>
    <x v="721"/>
    <n v="1"/>
    <n v="123"/>
    <n v="84"/>
    <n v="84"/>
    <n v="123"/>
    <n v="39"/>
    <s v="Product 87"/>
    <x v="58"/>
    <s v="Jerry Perry"/>
    <x v="317"/>
    <n v="7"/>
    <x v="6"/>
    <x v="2"/>
    <x v="2"/>
    <x v="0"/>
    <x v="1"/>
  </r>
  <r>
    <s v="AX21242"/>
    <s v="ENX2001"/>
    <s v="A162"/>
    <s v="EMP1025"/>
    <s v="C1538"/>
    <x v="720"/>
    <n v="1"/>
    <n v="951"/>
    <n v="504"/>
    <n v="504"/>
    <n v="951"/>
    <n v="447"/>
    <s v="Product 2"/>
    <x v="2"/>
    <s v="Ernest Wagner"/>
    <x v="384"/>
    <n v="7"/>
    <x v="6"/>
    <x v="2"/>
    <x v="2"/>
    <x v="0"/>
    <x v="1"/>
  </r>
  <r>
    <s v="AX21408"/>
    <s v="ENX2081"/>
    <s v="A134"/>
    <s v="EMP1028"/>
    <s v="C1376"/>
    <x v="721"/>
    <n v="1"/>
    <n v="1566"/>
    <n v="1190"/>
    <n v="1190"/>
    <n v="1566"/>
    <n v="376"/>
    <s v="Product 82"/>
    <x v="41"/>
    <s v="Howard Sims"/>
    <x v="356"/>
    <n v="7"/>
    <x v="6"/>
    <x v="2"/>
    <x v="2"/>
    <x v="0"/>
    <x v="1"/>
  </r>
  <r>
    <s v="AX23045"/>
    <s v="ENX2020"/>
    <s v="A129"/>
    <s v="EMP1023"/>
    <s v="C1117"/>
    <x v="721"/>
    <n v="1"/>
    <n v="2005"/>
    <n v="1223"/>
    <n v="1223"/>
    <n v="2005"/>
    <n v="782"/>
    <s v="Product 21"/>
    <x v="22"/>
    <s v="Brian Davis"/>
    <x v="519"/>
    <n v="7"/>
    <x v="6"/>
    <x v="2"/>
    <x v="2"/>
    <x v="0"/>
    <x v="1"/>
  </r>
  <r>
    <s v="AX23052"/>
    <s v="ENX2065"/>
    <s v="A100"/>
    <s v="EMP1004"/>
    <s v="C1037"/>
    <x v="721"/>
    <n v="1"/>
    <n v="2396"/>
    <n v="1965"/>
    <n v="1965"/>
    <n v="2396"/>
    <n v="431"/>
    <s v="Product 66"/>
    <x v="52"/>
    <s v="Kenneth Bradley"/>
    <x v="779"/>
    <n v="7"/>
    <x v="6"/>
    <x v="2"/>
    <x v="2"/>
    <x v="0"/>
    <x v="1"/>
  </r>
  <r>
    <s v="AX23550"/>
    <s v="ENX2081"/>
    <s v="A113"/>
    <s v="EMP1000"/>
    <s v="C1272"/>
    <x v="721"/>
    <n v="2"/>
    <n v="1566"/>
    <n v="1190"/>
    <n v="2380"/>
    <n v="3132"/>
    <n v="752"/>
    <s v="Product 82"/>
    <x v="73"/>
    <s v="Fred Robertson"/>
    <x v="491"/>
    <n v="7"/>
    <x v="6"/>
    <x v="2"/>
    <x v="2"/>
    <x v="0"/>
    <x v="1"/>
  </r>
  <r>
    <s v="AX23762"/>
    <s v="ENX2072"/>
    <s v="A100"/>
    <s v="EMP1021"/>
    <s v="C1337"/>
    <x v="720"/>
    <n v="1"/>
    <n v="1887"/>
    <n v="1378"/>
    <n v="1378"/>
    <n v="1887"/>
    <n v="509"/>
    <s v="Product 73"/>
    <x v="52"/>
    <s v="Clarence Fox"/>
    <x v="417"/>
    <n v="7"/>
    <x v="6"/>
    <x v="2"/>
    <x v="2"/>
    <x v="0"/>
    <x v="1"/>
  </r>
  <r>
    <s v="AX24073"/>
    <s v="ENX2048"/>
    <s v="A117"/>
    <s v="EMP1026"/>
    <s v="C1740"/>
    <x v="720"/>
    <n v="1"/>
    <n v="502"/>
    <n v="296"/>
    <n v="296"/>
    <n v="502"/>
    <n v="206"/>
    <s v="Product 49"/>
    <x v="29"/>
    <s v="Martin Perry"/>
    <x v="699"/>
    <n v="7"/>
    <x v="6"/>
    <x v="2"/>
    <x v="2"/>
    <x v="0"/>
    <x v="1"/>
  </r>
  <r>
    <s v="AX24251"/>
    <s v="ENX2078"/>
    <s v="A124"/>
    <s v="EMP1024"/>
    <s v="C1479"/>
    <x v="721"/>
    <n v="1"/>
    <n v="1798"/>
    <n v="971"/>
    <n v="971"/>
    <n v="1798"/>
    <n v="827"/>
    <s v="Product 79"/>
    <x v="67"/>
    <s v="Ernest Wheeler"/>
    <x v="385"/>
    <n v="7"/>
    <x v="6"/>
    <x v="2"/>
    <x v="2"/>
    <x v="0"/>
    <x v="1"/>
  </r>
  <r>
    <s v="AX24361"/>
    <s v="ENX2048"/>
    <s v="A154"/>
    <s v="EMP1001"/>
    <s v="C1409"/>
    <x v="720"/>
    <n v="1"/>
    <n v="502"/>
    <n v="296"/>
    <n v="296"/>
    <n v="502"/>
    <n v="206"/>
    <s v="Product 49"/>
    <x v="24"/>
    <s v="Kevin Butler"/>
    <x v="44"/>
    <n v="7"/>
    <x v="6"/>
    <x v="2"/>
    <x v="2"/>
    <x v="0"/>
    <x v="1"/>
  </r>
  <r>
    <s v="AX24567"/>
    <s v="ENX2031"/>
    <s v="A106"/>
    <s v="EMP1036"/>
    <s v="C1257"/>
    <x v="721"/>
    <n v="1"/>
    <n v="1638"/>
    <n v="1261"/>
    <n v="1261"/>
    <n v="1638"/>
    <n v="377"/>
    <s v="Product 32"/>
    <x v="11"/>
    <s v="Robert Reed"/>
    <x v="287"/>
    <n v="7"/>
    <x v="6"/>
    <x v="2"/>
    <x v="2"/>
    <x v="0"/>
    <x v="1"/>
  </r>
  <r>
    <s v="AX24570"/>
    <s v="ENX2003"/>
    <s v="A164"/>
    <s v="EMP1004"/>
    <s v="C1614"/>
    <x v="721"/>
    <n v="2"/>
    <n v="1783"/>
    <n v="1516"/>
    <n v="3032"/>
    <n v="3566"/>
    <n v="534"/>
    <s v="Product 4"/>
    <x v="3"/>
    <s v="Kenneth Bradley"/>
    <x v="11"/>
    <n v="7"/>
    <x v="6"/>
    <x v="2"/>
    <x v="2"/>
    <x v="0"/>
    <x v="1"/>
  </r>
  <r>
    <s v="AX10751"/>
    <s v="ENX2065"/>
    <s v="A130"/>
    <s v="EMP1017"/>
    <s v="C1487"/>
    <x v="722"/>
    <n v="1"/>
    <n v="2396"/>
    <n v="1965"/>
    <n v="1965"/>
    <n v="2396"/>
    <n v="431"/>
    <s v="Product 66"/>
    <x v="4"/>
    <s v="Brian Hansen"/>
    <x v="461"/>
    <n v="7"/>
    <x v="6"/>
    <x v="2"/>
    <x v="2"/>
    <x v="0"/>
    <x v="2"/>
  </r>
  <r>
    <s v="AX10813"/>
    <s v="ENX2025"/>
    <s v="A136"/>
    <s v="EMP1006"/>
    <s v="C1445"/>
    <x v="723"/>
    <n v="1"/>
    <n v="667"/>
    <n v="387"/>
    <n v="387"/>
    <n v="667"/>
    <n v="280"/>
    <s v="Product 26"/>
    <x v="43"/>
    <s v="Sean Miller"/>
    <x v="239"/>
    <n v="7"/>
    <x v="6"/>
    <x v="2"/>
    <x v="2"/>
    <x v="0"/>
    <x v="2"/>
  </r>
  <r>
    <s v="AX11332"/>
    <s v="ENX2078"/>
    <s v="A164"/>
    <s v="EMP1007"/>
    <s v="C1191"/>
    <x v="722"/>
    <n v="1"/>
    <n v="1798"/>
    <n v="971"/>
    <n v="971"/>
    <n v="1798"/>
    <n v="827"/>
    <s v="Product 79"/>
    <x v="3"/>
    <s v="Jeremy Mendoza"/>
    <x v="739"/>
    <n v="7"/>
    <x v="6"/>
    <x v="2"/>
    <x v="2"/>
    <x v="0"/>
    <x v="2"/>
  </r>
  <r>
    <s v="AX11540"/>
    <s v="ENX2063"/>
    <s v="A160"/>
    <s v="EMP1033"/>
    <s v="C1515"/>
    <x v="723"/>
    <n v="4"/>
    <n v="1708"/>
    <n v="871"/>
    <n v="3484"/>
    <n v="6832"/>
    <n v="3348"/>
    <s v="Product 64"/>
    <x v="9"/>
    <s v="Jerry Perry"/>
    <x v="570"/>
    <n v="7"/>
    <x v="6"/>
    <x v="2"/>
    <x v="2"/>
    <x v="0"/>
    <x v="2"/>
  </r>
  <r>
    <s v="AX11968"/>
    <s v="ENX2045"/>
    <s v="A168"/>
    <s v="EMP1039"/>
    <s v="C1476"/>
    <x v="724"/>
    <n v="1"/>
    <n v="556"/>
    <n v="395"/>
    <n v="395"/>
    <n v="556"/>
    <n v="161"/>
    <s v="Product 46"/>
    <x v="40"/>
    <s v="Eugene Holmes"/>
    <x v="207"/>
    <n v="7"/>
    <x v="6"/>
    <x v="2"/>
    <x v="2"/>
    <x v="0"/>
    <x v="2"/>
  </r>
  <r>
    <s v="AX12282"/>
    <s v="ENX2011"/>
    <s v="A160"/>
    <s v="EMP1026"/>
    <s v="C1279"/>
    <x v="723"/>
    <n v="1"/>
    <n v="530"/>
    <n v="435"/>
    <n v="435"/>
    <n v="530"/>
    <n v="95"/>
    <s v="Product 12"/>
    <x v="9"/>
    <s v="Martin Perry"/>
    <x v="210"/>
    <n v="7"/>
    <x v="6"/>
    <x v="2"/>
    <x v="2"/>
    <x v="0"/>
    <x v="2"/>
  </r>
  <r>
    <s v="AX12384"/>
    <s v="ENX2094"/>
    <s v="A114"/>
    <s v="EMP1003"/>
    <s v="C1539"/>
    <x v="725"/>
    <n v="1"/>
    <n v="771"/>
    <n v="648"/>
    <n v="648"/>
    <n v="771"/>
    <n v="123"/>
    <s v="Product 95"/>
    <x v="28"/>
    <s v="Christopher Tucker"/>
    <x v="280"/>
    <n v="7"/>
    <x v="6"/>
    <x v="2"/>
    <x v="2"/>
    <x v="0"/>
    <x v="2"/>
  </r>
  <r>
    <s v="AX12951"/>
    <s v="ENX2091"/>
    <s v="A141"/>
    <s v="EMP1001"/>
    <s v="C1043"/>
    <x v="722"/>
    <n v="2"/>
    <n v="368"/>
    <n v="294"/>
    <n v="588"/>
    <n v="736"/>
    <n v="148"/>
    <s v="Product 92"/>
    <x v="23"/>
    <s v="Kevin Butler"/>
    <x v="546"/>
    <n v="7"/>
    <x v="6"/>
    <x v="2"/>
    <x v="2"/>
    <x v="0"/>
    <x v="2"/>
  </r>
  <r>
    <s v="AX13105"/>
    <s v="ENX2074"/>
    <s v="A100"/>
    <s v="EMP1041"/>
    <s v="C1101"/>
    <x v="725"/>
    <n v="1"/>
    <n v="504"/>
    <n v="408"/>
    <n v="408"/>
    <n v="504"/>
    <n v="96"/>
    <s v="Product 75"/>
    <x v="52"/>
    <s v="Joe Sims"/>
    <x v="347"/>
    <n v="7"/>
    <x v="6"/>
    <x v="2"/>
    <x v="2"/>
    <x v="0"/>
    <x v="2"/>
  </r>
  <r>
    <s v="AX13207"/>
    <s v="ENX2046"/>
    <s v="A150"/>
    <s v="EMP1011"/>
    <s v="C1126"/>
    <x v="723"/>
    <n v="1"/>
    <n v="2410"/>
    <n v="1518"/>
    <n v="1518"/>
    <n v="2410"/>
    <n v="892"/>
    <s v="Product 47"/>
    <x v="30"/>
    <s v="Larry Marshall"/>
    <x v="374"/>
    <n v="7"/>
    <x v="6"/>
    <x v="2"/>
    <x v="2"/>
    <x v="0"/>
    <x v="2"/>
  </r>
  <r>
    <s v="AX13858"/>
    <s v="ENX2032"/>
    <s v="A111"/>
    <s v="EMP1028"/>
    <s v="C1364"/>
    <x v="723"/>
    <n v="1"/>
    <n v="1967"/>
    <n v="1397"/>
    <n v="1397"/>
    <n v="1967"/>
    <n v="570"/>
    <s v="Product 33"/>
    <x v="54"/>
    <s v="Howard Sims"/>
    <x v="477"/>
    <n v="7"/>
    <x v="6"/>
    <x v="2"/>
    <x v="2"/>
    <x v="0"/>
    <x v="2"/>
  </r>
  <r>
    <s v="AX13941"/>
    <s v="ENX2015"/>
    <s v="A117"/>
    <s v="EMP1017"/>
    <s v="C1054"/>
    <x v="722"/>
    <n v="2"/>
    <n v="637"/>
    <n v="389"/>
    <n v="778"/>
    <n v="1274"/>
    <n v="496"/>
    <s v="Product 16"/>
    <x v="29"/>
    <s v="Brian Hansen"/>
    <x v="58"/>
    <n v="7"/>
    <x v="6"/>
    <x v="2"/>
    <x v="2"/>
    <x v="0"/>
    <x v="2"/>
  </r>
  <r>
    <s v="AX13954"/>
    <s v="ENX2006"/>
    <s v="A173"/>
    <s v="EMP1034"/>
    <s v="C1771"/>
    <x v="722"/>
    <n v="1"/>
    <n v="1826"/>
    <n v="1443"/>
    <n v="1443"/>
    <n v="1826"/>
    <n v="383"/>
    <s v="Product 7"/>
    <x v="25"/>
    <s v="Arthur Mccoy"/>
    <x v="34"/>
    <n v="7"/>
    <x v="6"/>
    <x v="2"/>
    <x v="2"/>
    <x v="0"/>
    <x v="2"/>
  </r>
  <r>
    <s v="AX14051"/>
    <s v="ENX2081"/>
    <s v="A157"/>
    <s v="EMP1039"/>
    <s v="C1712"/>
    <x v="726"/>
    <n v="1"/>
    <n v="1566"/>
    <n v="1190"/>
    <n v="1190"/>
    <n v="1566"/>
    <n v="376"/>
    <s v="Product 82"/>
    <x v="7"/>
    <s v="Eugene Holmes"/>
    <x v="21"/>
    <n v="7"/>
    <x v="6"/>
    <x v="2"/>
    <x v="2"/>
    <x v="0"/>
    <x v="2"/>
  </r>
  <r>
    <s v="AX14149"/>
    <s v="ENX2015"/>
    <s v="A170"/>
    <s v="EMP1028"/>
    <s v="C1106"/>
    <x v="726"/>
    <n v="1"/>
    <n v="637"/>
    <n v="389"/>
    <n v="389"/>
    <n v="637"/>
    <n v="248"/>
    <s v="Product 16"/>
    <x v="47"/>
    <s v="Howard Sims"/>
    <x v="377"/>
    <n v="7"/>
    <x v="6"/>
    <x v="2"/>
    <x v="2"/>
    <x v="0"/>
    <x v="2"/>
  </r>
  <r>
    <s v="AX14171"/>
    <s v="ENX2071"/>
    <s v="A169"/>
    <s v="EMP1021"/>
    <s v="C1040"/>
    <x v="726"/>
    <n v="1"/>
    <n v="136"/>
    <n v="72"/>
    <n v="72"/>
    <n v="136"/>
    <n v="64"/>
    <s v="Product 72"/>
    <x v="17"/>
    <s v="Clarence Fox"/>
    <x v="221"/>
    <n v="7"/>
    <x v="6"/>
    <x v="2"/>
    <x v="2"/>
    <x v="0"/>
    <x v="2"/>
  </r>
  <r>
    <s v="AX14241"/>
    <s v="ENX2005"/>
    <s v="A173"/>
    <s v="EMP1019"/>
    <s v="C1604"/>
    <x v="723"/>
    <n v="2"/>
    <n v="684"/>
    <n v="561"/>
    <n v="1122"/>
    <n v="1368"/>
    <n v="246"/>
    <s v="Product 6"/>
    <x v="25"/>
    <s v="Roger Robertson"/>
    <x v="700"/>
    <n v="7"/>
    <x v="6"/>
    <x v="2"/>
    <x v="2"/>
    <x v="0"/>
    <x v="2"/>
  </r>
  <r>
    <s v="AX14301"/>
    <s v="ENX2081"/>
    <s v="A101"/>
    <s v="EMP1003"/>
    <s v="C1266"/>
    <x v="725"/>
    <n v="1"/>
    <n v="1566"/>
    <n v="1190"/>
    <n v="1190"/>
    <n v="1566"/>
    <n v="376"/>
    <s v="Product 82"/>
    <x v="60"/>
    <s v="Christopher Tucker"/>
    <x v="254"/>
    <n v="7"/>
    <x v="6"/>
    <x v="2"/>
    <x v="2"/>
    <x v="0"/>
    <x v="2"/>
  </r>
  <r>
    <s v="AX14353"/>
    <s v="ENX2010"/>
    <s v="A138"/>
    <s v="EMP1019"/>
    <s v="C1708"/>
    <x v="724"/>
    <n v="1"/>
    <n v="1812"/>
    <n v="1305"/>
    <n v="1305"/>
    <n v="1812"/>
    <n v="507"/>
    <s v="Product 11"/>
    <x v="37"/>
    <s v="Roger Robertson"/>
    <x v="579"/>
    <n v="7"/>
    <x v="6"/>
    <x v="2"/>
    <x v="2"/>
    <x v="0"/>
    <x v="2"/>
  </r>
  <r>
    <s v="AX15178"/>
    <s v="ENX2063"/>
    <s v="A159"/>
    <s v="EMP1006"/>
    <s v="C1164"/>
    <x v="724"/>
    <n v="1"/>
    <n v="1708"/>
    <n v="871"/>
    <n v="871"/>
    <n v="1708"/>
    <n v="837"/>
    <s v="Product 64"/>
    <x v="13"/>
    <s v="Sean Miller"/>
    <x v="149"/>
    <n v="7"/>
    <x v="6"/>
    <x v="2"/>
    <x v="2"/>
    <x v="0"/>
    <x v="2"/>
  </r>
  <r>
    <s v="AX15211"/>
    <s v="ENX2065"/>
    <s v="A116"/>
    <s v="EMP1035"/>
    <s v="C1022"/>
    <x v="722"/>
    <n v="1"/>
    <n v="2396"/>
    <n v="1965"/>
    <n v="1965"/>
    <n v="2396"/>
    <n v="431"/>
    <s v="Product 66"/>
    <x v="15"/>
    <s v="Roger Ramos"/>
    <x v="249"/>
    <n v="7"/>
    <x v="6"/>
    <x v="2"/>
    <x v="2"/>
    <x v="0"/>
    <x v="2"/>
  </r>
  <r>
    <s v="AX15627"/>
    <s v="ENX2053"/>
    <s v="A139"/>
    <s v="EMP1034"/>
    <s v="C1795"/>
    <x v="723"/>
    <n v="4"/>
    <n v="596"/>
    <n v="358"/>
    <n v="1432"/>
    <n v="2384"/>
    <n v="952"/>
    <s v="Product 54"/>
    <x v="38"/>
    <s v="Arthur Mccoy"/>
    <x v="592"/>
    <n v="7"/>
    <x v="6"/>
    <x v="2"/>
    <x v="2"/>
    <x v="0"/>
    <x v="2"/>
  </r>
  <r>
    <s v="AX15809"/>
    <s v="ENX2027"/>
    <s v="A123"/>
    <s v="EMP1017"/>
    <s v="C1582"/>
    <x v="724"/>
    <n v="2"/>
    <n v="2497"/>
    <n v="1473"/>
    <n v="2946"/>
    <n v="4994"/>
    <n v="2048"/>
    <s v="Product 28"/>
    <x v="34"/>
    <s v="Brian Hansen"/>
    <x v="259"/>
    <n v="7"/>
    <x v="6"/>
    <x v="2"/>
    <x v="2"/>
    <x v="0"/>
    <x v="2"/>
  </r>
  <r>
    <s v="AX15849"/>
    <s v="ENX2078"/>
    <s v="A147"/>
    <s v="EMP1006"/>
    <s v="C1242"/>
    <x v="722"/>
    <n v="1"/>
    <n v="1798"/>
    <n v="971"/>
    <n v="971"/>
    <n v="1798"/>
    <n v="827"/>
    <s v="Product 79"/>
    <x v="42"/>
    <s v="Sean Miller"/>
    <x v="781"/>
    <n v="7"/>
    <x v="6"/>
    <x v="2"/>
    <x v="2"/>
    <x v="0"/>
    <x v="2"/>
  </r>
  <r>
    <s v="AX16188"/>
    <s v="ENX2002"/>
    <s v="A111"/>
    <s v="EMP1043"/>
    <s v="C1386"/>
    <x v="726"/>
    <n v="1"/>
    <n v="847"/>
    <n v="534"/>
    <n v="534"/>
    <n v="847"/>
    <n v="313"/>
    <s v="Product 3"/>
    <x v="54"/>
    <s v="Joshua Taylor"/>
    <x v="123"/>
    <n v="7"/>
    <x v="6"/>
    <x v="2"/>
    <x v="2"/>
    <x v="0"/>
    <x v="2"/>
  </r>
  <r>
    <s v="AX16629"/>
    <s v="ENX2067"/>
    <s v="A113"/>
    <s v="EMP1035"/>
    <s v="C1505"/>
    <x v="722"/>
    <n v="1"/>
    <n v="1119"/>
    <n v="683"/>
    <n v="683"/>
    <n v="1119"/>
    <n v="436"/>
    <s v="Product 68"/>
    <x v="73"/>
    <s v="Roger Ramos"/>
    <x v="632"/>
    <n v="7"/>
    <x v="6"/>
    <x v="2"/>
    <x v="2"/>
    <x v="0"/>
    <x v="2"/>
  </r>
  <r>
    <s v="AX16959"/>
    <s v="ENX2067"/>
    <s v="A136"/>
    <s v="EMP1009"/>
    <s v="C1465"/>
    <x v="725"/>
    <n v="1"/>
    <n v="1119"/>
    <n v="683"/>
    <n v="683"/>
    <n v="1119"/>
    <n v="436"/>
    <s v="Product 68"/>
    <x v="43"/>
    <s v="Kenneth Fields"/>
    <x v="88"/>
    <n v="7"/>
    <x v="6"/>
    <x v="2"/>
    <x v="2"/>
    <x v="0"/>
    <x v="2"/>
  </r>
  <r>
    <s v="AX17158"/>
    <s v="ENX2061"/>
    <s v="A120"/>
    <s v="EMP1038"/>
    <s v="C1421"/>
    <x v="722"/>
    <n v="2"/>
    <n v="913"/>
    <n v="584"/>
    <n v="1168"/>
    <n v="1826"/>
    <n v="658"/>
    <s v="Product 62"/>
    <x v="20"/>
    <s v="Scott Mason"/>
    <x v="564"/>
    <n v="7"/>
    <x v="6"/>
    <x v="2"/>
    <x v="2"/>
    <x v="0"/>
    <x v="2"/>
  </r>
  <r>
    <s v="AX17297"/>
    <s v="ENX2064"/>
    <s v="A173"/>
    <s v="EMP1016"/>
    <s v="C1434"/>
    <x v="723"/>
    <n v="2"/>
    <n v="1414"/>
    <n v="962"/>
    <n v="1924"/>
    <n v="2828"/>
    <n v="904"/>
    <s v="Product 65"/>
    <x v="25"/>
    <s v="Henry Nelson"/>
    <x v="722"/>
    <n v="7"/>
    <x v="6"/>
    <x v="2"/>
    <x v="2"/>
    <x v="0"/>
    <x v="2"/>
  </r>
  <r>
    <s v="AX17602"/>
    <s v="ENX2094"/>
    <s v="A136"/>
    <s v="EMP1035"/>
    <s v="C1157"/>
    <x v="726"/>
    <n v="4"/>
    <n v="771"/>
    <n v="648"/>
    <n v="2592"/>
    <n v="3084"/>
    <n v="492"/>
    <s v="Product 95"/>
    <x v="43"/>
    <s v="Roger Ramos"/>
    <x v="415"/>
    <n v="7"/>
    <x v="6"/>
    <x v="2"/>
    <x v="2"/>
    <x v="0"/>
    <x v="2"/>
  </r>
  <r>
    <s v="AX17633"/>
    <s v="ENX2005"/>
    <s v="A146"/>
    <s v="EMP1032"/>
    <s v="C1507"/>
    <x v="722"/>
    <n v="1"/>
    <n v="684"/>
    <n v="561"/>
    <n v="561"/>
    <n v="684"/>
    <n v="123"/>
    <s v="Product 6"/>
    <x v="27"/>
    <s v="Larry Castillo"/>
    <x v="227"/>
    <n v="7"/>
    <x v="6"/>
    <x v="2"/>
    <x v="2"/>
    <x v="0"/>
    <x v="2"/>
  </r>
  <r>
    <s v="AX17788"/>
    <s v="ENX2016"/>
    <s v="A151"/>
    <s v="EMP1002"/>
    <s v="C1181"/>
    <x v="724"/>
    <n v="4"/>
    <n v="1351"/>
    <n v="1108"/>
    <n v="4432"/>
    <n v="5404"/>
    <n v="972"/>
    <s v="Product 17"/>
    <x v="1"/>
    <s v="Andrew Bowman"/>
    <x v="449"/>
    <n v="7"/>
    <x v="6"/>
    <x v="2"/>
    <x v="2"/>
    <x v="0"/>
    <x v="2"/>
  </r>
  <r>
    <s v="AX18506"/>
    <s v="ENX2060"/>
    <s v="A124"/>
    <s v="EMP1014"/>
    <s v="C1225"/>
    <x v="722"/>
    <n v="1"/>
    <n v="1467"/>
    <n v="807"/>
    <n v="807"/>
    <n v="1467"/>
    <n v="660"/>
    <s v="Product 61"/>
    <x v="67"/>
    <s v="Ronald Reed"/>
    <x v="588"/>
    <n v="7"/>
    <x v="6"/>
    <x v="2"/>
    <x v="2"/>
    <x v="0"/>
    <x v="2"/>
  </r>
  <r>
    <s v="AX18744"/>
    <s v="ENX2002"/>
    <s v="A126"/>
    <s v="EMP1004"/>
    <s v="C1294"/>
    <x v="724"/>
    <n v="4"/>
    <n v="847"/>
    <n v="534"/>
    <n v="2136"/>
    <n v="3388"/>
    <n v="1252"/>
    <s v="Product 3"/>
    <x v="5"/>
    <s v="Kenneth Bradley"/>
    <x v="419"/>
    <n v="7"/>
    <x v="6"/>
    <x v="2"/>
    <x v="2"/>
    <x v="0"/>
    <x v="2"/>
  </r>
  <r>
    <s v="AX18992"/>
    <s v="ENX2074"/>
    <s v="A118"/>
    <s v="EMP1012"/>
    <s v="C1048"/>
    <x v="725"/>
    <n v="1"/>
    <n v="504"/>
    <n v="408"/>
    <n v="408"/>
    <n v="504"/>
    <n v="96"/>
    <s v="Product 75"/>
    <x v="19"/>
    <s v="John Reyes"/>
    <x v="391"/>
    <n v="7"/>
    <x v="6"/>
    <x v="2"/>
    <x v="2"/>
    <x v="0"/>
    <x v="2"/>
  </r>
  <r>
    <s v="AX19797"/>
    <s v="ENX2094"/>
    <s v="A100"/>
    <s v="EMP1000"/>
    <s v="C1476"/>
    <x v="723"/>
    <n v="4"/>
    <n v="771"/>
    <n v="648"/>
    <n v="2592"/>
    <n v="3084"/>
    <n v="492"/>
    <s v="Product 95"/>
    <x v="52"/>
    <s v="Fred Robertson"/>
    <x v="207"/>
    <n v="7"/>
    <x v="6"/>
    <x v="2"/>
    <x v="2"/>
    <x v="0"/>
    <x v="2"/>
  </r>
  <r>
    <s v="AX20281"/>
    <s v="ENX2093"/>
    <s v="A136"/>
    <s v="EMP1019"/>
    <s v="C1705"/>
    <x v="726"/>
    <n v="2"/>
    <n v="112"/>
    <n v="90"/>
    <n v="180"/>
    <n v="224"/>
    <n v="44"/>
    <s v="Product 94"/>
    <x v="43"/>
    <s v="Roger Robertson"/>
    <x v="507"/>
    <n v="7"/>
    <x v="6"/>
    <x v="2"/>
    <x v="2"/>
    <x v="0"/>
    <x v="2"/>
  </r>
  <r>
    <s v="AX20401"/>
    <s v="ENX2002"/>
    <s v="A126"/>
    <s v="EMP1016"/>
    <s v="C1644"/>
    <x v="724"/>
    <n v="1"/>
    <n v="847"/>
    <n v="534"/>
    <n v="534"/>
    <n v="847"/>
    <n v="313"/>
    <s v="Product 3"/>
    <x v="5"/>
    <s v="Henry Nelson"/>
    <x v="109"/>
    <n v="7"/>
    <x v="6"/>
    <x v="2"/>
    <x v="2"/>
    <x v="0"/>
    <x v="2"/>
  </r>
  <r>
    <s v="AX20489"/>
    <s v="ENX2070"/>
    <s v="A141"/>
    <s v="EMP1039"/>
    <s v="C1297"/>
    <x v="724"/>
    <n v="2"/>
    <n v="1671"/>
    <n v="1220"/>
    <n v="2440"/>
    <n v="3342"/>
    <n v="902"/>
    <s v="Product 71"/>
    <x v="23"/>
    <s v="Eugene Holmes"/>
    <x v="537"/>
    <n v="7"/>
    <x v="6"/>
    <x v="2"/>
    <x v="2"/>
    <x v="0"/>
    <x v="2"/>
  </r>
  <r>
    <s v="AX20639"/>
    <s v="ENX2086"/>
    <s v="A158"/>
    <s v="EMP1032"/>
    <s v="C1021"/>
    <x v="723"/>
    <n v="1"/>
    <n v="123"/>
    <n v="84"/>
    <n v="84"/>
    <n v="123"/>
    <n v="39"/>
    <s v="Product 87"/>
    <x v="58"/>
    <s v="Larry Castillo"/>
    <x v="246"/>
    <n v="7"/>
    <x v="6"/>
    <x v="2"/>
    <x v="2"/>
    <x v="0"/>
    <x v="2"/>
  </r>
  <r>
    <s v="AX20642"/>
    <s v="ENX2011"/>
    <s v="A121"/>
    <s v="EMP1007"/>
    <s v="C1099"/>
    <x v="725"/>
    <n v="1"/>
    <n v="530"/>
    <n v="435"/>
    <n v="435"/>
    <n v="530"/>
    <n v="95"/>
    <s v="Product 12"/>
    <x v="72"/>
    <s v="Jeremy Mendoza"/>
    <x v="394"/>
    <n v="7"/>
    <x v="6"/>
    <x v="2"/>
    <x v="2"/>
    <x v="0"/>
    <x v="2"/>
  </r>
  <r>
    <s v="AX20703"/>
    <s v="ENX2012"/>
    <s v="A104"/>
    <s v="EMP1038"/>
    <s v="C1247"/>
    <x v="724"/>
    <n v="4"/>
    <n v="1353"/>
    <n v="947"/>
    <n v="3788"/>
    <n v="5412"/>
    <n v="1624"/>
    <s v="Product 13"/>
    <x v="50"/>
    <s v="Scott Mason"/>
    <x v="552"/>
    <n v="7"/>
    <x v="6"/>
    <x v="2"/>
    <x v="2"/>
    <x v="0"/>
    <x v="2"/>
  </r>
  <r>
    <s v="AX20842"/>
    <s v="ENX2067"/>
    <s v="A121"/>
    <s v="EMP1009"/>
    <s v="C1592"/>
    <x v="725"/>
    <n v="1"/>
    <n v="1119"/>
    <n v="683"/>
    <n v="683"/>
    <n v="1119"/>
    <n v="436"/>
    <s v="Product 68"/>
    <x v="72"/>
    <s v="Kenneth Fields"/>
    <x v="499"/>
    <n v="7"/>
    <x v="6"/>
    <x v="2"/>
    <x v="2"/>
    <x v="0"/>
    <x v="2"/>
  </r>
  <r>
    <s v="AX20901"/>
    <s v="ENX2096"/>
    <s v="A113"/>
    <s v="EMP1015"/>
    <s v="C1409"/>
    <x v="723"/>
    <n v="1"/>
    <n v="1587"/>
    <n v="1301"/>
    <n v="1301"/>
    <n v="1587"/>
    <n v="286"/>
    <s v="Product 97"/>
    <x v="73"/>
    <s v="Justin Lynch"/>
    <x v="44"/>
    <n v="7"/>
    <x v="6"/>
    <x v="2"/>
    <x v="2"/>
    <x v="0"/>
    <x v="2"/>
  </r>
  <r>
    <s v="AX20972"/>
    <s v="ENX2100"/>
    <s v="A102"/>
    <s v="EMP1012"/>
    <s v="C1074"/>
    <x v="726"/>
    <n v="2"/>
    <n v="799"/>
    <n v="455"/>
    <n v="910"/>
    <n v="1598"/>
    <n v="688"/>
    <s v="Product 101"/>
    <x v="44"/>
    <s v="John Reyes"/>
    <x v="96"/>
    <n v="7"/>
    <x v="6"/>
    <x v="2"/>
    <x v="2"/>
    <x v="0"/>
    <x v="2"/>
  </r>
  <r>
    <s v="AX21039"/>
    <s v="ENX2037"/>
    <s v="A144"/>
    <s v="EMP1017"/>
    <s v="C1607"/>
    <x v="725"/>
    <n v="1"/>
    <n v="880"/>
    <n v="634"/>
    <n v="634"/>
    <n v="880"/>
    <n v="246"/>
    <s v="Product 38"/>
    <x v="65"/>
    <s v="Brian Hansen"/>
    <x v="211"/>
    <n v="7"/>
    <x v="6"/>
    <x v="2"/>
    <x v="2"/>
    <x v="0"/>
    <x v="2"/>
  </r>
  <r>
    <s v="AX21191"/>
    <s v="ENX2013"/>
    <s v="A161"/>
    <s v="EMP1032"/>
    <s v="C1494"/>
    <x v="722"/>
    <n v="3"/>
    <n v="368"/>
    <n v="269"/>
    <n v="807"/>
    <n v="1104"/>
    <n v="297"/>
    <s v="Product 14"/>
    <x v="6"/>
    <s v="Larry Castillo"/>
    <x v="698"/>
    <n v="7"/>
    <x v="6"/>
    <x v="2"/>
    <x v="2"/>
    <x v="0"/>
    <x v="2"/>
  </r>
  <r>
    <s v="AX21387"/>
    <s v="ENX2058"/>
    <s v="A109"/>
    <s v="EMP1031"/>
    <s v="C1615"/>
    <x v="722"/>
    <n v="1"/>
    <n v="2257"/>
    <n v="1535"/>
    <n v="1535"/>
    <n v="2257"/>
    <n v="722"/>
    <s v="Product 59"/>
    <x v="57"/>
    <s v="Brian Thomas"/>
    <x v="457"/>
    <n v="7"/>
    <x v="6"/>
    <x v="2"/>
    <x v="2"/>
    <x v="0"/>
    <x v="2"/>
  </r>
  <r>
    <s v="AX21516"/>
    <s v="ENX2032"/>
    <s v="A170"/>
    <s v="EMP1017"/>
    <s v="C1688"/>
    <x v="722"/>
    <n v="2"/>
    <n v="1967"/>
    <n v="1397"/>
    <n v="2794"/>
    <n v="3934"/>
    <n v="1140"/>
    <s v="Product 33"/>
    <x v="47"/>
    <s v="Brian Hansen"/>
    <x v="213"/>
    <n v="7"/>
    <x v="6"/>
    <x v="2"/>
    <x v="2"/>
    <x v="0"/>
    <x v="2"/>
  </r>
  <r>
    <s v="AX21817"/>
    <s v="ENX2050"/>
    <s v="A100"/>
    <s v="EMP1012"/>
    <s v="C1251"/>
    <x v="723"/>
    <n v="1"/>
    <n v="2391"/>
    <n v="1291"/>
    <n v="1291"/>
    <n v="2391"/>
    <n v="1100"/>
    <s v="Product 51"/>
    <x v="52"/>
    <s v="John Reyes"/>
    <x v="199"/>
    <n v="7"/>
    <x v="6"/>
    <x v="2"/>
    <x v="2"/>
    <x v="0"/>
    <x v="2"/>
  </r>
  <r>
    <s v="AX21871"/>
    <s v="ENX2056"/>
    <s v="A154"/>
    <s v="EMP1001"/>
    <s v="C1092"/>
    <x v="726"/>
    <n v="2"/>
    <n v="1635"/>
    <n v="1046"/>
    <n v="2092"/>
    <n v="3270"/>
    <n v="1178"/>
    <s v="Product 57"/>
    <x v="24"/>
    <s v="Kevin Butler"/>
    <x v="572"/>
    <n v="7"/>
    <x v="6"/>
    <x v="2"/>
    <x v="2"/>
    <x v="0"/>
    <x v="2"/>
  </r>
  <r>
    <s v="AX22457"/>
    <s v="ENX2096"/>
    <s v="A125"/>
    <s v="EMP1013"/>
    <s v="C1687"/>
    <x v="722"/>
    <n v="1"/>
    <n v="1587"/>
    <n v="1301"/>
    <n v="1301"/>
    <n v="1587"/>
    <n v="286"/>
    <s v="Product 97"/>
    <x v="31"/>
    <s v="Charles Harper"/>
    <x v="389"/>
    <n v="7"/>
    <x v="6"/>
    <x v="2"/>
    <x v="2"/>
    <x v="0"/>
    <x v="2"/>
  </r>
  <r>
    <s v="AX22554"/>
    <s v="ENX2042"/>
    <s v="A161"/>
    <s v="EMP1009"/>
    <s v="C1654"/>
    <x v="725"/>
    <n v="1"/>
    <n v="203"/>
    <n v="154"/>
    <n v="154"/>
    <n v="203"/>
    <n v="49"/>
    <s v="Product 43"/>
    <x v="6"/>
    <s v="Kenneth Fields"/>
    <x v="351"/>
    <n v="7"/>
    <x v="6"/>
    <x v="2"/>
    <x v="2"/>
    <x v="0"/>
    <x v="2"/>
  </r>
  <r>
    <s v="AX22887"/>
    <s v="ENX2074"/>
    <s v="A171"/>
    <s v="EMP1033"/>
    <s v="C1468"/>
    <x v="725"/>
    <n v="4"/>
    <n v="504"/>
    <n v="408"/>
    <n v="1632"/>
    <n v="2016"/>
    <n v="384"/>
    <s v="Product 75"/>
    <x v="0"/>
    <s v="Jerry Perry"/>
    <x v="688"/>
    <n v="7"/>
    <x v="6"/>
    <x v="2"/>
    <x v="2"/>
    <x v="0"/>
    <x v="2"/>
  </r>
  <r>
    <s v="AX23010"/>
    <s v="ENX2041"/>
    <s v="A126"/>
    <s v="EMP1035"/>
    <s v="C1339"/>
    <x v="723"/>
    <n v="1"/>
    <n v="1380"/>
    <n v="1090"/>
    <n v="1090"/>
    <n v="1380"/>
    <n v="290"/>
    <s v="Product 42"/>
    <x v="5"/>
    <s v="Roger Ramos"/>
    <x v="401"/>
    <n v="7"/>
    <x v="6"/>
    <x v="2"/>
    <x v="2"/>
    <x v="0"/>
    <x v="2"/>
  </r>
  <r>
    <s v="AX23317"/>
    <s v="ENX2056"/>
    <s v="A168"/>
    <s v="EMP1013"/>
    <s v="C1059"/>
    <x v="723"/>
    <n v="1"/>
    <n v="1635"/>
    <n v="1046"/>
    <n v="1046"/>
    <n v="1635"/>
    <n v="589"/>
    <s v="Product 57"/>
    <x v="40"/>
    <s v="Charles Harper"/>
    <x v="297"/>
    <n v="7"/>
    <x v="6"/>
    <x v="2"/>
    <x v="2"/>
    <x v="0"/>
    <x v="2"/>
  </r>
  <r>
    <s v="AX23484"/>
    <s v="ENX2052"/>
    <s v="A170"/>
    <s v="EMP1012"/>
    <s v="C1360"/>
    <x v="724"/>
    <n v="2"/>
    <n v="1526"/>
    <n v="1251"/>
    <n v="2502"/>
    <n v="3052"/>
    <n v="550"/>
    <s v="Product 53"/>
    <x v="47"/>
    <s v="John Reyes"/>
    <x v="573"/>
    <n v="7"/>
    <x v="6"/>
    <x v="2"/>
    <x v="2"/>
    <x v="0"/>
    <x v="2"/>
  </r>
  <r>
    <s v="AX23661"/>
    <s v="ENX2054"/>
    <s v="A170"/>
    <s v="EMP1008"/>
    <s v="C1092"/>
    <x v="726"/>
    <n v="1"/>
    <n v="127"/>
    <n v="79"/>
    <n v="79"/>
    <n v="127"/>
    <n v="48"/>
    <s v="Product 55"/>
    <x v="47"/>
    <s v="Carl Elliott"/>
    <x v="572"/>
    <n v="7"/>
    <x v="6"/>
    <x v="2"/>
    <x v="2"/>
    <x v="0"/>
    <x v="2"/>
  </r>
  <r>
    <s v="AX23958"/>
    <s v="ENX2052"/>
    <s v="A146"/>
    <s v="EMP1004"/>
    <s v="C1500"/>
    <x v="726"/>
    <n v="1"/>
    <n v="1526"/>
    <n v="1251"/>
    <n v="1251"/>
    <n v="1526"/>
    <n v="275"/>
    <s v="Product 53"/>
    <x v="27"/>
    <s v="Kenneth Bradley"/>
    <x v="639"/>
    <n v="7"/>
    <x v="6"/>
    <x v="2"/>
    <x v="2"/>
    <x v="0"/>
    <x v="2"/>
  </r>
  <r>
    <s v="AX23983"/>
    <s v="ENX2018"/>
    <s v="A113"/>
    <s v="EMP1041"/>
    <s v="C1118"/>
    <x v="722"/>
    <n v="3"/>
    <n v="1972"/>
    <n v="1321"/>
    <n v="3963"/>
    <n v="5916"/>
    <n v="1953"/>
    <s v="Product 19"/>
    <x v="73"/>
    <s v="Joe Sims"/>
    <x v="633"/>
    <n v="7"/>
    <x v="6"/>
    <x v="2"/>
    <x v="2"/>
    <x v="0"/>
    <x v="2"/>
  </r>
  <r>
    <s v="AX24128"/>
    <s v="ENX2001"/>
    <s v="A130"/>
    <s v="EMP1001"/>
    <s v="C1704"/>
    <x v="724"/>
    <n v="1"/>
    <n v="951"/>
    <n v="504"/>
    <n v="504"/>
    <n v="951"/>
    <n v="447"/>
    <s v="Product 2"/>
    <x v="4"/>
    <s v="Kevin Butler"/>
    <x v="28"/>
    <n v="7"/>
    <x v="6"/>
    <x v="2"/>
    <x v="2"/>
    <x v="0"/>
    <x v="2"/>
  </r>
  <r>
    <s v="AX24217"/>
    <s v="ENX2054"/>
    <s v="A113"/>
    <s v="EMP1040"/>
    <s v="C1239"/>
    <x v="726"/>
    <n v="2"/>
    <n v="127"/>
    <n v="79"/>
    <n v="158"/>
    <n v="254"/>
    <n v="96"/>
    <s v="Product 55"/>
    <x v="73"/>
    <s v="Patrick Ruiz"/>
    <x v="479"/>
    <n v="7"/>
    <x v="6"/>
    <x v="2"/>
    <x v="2"/>
    <x v="0"/>
    <x v="2"/>
  </r>
  <r>
    <s v="AX24264"/>
    <s v="ENX2015"/>
    <s v="A169"/>
    <s v="EMP1020"/>
    <s v="C1325"/>
    <x v="722"/>
    <n v="2"/>
    <n v="637"/>
    <n v="389"/>
    <n v="778"/>
    <n v="1274"/>
    <n v="496"/>
    <s v="Product 16"/>
    <x v="17"/>
    <s v="Ryan Butler"/>
    <x v="67"/>
    <n v="7"/>
    <x v="6"/>
    <x v="2"/>
    <x v="2"/>
    <x v="0"/>
    <x v="2"/>
  </r>
  <r>
    <s v="AX24528"/>
    <s v="ENX2035"/>
    <s v="A153"/>
    <s v="EMP1021"/>
    <s v="C1480"/>
    <x v="724"/>
    <n v="3"/>
    <n v="458"/>
    <n v="376"/>
    <n v="1128"/>
    <n v="1374"/>
    <n v="246"/>
    <s v="Product 36"/>
    <x v="8"/>
    <s v="Clarence Fox"/>
    <x v="64"/>
    <n v="7"/>
    <x v="6"/>
    <x v="2"/>
    <x v="2"/>
    <x v="0"/>
    <x v="2"/>
  </r>
  <r>
    <s v="AX24918"/>
    <s v="ENX2016"/>
    <s v="A131"/>
    <s v="EMP1039"/>
    <s v="C1321"/>
    <x v="726"/>
    <n v="1"/>
    <n v="1351"/>
    <n v="1108"/>
    <n v="1108"/>
    <n v="1351"/>
    <n v="243"/>
    <s v="Product 17"/>
    <x v="32"/>
    <s v="Eugene Holmes"/>
    <x v="775"/>
    <n v="7"/>
    <x v="6"/>
    <x v="2"/>
    <x v="2"/>
    <x v="0"/>
    <x v="2"/>
  </r>
  <r>
    <s v="AX10159"/>
    <s v="ENX2003"/>
    <s v="A137"/>
    <s v="EMP1036"/>
    <s v="C1086"/>
    <x v="727"/>
    <n v="1"/>
    <n v="1783"/>
    <n v="1516"/>
    <n v="1516"/>
    <n v="1783"/>
    <n v="267"/>
    <s v="Product 4"/>
    <x v="68"/>
    <s v="Robert Reed"/>
    <x v="769"/>
    <n v="7"/>
    <x v="6"/>
    <x v="3"/>
    <x v="3"/>
    <x v="1"/>
    <x v="0"/>
  </r>
  <r>
    <s v="AX10665"/>
    <s v="ENX2091"/>
    <s v="A137"/>
    <s v="EMP1034"/>
    <s v="C1655"/>
    <x v="727"/>
    <n v="3"/>
    <n v="368"/>
    <n v="294"/>
    <n v="882"/>
    <n v="1104"/>
    <n v="222"/>
    <s v="Product 92"/>
    <x v="68"/>
    <s v="Arthur Mccoy"/>
    <x v="73"/>
    <n v="7"/>
    <x v="6"/>
    <x v="3"/>
    <x v="3"/>
    <x v="1"/>
    <x v="0"/>
  </r>
  <r>
    <s v="AX10757"/>
    <s v="ENX2057"/>
    <s v="A130"/>
    <s v="EMP1000"/>
    <s v="C1042"/>
    <x v="728"/>
    <n v="2"/>
    <n v="181"/>
    <n v="130"/>
    <n v="260"/>
    <n v="362"/>
    <n v="102"/>
    <s v="Product 58"/>
    <x v="4"/>
    <s v="Fred Robertson"/>
    <x v="459"/>
    <n v="7"/>
    <x v="6"/>
    <x v="3"/>
    <x v="3"/>
    <x v="1"/>
    <x v="0"/>
  </r>
  <r>
    <s v="AX10835"/>
    <s v="ENX2011"/>
    <s v="A126"/>
    <s v="EMP1021"/>
    <s v="C1242"/>
    <x v="729"/>
    <n v="1"/>
    <n v="530"/>
    <n v="435"/>
    <n v="435"/>
    <n v="530"/>
    <n v="95"/>
    <s v="Product 12"/>
    <x v="5"/>
    <s v="Clarence Fox"/>
    <x v="781"/>
    <n v="7"/>
    <x v="6"/>
    <x v="3"/>
    <x v="3"/>
    <x v="1"/>
    <x v="0"/>
  </r>
  <r>
    <s v="AX10950"/>
    <s v="ENX2053"/>
    <s v="A146"/>
    <s v="EMP1000"/>
    <s v="C1364"/>
    <x v="728"/>
    <n v="1"/>
    <n v="596"/>
    <n v="358"/>
    <n v="358"/>
    <n v="596"/>
    <n v="238"/>
    <s v="Product 54"/>
    <x v="27"/>
    <s v="Fred Robertson"/>
    <x v="477"/>
    <n v="7"/>
    <x v="6"/>
    <x v="3"/>
    <x v="3"/>
    <x v="1"/>
    <x v="0"/>
  </r>
  <r>
    <s v="AX11011"/>
    <s v="ENX2088"/>
    <s v="A107"/>
    <s v="EMP1006"/>
    <s v="C1258"/>
    <x v="730"/>
    <n v="1"/>
    <n v="603"/>
    <n v="416"/>
    <n v="416"/>
    <n v="603"/>
    <n v="187"/>
    <s v="Product 89"/>
    <x v="21"/>
    <s v="Sean Miller"/>
    <x v="644"/>
    <n v="7"/>
    <x v="6"/>
    <x v="3"/>
    <x v="3"/>
    <x v="1"/>
    <x v="0"/>
  </r>
  <r>
    <s v="AX11524"/>
    <s v="ENX2097"/>
    <s v="A109"/>
    <s v="EMP1000"/>
    <s v="C1782"/>
    <x v="729"/>
    <n v="1"/>
    <n v="1052"/>
    <n v="589"/>
    <n v="589"/>
    <n v="1052"/>
    <n v="463"/>
    <s v="Product 98"/>
    <x v="57"/>
    <s v="Fred Robertson"/>
    <x v="607"/>
    <n v="7"/>
    <x v="6"/>
    <x v="3"/>
    <x v="3"/>
    <x v="1"/>
    <x v="0"/>
  </r>
  <r>
    <s v="AX11623"/>
    <s v="ENX2013"/>
    <s v="A111"/>
    <s v="EMP1024"/>
    <s v="C1144"/>
    <x v="729"/>
    <n v="1"/>
    <n v="368"/>
    <n v="269"/>
    <n v="269"/>
    <n v="368"/>
    <n v="99"/>
    <s v="Product 14"/>
    <x v="54"/>
    <s v="Ernest Wheeler"/>
    <x v="478"/>
    <n v="7"/>
    <x v="6"/>
    <x v="3"/>
    <x v="3"/>
    <x v="1"/>
    <x v="0"/>
  </r>
  <r>
    <s v="AX12037"/>
    <s v="ENX2018"/>
    <s v="A165"/>
    <s v="EMP1023"/>
    <s v="C1490"/>
    <x v="729"/>
    <n v="1"/>
    <n v="1972"/>
    <n v="1321"/>
    <n v="1321"/>
    <n v="1972"/>
    <n v="651"/>
    <s v="Product 19"/>
    <x v="55"/>
    <s v="Brian Davis"/>
    <x v="61"/>
    <n v="7"/>
    <x v="6"/>
    <x v="3"/>
    <x v="3"/>
    <x v="1"/>
    <x v="0"/>
  </r>
  <r>
    <s v="AX12040"/>
    <s v="ENX2063"/>
    <s v="A102"/>
    <s v="EMP1037"/>
    <s v="C1557"/>
    <x v="729"/>
    <n v="4"/>
    <n v="1708"/>
    <n v="871"/>
    <n v="3484"/>
    <n v="6832"/>
    <n v="3348"/>
    <s v="Product 64"/>
    <x v="44"/>
    <s v="Carl Hall"/>
    <x v="729"/>
    <n v="7"/>
    <x v="6"/>
    <x v="3"/>
    <x v="3"/>
    <x v="1"/>
    <x v="0"/>
  </r>
  <r>
    <s v="AX12995"/>
    <s v="ENX2054"/>
    <s v="A126"/>
    <s v="EMP1031"/>
    <s v="C1180"/>
    <x v="730"/>
    <n v="1"/>
    <n v="127"/>
    <n v="79"/>
    <n v="79"/>
    <n v="127"/>
    <n v="48"/>
    <s v="Product 55"/>
    <x v="5"/>
    <s v="Brian Thomas"/>
    <x v="212"/>
    <n v="7"/>
    <x v="6"/>
    <x v="3"/>
    <x v="3"/>
    <x v="1"/>
    <x v="0"/>
  </r>
  <r>
    <s v="AX13010"/>
    <s v="ENX2038"/>
    <s v="A105"/>
    <s v="EMP1020"/>
    <s v="C1047"/>
    <x v="729"/>
    <n v="1"/>
    <n v="392"/>
    <n v="255"/>
    <n v="255"/>
    <n v="392"/>
    <n v="137"/>
    <s v="Product 39"/>
    <x v="45"/>
    <s v="Ryan Butler"/>
    <x v="486"/>
    <n v="7"/>
    <x v="6"/>
    <x v="3"/>
    <x v="3"/>
    <x v="1"/>
    <x v="0"/>
  </r>
  <r>
    <s v="AX13094"/>
    <s v="ENX2098"/>
    <s v="A155"/>
    <s v="EMP1041"/>
    <s v="C1210"/>
    <x v="730"/>
    <n v="1"/>
    <n v="1178"/>
    <n v="683"/>
    <n v="683"/>
    <n v="1178"/>
    <n v="495"/>
    <s v="Product 99"/>
    <x v="53"/>
    <s v="Joe Sims"/>
    <x v="629"/>
    <n v="7"/>
    <x v="6"/>
    <x v="3"/>
    <x v="3"/>
    <x v="1"/>
    <x v="0"/>
  </r>
  <r>
    <s v="AX13169"/>
    <s v="ENX2019"/>
    <s v="A167"/>
    <s v="EMP1000"/>
    <s v="C1572"/>
    <x v="728"/>
    <n v="4"/>
    <n v="800"/>
    <n v="536"/>
    <n v="2144"/>
    <n v="3200"/>
    <n v="1056"/>
    <s v="Product 20"/>
    <x v="64"/>
    <s v="Fred Robertson"/>
    <x v="717"/>
    <n v="7"/>
    <x v="6"/>
    <x v="3"/>
    <x v="3"/>
    <x v="1"/>
    <x v="0"/>
  </r>
  <r>
    <s v="AX13558"/>
    <s v="ENX2090"/>
    <s v="A153"/>
    <s v="EMP1028"/>
    <s v="C1568"/>
    <x v="728"/>
    <n v="2"/>
    <n v="1338"/>
    <n v="682"/>
    <n v="1364"/>
    <n v="2676"/>
    <n v="1312"/>
    <s v="Product 91"/>
    <x v="8"/>
    <s v="Howard Sims"/>
    <x v="551"/>
    <n v="7"/>
    <x v="6"/>
    <x v="3"/>
    <x v="3"/>
    <x v="1"/>
    <x v="0"/>
  </r>
  <r>
    <s v="AX13872"/>
    <s v="ENX2064"/>
    <s v="A150"/>
    <s v="EMP1026"/>
    <s v="C1670"/>
    <x v="728"/>
    <n v="1"/>
    <n v="1414"/>
    <n v="962"/>
    <n v="962"/>
    <n v="1414"/>
    <n v="452"/>
    <s v="Product 65"/>
    <x v="30"/>
    <s v="Martin Perry"/>
    <x v="663"/>
    <n v="7"/>
    <x v="6"/>
    <x v="3"/>
    <x v="3"/>
    <x v="1"/>
    <x v="0"/>
  </r>
  <r>
    <s v="AX14201"/>
    <s v="ENX2045"/>
    <s v="A134"/>
    <s v="EMP1025"/>
    <s v="C1715"/>
    <x v="728"/>
    <n v="3"/>
    <n v="556"/>
    <n v="395"/>
    <n v="1185"/>
    <n v="1668"/>
    <n v="483"/>
    <s v="Product 46"/>
    <x v="41"/>
    <s v="Ernest Wagner"/>
    <x v="342"/>
    <n v="7"/>
    <x v="6"/>
    <x v="3"/>
    <x v="3"/>
    <x v="1"/>
    <x v="0"/>
  </r>
  <r>
    <s v="AX14441"/>
    <s v="ENX2004"/>
    <s v="A110"/>
    <s v="EMP1044"/>
    <s v="C1783"/>
    <x v="728"/>
    <n v="3"/>
    <n v="1278"/>
    <n v="665"/>
    <n v="1995"/>
    <n v="3834"/>
    <n v="1839"/>
    <s v="Product 5"/>
    <x v="63"/>
    <s v="Martin Carr"/>
    <x v="272"/>
    <n v="7"/>
    <x v="6"/>
    <x v="3"/>
    <x v="3"/>
    <x v="1"/>
    <x v="0"/>
  </r>
  <r>
    <s v="AX14642"/>
    <s v="ENX2068"/>
    <s v="A107"/>
    <s v="EMP1033"/>
    <s v="C1477"/>
    <x v="728"/>
    <n v="4"/>
    <n v="1500"/>
    <n v="900"/>
    <n v="3600"/>
    <n v="6000"/>
    <n v="2400"/>
    <s v="Product 69"/>
    <x v="21"/>
    <s v="Jerry Perry"/>
    <x v="408"/>
    <n v="7"/>
    <x v="6"/>
    <x v="3"/>
    <x v="3"/>
    <x v="1"/>
    <x v="0"/>
  </r>
  <r>
    <s v="AX15160"/>
    <s v="ENX2071"/>
    <s v="A117"/>
    <s v="EMP1024"/>
    <s v="C1394"/>
    <x v="728"/>
    <n v="1"/>
    <n v="136"/>
    <n v="72"/>
    <n v="72"/>
    <n v="136"/>
    <n v="64"/>
    <s v="Product 72"/>
    <x v="29"/>
    <s v="Ernest Wheeler"/>
    <x v="116"/>
    <n v="7"/>
    <x v="6"/>
    <x v="3"/>
    <x v="3"/>
    <x v="1"/>
    <x v="0"/>
  </r>
  <r>
    <s v="AX15698"/>
    <s v="ENX2050"/>
    <s v="A139"/>
    <s v="EMP1039"/>
    <s v="C1196"/>
    <x v="728"/>
    <n v="1"/>
    <n v="2391"/>
    <n v="1291"/>
    <n v="1291"/>
    <n v="2391"/>
    <n v="1100"/>
    <s v="Product 51"/>
    <x v="38"/>
    <s v="Eugene Holmes"/>
    <x v="65"/>
    <n v="7"/>
    <x v="6"/>
    <x v="3"/>
    <x v="3"/>
    <x v="1"/>
    <x v="0"/>
  </r>
  <r>
    <s v="AX16602"/>
    <s v="ENX2049"/>
    <s v="A124"/>
    <s v="EMP1014"/>
    <s v="C1227"/>
    <x v="727"/>
    <n v="1"/>
    <n v="826"/>
    <n v="562"/>
    <n v="562"/>
    <n v="826"/>
    <n v="264"/>
    <s v="Product 50"/>
    <x v="67"/>
    <s v="Ronald Reed"/>
    <x v="765"/>
    <n v="7"/>
    <x v="6"/>
    <x v="3"/>
    <x v="3"/>
    <x v="1"/>
    <x v="0"/>
  </r>
  <r>
    <s v="AX17157"/>
    <s v="ENX2055"/>
    <s v="A156"/>
    <s v="EMP1023"/>
    <s v="C1604"/>
    <x v="728"/>
    <n v="2"/>
    <n v="2495"/>
    <n v="1896"/>
    <n v="3792"/>
    <n v="4990"/>
    <n v="1198"/>
    <s v="Product 56"/>
    <x v="14"/>
    <s v="Brian Davis"/>
    <x v="700"/>
    <n v="7"/>
    <x v="6"/>
    <x v="3"/>
    <x v="3"/>
    <x v="1"/>
    <x v="0"/>
  </r>
  <r>
    <s v="AX17279"/>
    <s v="ENX2026"/>
    <s v="A159"/>
    <s v="EMP1023"/>
    <s v="C1428"/>
    <x v="730"/>
    <n v="2"/>
    <n v="947"/>
    <n v="786"/>
    <n v="1572"/>
    <n v="1894"/>
    <n v="322"/>
    <s v="Product 27"/>
    <x v="13"/>
    <s v="Brian Davis"/>
    <x v="509"/>
    <n v="7"/>
    <x v="6"/>
    <x v="3"/>
    <x v="3"/>
    <x v="1"/>
    <x v="0"/>
  </r>
  <r>
    <s v="AX17749"/>
    <s v="ENX2025"/>
    <s v="A139"/>
    <s v="EMP1007"/>
    <s v="C1599"/>
    <x v="727"/>
    <n v="3"/>
    <n v="667"/>
    <n v="387"/>
    <n v="1161"/>
    <n v="2001"/>
    <n v="840"/>
    <s v="Product 26"/>
    <x v="38"/>
    <s v="Jeremy Mendoza"/>
    <x v="556"/>
    <n v="7"/>
    <x v="6"/>
    <x v="3"/>
    <x v="3"/>
    <x v="1"/>
    <x v="0"/>
  </r>
  <r>
    <s v="AX17879"/>
    <s v="ENX2004"/>
    <s v="A146"/>
    <s v="EMP1026"/>
    <s v="C1313"/>
    <x v="727"/>
    <n v="1"/>
    <n v="1278"/>
    <n v="665"/>
    <n v="665"/>
    <n v="1278"/>
    <n v="613"/>
    <s v="Product 5"/>
    <x v="27"/>
    <s v="Martin Perry"/>
    <x v="728"/>
    <n v="7"/>
    <x v="6"/>
    <x v="3"/>
    <x v="3"/>
    <x v="1"/>
    <x v="0"/>
  </r>
  <r>
    <s v="AX17899"/>
    <s v="ENX2030"/>
    <s v="A144"/>
    <s v="EMP1014"/>
    <s v="C1202"/>
    <x v="729"/>
    <n v="3"/>
    <n v="1899"/>
    <n v="1044"/>
    <n v="3132"/>
    <n v="5697"/>
    <n v="2565"/>
    <s v="Product 31"/>
    <x v="65"/>
    <s v="Ronald Reed"/>
    <x v="3"/>
    <n v="7"/>
    <x v="6"/>
    <x v="3"/>
    <x v="3"/>
    <x v="1"/>
    <x v="0"/>
  </r>
  <r>
    <s v="AX18114"/>
    <s v="ENX2068"/>
    <s v="A116"/>
    <s v="EMP1042"/>
    <s v="C1095"/>
    <x v="729"/>
    <n v="1"/>
    <n v="1500"/>
    <n v="900"/>
    <n v="900"/>
    <n v="1500"/>
    <n v="600"/>
    <s v="Product 69"/>
    <x v="15"/>
    <s v="Scott Clark"/>
    <x v="240"/>
    <n v="7"/>
    <x v="6"/>
    <x v="3"/>
    <x v="3"/>
    <x v="1"/>
    <x v="0"/>
  </r>
  <r>
    <s v="AX18337"/>
    <s v="ENX2079"/>
    <s v="A160"/>
    <s v="EMP1032"/>
    <s v="C1543"/>
    <x v="727"/>
    <n v="2"/>
    <n v="1725"/>
    <n v="1363"/>
    <n v="2726"/>
    <n v="3450"/>
    <n v="724"/>
    <s v="Product 80"/>
    <x v="9"/>
    <s v="Larry Castillo"/>
    <x v="337"/>
    <n v="7"/>
    <x v="6"/>
    <x v="3"/>
    <x v="3"/>
    <x v="1"/>
    <x v="0"/>
  </r>
  <r>
    <s v="AX18709"/>
    <s v="ENX2081"/>
    <s v="A100"/>
    <s v="EMP1009"/>
    <s v="C1167"/>
    <x v="727"/>
    <n v="1"/>
    <n v="1566"/>
    <n v="1190"/>
    <n v="1190"/>
    <n v="1566"/>
    <n v="376"/>
    <s v="Product 82"/>
    <x v="52"/>
    <s v="Kenneth Fields"/>
    <x v="481"/>
    <n v="7"/>
    <x v="6"/>
    <x v="3"/>
    <x v="3"/>
    <x v="1"/>
    <x v="0"/>
  </r>
  <r>
    <s v="AX19587"/>
    <s v="ENX2002"/>
    <s v="A163"/>
    <s v="EMP1008"/>
    <s v="C1670"/>
    <x v="730"/>
    <n v="3"/>
    <n v="847"/>
    <n v="534"/>
    <n v="1602"/>
    <n v="2541"/>
    <n v="939"/>
    <s v="Product 3"/>
    <x v="51"/>
    <s v="Carl Elliott"/>
    <x v="663"/>
    <n v="7"/>
    <x v="6"/>
    <x v="3"/>
    <x v="3"/>
    <x v="1"/>
    <x v="0"/>
  </r>
  <r>
    <s v="AX19678"/>
    <s v="ENX2078"/>
    <s v="A163"/>
    <s v="EMP1039"/>
    <s v="C1055"/>
    <x v="727"/>
    <n v="1"/>
    <n v="1798"/>
    <n v="971"/>
    <n v="971"/>
    <n v="1798"/>
    <n v="827"/>
    <s v="Product 79"/>
    <x v="51"/>
    <s v="Eugene Holmes"/>
    <x v="593"/>
    <n v="7"/>
    <x v="6"/>
    <x v="3"/>
    <x v="3"/>
    <x v="1"/>
    <x v="0"/>
  </r>
  <r>
    <s v="AX19964"/>
    <s v="ENX2038"/>
    <s v="A135"/>
    <s v="EMP1024"/>
    <s v="C1707"/>
    <x v="730"/>
    <n v="3"/>
    <n v="392"/>
    <n v="255"/>
    <n v="765"/>
    <n v="1176"/>
    <n v="411"/>
    <s v="Product 39"/>
    <x v="10"/>
    <s v="Ernest Wheeler"/>
    <x v="192"/>
    <n v="7"/>
    <x v="6"/>
    <x v="3"/>
    <x v="3"/>
    <x v="1"/>
    <x v="0"/>
  </r>
  <r>
    <s v="AX20038"/>
    <s v="ENX2002"/>
    <s v="A125"/>
    <s v="EMP1028"/>
    <s v="C1714"/>
    <x v="728"/>
    <n v="1"/>
    <n v="847"/>
    <n v="534"/>
    <n v="534"/>
    <n v="847"/>
    <n v="313"/>
    <s v="Product 3"/>
    <x v="31"/>
    <s v="Howard Sims"/>
    <x v="317"/>
    <n v="7"/>
    <x v="6"/>
    <x v="3"/>
    <x v="3"/>
    <x v="1"/>
    <x v="0"/>
  </r>
  <r>
    <s v="AX20645"/>
    <s v="ENX2012"/>
    <s v="A139"/>
    <s v="EMP1024"/>
    <s v="C1101"/>
    <x v="730"/>
    <n v="3"/>
    <n v="1353"/>
    <n v="947"/>
    <n v="2841"/>
    <n v="4059"/>
    <n v="1218"/>
    <s v="Product 13"/>
    <x v="38"/>
    <s v="Ernest Wheeler"/>
    <x v="347"/>
    <n v="7"/>
    <x v="6"/>
    <x v="3"/>
    <x v="3"/>
    <x v="1"/>
    <x v="0"/>
  </r>
  <r>
    <s v="AX20694"/>
    <s v="ENX2011"/>
    <s v="A104"/>
    <s v="EMP1022"/>
    <s v="C1525"/>
    <x v="728"/>
    <n v="1"/>
    <n v="530"/>
    <n v="435"/>
    <n v="435"/>
    <n v="530"/>
    <n v="95"/>
    <s v="Product 12"/>
    <x v="50"/>
    <s v="Walter Cook"/>
    <x v="360"/>
    <n v="7"/>
    <x v="6"/>
    <x v="3"/>
    <x v="3"/>
    <x v="1"/>
    <x v="0"/>
  </r>
  <r>
    <s v="AX20730"/>
    <s v="ENX2079"/>
    <s v="A117"/>
    <s v="EMP1004"/>
    <s v="C1440"/>
    <x v="727"/>
    <n v="1"/>
    <n v="1725"/>
    <n v="1363"/>
    <n v="1363"/>
    <n v="1725"/>
    <n v="362"/>
    <s v="Product 80"/>
    <x v="29"/>
    <s v="Kenneth Bradley"/>
    <x v="52"/>
    <n v="7"/>
    <x v="6"/>
    <x v="3"/>
    <x v="3"/>
    <x v="1"/>
    <x v="0"/>
  </r>
  <r>
    <s v="AX21019"/>
    <s v="ENX2066"/>
    <s v="A110"/>
    <s v="EMP1019"/>
    <s v="C1784"/>
    <x v="730"/>
    <n v="1"/>
    <n v="2091"/>
    <n v="1485"/>
    <n v="1485"/>
    <n v="2091"/>
    <n v="606"/>
    <s v="Product 67"/>
    <x v="63"/>
    <s v="Roger Robertson"/>
    <x v="397"/>
    <n v="7"/>
    <x v="6"/>
    <x v="3"/>
    <x v="3"/>
    <x v="1"/>
    <x v="0"/>
  </r>
  <r>
    <s v="AX21378"/>
    <s v="ENX2047"/>
    <s v="A165"/>
    <s v="EMP1000"/>
    <s v="C1047"/>
    <x v="729"/>
    <n v="1"/>
    <n v="290"/>
    <n v="200"/>
    <n v="200"/>
    <n v="290"/>
    <n v="90"/>
    <s v="Product 48"/>
    <x v="55"/>
    <s v="Fred Robertson"/>
    <x v="486"/>
    <n v="7"/>
    <x v="6"/>
    <x v="3"/>
    <x v="3"/>
    <x v="1"/>
    <x v="0"/>
  </r>
  <r>
    <s v="AX21748"/>
    <s v="ENX2018"/>
    <s v="A101"/>
    <s v="EMP1013"/>
    <s v="C1671"/>
    <x v="730"/>
    <n v="4"/>
    <n v="1972"/>
    <n v="1321"/>
    <n v="5284"/>
    <n v="7888"/>
    <n v="2604"/>
    <s v="Product 19"/>
    <x v="60"/>
    <s v="Charles Harper"/>
    <x v="248"/>
    <n v="7"/>
    <x v="6"/>
    <x v="3"/>
    <x v="3"/>
    <x v="1"/>
    <x v="0"/>
  </r>
  <r>
    <s v="AX21833"/>
    <s v="ENX2056"/>
    <s v="A118"/>
    <s v="EMP1008"/>
    <s v="C1482"/>
    <x v="728"/>
    <n v="1"/>
    <n v="1635"/>
    <n v="1046"/>
    <n v="1046"/>
    <n v="1635"/>
    <n v="589"/>
    <s v="Product 57"/>
    <x v="19"/>
    <s v="Carl Elliott"/>
    <x v="155"/>
    <n v="7"/>
    <x v="6"/>
    <x v="3"/>
    <x v="3"/>
    <x v="1"/>
    <x v="0"/>
  </r>
  <r>
    <s v="AX21932"/>
    <s v="ENX2098"/>
    <s v="A122"/>
    <s v="EMP1019"/>
    <s v="C1519"/>
    <x v="727"/>
    <n v="1"/>
    <n v="1178"/>
    <n v="683"/>
    <n v="683"/>
    <n v="1178"/>
    <n v="495"/>
    <s v="Product 99"/>
    <x v="71"/>
    <s v="Roger Robertson"/>
    <x v="426"/>
    <n v="7"/>
    <x v="6"/>
    <x v="3"/>
    <x v="3"/>
    <x v="1"/>
    <x v="0"/>
  </r>
  <r>
    <s v="AX22151"/>
    <s v="ENX2067"/>
    <s v="A146"/>
    <s v="EMP1007"/>
    <s v="C1060"/>
    <x v="727"/>
    <n v="1"/>
    <n v="1119"/>
    <n v="683"/>
    <n v="683"/>
    <n v="1119"/>
    <n v="436"/>
    <s v="Product 68"/>
    <x v="27"/>
    <s v="Jeremy Mendoza"/>
    <x v="603"/>
    <n v="7"/>
    <x v="6"/>
    <x v="3"/>
    <x v="3"/>
    <x v="1"/>
    <x v="0"/>
  </r>
  <r>
    <s v="AX22673"/>
    <s v="ENX2091"/>
    <s v="A125"/>
    <s v="EMP1004"/>
    <s v="C1481"/>
    <x v="730"/>
    <n v="3"/>
    <n v="368"/>
    <n v="294"/>
    <n v="882"/>
    <n v="1104"/>
    <n v="222"/>
    <s v="Product 92"/>
    <x v="31"/>
    <s v="Kenneth Bradley"/>
    <x v="764"/>
    <n v="7"/>
    <x v="6"/>
    <x v="3"/>
    <x v="3"/>
    <x v="1"/>
    <x v="0"/>
  </r>
  <r>
    <s v="AX23048"/>
    <s v="ENX2087"/>
    <s v="A162"/>
    <s v="EMP1021"/>
    <s v="C1379"/>
    <x v="730"/>
    <n v="1"/>
    <n v="1022"/>
    <n v="818"/>
    <n v="818"/>
    <n v="1022"/>
    <n v="204"/>
    <s v="Product 88"/>
    <x v="2"/>
    <s v="Clarence Fox"/>
    <x v="549"/>
    <n v="7"/>
    <x v="6"/>
    <x v="3"/>
    <x v="3"/>
    <x v="1"/>
    <x v="0"/>
  </r>
  <r>
    <s v="AX23592"/>
    <s v="ENX2041"/>
    <s v="A151"/>
    <s v="EMP1000"/>
    <s v="C1438"/>
    <x v="727"/>
    <n v="2"/>
    <n v="1380"/>
    <n v="1090"/>
    <n v="2180"/>
    <n v="2760"/>
    <n v="580"/>
    <s v="Product 42"/>
    <x v="1"/>
    <s v="Fred Robertson"/>
    <x v="670"/>
    <n v="7"/>
    <x v="6"/>
    <x v="3"/>
    <x v="3"/>
    <x v="1"/>
    <x v="0"/>
  </r>
  <r>
    <s v="AX23607"/>
    <s v="ENX2017"/>
    <s v="A105"/>
    <s v="EMP1030"/>
    <s v="C1178"/>
    <x v="729"/>
    <n v="2"/>
    <n v="35"/>
    <n v="22"/>
    <n v="44"/>
    <n v="70"/>
    <n v="26"/>
    <s v="Product 18"/>
    <x v="45"/>
    <s v="Bobby Russell"/>
    <x v="465"/>
    <n v="7"/>
    <x v="6"/>
    <x v="3"/>
    <x v="3"/>
    <x v="1"/>
    <x v="0"/>
  </r>
  <r>
    <s v="AX23684"/>
    <s v="ENX2051"/>
    <s v="A123"/>
    <s v="EMP1013"/>
    <s v="C1046"/>
    <x v="728"/>
    <n v="4"/>
    <n v="1077"/>
    <n v="732"/>
    <n v="2928"/>
    <n v="4308"/>
    <n v="1380"/>
    <s v="Product 52"/>
    <x v="34"/>
    <s v="Charles Harper"/>
    <x v="719"/>
    <n v="7"/>
    <x v="6"/>
    <x v="3"/>
    <x v="3"/>
    <x v="1"/>
    <x v="0"/>
  </r>
  <r>
    <s v="AX23813"/>
    <s v="ENX2088"/>
    <s v="A148"/>
    <s v="EMP1042"/>
    <s v="C1228"/>
    <x v="729"/>
    <n v="3"/>
    <n v="603"/>
    <n v="416"/>
    <n v="1248"/>
    <n v="1809"/>
    <n v="561"/>
    <s v="Product 89"/>
    <x v="62"/>
    <s v="Scott Clark"/>
    <x v="530"/>
    <n v="7"/>
    <x v="6"/>
    <x v="3"/>
    <x v="3"/>
    <x v="1"/>
    <x v="0"/>
  </r>
  <r>
    <s v="AX24177"/>
    <s v="ENX2061"/>
    <s v="A131"/>
    <s v="EMP1023"/>
    <s v="C1149"/>
    <x v="727"/>
    <n v="1"/>
    <n v="913"/>
    <n v="584"/>
    <n v="584"/>
    <n v="913"/>
    <n v="329"/>
    <s v="Product 62"/>
    <x v="32"/>
    <s v="Brian Davis"/>
    <x v="514"/>
    <n v="7"/>
    <x v="6"/>
    <x v="3"/>
    <x v="3"/>
    <x v="1"/>
    <x v="0"/>
  </r>
  <r>
    <s v="AX24389"/>
    <s v="ENX2030"/>
    <s v="A169"/>
    <s v="EMP1000"/>
    <s v="C1660"/>
    <x v="730"/>
    <n v="1"/>
    <n v="1899"/>
    <n v="1044"/>
    <n v="1044"/>
    <n v="1899"/>
    <n v="855"/>
    <s v="Product 31"/>
    <x v="17"/>
    <s v="Fred Robertson"/>
    <x v="146"/>
    <n v="7"/>
    <x v="6"/>
    <x v="3"/>
    <x v="3"/>
    <x v="1"/>
    <x v="0"/>
  </r>
  <r>
    <s v="AX10125"/>
    <s v="ENX2000"/>
    <s v="A137"/>
    <s v="EMP1016"/>
    <s v="C1541"/>
    <x v="731"/>
    <n v="2"/>
    <n v="2241"/>
    <n v="1367"/>
    <n v="2734"/>
    <n v="4482"/>
    <n v="1748"/>
    <s v="Product 1"/>
    <x v="68"/>
    <s v="Henry Nelson"/>
    <x v="628"/>
    <n v="7"/>
    <x v="6"/>
    <x v="3"/>
    <x v="3"/>
    <x v="1"/>
    <x v="2"/>
  </r>
  <r>
    <s v="AX10396"/>
    <s v="ENX2044"/>
    <s v="A116"/>
    <s v="EMP1018"/>
    <s v="C1217"/>
    <x v="732"/>
    <n v="1"/>
    <n v="886"/>
    <n v="478"/>
    <n v="478"/>
    <n v="886"/>
    <n v="408"/>
    <s v="Product 45"/>
    <x v="15"/>
    <s v="Jimmy Young"/>
    <x v="619"/>
    <n v="7"/>
    <x v="6"/>
    <x v="3"/>
    <x v="3"/>
    <x v="1"/>
    <x v="2"/>
  </r>
  <r>
    <s v="AX10822"/>
    <s v="ENX2017"/>
    <s v="A140"/>
    <s v="EMP1024"/>
    <s v="C1270"/>
    <x v="732"/>
    <n v="1"/>
    <n v="35"/>
    <n v="22"/>
    <n v="22"/>
    <n v="35"/>
    <n v="13"/>
    <s v="Product 18"/>
    <x v="18"/>
    <s v="Ernest Wheeler"/>
    <x v="517"/>
    <n v="7"/>
    <x v="6"/>
    <x v="3"/>
    <x v="3"/>
    <x v="1"/>
    <x v="2"/>
  </r>
  <r>
    <s v="AX10958"/>
    <s v="ENX2044"/>
    <s v="A120"/>
    <s v="EMP1022"/>
    <s v="C1104"/>
    <x v="733"/>
    <n v="1"/>
    <n v="886"/>
    <n v="478"/>
    <n v="478"/>
    <n v="886"/>
    <n v="408"/>
    <s v="Product 45"/>
    <x v="20"/>
    <s v="Walter Cook"/>
    <x v="367"/>
    <n v="7"/>
    <x v="6"/>
    <x v="3"/>
    <x v="3"/>
    <x v="1"/>
    <x v="2"/>
  </r>
  <r>
    <s v="AX11235"/>
    <s v="ENX2025"/>
    <s v="A140"/>
    <s v="EMP1005"/>
    <s v="C1452"/>
    <x v="731"/>
    <n v="2"/>
    <n v="667"/>
    <n v="387"/>
    <n v="774"/>
    <n v="1334"/>
    <n v="560"/>
    <s v="Product 26"/>
    <x v="18"/>
    <s v="Ryan Welch"/>
    <x v="234"/>
    <n v="7"/>
    <x v="6"/>
    <x v="3"/>
    <x v="3"/>
    <x v="1"/>
    <x v="2"/>
  </r>
  <r>
    <s v="AX11812"/>
    <s v="ENX2023"/>
    <s v="A138"/>
    <s v="EMP1034"/>
    <s v="C1156"/>
    <x v="732"/>
    <n v="2"/>
    <n v="818"/>
    <n v="450"/>
    <n v="900"/>
    <n v="1636"/>
    <n v="736"/>
    <s v="Product 24"/>
    <x v="37"/>
    <s v="Arthur Mccoy"/>
    <x v="740"/>
    <n v="7"/>
    <x v="6"/>
    <x v="3"/>
    <x v="3"/>
    <x v="1"/>
    <x v="2"/>
  </r>
  <r>
    <s v="AX12031"/>
    <s v="ENX2006"/>
    <s v="A166"/>
    <s v="EMP1027"/>
    <s v="C1201"/>
    <x v="732"/>
    <n v="3"/>
    <n v="1826"/>
    <n v="1443"/>
    <n v="4329"/>
    <n v="5478"/>
    <n v="1149"/>
    <s v="Product 7"/>
    <x v="70"/>
    <s v="Gary Rodriguez"/>
    <x v="760"/>
    <n v="7"/>
    <x v="6"/>
    <x v="3"/>
    <x v="3"/>
    <x v="1"/>
    <x v="2"/>
  </r>
  <r>
    <s v="AX12806"/>
    <s v="ENX2092"/>
    <s v="A157"/>
    <s v="EMP1035"/>
    <s v="C1607"/>
    <x v="734"/>
    <n v="3"/>
    <n v="1639"/>
    <n v="1295"/>
    <n v="3885"/>
    <n v="4917"/>
    <n v="1032"/>
    <s v="Product 93"/>
    <x v="7"/>
    <s v="Roger Ramos"/>
    <x v="211"/>
    <n v="7"/>
    <x v="6"/>
    <x v="3"/>
    <x v="3"/>
    <x v="1"/>
    <x v="2"/>
  </r>
  <r>
    <s v="AX13497"/>
    <s v="ENX2099"/>
    <s v="A167"/>
    <s v="EMP1026"/>
    <s v="C1449"/>
    <x v="731"/>
    <n v="3"/>
    <n v="1367"/>
    <n v="984"/>
    <n v="2952"/>
    <n v="4101"/>
    <n v="1149"/>
    <s v="Product 100"/>
    <x v="64"/>
    <s v="Martin Perry"/>
    <x v="230"/>
    <n v="7"/>
    <x v="6"/>
    <x v="3"/>
    <x v="3"/>
    <x v="1"/>
    <x v="2"/>
  </r>
  <r>
    <s v="AX13815"/>
    <s v="ENX2086"/>
    <s v="A144"/>
    <s v="EMP1004"/>
    <s v="C1539"/>
    <x v="731"/>
    <n v="1"/>
    <n v="123"/>
    <n v="84"/>
    <n v="84"/>
    <n v="123"/>
    <n v="39"/>
    <s v="Product 87"/>
    <x v="65"/>
    <s v="Kenneth Bradley"/>
    <x v="280"/>
    <n v="7"/>
    <x v="6"/>
    <x v="3"/>
    <x v="3"/>
    <x v="1"/>
    <x v="2"/>
  </r>
  <r>
    <s v="AX14084"/>
    <s v="ENX2057"/>
    <s v="A170"/>
    <s v="EMP1000"/>
    <s v="C1630"/>
    <x v="733"/>
    <n v="1"/>
    <n v="181"/>
    <n v="130"/>
    <n v="130"/>
    <n v="181"/>
    <n v="51"/>
    <s v="Product 58"/>
    <x v="47"/>
    <s v="Fred Robertson"/>
    <x v="154"/>
    <n v="7"/>
    <x v="6"/>
    <x v="3"/>
    <x v="3"/>
    <x v="1"/>
    <x v="2"/>
  </r>
  <r>
    <s v="AX14503"/>
    <s v="ENX2051"/>
    <s v="A160"/>
    <s v="EMP1039"/>
    <s v="C1787"/>
    <x v="733"/>
    <n v="1"/>
    <n v="1077"/>
    <n v="732"/>
    <n v="732"/>
    <n v="1077"/>
    <n v="345"/>
    <s v="Product 52"/>
    <x v="9"/>
    <s v="Eugene Holmes"/>
    <x v="439"/>
    <n v="7"/>
    <x v="6"/>
    <x v="3"/>
    <x v="3"/>
    <x v="1"/>
    <x v="2"/>
  </r>
  <r>
    <s v="AX14712"/>
    <s v="ENX2028"/>
    <s v="A169"/>
    <s v="EMP1025"/>
    <s v="C1606"/>
    <x v="731"/>
    <n v="4"/>
    <n v="2283"/>
    <n v="1484"/>
    <n v="5936"/>
    <n v="9132"/>
    <n v="3196"/>
    <s v="Product 29"/>
    <x v="17"/>
    <s v="Ernest Wagner"/>
    <x v="250"/>
    <n v="7"/>
    <x v="6"/>
    <x v="3"/>
    <x v="3"/>
    <x v="1"/>
    <x v="2"/>
  </r>
  <r>
    <s v="AX14881"/>
    <s v="ENX2072"/>
    <s v="A129"/>
    <s v="EMP1012"/>
    <s v="C1634"/>
    <x v="733"/>
    <n v="2"/>
    <n v="1887"/>
    <n v="1378"/>
    <n v="2756"/>
    <n v="3774"/>
    <n v="1018"/>
    <s v="Product 73"/>
    <x v="22"/>
    <s v="John Reyes"/>
    <x v="71"/>
    <n v="7"/>
    <x v="6"/>
    <x v="3"/>
    <x v="3"/>
    <x v="1"/>
    <x v="2"/>
  </r>
  <r>
    <s v="AX15232"/>
    <s v="ENX2029"/>
    <s v="A137"/>
    <s v="EMP1000"/>
    <s v="C1291"/>
    <x v="734"/>
    <n v="2"/>
    <n v="1848"/>
    <n v="1294"/>
    <n v="2588"/>
    <n v="3696"/>
    <n v="1108"/>
    <s v="Product 30"/>
    <x v="68"/>
    <s v="Fred Robertson"/>
    <x v="16"/>
    <n v="7"/>
    <x v="6"/>
    <x v="3"/>
    <x v="3"/>
    <x v="1"/>
    <x v="2"/>
  </r>
  <r>
    <s v="AX15418"/>
    <s v="ENX2094"/>
    <s v="A135"/>
    <s v="EMP1024"/>
    <s v="C1436"/>
    <x v="733"/>
    <n v="1"/>
    <n v="771"/>
    <n v="648"/>
    <n v="648"/>
    <n v="771"/>
    <n v="123"/>
    <s v="Product 95"/>
    <x v="10"/>
    <s v="Ernest Wheeler"/>
    <x v="283"/>
    <n v="7"/>
    <x v="6"/>
    <x v="3"/>
    <x v="3"/>
    <x v="1"/>
    <x v="2"/>
  </r>
  <r>
    <s v="AX15641"/>
    <s v="ENX2092"/>
    <s v="A165"/>
    <s v="EMP1036"/>
    <s v="C1783"/>
    <x v="733"/>
    <n v="4"/>
    <n v="1639"/>
    <n v="1295"/>
    <n v="5180"/>
    <n v="6556"/>
    <n v="1376"/>
    <s v="Product 93"/>
    <x v="55"/>
    <s v="Robert Reed"/>
    <x v="272"/>
    <n v="7"/>
    <x v="6"/>
    <x v="3"/>
    <x v="3"/>
    <x v="1"/>
    <x v="2"/>
  </r>
  <r>
    <s v="AX16126"/>
    <s v="ENX2057"/>
    <s v="A107"/>
    <s v="EMP1035"/>
    <s v="C1061"/>
    <x v="733"/>
    <n v="1"/>
    <n v="181"/>
    <n v="130"/>
    <n v="130"/>
    <n v="181"/>
    <n v="51"/>
    <s v="Product 58"/>
    <x v="21"/>
    <s v="Roger Ramos"/>
    <x v="228"/>
    <n v="7"/>
    <x v="6"/>
    <x v="3"/>
    <x v="3"/>
    <x v="1"/>
    <x v="2"/>
  </r>
  <r>
    <s v="AX16202"/>
    <s v="ENX2027"/>
    <s v="A108"/>
    <s v="EMP1000"/>
    <s v="C1212"/>
    <x v="733"/>
    <n v="4"/>
    <n v="2497"/>
    <n v="1473"/>
    <n v="5892"/>
    <n v="9988"/>
    <n v="4096"/>
    <s v="Product 28"/>
    <x v="49"/>
    <s v="Fred Robertson"/>
    <x v="220"/>
    <n v="7"/>
    <x v="6"/>
    <x v="3"/>
    <x v="3"/>
    <x v="1"/>
    <x v="2"/>
  </r>
  <r>
    <s v="AX17000"/>
    <s v="ENX2015"/>
    <s v="A162"/>
    <s v="EMP1013"/>
    <s v="C1557"/>
    <x v="732"/>
    <n v="2"/>
    <n v="637"/>
    <n v="389"/>
    <n v="778"/>
    <n v="1274"/>
    <n v="496"/>
    <s v="Product 16"/>
    <x v="2"/>
    <s v="Charles Harper"/>
    <x v="729"/>
    <n v="7"/>
    <x v="6"/>
    <x v="3"/>
    <x v="3"/>
    <x v="1"/>
    <x v="2"/>
  </r>
  <r>
    <s v="AX17256"/>
    <s v="ENX2016"/>
    <s v="A122"/>
    <s v="EMP1033"/>
    <s v="C1157"/>
    <x v="734"/>
    <n v="1"/>
    <n v="1351"/>
    <n v="1108"/>
    <n v="1108"/>
    <n v="1351"/>
    <n v="243"/>
    <s v="Product 17"/>
    <x v="71"/>
    <s v="Jerry Perry"/>
    <x v="415"/>
    <n v="7"/>
    <x v="6"/>
    <x v="3"/>
    <x v="3"/>
    <x v="1"/>
    <x v="2"/>
  </r>
  <r>
    <s v="AX17431"/>
    <s v="ENX2089"/>
    <s v="A108"/>
    <s v="EMP1036"/>
    <s v="C1548"/>
    <x v="731"/>
    <n v="1"/>
    <n v="2294"/>
    <n v="1399"/>
    <n v="1399"/>
    <n v="2294"/>
    <n v="895"/>
    <s v="Product 90"/>
    <x v="49"/>
    <s v="Robert Reed"/>
    <x v="241"/>
    <n v="7"/>
    <x v="6"/>
    <x v="3"/>
    <x v="3"/>
    <x v="1"/>
    <x v="2"/>
  </r>
  <r>
    <s v="AX17693"/>
    <s v="ENX2013"/>
    <s v="A112"/>
    <s v="EMP1037"/>
    <s v="C1431"/>
    <x v="733"/>
    <n v="3"/>
    <n v="368"/>
    <n v="269"/>
    <n v="807"/>
    <n v="1104"/>
    <n v="297"/>
    <s v="Product 14"/>
    <x v="66"/>
    <s v="Carl Hall"/>
    <x v="587"/>
    <n v="7"/>
    <x v="6"/>
    <x v="3"/>
    <x v="3"/>
    <x v="1"/>
    <x v="2"/>
  </r>
  <r>
    <s v="AX17955"/>
    <s v="ENX2056"/>
    <s v="A119"/>
    <s v="EMP1026"/>
    <s v="C1053"/>
    <x v="731"/>
    <n v="1"/>
    <n v="1635"/>
    <n v="1046"/>
    <n v="1046"/>
    <n v="1635"/>
    <n v="589"/>
    <s v="Product 57"/>
    <x v="16"/>
    <s v="Martin Perry"/>
    <x v="435"/>
    <n v="7"/>
    <x v="6"/>
    <x v="3"/>
    <x v="3"/>
    <x v="1"/>
    <x v="2"/>
  </r>
  <r>
    <s v="AX18152"/>
    <s v="ENX2081"/>
    <s v="A103"/>
    <s v="EMP1001"/>
    <s v="C1400"/>
    <x v="733"/>
    <n v="1"/>
    <n v="1566"/>
    <n v="1190"/>
    <n v="1190"/>
    <n v="1566"/>
    <n v="376"/>
    <s v="Product 82"/>
    <x v="61"/>
    <s v="Kevin Butler"/>
    <x v="437"/>
    <n v="7"/>
    <x v="6"/>
    <x v="3"/>
    <x v="3"/>
    <x v="1"/>
    <x v="2"/>
  </r>
  <r>
    <s v="AX18313"/>
    <s v="ENX2099"/>
    <s v="A112"/>
    <s v="EMP1010"/>
    <s v="C1263"/>
    <x v="734"/>
    <n v="2"/>
    <n v="1367"/>
    <n v="984"/>
    <n v="1968"/>
    <n v="2734"/>
    <n v="766"/>
    <s v="Product 100"/>
    <x v="66"/>
    <s v="Joshua Cook"/>
    <x v="368"/>
    <n v="7"/>
    <x v="6"/>
    <x v="3"/>
    <x v="3"/>
    <x v="1"/>
    <x v="2"/>
  </r>
  <r>
    <s v="AX18771"/>
    <s v="ENX2061"/>
    <s v="A154"/>
    <s v="EMP1022"/>
    <s v="C1136"/>
    <x v="731"/>
    <n v="4"/>
    <n v="913"/>
    <n v="584"/>
    <n v="2336"/>
    <n v="3652"/>
    <n v="1316"/>
    <s v="Product 62"/>
    <x v="24"/>
    <s v="Walter Cook"/>
    <x v="425"/>
    <n v="7"/>
    <x v="6"/>
    <x v="3"/>
    <x v="3"/>
    <x v="1"/>
    <x v="2"/>
  </r>
  <r>
    <s v="AX18977"/>
    <s v="ENX2007"/>
    <s v="A108"/>
    <s v="EMP1008"/>
    <s v="C1272"/>
    <x v="731"/>
    <n v="1"/>
    <n v="1405"/>
    <n v="1054"/>
    <n v="1054"/>
    <n v="1405"/>
    <n v="351"/>
    <s v="Product 8"/>
    <x v="49"/>
    <s v="Carl Elliott"/>
    <x v="491"/>
    <n v="7"/>
    <x v="6"/>
    <x v="3"/>
    <x v="3"/>
    <x v="1"/>
    <x v="2"/>
  </r>
  <r>
    <s v="AX19648"/>
    <s v="ENX2076"/>
    <s v="A149"/>
    <s v="EMP1009"/>
    <s v="C1424"/>
    <x v="731"/>
    <n v="3"/>
    <n v="1522"/>
    <n v="791"/>
    <n v="2373"/>
    <n v="4566"/>
    <n v="2193"/>
    <s v="Product 77"/>
    <x v="59"/>
    <s v="Kenneth Fields"/>
    <x v="791"/>
    <n v="7"/>
    <x v="6"/>
    <x v="3"/>
    <x v="3"/>
    <x v="1"/>
    <x v="2"/>
  </r>
  <r>
    <s v="AX19984"/>
    <s v="ENX2046"/>
    <s v="A131"/>
    <s v="EMP1036"/>
    <s v="C1398"/>
    <x v="733"/>
    <n v="3"/>
    <n v="2410"/>
    <n v="1518"/>
    <n v="4554"/>
    <n v="7230"/>
    <n v="2676"/>
    <s v="Product 47"/>
    <x v="32"/>
    <s v="Robert Reed"/>
    <x v="680"/>
    <n v="7"/>
    <x v="6"/>
    <x v="3"/>
    <x v="3"/>
    <x v="1"/>
    <x v="2"/>
  </r>
  <r>
    <s v="AX20162"/>
    <s v="ENX2079"/>
    <s v="A136"/>
    <s v="EMP1033"/>
    <s v="C1751"/>
    <x v="732"/>
    <n v="1"/>
    <n v="1725"/>
    <n v="1363"/>
    <n v="1363"/>
    <n v="1725"/>
    <n v="362"/>
    <s v="Product 80"/>
    <x v="43"/>
    <s v="Jerry Perry"/>
    <x v="332"/>
    <n v="7"/>
    <x v="6"/>
    <x v="3"/>
    <x v="3"/>
    <x v="1"/>
    <x v="2"/>
  </r>
  <r>
    <s v="AX20404"/>
    <s v="ENX2055"/>
    <s v="A173"/>
    <s v="EMP1017"/>
    <s v="C1795"/>
    <x v="734"/>
    <n v="4"/>
    <n v="2495"/>
    <n v="1896"/>
    <n v="7584"/>
    <n v="9980"/>
    <n v="2396"/>
    <s v="Product 56"/>
    <x v="25"/>
    <s v="Brian Hansen"/>
    <x v="592"/>
    <n v="7"/>
    <x v="6"/>
    <x v="3"/>
    <x v="3"/>
    <x v="1"/>
    <x v="2"/>
  </r>
  <r>
    <s v="AX20788"/>
    <s v="ENX2024"/>
    <s v="A129"/>
    <s v="EMP1000"/>
    <s v="C1414"/>
    <x v="731"/>
    <n v="1"/>
    <n v="356"/>
    <n v="292"/>
    <n v="292"/>
    <n v="356"/>
    <n v="64"/>
    <s v="Product 25"/>
    <x v="22"/>
    <s v="Fred Robertson"/>
    <x v="140"/>
    <n v="7"/>
    <x v="6"/>
    <x v="3"/>
    <x v="3"/>
    <x v="1"/>
    <x v="2"/>
  </r>
  <r>
    <s v="AX20828"/>
    <s v="ENX2019"/>
    <s v="A126"/>
    <s v="EMP1006"/>
    <s v="C1793"/>
    <x v="734"/>
    <n v="2"/>
    <n v="800"/>
    <n v="536"/>
    <n v="1072"/>
    <n v="1600"/>
    <n v="528"/>
    <s v="Product 20"/>
    <x v="5"/>
    <s v="Sean Miller"/>
    <x v="677"/>
    <n v="7"/>
    <x v="6"/>
    <x v="3"/>
    <x v="3"/>
    <x v="1"/>
    <x v="2"/>
  </r>
  <r>
    <s v="AX20838"/>
    <s v="ENX2099"/>
    <s v="A119"/>
    <s v="EMP1000"/>
    <s v="C1714"/>
    <x v="733"/>
    <n v="1"/>
    <n v="1367"/>
    <n v="984"/>
    <n v="984"/>
    <n v="1367"/>
    <n v="383"/>
    <s v="Product 100"/>
    <x v="16"/>
    <s v="Fred Robertson"/>
    <x v="317"/>
    <n v="7"/>
    <x v="6"/>
    <x v="3"/>
    <x v="3"/>
    <x v="1"/>
    <x v="2"/>
  </r>
  <r>
    <s v="AX21050"/>
    <s v="ENX2063"/>
    <s v="A126"/>
    <s v="EMP1013"/>
    <s v="C1675"/>
    <x v="731"/>
    <n v="1"/>
    <n v="1708"/>
    <n v="871"/>
    <n v="871"/>
    <n v="1708"/>
    <n v="837"/>
    <s v="Product 64"/>
    <x v="5"/>
    <s v="Charles Harper"/>
    <x v="453"/>
    <n v="7"/>
    <x v="6"/>
    <x v="3"/>
    <x v="3"/>
    <x v="1"/>
    <x v="2"/>
  </r>
  <r>
    <s v="AX21112"/>
    <s v="ENX2027"/>
    <s v="A151"/>
    <s v="EMP1006"/>
    <s v="C1043"/>
    <x v="732"/>
    <n v="3"/>
    <n v="2497"/>
    <n v="1473"/>
    <n v="4419"/>
    <n v="7491"/>
    <n v="3072"/>
    <s v="Product 28"/>
    <x v="1"/>
    <s v="Sean Miller"/>
    <x v="546"/>
    <n v="7"/>
    <x v="6"/>
    <x v="3"/>
    <x v="3"/>
    <x v="1"/>
    <x v="2"/>
  </r>
  <r>
    <s v="AX21264"/>
    <s v="ENX2044"/>
    <s v="A148"/>
    <s v="EMP1013"/>
    <s v="C1159"/>
    <x v="733"/>
    <n v="3"/>
    <n v="886"/>
    <n v="478"/>
    <n v="1434"/>
    <n v="2658"/>
    <n v="1224"/>
    <s v="Product 45"/>
    <x v="62"/>
    <s v="Charles Harper"/>
    <x v="793"/>
    <n v="7"/>
    <x v="6"/>
    <x v="3"/>
    <x v="3"/>
    <x v="1"/>
    <x v="2"/>
  </r>
  <r>
    <s v="AX21437"/>
    <s v="ENX2026"/>
    <s v="A123"/>
    <s v="EMP1008"/>
    <s v="C1488"/>
    <x v="732"/>
    <n v="2"/>
    <n v="947"/>
    <n v="786"/>
    <n v="1572"/>
    <n v="1894"/>
    <n v="322"/>
    <s v="Product 27"/>
    <x v="34"/>
    <s v="Carl Elliott"/>
    <x v="763"/>
    <n v="7"/>
    <x v="6"/>
    <x v="3"/>
    <x v="3"/>
    <x v="1"/>
    <x v="2"/>
  </r>
  <r>
    <s v="AX21642"/>
    <s v="ENX2083"/>
    <s v="A158"/>
    <s v="EMP1024"/>
    <s v="C1036"/>
    <x v="731"/>
    <n v="3"/>
    <n v="2141"/>
    <n v="1777"/>
    <n v="5331"/>
    <n v="6423"/>
    <n v="1092"/>
    <s v="Product 84"/>
    <x v="58"/>
    <s v="Ernest Wheeler"/>
    <x v="256"/>
    <n v="7"/>
    <x v="6"/>
    <x v="3"/>
    <x v="3"/>
    <x v="1"/>
    <x v="2"/>
  </r>
  <r>
    <s v="AX21867"/>
    <s v="ENX2062"/>
    <s v="A154"/>
    <s v="EMP1014"/>
    <s v="C1007"/>
    <x v="731"/>
    <n v="3"/>
    <n v="2464"/>
    <n v="1774"/>
    <n v="5322"/>
    <n v="7392"/>
    <n v="2070"/>
    <s v="Product 63"/>
    <x v="24"/>
    <s v="Ronald Reed"/>
    <x v="413"/>
    <n v="7"/>
    <x v="6"/>
    <x v="3"/>
    <x v="3"/>
    <x v="1"/>
    <x v="2"/>
  </r>
  <r>
    <s v="AX22013"/>
    <s v="ENX2013"/>
    <s v="A169"/>
    <s v="EMP1017"/>
    <s v="C1761"/>
    <x v="733"/>
    <n v="1"/>
    <n v="368"/>
    <n v="269"/>
    <n v="269"/>
    <n v="368"/>
    <n v="99"/>
    <s v="Product 14"/>
    <x v="17"/>
    <s v="Brian Hansen"/>
    <x v="618"/>
    <n v="7"/>
    <x v="6"/>
    <x v="3"/>
    <x v="3"/>
    <x v="1"/>
    <x v="2"/>
  </r>
  <r>
    <s v="AX22557"/>
    <s v="ENX2027"/>
    <s v="A107"/>
    <s v="EMP1044"/>
    <s v="C1537"/>
    <x v="732"/>
    <n v="3"/>
    <n v="2497"/>
    <n v="1473"/>
    <n v="4419"/>
    <n v="7491"/>
    <n v="3072"/>
    <s v="Product 28"/>
    <x v="21"/>
    <s v="Martin Carr"/>
    <x v="141"/>
    <n v="7"/>
    <x v="6"/>
    <x v="3"/>
    <x v="3"/>
    <x v="1"/>
    <x v="2"/>
  </r>
  <r>
    <s v="AX22846"/>
    <s v="ENX2019"/>
    <s v="A122"/>
    <s v="EMP1021"/>
    <s v="C1001"/>
    <x v="732"/>
    <n v="2"/>
    <n v="800"/>
    <n v="536"/>
    <n v="1072"/>
    <n v="1600"/>
    <n v="528"/>
    <s v="Product 20"/>
    <x v="71"/>
    <s v="Clarence Fox"/>
    <x v="725"/>
    <n v="7"/>
    <x v="6"/>
    <x v="3"/>
    <x v="3"/>
    <x v="1"/>
    <x v="2"/>
  </r>
  <r>
    <s v="AX22957"/>
    <s v="ENX2077"/>
    <s v="A119"/>
    <s v="EMP1009"/>
    <s v="C1227"/>
    <x v="733"/>
    <n v="1"/>
    <n v="530"/>
    <n v="424"/>
    <n v="424"/>
    <n v="530"/>
    <n v="106"/>
    <s v="Product 78"/>
    <x v="16"/>
    <s v="Kenneth Fields"/>
    <x v="765"/>
    <n v="7"/>
    <x v="6"/>
    <x v="3"/>
    <x v="3"/>
    <x v="1"/>
    <x v="2"/>
  </r>
  <r>
    <s v="AX23011"/>
    <s v="ENX2030"/>
    <s v="A125"/>
    <s v="EMP1019"/>
    <s v="C1629"/>
    <x v="734"/>
    <n v="3"/>
    <n v="1899"/>
    <n v="1044"/>
    <n v="3132"/>
    <n v="5697"/>
    <n v="2565"/>
    <s v="Product 31"/>
    <x v="31"/>
    <s v="Roger Robertson"/>
    <x v="734"/>
    <n v="7"/>
    <x v="6"/>
    <x v="3"/>
    <x v="3"/>
    <x v="1"/>
    <x v="2"/>
  </r>
  <r>
    <s v="AX23044"/>
    <s v="ENX2084"/>
    <s v="A120"/>
    <s v="EMP1007"/>
    <s v="C1014"/>
    <x v="731"/>
    <n v="3"/>
    <n v="1783"/>
    <n v="1230"/>
    <n v="3690"/>
    <n v="5349"/>
    <n v="1659"/>
    <s v="Product 85"/>
    <x v="20"/>
    <s v="Jeremy Mendoza"/>
    <x v="26"/>
    <n v="7"/>
    <x v="6"/>
    <x v="3"/>
    <x v="3"/>
    <x v="1"/>
    <x v="2"/>
  </r>
  <r>
    <s v="AX23749"/>
    <s v="ENX2094"/>
    <s v="A148"/>
    <s v="EMP1020"/>
    <s v="C1089"/>
    <x v="733"/>
    <n v="1"/>
    <n v="771"/>
    <n v="648"/>
    <n v="648"/>
    <n v="771"/>
    <n v="123"/>
    <s v="Product 95"/>
    <x v="62"/>
    <s v="Ryan Butler"/>
    <x v="267"/>
    <n v="7"/>
    <x v="6"/>
    <x v="3"/>
    <x v="3"/>
    <x v="1"/>
    <x v="2"/>
  </r>
  <r>
    <s v="AX23933"/>
    <s v="ENX2081"/>
    <s v="A168"/>
    <s v="EMP1007"/>
    <s v="C1217"/>
    <x v="734"/>
    <n v="1"/>
    <n v="1566"/>
    <n v="1190"/>
    <n v="1190"/>
    <n v="1566"/>
    <n v="376"/>
    <s v="Product 82"/>
    <x v="40"/>
    <s v="Jeremy Mendoza"/>
    <x v="619"/>
    <n v="7"/>
    <x v="6"/>
    <x v="3"/>
    <x v="3"/>
    <x v="1"/>
    <x v="2"/>
  </r>
  <r>
    <s v="AX23969"/>
    <s v="ENX2019"/>
    <s v="A149"/>
    <s v="EMP1044"/>
    <s v="C1183"/>
    <x v="734"/>
    <n v="1"/>
    <n v="800"/>
    <n v="536"/>
    <n v="536"/>
    <n v="800"/>
    <n v="264"/>
    <s v="Product 20"/>
    <x v="59"/>
    <s v="Martin Carr"/>
    <x v="404"/>
    <n v="7"/>
    <x v="6"/>
    <x v="3"/>
    <x v="3"/>
    <x v="1"/>
    <x v="2"/>
  </r>
  <r>
    <s v="AX24026"/>
    <s v="ENX2024"/>
    <s v="A143"/>
    <s v="EMP1025"/>
    <s v="C1368"/>
    <x v="733"/>
    <n v="1"/>
    <n v="356"/>
    <n v="292"/>
    <n v="292"/>
    <n v="356"/>
    <n v="64"/>
    <s v="Product 25"/>
    <x v="39"/>
    <s v="Ernest Wagner"/>
    <x v="200"/>
    <n v="7"/>
    <x v="6"/>
    <x v="3"/>
    <x v="3"/>
    <x v="1"/>
    <x v="2"/>
  </r>
  <r>
    <s v="AX24071"/>
    <s v="ENX2028"/>
    <s v="A165"/>
    <s v="EMP1016"/>
    <s v="C1589"/>
    <x v="733"/>
    <n v="1"/>
    <n v="2283"/>
    <n v="1484"/>
    <n v="1484"/>
    <n v="2283"/>
    <n v="799"/>
    <s v="Product 29"/>
    <x v="55"/>
    <s v="Henry Nelson"/>
    <x v="39"/>
    <n v="7"/>
    <x v="6"/>
    <x v="3"/>
    <x v="3"/>
    <x v="1"/>
    <x v="2"/>
  </r>
  <r>
    <s v="AX24250"/>
    <s v="ENX2042"/>
    <s v="A122"/>
    <s v="EMP1002"/>
    <s v="C1086"/>
    <x v="734"/>
    <n v="1"/>
    <n v="203"/>
    <n v="154"/>
    <n v="154"/>
    <n v="203"/>
    <n v="49"/>
    <s v="Product 43"/>
    <x v="71"/>
    <s v="Andrew Bowman"/>
    <x v="769"/>
    <n v="7"/>
    <x v="6"/>
    <x v="3"/>
    <x v="3"/>
    <x v="1"/>
    <x v="2"/>
  </r>
  <r>
    <s v="AX24753"/>
    <s v="ENX2049"/>
    <s v="A149"/>
    <s v="EMP1002"/>
    <s v="C1561"/>
    <x v="734"/>
    <n v="3"/>
    <n v="826"/>
    <n v="562"/>
    <n v="1686"/>
    <n v="2478"/>
    <n v="792"/>
    <s v="Product 50"/>
    <x v="59"/>
    <s v="Andrew Bowman"/>
    <x v="114"/>
    <n v="7"/>
    <x v="6"/>
    <x v="3"/>
    <x v="3"/>
    <x v="1"/>
    <x v="2"/>
  </r>
  <r>
    <s v="AX24884"/>
    <s v="ENX2054"/>
    <s v="A122"/>
    <s v="EMP1024"/>
    <s v="C1037"/>
    <x v="733"/>
    <n v="1"/>
    <n v="127"/>
    <n v="79"/>
    <n v="79"/>
    <n v="127"/>
    <n v="48"/>
    <s v="Product 55"/>
    <x v="71"/>
    <s v="Ernest Wheeler"/>
    <x v="779"/>
    <n v="7"/>
    <x v="6"/>
    <x v="3"/>
    <x v="3"/>
    <x v="1"/>
    <x v="2"/>
  </r>
  <r>
    <s v="AX24927"/>
    <s v="ENX2072"/>
    <s v="A110"/>
    <s v="EMP1009"/>
    <s v="C1236"/>
    <x v="733"/>
    <n v="1"/>
    <n v="1887"/>
    <n v="1378"/>
    <n v="1378"/>
    <n v="1887"/>
    <n v="509"/>
    <s v="Product 73"/>
    <x v="63"/>
    <s v="Kenneth Fields"/>
    <x v="795"/>
    <n v="7"/>
    <x v="6"/>
    <x v="3"/>
    <x v="3"/>
    <x v="1"/>
    <x v="2"/>
  </r>
  <r>
    <s v="AX10088"/>
    <s v="ENX2043"/>
    <s v="A124"/>
    <s v="EMP1035"/>
    <s v="C1579"/>
    <x v="735"/>
    <n v="1"/>
    <n v="545"/>
    <n v="425"/>
    <n v="425"/>
    <n v="545"/>
    <n v="120"/>
    <s v="Product 44"/>
    <x v="67"/>
    <s v="Roger Ramos"/>
    <x v="422"/>
    <n v="7"/>
    <x v="6"/>
    <x v="4"/>
    <x v="4"/>
    <x v="1"/>
    <x v="0"/>
  </r>
  <r>
    <s v="AX10187"/>
    <s v="ENX2100"/>
    <s v="A126"/>
    <s v="EMP1002"/>
    <s v="C1757"/>
    <x v="736"/>
    <n v="3"/>
    <n v="799"/>
    <n v="455"/>
    <n v="1365"/>
    <n v="2397"/>
    <n v="1032"/>
    <s v="Product 101"/>
    <x v="5"/>
    <s v="Andrew Bowman"/>
    <x v="376"/>
    <n v="7"/>
    <x v="6"/>
    <x v="4"/>
    <x v="4"/>
    <x v="1"/>
    <x v="0"/>
  </r>
  <r>
    <s v="AX11061"/>
    <s v="ENX2078"/>
    <s v="A148"/>
    <s v="EMP1027"/>
    <s v="C1222"/>
    <x v="737"/>
    <n v="1"/>
    <n v="1798"/>
    <n v="971"/>
    <n v="971"/>
    <n v="1798"/>
    <n v="827"/>
    <s v="Product 79"/>
    <x v="62"/>
    <s v="Gary Rodriguez"/>
    <x v="691"/>
    <n v="7"/>
    <x v="6"/>
    <x v="4"/>
    <x v="4"/>
    <x v="1"/>
    <x v="0"/>
  </r>
  <r>
    <s v="AX11702"/>
    <s v="ENX2000"/>
    <s v="A120"/>
    <s v="EMP1004"/>
    <s v="C1305"/>
    <x v="735"/>
    <n v="1"/>
    <n v="2241"/>
    <n v="1367"/>
    <n v="1367"/>
    <n v="2241"/>
    <n v="874"/>
    <s v="Product 1"/>
    <x v="20"/>
    <s v="Kenneth Bradley"/>
    <x v="344"/>
    <n v="7"/>
    <x v="6"/>
    <x v="4"/>
    <x v="4"/>
    <x v="1"/>
    <x v="0"/>
  </r>
  <r>
    <s v="AX11971"/>
    <s v="ENX2077"/>
    <s v="A154"/>
    <s v="EMP1020"/>
    <s v="C1412"/>
    <x v="737"/>
    <n v="2"/>
    <n v="530"/>
    <n v="424"/>
    <n v="848"/>
    <n v="1060"/>
    <n v="212"/>
    <s v="Product 78"/>
    <x v="24"/>
    <s v="Ryan Butler"/>
    <x v="460"/>
    <n v="7"/>
    <x v="6"/>
    <x v="4"/>
    <x v="4"/>
    <x v="1"/>
    <x v="0"/>
  </r>
  <r>
    <s v="AX12038"/>
    <s v="ENX2015"/>
    <s v="A136"/>
    <s v="EMP1011"/>
    <s v="C1314"/>
    <x v="738"/>
    <n v="1"/>
    <n v="637"/>
    <n v="389"/>
    <n v="389"/>
    <n v="637"/>
    <n v="248"/>
    <s v="Product 16"/>
    <x v="43"/>
    <s v="Larry Marshall"/>
    <x v="421"/>
    <n v="7"/>
    <x v="6"/>
    <x v="4"/>
    <x v="4"/>
    <x v="1"/>
    <x v="0"/>
  </r>
  <r>
    <s v="AX12062"/>
    <s v="ENX2012"/>
    <s v="A108"/>
    <s v="EMP1025"/>
    <s v="C1058"/>
    <x v="737"/>
    <n v="4"/>
    <n v="1353"/>
    <n v="947"/>
    <n v="3788"/>
    <n v="5412"/>
    <n v="1624"/>
    <s v="Product 13"/>
    <x v="49"/>
    <s v="Ernest Wagner"/>
    <x v="611"/>
    <n v="7"/>
    <x v="6"/>
    <x v="4"/>
    <x v="4"/>
    <x v="1"/>
    <x v="0"/>
  </r>
  <r>
    <s v="AX12457"/>
    <s v="ENX2012"/>
    <s v="A152"/>
    <s v="EMP1002"/>
    <s v="C1487"/>
    <x v="737"/>
    <n v="2"/>
    <n v="1353"/>
    <n v="947"/>
    <n v="1894"/>
    <n v="2706"/>
    <n v="812"/>
    <s v="Product 13"/>
    <x v="26"/>
    <s v="Andrew Bowman"/>
    <x v="461"/>
    <n v="7"/>
    <x v="6"/>
    <x v="4"/>
    <x v="4"/>
    <x v="1"/>
    <x v="0"/>
  </r>
  <r>
    <s v="AX12571"/>
    <s v="ENX2023"/>
    <s v="A138"/>
    <s v="EMP1028"/>
    <s v="C1254"/>
    <x v="739"/>
    <n v="3"/>
    <n v="818"/>
    <n v="450"/>
    <n v="1350"/>
    <n v="2454"/>
    <n v="1104"/>
    <s v="Product 24"/>
    <x v="37"/>
    <s v="Howard Sims"/>
    <x v="104"/>
    <n v="7"/>
    <x v="6"/>
    <x v="4"/>
    <x v="4"/>
    <x v="1"/>
    <x v="0"/>
  </r>
  <r>
    <s v="AX12628"/>
    <s v="ENX2078"/>
    <s v="A162"/>
    <s v="EMP1011"/>
    <s v="C1334"/>
    <x v="737"/>
    <n v="3"/>
    <n v="1798"/>
    <n v="971"/>
    <n v="2913"/>
    <n v="5394"/>
    <n v="2481"/>
    <s v="Product 79"/>
    <x v="2"/>
    <s v="Larry Marshall"/>
    <x v="53"/>
    <n v="7"/>
    <x v="6"/>
    <x v="4"/>
    <x v="4"/>
    <x v="1"/>
    <x v="0"/>
  </r>
  <r>
    <s v="AX12635"/>
    <s v="ENX2071"/>
    <s v="A133"/>
    <s v="EMP1037"/>
    <s v="C1388"/>
    <x v="738"/>
    <n v="4"/>
    <n v="136"/>
    <n v="72"/>
    <n v="288"/>
    <n v="544"/>
    <n v="256"/>
    <s v="Product 72"/>
    <x v="46"/>
    <s v="Carl Hall"/>
    <x v="120"/>
    <n v="7"/>
    <x v="6"/>
    <x v="4"/>
    <x v="4"/>
    <x v="1"/>
    <x v="0"/>
  </r>
  <r>
    <s v="AX12738"/>
    <s v="ENX2036"/>
    <s v="A159"/>
    <s v="EMP1032"/>
    <s v="C1558"/>
    <x v="738"/>
    <n v="3"/>
    <n v="1582"/>
    <n v="1234"/>
    <n v="3702"/>
    <n v="4746"/>
    <n v="1044"/>
    <s v="Product 37"/>
    <x v="13"/>
    <s v="Larry Castillo"/>
    <x v="170"/>
    <n v="7"/>
    <x v="6"/>
    <x v="4"/>
    <x v="4"/>
    <x v="1"/>
    <x v="0"/>
  </r>
  <r>
    <s v="AX12867"/>
    <s v="ENX2022"/>
    <s v="A156"/>
    <s v="EMP1003"/>
    <s v="C1285"/>
    <x v="737"/>
    <n v="2"/>
    <n v="561"/>
    <n v="421"/>
    <n v="842"/>
    <n v="1122"/>
    <n v="280"/>
    <s v="Product 23"/>
    <x v="14"/>
    <s v="Christopher Tucker"/>
    <x v="440"/>
    <n v="7"/>
    <x v="6"/>
    <x v="4"/>
    <x v="4"/>
    <x v="1"/>
    <x v="0"/>
  </r>
  <r>
    <s v="AX13198"/>
    <s v="ENX2055"/>
    <s v="A145"/>
    <s v="EMP1039"/>
    <s v="C1017"/>
    <x v="738"/>
    <n v="1"/>
    <n v="2495"/>
    <n v="1896"/>
    <n v="1896"/>
    <n v="2495"/>
    <n v="599"/>
    <s v="Product 56"/>
    <x v="35"/>
    <s v="Eugene Holmes"/>
    <x v="402"/>
    <n v="7"/>
    <x v="6"/>
    <x v="4"/>
    <x v="4"/>
    <x v="1"/>
    <x v="0"/>
  </r>
  <r>
    <s v="AX13216"/>
    <s v="ENX2046"/>
    <s v="A122"/>
    <s v="EMP1014"/>
    <s v="C1736"/>
    <x v="736"/>
    <n v="1"/>
    <n v="2410"/>
    <n v="1518"/>
    <n v="1518"/>
    <n v="2410"/>
    <n v="892"/>
    <s v="Product 47"/>
    <x v="71"/>
    <s v="Ronald Reed"/>
    <x v="472"/>
    <n v="7"/>
    <x v="6"/>
    <x v="4"/>
    <x v="4"/>
    <x v="1"/>
    <x v="0"/>
  </r>
  <r>
    <s v="AX13299"/>
    <s v="ENX2094"/>
    <s v="A127"/>
    <s v="EMP1044"/>
    <s v="C1524"/>
    <x v="739"/>
    <n v="2"/>
    <n v="771"/>
    <n v="648"/>
    <n v="1296"/>
    <n v="1542"/>
    <n v="246"/>
    <s v="Product 95"/>
    <x v="69"/>
    <s v="Martin Carr"/>
    <x v="263"/>
    <n v="7"/>
    <x v="6"/>
    <x v="4"/>
    <x v="4"/>
    <x v="1"/>
    <x v="0"/>
  </r>
  <r>
    <s v="AX13423"/>
    <s v="ENX2038"/>
    <s v="A160"/>
    <s v="EMP1008"/>
    <s v="C1309"/>
    <x v="735"/>
    <n v="1"/>
    <n v="392"/>
    <n v="255"/>
    <n v="255"/>
    <n v="392"/>
    <n v="137"/>
    <s v="Product 39"/>
    <x v="9"/>
    <s v="Carl Elliott"/>
    <x v="139"/>
    <n v="7"/>
    <x v="6"/>
    <x v="4"/>
    <x v="4"/>
    <x v="1"/>
    <x v="0"/>
  </r>
  <r>
    <s v="AX13522"/>
    <s v="ENX2065"/>
    <s v="A164"/>
    <s v="EMP1023"/>
    <s v="C1457"/>
    <x v="736"/>
    <n v="3"/>
    <n v="2396"/>
    <n v="1965"/>
    <n v="5895"/>
    <n v="7188"/>
    <n v="1293"/>
    <s v="Product 66"/>
    <x v="3"/>
    <s v="Brian Davis"/>
    <x v="522"/>
    <n v="7"/>
    <x v="6"/>
    <x v="4"/>
    <x v="4"/>
    <x v="1"/>
    <x v="0"/>
  </r>
  <r>
    <s v="AX13705"/>
    <s v="ENX2076"/>
    <s v="A142"/>
    <s v="EMP1037"/>
    <s v="C1378"/>
    <x v="738"/>
    <n v="3"/>
    <n v="1522"/>
    <n v="791"/>
    <n v="2373"/>
    <n v="4566"/>
    <n v="2193"/>
    <s v="Product 77"/>
    <x v="56"/>
    <s v="Carl Hall"/>
    <x v="787"/>
    <n v="7"/>
    <x v="6"/>
    <x v="4"/>
    <x v="4"/>
    <x v="1"/>
    <x v="0"/>
  </r>
  <r>
    <s v="AX14338"/>
    <s v="ENX2046"/>
    <s v="A135"/>
    <s v="EMP1032"/>
    <s v="C1490"/>
    <x v="735"/>
    <n v="3"/>
    <n v="2410"/>
    <n v="1518"/>
    <n v="4554"/>
    <n v="7230"/>
    <n v="2676"/>
    <s v="Product 47"/>
    <x v="10"/>
    <s v="Larry Castillo"/>
    <x v="61"/>
    <n v="7"/>
    <x v="6"/>
    <x v="4"/>
    <x v="4"/>
    <x v="1"/>
    <x v="0"/>
  </r>
  <r>
    <s v="AX14533"/>
    <s v="ENX2079"/>
    <s v="A128"/>
    <s v="EMP1017"/>
    <s v="C1696"/>
    <x v="738"/>
    <n v="1"/>
    <n v="1725"/>
    <n v="1363"/>
    <n v="1363"/>
    <n v="1725"/>
    <n v="362"/>
    <s v="Product 80"/>
    <x v="12"/>
    <s v="Brian Hansen"/>
    <x v="436"/>
    <n v="7"/>
    <x v="6"/>
    <x v="4"/>
    <x v="4"/>
    <x v="1"/>
    <x v="0"/>
  </r>
  <r>
    <s v="AX15134"/>
    <s v="ENX2051"/>
    <s v="A109"/>
    <s v="EMP1018"/>
    <s v="C1335"/>
    <x v="737"/>
    <n v="1"/>
    <n v="1077"/>
    <n v="732"/>
    <n v="732"/>
    <n v="1077"/>
    <n v="345"/>
    <s v="Product 52"/>
    <x v="57"/>
    <s v="Jimmy Young"/>
    <x v="2"/>
    <n v="7"/>
    <x v="6"/>
    <x v="4"/>
    <x v="4"/>
    <x v="1"/>
    <x v="0"/>
  </r>
  <r>
    <s v="AX15279"/>
    <s v="ENX2091"/>
    <s v="A114"/>
    <s v="EMP1006"/>
    <s v="C1219"/>
    <x v="739"/>
    <n v="1"/>
    <n v="368"/>
    <n v="294"/>
    <n v="294"/>
    <n v="368"/>
    <n v="74"/>
    <s v="Product 92"/>
    <x v="28"/>
    <s v="Sean Miller"/>
    <x v="301"/>
    <n v="7"/>
    <x v="6"/>
    <x v="4"/>
    <x v="4"/>
    <x v="1"/>
    <x v="0"/>
  </r>
  <r>
    <s v="AX15386"/>
    <s v="ENX2029"/>
    <s v="A148"/>
    <s v="EMP1015"/>
    <s v="C1323"/>
    <x v="735"/>
    <n v="1"/>
    <n v="1848"/>
    <n v="1294"/>
    <n v="1294"/>
    <n v="1848"/>
    <n v="554"/>
    <s v="Product 30"/>
    <x v="62"/>
    <s v="Justin Lynch"/>
    <x v="83"/>
    <n v="7"/>
    <x v="6"/>
    <x v="4"/>
    <x v="4"/>
    <x v="1"/>
    <x v="0"/>
  </r>
  <r>
    <s v="AX15416"/>
    <s v="ENX2044"/>
    <s v="A149"/>
    <s v="EMP1006"/>
    <s v="C1696"/>
    <x v="738"/>
    <n v="1"/>
    <n v="886"/>
    <n v="478"/>
    <n v="478"/>
    <n v="886"/>
    <n v="408"/>
    <s v="Product 45"/>
    <x v="59"/>
    <s v="Sean Miller"/>
    <x v="436"/>
    <n v="7"/>
    <x v="6"/>
    <x v="4"/>
    <x v="4"/>
    <x v="1"/>
    <x v="0"/>
  </r>
  <r>
    <s v="AX17022"/>
    <s v="ENX2054"/>
    <s v="A147"/>
    <s v="EMP1037"/>
    <s v="C1441"/>
    <x v="739"/>
    <n v="1"/>
    <n v="127"/>
    <n v="79"/>
    <n v="79"/>
    <n v="127"/>
    <n v="48"/>
    <s v="Product 55"/>
    <x v="42"/>
    <s v="Carl Hall"/>
    <x v="667"/>
    <n v="7"/>
    <x v="6"/>
    <x v="4"/>
    <x v="4"/>
    <x v="1"/>
    <x v="0"/>
  </r>
  <r>
    <s v="AX17128"/>
    <s v="ENX2014"/>
    <s v="A134"/>
    <s v="EMP1028"/>
    <s v="C1700"/>
    <x v="738"/>
    <n v="1"/>
    <n v="1809"/>
    <n v="1067"/>
    <n v="1067"/>
    <n v="1809"/>
    <n v="742"/>
    <s v="Product 15"/>
    <x v="41"/>
    <s v="Howard Sims"/>
    <x v="271"/>
    <n v="7"/>
    <x v="6"/>
    <x v="4"/>
    <x v="4"/>
    <x v="1"/>
    <x v="0"/>
  </r>
  <r>
    <s v="AX17174"/>
    <s v="ENX2084"/>
    <s v="A164"/>
    <s v="EMP1012"/>
    <s v="C1028"/>
    <x v="738"/>
    <n v="1"/>
    <n v="1783"/>
    <n v="1230"/>
    <n v="1230"/>
    <n v="1783"/>
    <n v="553"/>
    <s v="Product 85"/>
    <x v="3"/>
    <s v="John Reyes"/>
    <x v="135"/>
    <n v="7"/>
    <x v="6"/>
    <x v="4"/>
    <x v="4"/>
    <x v="1"/>
    <x v="0"/>
  </r>
  <r>
    <s v="AX17176"/>
    <s v="ENX2069"/>
    <s v="A146"/>
    <s v="EMP1010"/>
    <s v="C1353"/>
    <x v="737"/>
    <n v="3"/>
    <n v="378"/>
    <n v="291"/>
    <n v="873"/>
    <n v="1134"/>
    <n v="261"/>
    <s v="Product 70"/>
    <x v="27"/>
    <s v="Joshua Cook"/>
    <x v="642"/>
    <n v="7"/>
    <x v="6"/>
    <x v="4"/>
    <x v="4"/>
    <x v="1"/>
    <x v="0"/>
  </r>
  <r>
    <s v="AX17197"/>
    <s v="ENX2088"/>
    <s v="A157"/>
    <s v="EMP1034"/>
    <s v="C1638"/>
    <x v="739"/>
    <n v="1"/>
    <n v="603"/>
    <n v="416"/>
    <n v="416"/>
    <n v="603"/>
    <n v="187"/>
    <s v="Product 89"/>
    <x v="7"/>
    <s v="Arthur Mccoy"/>
    <x v="395"/>
    <n v="7"/>
    <x v="6"/>
    <x v="4"/>
    <x v="4"/>
    <x v="1"/>
    <x v="0"/>
  </r>
  <r>
    <s v="AX17219"/>
    <s v="ENX2091"/>
    <s v="A167"/>
    <s v="EMP1002"/>
    <s v="C1424"/>
    <x v="738"/>
    <n v="2"/>
    <n v="368"/>
    <n v="294"/>
    <n v="588"/>
    <n v="736"/>
    <n v="148"/>
    <s v="Product 92"/>
    <x v="64"/>
    <s v="Andrew Bowman"/>
    <x v="791"/>
    <n v="7"/>
    <x v="6"/>
    <x v="4"/>
    <x v="4"/>
    <x v="1"/>
    <x v="0"/>
  </r>
  <r>
    <s v="AX17240"/>
    <s v="ENX2073"/>
    <s v="A102"/>
    <s v="EMP1039"/>
    <s v="C1270"/>
    <x v="737"/>
    <n v="1"/>
    <n v="95"/>
    <n v="61"/>
    <n v="61"/>
    <n v="95"/>
    <n v="34"/>
    <s v="Product 74"/>
    <x v="44"/>
    <s v="Eugene Holmes"/>
    <x v="517"/>
    <n v="7"/>
    <x v="6"/>
    <x v="4"/>
    <x v="4"/>
    <x v="1"/>
    <x v="0"/>
  </r>
  <r>
    <s v="AX17245"/>
    <s v="ENX2096"/>
    <s v="A103"/>
    <s v="EMP1032"/>
    <s v="C1540"/>
    <x v="739"/>
    <n v="2"/>
    <n v="1587"/>
    <n v="1301"/>
    <n v="2602"/>
    <n v="3174"/>
    <n v="572"/>
    <s v="Product 97"/>
    <x v="61"/>
    <s v="Larry Castillo"/>
    <x v="493"/>
    <n v="7"/>
    <x v="6"/>
    <x v="4"/>
    <x v="4"/>
    <x v="1"/>
    <x v="0"/>
  </r>
  <r>
    <s v="AX17277"/>
    <s v="ENX2082"/>
    <s v="A157"/>
    <s v="EMP1033"/>
    <s v="C1079"/>
    <x v="737"/>
    <n v="4"/>
    <n v="1103"/>
    <n v="838"/>
    <n v="3352"/>
    <n v="4412"/>
    <n v="1060"/>
    <s v="Product 83"/>
    <x v="7"/>
    <s v="Jerry Perry"/>
    <x v="370"/>
    <n v="7"/>
    <x v="6"/>
    <x v="4"/>
    <x v="4"/>
    <x v="1"/>
    <x v="0"/>
  </r>
  <r>
    <s v="AX17311"/>
    <s v="ENX2024"/>
    <s v="A167"/>
    <s v="EMP1015"/>
    <s v="C1246"/>
    <x v="736"/>
    <n v="3"/>
    <n v="356"/>
    <n v="292"/>
    <n v="876"/>
    <n v="1068"/>
    <n v="192"/>
    <s v="Product 25"/>
    <x v="64"/>
    <s v="Justin Lynch"/>
    <x v="665"/>
    <n v="7"/>
    <x v="6"/>
    <x v="4"/>
    <x v="4"/>
    <x v="1"/>
    <x v="0"/>
  </r>
  <r>
    <s v="AX17474"/>
    <s v="ENX2062"/>
    <s v="A122"/>
    <s v="EMP1033"/>
    <s v="C1124"/>
    <x v="737"/>
    <n v="3"/>
    <n v="2464"/>
    <n v="1774"/>
    <n v="5322"/>
    <n v="7392"/>
    <n v="2070"/>
    <s v="Product 63"/>
    <x v="71"/>
    <s v="Jerry Perry"/>
    <x v="102"/>
    <n v="7"/>
    <x v="6"/>
    <x v="4"/>
    <x v="4"/>
    <x v="1"/>
    <x v="0"/>
  </r>
  <r>
    <s v="AX17730"/>
    <s v="ENX2079"/>
    <s v="A153"/>
    <s v="EMP1005"/>
    <s v="C1731"/>
    <x v="739"/>
    <n v="1"/>
    <n v="1725"/>
    <n v="1363"/>
    <n v="1363"/>
    <n v="1725"/>
    <n v="362"/>
    <s v="Product 80"/>
    <x v="8"/>
    <s v="Ryan Welch"/>
    <x v="762"/>
    <n v="7"/>
    <x v="6"/>
    <x v="4"/>
    <x v="4"/>
    <x v="1"/>
    <x v="0"/>
  </r>
  <r>
    <s v="AX19123"/>
    <s v="ENX2061"/>
    <s v="A154"/>
    <s v="EMP1002"/>
    <s v="C1684"/>
    <x v="739"/>
    <n v="3"/>
    <n v="913"/>
    <n v="584"/>
    <n v="1752"/>
    <n v="2739"/>
    <n v="987"/>
    <s v="Product 62"/>
    <x v="24"/>
    <s v="Andrew Bowman"/>
    <x v="258"/>
    <n v="7"/>
    <x v="6"/>
    <x v="4"/>
    <x v="4"/>
    <x v="1"/>
    <x v="0"/>
  </r>
  <r>
    <s v="AX19154"/>
    <s v="ENX2027"/>
    <s v="A111"/>
    <s v="EMP1039"/>
    <s v="C1656"/>
    <x v="735"/>
    <n v="1"/>
    <n v="2497"/>
    <n v="1473"/>
    <n v="1473"/>
    <n v="2497"/>
    <n v="1024"/>
    <s v="Product 28"/>
    <x v="54"/>
    <s v="Eugene Holmes"/>
    <x v="115"/>
    <n v="7"/>
    <x v="6"/>
    <x v="4"/>
    <x v="4"/>
    <x v="1"/>
    <x v="0"/>
  </r>
  <r>
    <s v="AX19650"/>
    <s v="ENX2080"/>
    <s v="A140"/>
    <s v="EMP1014"/>
    <s v="C1612"/>
    <x v="738"/>
    <n v="3"/>
    <n v="2353"/>
    <n v="1788"/>
    <n v="5364"/>
    <n v="7059"/>
    <n v="1695"/>
    <s v="Product 81"/>
    <x v="18"/>
    <s v="Ronald Reed"/>
    <x v="46"/>
    <n v="7"/>
    <x v="6"/>
    <x v="4"/>
    <x v="4"/>
    <x v="1"/>
    <x v="0"/>
  </r>
  <r>
    <s v="AX19800"/>
    <s v="ENX2039"/>
    <s v="A117"/>
    <s v="EMP1001"/>
    <s v="C1470"/>
    <x v="737"/>
    <n v="4"/>
    <n v="817"/>
    <n v="409"/>
    <n v="1636"/>
    <n v="3268"/>
    <n v="1632"/>
    <s v="Product 40"/>
    <x v="29"/>
    <s v="Kevin Butler"/>
    <x v="621"/>
    <n v="7"/>
    <x v="6"/>
    <x v="4"/>
    <x v="4"/>
    <x v="1"/>
    <x v="0"/>
  </r>
  <r>
    <s v="AX19905"/>
    <s v="ENX2003"/>
    <s v="A149"/>
    <s v="EMP1030"/>
    <s v="C1546"/>
    <x v="736"/>
    <n v="2"/>
    <n v="1783"/>
    <n v="1516"/>
    <n v="3032"/>
    <n v="3566"/>
    <n v="534"/>
    <s v="Product 4"/>
    <x v="59"/>
    <s v="Bobby Russell"/>
    <x v="119"/>
    <n v="7"/>
    <x v="6"/>
    <x v="4"/>
    <x v="4"/>
    <x v="1"/>
    <x v="0"/>
  </r>
  <r>
    <s v="AX19943"/>
    <s v="ENX2025"/>
    <s v="A144"/>
    <s v="EMP1025"/>
    <s v="C1142"/>
    <x v="736"/>
    <n v="1"/>
    <n v="667"/>
    <n v="387"/>
    <n v="387"/>
    <n v="667"/>
    <n v="280"/>
    <s v="Product 26"/>
    <x v="65"/>
    <s v="Ernest Wagner"/>
    <x v="731"/>
    <n v="7"/>
    <x v="6"/>
    <x v="4"/>
    <x v="4"/>
    <x v="1"/>
    <x v="0"/>
  </r>
  <r>
    <s v="AX20360"/>
    <s v="ENX2054"/>
    <s v="A134"/>
    <s v="EMP1044"/>
    <s v="C1322"/>
    <x v="735"/>
    <n v="3"/>
    <n v="127"/>
    <n v="79"/>
    <n v="237"/>
    <n v="381"/>
    <n v="144"/>
    <s v="Product 55"/>
    <x v="41"/>
    <s v="Martin Carr"/>
    <x v="604"/>
    <n v="7"/>
    <x v="6"/>
    <x v="4"/>
    <x v="4"/>
    <x v="1"/>
    <x v="0"/>
  </r>
  <r>
    <s v="AX20556"/>
    <s v="ENX2075"/>
    <s v="A132"/>
    <s v="EMP1018"/>
    <s v="C1105"/>
    <x v="739"/>
    <n v="1"/>
    <n v="400"/>
    <n v="208"/>
    <n v="208"/>
    <n v="400"/>
    <n v="192"/>
    <s v="Product 76"/>
    <x v="48"/>
    <s v="Jimmy Young"/>
    <x v="15"/>
    <n v="7"/>
    <x v="6"/>
    <x v="4"/>
    <x v="4"/>
    <x v="1"/>
    <x v="0"/>
  </r>
  <r>
    <s v="AX20578"/>
    <s v="ENX2013"/>
    <s v="A153"/>
    <s v="EMP1014"/>
    <s v="C1220"/>
    <x v="738"/>
    <n v="4"/>
    <n v="368"/>
    <n v="269"/>
    <n v="1076"/>
    <n v="1472"/>
    <n v="396"/>
    <s v="Product 14"/>
    <x v="8"/>
    <s v="Ronald Reed"/>
    <x v="204"/>
    <n v="7"/>
    <x v="6"/>
    <x v="4"/>
    <x v="4"/>
    <x v="1"/>
    <x v="0"/>
  </r>
  <r>
    <s v="AX21588"/>
    <s v="ENX2060"/>
    <s v="A144"/>
    <s v="EMP1034"/>
    <s v="C1340"/>
    <x v="739"/>
    <n v="3"/>
    <n v="1467"/>
    <n v="807"/>
    <n v="2421"/>
    <n v="4401"/>
    <n v="1980"/>
    <s v="Product 61"/>
    <x v="65"/>
    <s v="Arthur Mccoy"/>
    <x v="433"/>
    <n v="7"/>
    <x v="6"/>
    <x v="4"/>
    <x v="4"/>
    <x v="1"/>
    <x v="0"/>
  </r>
  <r>
    <s v="AX21999"/>
    <s v="ENX2089"/>
    <s v="A123"/>
    <s v="EMP1028"/>
    <s v="C1020"/>
    <x v="737"/>
    <n v="1"/>
    <n v="2294"/>
    <n v="1399"/>
    <n v="1399"/>
    <n v="2294"/>
    <n v="895"/>
    <s v="Product 90"/>
    <x v="34"/>
    <s v="Howard Sims"/>
    <x v="423"/>
    <n v="7"/>
    <x v="6"/>
    <x v="4"/>
    <x v="4"/>
    <x v="1"/>
    <x v="0"/>
  </r>
  <r>
    <s v="AX22056"/>
    <s v="ENX2093"/>
    <s v="A167"/>
    <s v="EMP1018"/>
    <s v="C1294"/>
    <x v="737"/>
    <n v="2"/>
    <n v="112"/>
    <n v="90"/>
    <n v="180"/>
    <n v="224"/>
    <n v="44"/>
    <s v="Product 94"/>
    <x v="64"/>
    <s v="Jimmy Young"/>
    <x v="419"/>
    <n v="7"/>
    <x v="6"/>
    <x v="4"/>
    <x v="4"/>
    <x v="1"/>
    <x v="0"/>
  </r>
  <r>
    <s v="AX22777"/>
    <s v="ENX2036"/>
    <s v="A117"/>
    <s v="EMP1040"/>
    <s v="C1728"/>
    <x v="736"/>
    <n v="1"/>
    <n v="1582"/>
    <n v="1234"/>
    <n v="1234"/>
    <n v="1582"/>
    <n v="348"/>
    <s v="Product 37"/>
    <x v="29"/>
    <s v="Patrick Ruiz"/>
    <x v="446"/>
    <n v="7"/>
    <x v="6"/>
    <x v="4"/>
    <x v="4"/>
    <x v="1"/>
    <x v="0"/>
  </r>
  <r>
    <s v="AX23063"/>
    <s v="ENX2060"/>
    <s v="A128"/>
    <s v="EMP1008"/>
    <s v="C1486"/>
    <x v="738"/>
    <n v="4"/>
    <n v="1467"/>
    <n v="807"/>
    <n v="3228"/>
    <n v="5868"/>
    <n v="2640"/>
    <s v="Product 61"/>
    <x v="12"/>
    <s v="Carl Elliott"/>
    <x v="357"/>
    <n v="7"/>
    <x v="6"/>
    <x v="4"/>
    <x v="4"/>
    <x v="1"/>
    <x v="0"/>
  </r>
  <r>
    <s v="AX23267"/>
    <s v="ENX2000"/>
    <s v="A106"/>
    <s v="EMP1039"/>
    <s v="C1628"/>
    <x v="736"/>
    <n v="2"/>
    <n v="2241"/>
    <n v="1367"/>
    <n v="2734"/>
    <n v="4482"/>
    <n v="1748"/>
    <s v="Product 1"/>
    <x v="11"/>
    <s v="Eugene Holmes"/>
    <x v="161"/>
    <n v="7"/>
    <x v="6"/>
    <x v="4"/>
    <x v="4"/>
    <x v="1"/>
    <x v="0"/>
  </r>
  <r>
    <s v="AX23286"/>
    <s v="ENX2091"/>
    <s v="A148"/>
    <s v="EMP1013"/>
    <s v="C1254"/>
    <x v="737"/>
    <n v="4"/>
    <n v="368"/>
    <n v="294"/>
    <n v="1176"/>
    <n v="1472"/>
    <n v="296"/>
    <s v="Product 92"/>
    <x v="62"/>
    <s v="Charles Harper"/>
    <x v="104"/>
    <n v="7"/>
    <x v="6"/>
    <x v="4"/>
    <x v="4"/>
    <x v="1"/>
    <x v="0"/>
  </r>
  <r>
    <s v="AX23425"/>
    <s v="ENX2062"/>
    <s v="A144"/>
    <s v="EMP1031"/>
    <s v="C1590"/>
    <x v="736"/>
    <n v="4"/>
    <n v="2464"/>
    <n v="1774"/>
    <n v="7096"/>
    <n v="9856"/>
    <n v="2760"/>
    <s v="Product 63"/>
    <x v="65"/>
    <s v="Brian Thomas"/>
    <x v="735"/>
    <n v="7"/>
    <x v="6"/>
    <x v="4"/>
    <x v="4"/>
    <x v="1"/>
    <x v="0"/>
  </r>
  <r>
    <s v="AX23961"/>
    <s v="ENX2089"/>
    <s v="A152"/>
    <s v="EMP1011"/>
    <s v="C1124"/>
    <x v="737"/>
    <n v="1"/>
    <n v="2294"/>
    <n v="1399"/>
    <n v="1399"/>
    <n v="2294"/>
    <n v="895"/>
    <s v="Product 90"/>
    <x v="26"/>
    <s v="Larry Marshall"/>
    <x v="102"/>
    <n v="7"/>
    <x v="6"/>
    <x v="4"/>
    <x v="4"/>
    <x v="1"/>
    <x v="0"/>
  </r>
  <r>
    <s v="AX24014"/>
    <s v="ENX2059"/>
    <s v="A110"/>
    <s v="EMP1023"/>
    <s v="C1735"/>
    <x v="738"/>
    <n v="2"/>
    <n v="1494"/>
    <n v="971"/>
    <n v="1942"/>
    <n v="2988"/>
    <n v="1046"/>
    <s v="Product 60"/>
    <x v="63"/>
    <s v="Brian Davis"/>
    <x v="8"/>
    <n v="7"/>
    <x v="6"/>
    <x v="4"/>
    <x v="4"/>
    <x v="1"/>
    <x v="0"/>
  </r>
  <r>
    <s v="AX24037"/>
    <s v="ENX2069"/>
    <s v="A126"/>
    <s v="EMP1028"/>
    <s v="C1513"/>
    <x v="739"/>
    <n v="2"/>
    <n v="378"/>
    <n v="291"/>
    <n v="582"/>
    <n v="756"/>
    <n v="174"/>
    <s v="Product 70"/>
    <x v="5"/>
    <s v="Howard Sims"/>
    <x v="414"/>
    <n v="7"/>
    <x v="6"/>
    <x v="4"/>
    <x v="4"/>
    <x v="1"/>
    <x v="0"/>
  </r>
  <r>
    <s v="AX10578"/>
    <s v="ENX2081"/>
    <s v="A159"/>
    <s v="EMP1010"/>
    <s v="C1131"/>
    <x v="740"/>
    <n v="1"/>
    <n v="1566"/>
    <n v="1190"/>
    <n v="1190"/>
    <n v="1566"/>
    <n v="376"/>
    <s v="Product 82"/>
    <x v="13"/>
    <s v="Joshua Cook"/>
    <x v="76"/>
    <n v="7"/>
    <x v="6"/>
    <x v="4"/>
    <x v="4"/>
    <x v="1"/>
    <x v="2"/>
  </r>
  <r>
    <s v="AX10755"/>
    <s v="ENX2088"/>
    <s v="A123"/>
    <s v="EMP1023"/>
    <s v="C1169"/>
    <x v="741"/>
    <n v="2"/>
    <n v="603"/>
    <n v="416"/>
    <n v="832"/>
    <n v="1206"/>
    <n v="374"/>
    <s v="Product 89"/>
    <x v="34"/>
    <s v="Brian Davis"/>
    <x v="293"/>
    <n v="7"/>
    <x v="6"/>
    <x v="4"/>
    <x v="4"/>
    <x v="1"/>
    <x v="2"/>
  </r>
  <r>
    <s v="AX10785"/>
    <s v="ENX2037"/>
    <s v="A118"/>
    <s v="EMP1017"/>
    <s v="C1195"/>
    <x v="742"/>
    <n v="1"/>
    <n v="880"/>
    <n v="634"/>
    <n v="634"/>
    <n v="880"/>
    <n v="246"/>
    <s v="Product 38"/>
    <x v="19"/>
    <s v="Brian Hansen"/>
    <x v="188"/>
    <n v="7"/>
    <x v="6"/>
    <x v="4"/>
    <x v="4"/>
    <x v="1"/>
    <x v="2"/>
  </r>
  <r>
    <s v="AX11701"/>
    <s v="ENX2052"/>
    <s v="A167"/>
    <s v="EMP1009"/>
    <s v="C1081"/>
    <x v="741"/>
    <n v="1"/>
    <n v="1526"/>
    <n v="1251"/>
    <n v="1251"/>
    <n v="1526"/>
    <n v="275"/>
    <s v="Product 53"/>
    <x v="64"/>
    <s v="Kenneth Fields"/>
    <x v="168"/>
    <n v="7"/>
    <x v="6"/>
    <x v="4"/>
    <x v="4"/>
    <x v="1"/>
    <x v="2"/>
  </r>
  <r>
    <s v="AX11744"/>
    <s v="ENX2063"/>
    <s v="A161"/>
    <s v="EMP1035"/>
    <s v="C1345"/>
    <x v="742"/>
    <n v="4"/>
    <n v="1708"/>
    <n v="871"/>
    <n v="3484"/>
    <n v="6832"/>
    <n v="3348"/>
    <s v="Product 64"/>
    <x v="6"/>
    <s v="Roger Ramos"/>
    <x v="567"/>
    <n v="7"/>
    <x v="6"/>
    <x v="4"/>
    <x v="4"/>
    <x v="1"/>
    <x v="2"/>
  </r>
  <r>
    <s v="AX11956"/>
    <s v="ENX2027"/>
    <s v="A111"/>
    <s v="EMP1019"/>
    <s v="C1796"/>
    <x v="742"/>
    <n v="1"/>
    <n v="2497"/>
    <n v="1473"/>
    <n v="1473"/>
    <n v="2497"/>
    <n v="1024"/>
    <s v="Product 28"/>
    <x v="54"/>
    <s v="Roger Robertson"/>
    <x v="630"/>
    <n v="7"/>
    <x v="6"/>
    <x v="4"/>
    <x v="4"/>
    <x v="1"/>
    <x v="2"/>
  </r>
  <r>
    <s v="AX12069"/>
    <s v="ENX2044"/>
    <s v="A100"/>
    <s v="EMP1020"/>
    <s v="C1131"/>
    <x v="741"/>
    <n v="2"/>
    <n v="886"/>
    <n v="478"/>
    <n v="956"/>
    <n v="1772"/>
    <n v="816"/>
    <s v="Product 45"/>
    <x v="52"/>
    <s v="Ryan Butler"/>
    <x v="76"/>
    <n v="7"/>
    <x v="6"/>
    <x v="4"/>
    <x v="4"/>
    <x v="1"/>
    <x v="2"/>
  </r>
  <r>
    <s v="AX12206"/>
    <s v="ENX2046"/>
    <s v="A143"/>
    <s v="EMP1033"/>
    <s v="C1554"/>
    <x v="742"/>
    <n v="1"/>
    <n v="2410"/>
    <n v="1518"/>
    <n v="1518"/>
    <n v="2410"/>
    <n v="892"/>
    <s v="Product 47"/>
    <x v="39"/>
    <s v="Jerry Perry"/>
    <x v="516"/>
    <n v="7"/>
    <x v="6"/>
    <x v="4"/>
    <x v="4"/>
    <x v="1"/>
    <x v="2"/>
  </r>
  <r>
    <s v="AX12352"/>
    <s v="ENX2023"/>
    <s v="A169"/>
    <s v="EMP1033"/>
    <s v="C1298"/>
    <x v="742"/>
    <n v="1"/>
    <n v="818"/>
    <n v="450"/>
    <n v="450"/>
    <n v="818"/>
    <n v="368"/>
    <s v="Product 24"/>
    <x v="17"/>
    <s v="Jerry Perry"/>
    <x v="623"/>
    <n v="7"/>
    <x v="6"/>
    <x v="4"/>
    <x v="4"/>
    <x v="1"/>
    <x v="2"/>
  </r>
  <r>
    <s v="AX12588"/>
    <s v="ENX2075"/>
    <s v="A148"/>
    <s v="EMP1017"/>
    <s v="C1779"/>
    <x v="742"/>
    <n v="1"/>
    <n v="400"/>
    <n v="208"/>
    <n v="208"/>
    <n v="400"/>
    <n v="192"/>
    <s v="Product 76"/>
    <x v="62"/>
    <s v="Brian Hansen"/>
    <x v="648"/>
    <n v="7"/>
    <x v="6"/>
    <x v="4"/>
    <x v="4"/>
    <x v="1"/>
    <x v="2"/>
  </r>
  <r>
    <s v="AX12775"/>
    <s v="ENX2093"/>
    <s v="A145"/>
    <s v="EMP1014"/>
    <s v="C1343"/>
    <x v="742"/>
    <n v="2"/>
    <n v="112"/>
    <n v="90"/>
    <n v="180"/>
    <n v="224"/>
    <n v="44"/>
    <s v="Product 94"/>
    <x v="35"/>
    <s v="Ronald Reed"/>
    <x v="175"/>
    <n v="7"/>
    <x v="6"/>
    <x v="4"/>
    <x v="4"/>
    <x v="1"/>
    <x v="2"/>
  </r>
  <r>
    <s v="AX12778"/>
    <s v="ENX2001"/>
    <s v="A156"/>
    <s v="EMP1019"/>
    <s v="C1522"/>
    <x v="740"/>
    <n v="3"/>
    <n v="951"/>
    <n v="504"/>
    <n v="1512"/>
    <n v="2853"/>
    <n v="1341"/>
    <s v="Product 2"/>
    <x v="14"/>
    <s v="Roger Robertson"/>
    <x v="121"/>
    <n v="7"/>
    <x v="6"/>
    <x v="4"/>
    <x v="4"/>
    <x v="1"/>
    <x v="2"/>
  </r>
  <r>
    <s v="AX13220"/>
    <s v="ENX2062"/>
    <s v="A147"/>
    <s v="EMP1027"/>
    <s v="C1639"/>
    <x v="743"/>
    <n v="1"/>
    <n v="2464"/>
    <n v="1774"/>
    <n v="1774"/>
    <n v="2464"/>
    <n v="690"/>
    <s v="Product 63"/>
    <x v="42"/>
    <s v="Gary Rodriguez"/>
    <x v="30"/>
    <n v="7"/>
    <x v="6"/>
    <x v="4"/>
    <x v="4"/>
    <x v="1"/>
    <x v="2"/>
  </r>
  <r>
    <s v="AX13282"/>
    <s v="ENX2029"/>
    <s v="A106"/>
    <s v="EMP1019"/>
    <s v="C1457"/>
    <x v="740"/>
    <n v="2"/>
    <n v="1848"/>
    <n v="1294"/>
    <n v="2588"/>
    <n v="3696"/>
    <n v="1108"/>
    <s v="Product 30"/>
    <x v="11"/>
    <s v="Roger Robertson"/>
    <x v="522"/>
    <n v="7"/>
    <x v="6"/>
    <x v="4"/>
    <x v="4"/>
    <x v="1"/>
    <x v="2"/>
  </r>
  <r>
    <s v="AX13310"/>
    <s v="ENX2026"/>
    <s v="A116"/>
    <s v="EMP1042"/>
    <s v="C1062"/>
    <x v="742"/>
    <n v="1"/>
    <n v="947"/>
    <n v="786"/>
    <n v="786"/>
    <n v="947"/>
    <n v="161"/>
    <s v="Product 27"/>
    <x v="15"/>
    <s v="Scott Clark"/>
    <x v="595"/>
    <n v="7"/>
    <x v="6"/>
    <x v="4"/>
    <x v="4"/>
    <x v="1"/>
    <x v="2"/>
  </r>
  <r>
    <s v="AX13365"/>
    <s v="ENX2089"/>
    <s v="A111"/>
    <s v="EMP1034"/>
    <s v="C1001"/>
    <x v="740"/>
    <n v="1"/>
    <n v="2294"/>
    <n v="1399"/>
    <n v="1399"/>
    <n v="2294"/>
    <n v="895"/>
    <s v="Product 90"/>
    <x v="54"/>
    <s v="Arthur Mccoy"/>
    <x v="725"/>
    <n v="7"/>
    <x v="6"/>
    <x v="4"/>
    <x v="4"/>
    <x v="1"/>
    <x v="2"/>
  </r>
  <r>
    <s v="AX13369"/>
    <s v="ENX2091"/>
    <s v="A142"/>
    <s v="EMP1009"/>
    <s v="C1615"/>
    <x v="742"/>
    <n v="1"/>
    <n v="368"/>
    <n v="294"/>
    <n v="294"/>
    <n v="368"/>
    <n v="74"/>
    <s v="Product 92"/>
    <x v="56"/>
    <s v="Kenneth Fields"/>
    <x v="457"/>
    <n v="7"/>
    <x v="6"/>
    <x v="4"/>
    <x v="4"/>
    <x v="1"/>
    <x v="2"/>
  </r>
  <r>
    <s v="AX13427"/>
    <s v="ENX2000"/>
    <s v="A144"/>
    <s v="EMP1001"/>
    <s v="C1007"/>
    <x v="740"/>
    <n v="1"/>
    <n v="2241"/>
    <n v="1367"/>
    <n v="1367"/>
    <n v="2241"/>
    <n v="874"/>
    <s v="Product 1"/>
    <x v="65"/>
    <s v="Kevin Butler"/>
    <x v="413"/>
    <n v="7"/>
    <x v="6"/>
    <x v="4"/>
    <x v="4"/>
    <x v="1"/>
    <x v="2"/>
  </r>
  <r>
    <s v="AX13829"/>
    <s v="ENX2010"/>
    <s v="A100"/>
    <s v="EMP1022"/>
    <s v="C1361"/>
    <x v="743"/>
    <n v="4"/>
    <n v="1812"/>
    <n v="1305"/>
    <n v="5220"/>
    <n v="7248"/>
    <n v="2028"/>
    <s v="Product 11"/>
    <x v="52"/>
    <s v="Walter Cook"/>
    <x v="706"/>
    <n v="7"/>
    <x v="6"/>
    <x v="4"/>
    <x v="4"/>
    <x v="1"/>
    <x v="2"/>
  </r>
  <r>
    <s v="AX14071"/>
    <s v="ENX2057"/>
    <s v="A128"/>
    <s v="EMP1004"/>
    <s v="C1702"/>
    <x v="741"/>
    <n v="2"/>
    <n v="181"/>
    <n v="130"/>
    <n v="260"/>
    <n v="362"/>
    <n v="102"/>
    <s v="Product 58"/>
    <x v="12"/>
    <s v="Kenneth Bradley"/>
    <x v="70"/>
    <n v="7"/>
    <x v="6"/>
    <x v="4"/>
    <x v="4"/>
    <x v="1"/>
    <x v="2"/>
  </r>
  <r>
    <s v="AX14477"/>
    <s v="ENX2030"/>
    <s v="A129"/>
    <s v="EMP1011"/>
    <s v="C1088"/>
    <x v="741"/>
    <n v="2"/>
    <n v="1899"/>
    <n v="1044"/>
    <n v="2088"/>
    <n v="3798"/>
    <n v="1710"/>
    <s v="Product 31"/>
    <x v="22"/>
    <s v="Larry Marshall"/>
    <x v="498"/>
    <n v="7"/>
    <x v="6"/>
    <x v="4"/>
    <x v="4"/>
    <x v="1"/>
    <x v="2"/>
  </r>
  <r>
    <s v="AX15286"/>
    <s v="ENX2066"/>
    <s v="A149"/>
    <s v="EMP1009"/>
    <s v="C1654"/>
    <x v="740"/>
    <n v="1"/>
    <n v="2091"/>
    <n v="1485"/>
    <n v="1485"/>
    <n v="2091"/>
    <n v="606"/>
    <s v="Product 67"/>
    <x v="59"/>
    <s v="Kenneth Fields"/>
    <x v="351"/>
    <n v="7"/>
    <x v="6"/>
    <x v="4"/>
    <x v="4"/>
    <x v="1"/>
    <x v="2"/>
  </r>
  <r>
    <s v="AX15377"/>
    <s v="ENX2100"/>
    <s v="A135"/>
    <s v="EMP1021"/>
    <s v="C1364"/>
    <x v="741"/>
    <n v="1"/>
    <n v="799"/>
    <n v="455"/>
    <n v="455"/>
    <n v="799"/>
    <n v="344"/>
    <s v="Product 101"/>
    <x v="10"/>
    <s v="Clarence Fox"/>
    <x v="477"/>
    <n v="7"/>
    <x v="6"/>
    <x v="4"/>
    <x v="4"/>
    <x v="1"/>
    <x v="2"/>
  </r>
  <r>
    <s v="AX15774"/>
    <s v="ENX2040"/>
    <s v="A139"/>
    <s v="EMP1040"/>
    <s v="C1563"/>
    <x v="742"/>
    <n v="3"/>
    <n v="1889"/>
    <n v="945"/>
    <n v="2835"/>
    <n v="5667"/>
    <n v="2832"/>
    <s v="Product 41"/>
    <x v="38"/>
    <s v="Patrick Ruiz"/>
    <x v="130"/>
    <n v="7"/>
    <x v="6"/>
    <x v="4"/>
    <x v="4"/>
    <x v="1"/>
    <x v="2"/>
  </r>
  <r>
    <s v="AX16048"/>
    <s v="ENX2047"/>
    <s v="A147"/>
    <s v="EMP1019"/>
    <s v="C1731"/>
    <x v="743"/>
    <n v="3"/>
    <n v="290"/>
    <n v="200"/>
    <n v="600"/>
    <n v="870"/>
    <n v="270"/>
    <s v="Product 48"/>
    <x v="42"/>
    <s v="Roger Robertson"/>
    <x v="762"/>
    <n v="7"/>
    <x v="6"/>
    <x v="4"/>
    <x v="4"/>
    <x v="1"/>
    <x v="2"/>
  </r>
  <r>
    <s v="AX16267"/>
    <s v="ENX2072"/>
    <s v="A154"/>
    <s v="EMP1002"/>
    <s v="C1518"/>
    <x v="740"/>
    <n v="1"/>
    <n v="1887"/>
    <n v="1378"/>
    <n v="1378"/>
    <n v="1887"/>
    <n v="509"/>
    <s v="Product 73"/>
    <x v="24"/>
    <s v="Andrew Bowman"/>
    <x v="703"/>
    <n v="7"/>
    <x v="6"/>
    <x v="4"/>
    <x v="4"/>
    <x v="1"/>
    <x v="2"/>
  </r>
  <r>
    <s v="AX16391"/>
    <s v="ENX2006"/>
    <s v="A137"/>
    <s v="EMP1012"/>
    <s v="C1043"/>
    <x v="742"/>
    <n v="1"/>
    <n v="1826"/>
    <n v="1443"/>
    <n v="1443"/>
    <n v="1826"/>
    <n v="383"/>
    <s v="Product 7"/>
    <x v="68"/>
    <s v="John Reyes"/>
    <x v="546"/>
    <n v="7"/>
    <x v="6"/>
    <x v="4"/>
    <x v="4"/>
    <x v="1"/>
    <x v="2"/>
  </r>
  <r>
    <s v="AX16462"/>
    <s v="ENX2044"/>
    <s v="A141"/>
    <s v="EMP1029"/>
    <s v="C1147"/>
    <x v="743"/>
    <n v="2"/>
    <n v="886"/>
    <n v="478"/>
    <n v="956"/>
    <n v="1772"/>
    <n v="816"/>
    <s v="Product 45"/>
    <x v="23"/>
    <s v="Howard Gardner"/>
    <x v="427"/>
    <n v="7"/>
    <x v="6"/>
    <x v="4"/>
    <x v="4"/>
    <x v="1"/>
    <x v="2"/>
  </r>
  <r>
    <s v="AX16562"/>
    <s v="ENX2035"/>
    <s v="A109"/>
    <s v="EMP1043"/>
    <s v="C1707"/>
    <x v="741"/>
    <n v="2"/>
    <n v="458"/>
    <n v="376"/>
    <n v="752"/>
    <n v="916"/>
    <n v="164"/>
    <s v="Product 36"/>
    <x v="57"/>
    <s v="Joshua Taylor"/>
    <x v="192"/>
    <n v="7"/>
    <x v="6"/>
    <x v="4"/>
    <x v="4"/>
    <x v="1"/>
    <x v="2"/>
  </r>
  <r>
    <s v="AX17030"/>
    <s v="ENX2077"/>
    <s v="A139"/>
    <s v="EMP1022"/>
    <s v="C1681"/>
    <x v="741"/>
    <n v="1"/>
    <n v="530"/>
    <n v="424"/>
    <n v="424"/>
    <n v="530"/>
    <n v="106"/>
    <s v="Product 78"/>
    <x v="38"/>
    <s v="Walter Cook"/>
    <x v="235"/>
    <n v="7"/>
    <x v="6"/>
    <x v="4"/>
    <x v="4"/>
    <x v="1"/>
    <x v="2"/>
  </r>
  <r>
    <s v="AX17429"/>
    <s v="ENX2046"/>
    <s v="A129"/>
    <s v="EMP1034"/>
    <s v="C1115"/>
    <x v="741"/>
    <n v="2"/>
    <n v="2410"/>
    <n v="1518"/>
    <n v="3036"/>
    <n v="4820"/>
    <n v="1784"/>
    <s v="Product 47"/>
    <x v="22"/>
    <s v="Arthur Mccoy"/>
    <x v="338"/>
    <n v="7"/>
    <x v="6"/>
    <x v="4"/>
    <x v="4"/>
    <x v="1"/>
    <x v="2"/>
  </r>
  <r>
    <s v="AX17500"/>
    <s v="ENX2083"/>
    <s v="A121"/>
    <s v="EMP1025"/>
    <s v="C1440"/>
    <x v="741"/>
    <n v="2"/>
    <n v="2141"/>
    <n v="1777"/>
    <n v="3554"/>
    <n v="4282"/>
    <n v="728"/>
    <s v="Product 84"/>
    <x v="72"/>
    <s v="Ernest Wagner"/>
    <x v="52"/>
    <n v="7"/>
    <x v="6"/>
    <x v="4"/>
    <x v="4"/>
    <x v="1"/>
    <x v="2"/>
  </r>
  <r>
    <s v="AX17557"/>
    <s v="ENX2059"/>
    <s v="A131"/>
    <s v="EMP1001"/>
    <s v="C1427"/>
    <x v="741"/>
    <n v="1"/>
    <n v="1494"/>
    <n v="971"/>
    <n v="971"/>
    <n v="1494"/>
    <n v="523"/>
    <s v="Product 60"/>
    <x v="32"/>
    <s v="Kevin Butler"/>
    <x v="768"/>
    <n v="7"/>
    <x v="6"/>
    <x v="4"/>
    <x v="4"/>
    <x v="1"/>
    <x v="2"/>
  </r>
  <r>
    <s v="AX17569"/>
    <s v="ENX2028"/>
    <s v="A138"/>
    <s v="EMP1024"/>
    <s v="C1761"/>
    <x v="743"/>
    <n v="3"/>
    <n v="2283"/>
    <n v="1484"/>
    <n v="4452"/>
    <n v="6849"/>
    <n v="2397"/>
    <s v="Product 29"/>
    <x v="37"/>
    <s v="Ernest Wheeler"/>
    <x v="618"/>
    <n v="7"/>
    <x v="6"/>
    <x v="4"/>
    <x v="4"/>
    <x v="1"/>
    <x v="2"/>
  </r>
  <r>
    <s v="AX17743"/>
    <s v="ENX2054"/>
    <s v="A153"/>
    <s v="EMP1032"/>
    <s v="C1256"/>
    <x v="740"/>
    <n v="2"/>
    <n v="127"/>
    <n v="79"/>
    <n v="158"/>
    <n v="254"/>
    <n v="96"/>
    <s v="Product 55"/>
    <x v="8"/>
    <s v="Larry Castillo"/>
    <x v="524"/>
    <n v="7"/>
    <x v="6"/>
    <x v="4"/>
    <x v="4"/>
    <x v="1"/>
    <x v="2"/>
  </r>
  <r>
    <s v="AX17908"/>
    <s v="ENX2004"/>
    <s v="A133"/>
    <s v="EMP1039"/>
    <s v="C1690"/>
    <x v="741"/>
    <n v="2"/>
    <n v="1278"/>
    <n v="665"/>
    <n v="1330"/>
    <n v="2556"/>
    <n v="1226"/>
    <s v="Product 5"/>
    <x v="46"/>
    <s v="Eugene Holmes"/>
    <x v="185"/>
    <n v="7"/>
    <x v="6"/>
    <x v="4"/>
    <x v="4"/>
    <x v="1"/>
    <x v="2"/>
  </r>
  <r>
    <s v="AX19146"/>
    <s v="ENX2067"/>
    <s v="A117"/>
    <s v="EMP1040"/>
    <s v="C1532"/>
    <x v="740"/>
    <n v="3"/>
    <n v="1119"/>
    <n v="683"/>
    <n v="2049"/>
    <n v="3357"/>
    <n v="1308"/>
    <s v="Product 68"/>
    <x v="29"/>
    <s v="Patrick Ruiz"/>
    <x v="103"/>
    <n v="7"/>
    <x v="6"/>
    <x v="4"/>
    <x v="4"/>
    <x v="1"/>
    <x v="2"/>
  </r>
  <r>
    <s v="AX19297"/>
    <s v="ENX2068"/>
    <s v="A103"/>
    <s v="EMP1012"/>
    <s v="C1197"/>
    <x v="743"/>
    <n v="2"/>
    <n v="1500"/>
    <n v="900"/>
    <n v="1800"/>
    <n v="3000"/>
    <n v="1200"/>
    <s v="Product 69"/>
    <x v="61"/>
    <s v="John Reyes"/>
    <x v="718"/>
    <n v="7"/>
    <x v="6"/>
    <x v="4"/>
    <x v="4"/>
    <x v="1"/>
    <x v="2"/>
  </r>
  <r>
    <s v="AX19614"/>
    <s v="ENX2063"/>
    <s v="A105"/>
    <s v="EMP1020"/>
    <s v="C1709"/>
    <x v="742"/>
    <n v="1"/>
    <n v="1708"/>
    <n v="871"/>
    <n v="871"/>
    <n v="1708"/>
    <n v="837"/>
    <s v="Product 64"/>
    <x v="45"/>
    <s v="Ryan Butler"/>
    <x v="203"/>
    <n v="7"/>
    <x v="6"/>
    <x v="4"/>
    <x v="4"/>
    <x v="1"/>
    <x v="2"/>
  </r>
  <r>
    <s v="AX19890"/>
    <s v="ENX2003"/>
    <s v="A108"/>
    <s v="EMP1042"/>
    <s v="C1045"/>
    <x v="743"/>
    <n v="2"/>
    <n v="1783"/>
    <n v="1516"/>
    <n v="3032"/>
    <n v="3566"/>
    <n v="534"/>
    <s v="Product 4"/>
    <x v="49"/>
    <s v="Scott Clark"/>
    <x v="444"/>
    <n v="7"/>
    <x v="6"/>
    <x v="4"/>
    <x v="4"/>
    <x v="1"/>
    <x v="2"/>
  </r>
  <r>
    <s v="AX19930"/>
    <s v="ENX2084"/>
    <s v="A143"/>
    <s v="EMP1014"/>
    <s v="C1715"/>
    <x v="741"/>
    <n v="1"/>
    <n v="1783"/>
    <n v="1230"/>
    <n v="1230"/>
    <n v="1783"/>
    <n v="553"/>
    <s v="Product 85"/>
    <x v="39"/>
    <s v="Ronald Reed"/>
    <x v="342"/>
    <n v="7"/>
    <x v="6"/>
    <x v="4"/>
    <x v="4"/>
    <x v="1"/>
    <x v="2"/>
  </r>
  <r>
    <s v="AX20371"/>
    <s v="ENX2059"/>
    <s v="A161"/>
    <s v="EMP1000"/>
    <s v="C1738"/>
    <x v="742"/>
    <n v="3"/>
    <n v="1494"/>
    <n v="971"/>
    <n v="2913"/>
    <n v="4482"/>
    <n v="1569"/>
    <s v="Product 60"/>
    <x v="6"/>
    <s v="Fred Robertson"/>
    <x v="35"/>
    <n v="7"/>
    <x v="6"/>
    <x v="4"/>
    <x v="4"/>
    <x v="1"/>
    <x v="2"/>
  </r>
  <r>
    <s v="AX20937"/>
    <s v="ENX2024"/>
    <s v="A119"/>
    <s v="EMP1006"/>
    <s v="C1174"/>
    <x v="740"/>
    <n v="1"/>
    <n v="356"/>
    <n v="292"/>
    <n v="292"/>
    <n v="356"/>
    <n v="64"/>
    <s v="Product 25"/>
    <x v="16"/>
    <s v="Sean Miller"/>
    <x v="715"/>
    <n v="7"/>
    <x v="6"/>
    <x v="4"/>
    <x v="4"/>
    <x v="1"/>
    <x v="2"/>
  </r>
  <r>
    <s v="AX21318"/>
    <s v="ENX2070"/>
    <s v="A127"/>
    <s v="EMP1014"/>
    <s v="C1688"/>
    <x v="740"/>
    <n v="2"/>
    <n v="1671"/>
    <n v="1220"/>
    <n v="2440"/>
    <n v="3342"/>
    <n v="902"/>
    <s v="Product 71"/>
    <x v="69"/>
    <s v="Ronald Reed"/>
    <x v="213"/>
    <n v="7"/>
    <x v="6"/>
    <x v="4"/>
    <x v="4"/>
    <x v="1"/>
    <x v="2"/>
  </r>
  <r>
    <s v="AX21339"/>
    <s v="ENX2031"/>
    <s v="A122"/>
    <s v="EMP1037"/>
    <s v="C1235"/>
    <x v="741"/>
    <n v="4"/>
    <n v="1638"/>
    <n v="1261"/>
    <n v="5044"/>
    <n v="6552"/>
    <n v="1508"/>
    <s v="Product 32"/>
    <x v="71"/>
    <s v="Carl Hall"/>
    <x v="353"/>
    <n v="7"/>
    <x v="6"/>
    <x v="4"/>
    <x v="4"/>
    <x v="1"/>
    <x v="2"/>
  </r>
  <r>
    <s v="AX21369"/>
    <s v="ENX2015"/>
    <s v="A109"/>
    <s v="EMP1038"/>
    <s v="C1602"/>
    <x v="743"/>
    <n v="4"/>
    <n v="637"/>
    <n v="389"/>
    <n v="1556"/>
    <n v="2548"/>
    <n v="992"/>
    <s v="Product 16"/>
    <x v="57"/>
    <s v="Scott Mason"/>
    <x v="749"/>
    <n v="7"/>
    <x v="6"/>
    <x v="4"/>
    <x v="4"/>
    <x v="1"/>
    <x v="2"/>
  </r>
  <r>
    <s v="AX22025"/>
    <s v="ENX2095"/>
    <s v="A102"/>
    <s v="EMP1023"/>
    <s v="C1529"/>
    <x v="743"/>
    <n v="1"/>
    <n v="1743"/>
    <n v="872"/>
    <n v="872"/>
    <n v="1743"/>
    <n v="871"/>
    <s v="Product 96"/>
    <x v="44"/>
    <s v="Brian Davis"/>
    <x v="247"/>
    <n v="7"/>
    <x v="6"/>
    <x v="4"/>
    <x v="4"/>
    <x v="1"/>
    <x v="2"/>
  </r>
  <r>
    <s v="AX22561"/>
    <s v="ENX2066"/>
    <s v="A114"/>
    <s v="EMP1039"/>
    <s v="C1781"/>
    <x v="741"/>
    <n v="2"/>
    <n v="2091"/>
    <n v="1485"/>
    <n v="2970"/>
    <n v="4182"/>
    <n v="1212"/>
    <s v="Product 67"/>
    <x v="28"/>
    <s v="Eugene Holmes"/>
    <x v="606"/>
    <n v="7"/>
    <x v="6"/>
    <x v="4"/>
    <x v="4"/>
    <x v="1"/>
    <x v="2"/>
  </r>
  <r>
    <s v="AX23027"/>
    <s v="ENX2016"/>
    <s v="A112"/>
    <s v="EMP1007"/>
    <s v="C1095"/>
    <x v="743"/>
    <n v="1"/>
    <n v="1351"/>
    <n v="1108"/>
    <n v="1108"/>
    <n v="1351"/>
    <n v="243"/>
    <s v="Product 17"/>
    <x v="66"/>
    <s v="Jeremy Mendoza"/>
    <x v="240"/>
    <n v="7"/>
    <x v="6"/>
    <x v="4"/>
    <x v="4"/>
    <x v="1"/>
    <x v="2"/>
  </r>
  <r>
    <s v="AX23386"/>
    <s v="ENX2041"/>
    <s v="A132"/>
    <s v="EMP1023"/>
    <s v="C1780"/>
    <x v="743"/>
    <n v="1"/>
    <n v="1380"/>
    <n v="1090"/>
    <n v="1090"/>
    <n v="1380"/>
    <n v="290"/>
    <s v="Product 42"/>
    <x v="48"/>
    <s v="Brian Davis"/>
    <x v="320"/>
    <n v="7"/>
    <x v="6"/>
    <x v="4"/>
    <x v="4"/>
    <x v="1"/>
    <x v="2"/>
  </r>
  <r>
    <s v="AX23549"/>
    <s v="ENX2000"/>
    <s v="A133"/>
    <s v="EMP1020"/>
    <s v="C1230"/>
    <x v="741"/>
    <n v="1"/>
    <n v="2241"/>
    <n v="1367"/>
    <n v="1367"/>
    <n v="2241"/>
    <n v="874"/>
    <s v="Product 1"/>
    <x v="46"/>
    <s v="Ryan Butler"/>
    <x v="578"/>
    <n v="7"/>
    <x v="6"/>
    <x v="4"/>
    <x v="4"/>
    <x v="1"/>
    <x v="2"/>
  </r>
  <r>
    <s v="AX23896"/>
    <s v="ENX2008"/>
    <s v="A134"/>
    <s v="EMP1031"/>
    <s v="C1509"/>
    <x v="742"/>
    <n v="4"/>
    <n v="315"/>
    <n v="208"/>
    <n v="832"/>
    <n v="1260"/>
    <n v="428"/>
    <s v="Product 9"/>
    <x v="41"/>
    <s v="Brian Thomas"/>
    <x v="442"/>
    <n v="7"/>
    <x v="6"/>
    <x v="4"/>
    <x v="4"/>
    <x v="1"/>
    <x v="2"/>
  </r>
  <r>
    <s v="AX23905"/>
    <s v="ENX2034"/>
    <s v="A118"/>
    <s v="EMP1019"/>
    <s v="C1397"/>
    <x v="743"/>
    <n v="1"/>
    <n v="871"/>
    <n v="540"/>
    <n v="540"/>
    <n v="871"/>
    <n v="331"/>
    <s v="Product 35"/>
    <x v="19"/>
    <s v="Roger Robertson"/>
    <x v="560"/>
    <n v="7"/>
    <x v="6"/>
    <x v="4"/>
    <x v="4"/>
    <x v="1"/>
    <x v="2"/>
  </r>
  <r>
    <s v="AX23936"/>
    <s v="ENX2073"/>
    <s v="A138"/>
    <s v="EMP1039"/>
    <s v="C1269"/>
    <x v="741"/>
    <n v="3"/>
    <n v="95"/>
    <n v="61"/>
    <n v="183"/>
    <n v="285"/>
    <n v="102"/>
    <s v="Product 74"/>
    <x v="37"/>
    <s v="Eugene Holmes"/>
    <x v="661"/>
    <n v="7"/>
    <x v="6"/>
    <x v="4"/>
    <x v="4"/>
    <x v="1"/>
    <x v="2"/>
  </r>
  <r>
    <s v="AX23960"/>
    <s v="ENX2008"/>
    <s v="A154"/>
    <s v="EMP1044"/>
    <s v="C1411"/>
    <x v="741"/>
    <n v="2"/>
    <n v="315"/>
    <n v="208"/>
    <n v="416"/>
    <n v="630"/>
    <n v="214"/>
    <s v="Product 9"/>
    <x v="24"/>
    <s v="Martin Carr"/>
    <x v="600"/>
    <n v="7"/>
    <x v="6"/>
    <x v="4"/>
    <x v="4"/>
    <x v="1"/>
    <x v="2"/>
  </r>
  <r>
    <s v="AX24561"/>
    <s v="ENX2093"/>
    <s v="A170"/>
    <s v="EMP1014"/>
    <s v="C1279"/>
    <x v="743"/>
    <n v="4"/>
    <n v="112"/>
    <n v="90"/>
    <n v="360"/>
    <n v="448"/>
    <n v="88"/>
    <s v="Product 94"/>
    <x v="47"/>
    <s v="Ronald Reed"/>
    <x v="210"/>
    <n v="7"/>
    <x v="6"/>
    <x v="4"/>
    <x v="4"/>
    <x v="1"/>
    <x v="2"/>
  </r>
  <r>
    <s v="AX24880"/>
    <s v="ENX2063"/>
    <s v="A109"/>
    <s v="EMP1028"/>
    <s v="C1080"/>
    <x v="741"/>
    <n v="1"/>
    <n v="1708"/>
    <n v="871"/>
    <n v="871"/>
    <n v="1708"/>
    <n v="837"/>
    <s v="Product 64"/>
    <x v="57"/>
    <s v="Howard Sims"/>
    <x v="720"/>
    <n v="7"/>
    <x v="6"/>
    <x v="4"/>
    <x v="4"/>
    <x v="1"/>
    <x v="2"/>
  </r>
  <r>
    <s v="AX10057"/>
    <s v="ENX2028"/>
    <s v="A139"/>
    <s v="EMP1017"/>
    <s v="C1732"/>
    <x v="744"/>
    <n v="3"/>
    <n v="2283"/>
    <n v="1484"/>
    <n v="4452"/>
    <n v="6849"/>
    <n v="2397"/>
    <s v="Product 29"/>
    <x v="38"/>
    <s v="Brian Hansen"/>
    <x v="136"/>
    <n v="7"/>
    <x v="6"/>
    <x v="5"/>
    <x v="5"/>
    <x v="1"/>
    <x v="0"/>
  </r>
  <r>
    <s v="AX10200"/>
    <s v="ENX2034"/>
    <s v="A124"/>
    <s v="EMP1012"/>
    <s v="C1098"/>
    <x v="745"/>
    <n v="1"/>
    <n v="871"/>
    <n v="540"/>
    <n v="540"/>
    <n v="871"/>
    <n v="331"/>
    <s v="Product 35"/>
    <x v="67"/>
    <s v="John Reyes"/>
    <x v="622"/>
    <n v="7"/>
    <x v="6"/>
    <x v="5"/>
    <x v="5"/>
    <x v="1"/>
    <x v="0"/>
  </r>
  <r>
    <s v="AX10991"/>
    <s v="ENX2092"/>
    <s v="A100"/>
    <s v="EMP1012"/>
    <s v="C1284"/>
    <x v="744"/>
    <n v="1"/>
    <n v="1639"/>
    <n v="1295"/>
    <n v="1295"/>
    <n v="1639"/>
    <n v="344"/>
    <s v="Product 93"/>
    <x v="52"/>
    <s v="John Reyes"/>
    <x v="713"/>
    <n v="7"/>
    <x v="6"/>
    <x v="5"/>
    <x v="5"/>
    <x v="1"/>
    <x v="0"/>
  </r>
  <r>
    <s v="AX11678"/>
    <s v="ENX2061"/>
    <s v="A114"/>
    <s v="EMP1022"/>
    <s v="C1494"/>
    <x v="746"/>
    <n v="2"/>
    <n v="913"/>
    <n v="584"/>
    <n v="1168"/>
    <n v="1826"/>
    <n v="658"/>
    <s v="Product 62"/>
    <x v="28"/>
    <s v="Walter Cook"/>
    <x v="698"/>
    <n v="7"/>
    <x v="6"/>
    <x v="5"/>
    <x v="5"/>
    <x v="1"/>
    <x v="0"/>
  </r>
  <r>
    <s v="AX12058"/>
    <s v="ENX2095"/>
    <s v="A164"/>
    <s v="EMP1026"/>
    <s v="C1132"/>
    <x v="745"/>
    <n v="3"/>
    <n v="1743"/>
    <n v="872"/>
    <n v="2616"/>
    <n v="5229"/>
    <n v="2613"/>
    <s v="Product 96"/>
    <x v="3"/>
    <s v="Martin Perry"/>
    <x v="751"/>
    <n v="7"/>
    <x v="6"/>
    <x v="5"/>
    <x v="5"/>
    <x v="1"/>
    <x v="0"/>
  </r>
  <r>
    <s v="AX12342"/>
    <s v="ENX2005"/>
    <s v="A142"/>
    <s v="EMP1036"/>
    <s v="C1450"/>
    <x v="744"/>
    <n v="1"/>
    <n v="684"/>
    <n v="561"/>
    <n v="561"/>
    <n v="684"/>
    <n v="123"/>
    <s v="Product 6"/>
    <x v="56"/>
    <s v="Robert Reed"/>
    <x v="13"/>
    <n v="7"/>
    <x v="6"/>
    <x v="5"/>
    <x v="5"/>
    <x v="1"/>
    <x v="0"/>
  </r>
  <r>
    <s v="AX13193"/>
    <s v="ENX2004"/>
    <s v="A116"/>
    <s v="EMP1044"/>
    <s v="C1463"/>
    <x v="747"/>
    <n v="1"/>
    <n v="1278"/>
    <n v="665"/>
    <n v="665"/>
    <n v="1278"/>
    <n v="613"/>
    <s v="Product 5"/>
    <x v="15"/>
    <s v="Martin Carr"/>
    <x v="535"/>
    <n v="7"/>
    <x v="6"/>
    <x v="5"/>
    <x v="5"/>
    <x v="1"/>
    <x v="0"/>
  </r>
  <r>
    <s v="AX13249"/>
    <s v="ENX2096"/>
    <s v="A143"/>
    <s v="EMP1004"/>
    <s v="C1030"/>
    <x v="747"/>
    <n v="1"/>
    <n v="1587"/>
    <n v="1301"/>
    <n v="1301"/>
    <n v="1587"/>
    <n v="286"/>
    <s v="Product 97"/>
    <x v="39"/>
    <s v="Kenneth Bradley"/>
    <x v="106"/>
    <n v="7"/>
    <x v="6"/>
    <x v="5"/>
    <x v="5"/>
    <x v="1"/>
    <x v="0"/>
  </r>
  <r>
    <s v="AX13573"/>
    <s v="ENX2014"/>
    <s v="A126"/>
    <s v="EMP1043"/>
    <s v="C1799"/>
    <x v="747"/>
    <n v="1"/>
    <n v="1809"/>
    <n v="1067"/>
    <n v="1067"/>
    <n v="1809"/>
    <n v="742"/>
    <s v="Product 15"/>
    <x v="5"/>
    <s v="Joshua Taylor"/>
    <x v="390"/>
    <n v="7"/>
    <x v="6"/>
    <x v="5"/>
    <x v="5"/>
    <x v="1"/>
    <x v="0"/>
  </r>
  <r>
    <s v="AX13637"/>
    <s v="ENX2046"/>
    <s v="A128"/>
    <s v="EMP1012"/>
    <s v="C1563"/>
    <x v="745"/>
    <n v="3"/>
    <n v="2410"/>
    <n v="1518"/>
    <n v="4554"/>
    <n v="7230"/>
    <n v="2676"/>
    <s v="Product 47"/>
    <x v="12"/>
    <s v="John Reyes"/>
    <x v="130"/>
    <n v="7"/>
    <x v="6"/>
    <x v="5"/>
    <x v="5"/>
    <x v="1"/>
    <x v="0"/>
  </r>
  <r>
    <s v="AX13769"/>
    <s v="ENX2034"/>
    <s v="A168"/>
    <s v="EMP1018"/>
    <s v="C1227"/>
    <x v="744"/>
    <n v="3"/>
    <n v="871"/>
    <n v="540"/>
    <n v="1620"/>
    <n v="2613"/>
    <n v="993"/>
    <s v="Product 35"/>
    <x v="40"/>
    <s v="Jimmy Young"/>
    <x v="765"/>
    <n v="7"/>
    <x v="6"/>
    <x v="5"/>
    <x v="5"/>
    <x v="1"/>
    <x v="0"/>
  </r>
  <r>
    <s v="AX13774"/>
    <s v="ENX2020"/>
    <s v="A101"/>
    <s v="EMP1004"/>
    <s v="C1443"/>
    <x v="745"/>
    <n v="1"/>
    <n v="2005"/>
    <n v="1223"/>
    <n v="1223"/>
    <n v="2005"/>
    <n v="782"/>
    <s v="Product 21"/>
    <x v="60"/>
    <s v="Kenneth Bradley"/>
    <x v="683"/>
    <n v="7"/>
    <x v="6"/>
    <x v="5"/>
    <x v="5"/>
    <x v="1"/>
    <x v="0"/>
  </r>
  <r>
    <s v="AX14083"/>
    <s v="ENX2036"/>
    <s v="A128"/>
    <s v="EMP1003"/>
    <s v="C1099"/>
    <x v="744"/>
    <n v="3"/>
    <n v="1582"/>
    <n v="1234"/>
    <n v="3702"/>
    <n v="4746"/>
    <n v="1044"/>
    <s v="Product 37"/>
    <x v="12"/>
    <s v="Christopher Tucker"/>
    <x v="394"/>
    <n v="7"/>
    <x v="6"/>
    <x v="5"/>
    <x v="5"/>
    <x v="1"/>
    <x v="0"/>
  </r>
  <r>
    <s v="AX14345"/>
    <s v="ENX2032"/>
    <s v="A134"/>
    <s v="EMP1042"/>
    <s v="C1668"/>
    <x v="746"/>
    <n v="4"/>
    <n v="1967"/>
    <n v="1397"/>
    <n v="5588"/>
    <n v="7868"/>
    <n v="2280"/>
    <s v="Product 33"/>
    <x v="41"/>
    <s v="Scott Clark"/>
    <x v="727"/>
    <n v="7"/>
    <x v="6"/>
    <x v="5"/>
    <x v="5"/>
    <x v="1"/>
    <x v="0"/>
  </r>
  <r>
    <s v="AX14540"/>
    <s v="ENX2039"/>
    <s v="A110"/>
    <s v="EMP1002"/>
    <s v="C1271"/>
    <x v="744"/>
    <n v="1"/>
    <n v="817"/>
    <n v="409"/>
    <n v="409"/>
    <n v="817"/>
    <n v="408"/>
    <s v="Product 40"/>
    <x v="63"/>
    <s v="Andrew Bowman"/>
    <x v="314"/>
    <n v="7"/>
    <x v="6"/>
    <x v="5"/>
    <x v="5"/>
    <x v="1"/>
    <x v="0"/>
  </r>
  <r>
    <s v="AX14780"/>
    <s v="ENX2050"/>
    <s v="A131"/>
    <s v="EMP1008"/>
    <s v="C1531"/>
    <x v="746"/>
    <n v="1"/>
    <n v="2391"/>
    <n v="1291"/>
    <n v="1291"/>
    <n v="2391"/>
    <n v="1100"/>
    <s v="Product 51"/>
    <x v="32"/>
    <s v="Carl Elliott"/>
    <x v="743"/>
    <n v="7"/>
    <x v="6"/>
    <x v="5"/>
    <x v="5"/>
    <x v="1"/>
    <x v="0"/>
  </r>
  <r>
    <s v="AX14993"/>
    <s v="ENX2067"/>
    <s v="A156"/>
    <s v="EMP1015"/>
    <s v="C1245"/>
    <x v="744"/>
    <n v="1"/>
    <n v="1119"/>
    <n v="683"/>
    <n v="683"/>
    <n v="1119"/>
    <n v="436"/>
    <s v="Product 68"/>
    <x v="14"/>
    <s v="Justin Lynch"/>
    <x v="165"/>
    <n v="7"/>
    <x v="6"/>
    <x v="5"/>
    <x v="5"/>
    <x v="1"/>
    <x v="0"/>
  </r>
  <r>
    <s v="AX15142"/>
    <s v="ENX2036"/>
    <s v="A106"/>
    <s v="EMP1015"/>
    <s v="C1336"/>
    <x v="747"/>
    <n v="1"/>
    <n v="1582"/>
    <n v="1234"/>
    <n v="1234"/>
    <n v="1582"/>
    <n v="348"/>
    <s v="Product 37"/>
    <x v="11"/>
    <s v="Justin Lynch"/>
    <x v="721"/>
    <n v="7"/>
    <x v="6"/>
    <x v="5"/>
    <x v="5"/>
    <x v="1"/>
    <x v="0"/>
  </r>
  <r>
    <s v="AX15852"/>
    <s v="ENX2068"/>
    <s v="A167"/>
    <s v="EMP1035"/>
    <s v="C1647"/>
    <x v="746"/>
    <n v="4"/>
    <n v="1500"/>
    <n v="900"/>
    <n v="3600"/>
    <n v="6000"/>
    <n v="2400"/>
    <s v="Product 69"/>
    <x v="64"/>
    <s v="Roger Ramos"/>
    <x v="318"/>
    <n v="7"/>
    <x v="6"/>
    <x v="5"/>
    <x v="5"/>
    <x v="1"/>
    <x v="0"/>
  </r>
  <r>
    <s v="AX16354"/>
    <s v="ENX2033"/>
    <s v="A143"/>
    <s v="EMP1022"/>
    <s v="C1333"/>
    <x v="747"/>
    <n v="1"/>
    <n v="2182"/>
    <n v="1200"/>
    <n v="1200"/>
    <n v="2182"/>
    <n v="982"/>
    <s v="Product 34"/>
    <x v="39"/>
    <s v="Walter Cook"/>
    <x v="673"/>
    <n v="7"/>
    <x v="6"/>
    <x v="5"/>
    <x v="5"/>
    <x v="1"/>
    <x v="0"/>
  </r>
  <r>
    <s v="AX16464"/>
    <s v="ENX2072"/>
    <s v="A120"/>
    <s v="EMP1003"/>
    <s v="C1084"/>
    <x v="747"/>
    <n v="1"/>
    <n v="1887"/>
    <n v="1378"/>
    <n v="1378"/>
    <n v="1887"/>
    <n v="509"/>
    <s v="Product 73"/>
    <x v="20"/>
    <s v="Christopher Tucker"/>
    <x v="631"/>
    <n v="7"/>
    <x v="6"/>
    <x v="5"/>
    <x v="5"/>
    <x v="1"/>
    <x v="0"/>
  </r>
  <r>
    <s v="AX17148"/>
    <s v="ENX2051"/>
    <s v="A172"/>
    <s v="EMP1007"/>
    <s v="C1347"/>
    <x v="747"/>
    <n v="2"/>
    <n v="1077"/>
    <n v="732"/>
    <n v="1464"/>
    <n v="2154"/>
    <n v="690"/>
    <s v="Product 52"/>
    <x v="36"/>
    <s v="Jeremy Mendoza"/>
    <x v="686"/>
    <n v="7"/>
    <x v="6"/>
    <x v="5"/>
    <x v="5"/>
    <x v="1"/>
    <x v="0"/>
  </r>
  <r>
    <s v="AX18603"/>
    <s v="ENX2023"/>
    <s v="A159"/>
    <s v="EMP1013"/>
    <s v="C1457"/>
    <x v="746"/>
    <n v="1"/>
    <n v="818"/>
    <n v="450"/>
    <n v="450"/>
    <n v="818"/>
    <n v="368"/>
    <s v="Product 24"/>
    <x v="13"/>
    <s v="Charles Harper"/>
    <x v="522"/>
    <n v="7"/>
    <x v="6"/>
    <x v="5"/>
    <x v="5"/>
    <x v="1"/>
    <x v="0"/>
  </r>
  <r>
    <s v="AX18659"/>
    <s v="ENX2012"/>
    <s v="A109"/>
    <s v="EMP1026"/>
    <s v="C1044"/>
    <x v="744"/>
    <n v="1"/>
    <n v="1353"/>
    <n v="947"/>
    <n v="947"/>
    <n v="1353"/>
    <n v="406"/>
    <s v="Product 13"/>
    <x v="57"/>
    <s v="Martin Perry"/>
    <x v="331"/>
    <n v="7"/>
    <x v="6"/>
    <x v="5"/>
    <x v="5"/>
    <x v="1"/>
    <x v="0"/>
  </r>
  <r>
    <s v="AX18685"/>
    <s v="ENX2034"/>
    <s v="A101"/>
    <s v="EMP1017"/>
    <s v="C1454"/>
    <x v="745"/>
    <n v="1"/>
    <n v="871"/>
    <n v="540"/>
    <n v="540"/>
    <n v="871"/>
    <n v="331"/>
    <s v="Product 35"/>
    <x v="60"/>
    <s v="Brian Hansen"/>
    <x v="68"/>
    <n v="7"/>
    <x v="6"/>
    <x v="5"/>
    <x v="5"/>
    <x v="1"/>
    <x v="0"/>
  </r>
  <r>
    <s v="AX19303"/>
    <s v="ENX2014"/>
    <s v="A137"/>
    <s v="EMP1009"/>
    <s v="C1631"/>
    <x v="744"/>
    <n v="3"/>
    <n v="1809"/>
    <n v="1067"/>
    <n v="3201"/>
    <n v="5427"/>
    <n v="2226"/>
    <s v="Product 15"/>
    <x v="68"/>
    <s v="Kenneth Fields"/>
    <x v="659"/>
    <n v="7"/>
    <x v="6"/>
    <x v="5"/>
    <x v="5"/>
    <x v="1"/>
    <x v="0"/>
  </r>
  <r>
    <s v="AX19546"/>
    <s v="ENX2043"/>
    <s v="A112"/>
    <s v="EMP1041"/>
    <s v="C1580"/>
    <x v="744"/>
    <n v="1"/>
    <n v="545"/>
    <n v="425"/>
    <n v="425"/>
    <n v="545"/>
    <n v="120"/>
    <s v="Product 44"/>
    <x v="66"/>
    <s v="Joe Sims"/>
    <x v="617"/>
    <n v="7"/>
    <x v="6"/>
    <x v="5"/>
    <x v="5"/>
    <x v="1"/>
    <x v="0"/>
  </r>
  <r>
    <s v="AX19690"/>
    <s v="ENX2058"/>
    <s v="A128"/>
    <s v="EMP1025"/>
    <s v="C1167"/>
    <x v="744"/>
    <n v="1"/>
    <n v="2257"/>
    <n v="1535"/>
    <n v="1535"/>
    <n v="2257"/>
    <n v="722"/>
    <s v="Product 59"/>
    <x v="12"/>
    <s v="Ernest Wagner"/>
    <x v="481"/>
    <n v="7"/>
    <x v="6"/>
    <x v="5"/>
    <x v="5"/>
    <x v="1"/>
    <x v="0"/>
  </r>
  <r>
    <s v="AX20525"/>
    <s v="ENX2090"/>
    <s v="A119"/>
    <s v="EMP1002"/>
    <s v="C1400"/>
    <x v="747"/>
    <n v="3"/>
    <n v="1338"/>
    <n v="682"/>
    <n v="2046"/>
    <n v="4014"/>
    <n v="1968"/>
    <s v="Product 91"/>
    <x v="16"/>
    <s v="Andrew Bowman"/>
    <x v="437"/>
    <n v="7"/>
    <x v="6"/>
    <x v="5"/>
    <x v="5"/>
    <x v="1"/>
    <x v="0"/>
  </r>
  <r>
    <s v="AX20747"/>
    <s v="ENX2087"/>
    <s v="A141"/>
    <s v="EMP1039"/>
    <s v="C1467"/>
    <x v="747"/>
    <n v="1"/>
    <n v="1022"/>
    <n v="818"/>
    <n v="818"/>
    <n v="1022"/>
    <n v="204"/>
    <s v="Product 88"/>
    <x v="23"/>
    <s v="Eugene Holmes"/>
    <x v="5"/>
    <n v="7"/>
    <x v="6"/>
    <x v="5"/>
    <x v="5"/>
    <x v="1"/>
    <x v="0"/>
  </r>
  <r>
    <s v="AX20886"/>
    <s v="ENX2018"/>
    <s v="A173"/>
    <s v="EMP1019"/>
    <s v="C1409"/>
    <x v="747"/>
    <n v="1"/>
    <n v="1972"/>
    <n v="1321"/>
    <n v="1321"/>
    <n v="1972"/>
    <n v="651"/>
    <s v="Product 19"/>
    <x v="25"/>
    <s v="Roger Robertson"/>
    <x v="44"/>
    <n v="7"/>
    <x v="6"/>
    <x v="5"/>
    <x v="5"/>
    <x v="1"/>
    <x v="0"/>
  </r>
  <r>
    <s v="AX21573"/>
    <s v="ENX2059"/>
    <s v="A161"/>
    <s v="EMP1030"/>
    <s v="C1694"/>
    <x v="744"/>
    <n v="1"/>
    <n v="1494"/>
    <n v="971"/>
    <n v="971"/>
    <n v="1494"/>
    <n v="523"/>
    <s v="Product 60"/>
    <x v="6"/>
    <s v="Bobby Russell"/>
    <x v="506"/>
    <n v="7"/>
    <x v="6"/>
    <x v="5"/>
    <x v="5"/>
    <x v="1"/>
    <x v="0"/>
  </r>
  <r>
    <s v="AX21837"/>
    <s v="ENX2019"/>
    <s v="A158"/>
    <s v="EMP1044"/>
    <s v="C1656"/>
    <x v="746"/>
    <n v="1"/>
    <n v="800"/>
    <n v="536"/>
    <n v="536"/>
    <n v="800"/>
    <n v="264"/>
    <s v="Product 20"/>
    <x v="58"/>
    <s v="Martin Carr"/>
    <x v="115"/>
    <n v="7"/>
    <x v="6"/>
    <x v="5"/>
    <x v="5"/>
    <x v="1"/>
    <x v="0"/>
  </r>
  <r>
    <s v="AX21874"/>
    <s v="ENX2051"/>
    <s v="A127"/>
    <s v="EMP1025"/>
    <s v="C1797"/>
    <x v="744"/>
    <n v="1"/>
    <n v="1077"/>
    <n v="732"/>
    <n v="732"/>
    <n v="1077"/>
    <n v="345"/>
    <s v="Product 52"/>
    <x v="69"/>
    <s v="Ernest Wagner"/>
    <x v="407"/>
    <n v="7"/>
    <x v="6"/>
    <x v="5"/>
    <x v="5"/>
    <x v="1"/>
    <x v="0"/>
  </r>
  <r>
    <s v="AX22140"/>
    <s v="ENX2005"/>
    <s v="A163"/>
    <s v="EMP1010"/>
    <s v="C1098"/>
    <x v="746"/>
    <n v="2"/>
    <n v="684"/>
    <n v="561"/>
    <n v="1122"/>
    <n v="1368"/>
    <n v="246"/>
    <s v="Product 6"/>
    <x v="51"/>
    <s v="Joshua Cook"/>
    <x v="622"/>
    <n v="7"/>
    <x v="6"/>
    <x v="5"/>
    <x v="5"/>
    <x v="1"/>
    <x v="0"/>
  </r>
  <r>
    <s v="AX22215"/>
    <s v="ENX2002"/>
    <s v="A156"/>
    <s v="EMP1024"/>
    <s v="C1488"/>
    <x v="747"/>
    <n v="2"/>
    <n v="847"/>
    <n v="534"/>
    <n v="1068"/>
    <n v="1694"/>
    <n v="626"/>
    <s v="Product 3"/>
    <x v="14"/>
    <s v="Ernest Wheeler"/>
    <x v="763"/>
    <n v="7"/>
    <x v="6"/>
    <x v="5"/>
    <x v="5"/>
    <x v="1"/>
    <x v="0"/>
  </r>
  <r>
    <s v="AX22610"/>
    <s v="ENX2081"/>
    <s v="A126"/>
    <s v="EMP1018"/>
    <s v="C1231"/>
    <x v="746"/>
    <n v="1"/>
    <n v="1566"/>
    <n v="1190"/>
    <n v="1190"/>
    <n v="1566"/>
    <n v="376"/>
    <s v="Product 82"/>
    <x v="5"/>
    <s v="Jimmy Young"/>
    <x v="94"/>
    <n v="7"/>
    <x v="6"/>
    <x v="5"/>
    <x v="5"/>
    <x v="1"/>
    <x v="0"/>
  </r>
  <r>
    <s v="AX22965"/>
    <s v="ENX2068"/>
    <s v="A120"/>
    <s v="EMP1031"/>
    <s v="C1312"/>
    <x v="744"/>
    <n v="1"/>
    <n v="1500"/>
    <n v="900"/>
    <n v="900"/>
    <n v="1500"/>
    <n v="600"/>
    <s v="Product 69"/>
    <x v="20"/>
    <s v="Brian Thomas"/>
    <x v="609"/>
    <n v="7"/>
    <x v="6"/>
    <x v="5"/>
    <x v="5"/>
    <x v="1"/>
    <x v="0"/>
  </r>
  <r>
    <s v="AX22971"/>
    <s v="ENX2025"/>
    <s v="A111"/>
    <s v="EMP1023"/>
    <s v="C1530"/>
    <x v="746"/>
    <n v="1"/>
    <n v="667"/>
    <n v="387"/>
    <n v="387"/>
    <n v="667"/>
    <n v="280"/>
    <s v="Product 26"/>
    <x v="54"/>
    <s v="Brian Davis"/>
    <x v="224"/>
    <n v="7"/>
    <x v="6"/>
    <x v="5"/>
    <x v="5"/>
    <x v="1"/>
    <x v="0"/>
  </r>
  <r>
    <s v="AX23174"/>
    <s v="ENX2013"/>
    <s v="A111"/>
    <s v="EMP1001"/>
    <s v="C1018"/>
    <x v="744"/>
    <n v="3"/>
    <n v="368"/>
    <n v="269"/>
    <n v="807"/>
    <n v="1104"/>
    <n v="297"/>
    <s v="Product 14"/>
    <x v="54"/>
    <s v="Kevin Butler"/>
    <x v="138"/>
    <n v="7"/>
    <x v="6"/>
    <x v="5"/>
    <x v="5"/>
    <x v="1"/>
    <x v="0"/>
  </r>
  <r>
    <s v="AX23330"/>
    <s v="ENX2011"/>
    <s v="A108"/>
    <s v="EMP1014"/>
    <s v="C1566"/>
    <x v="747"/>
    <n v="1"/>
    <n v="530"/>
    <n v="435"/>
    <n v="435"/>
    <n v="530"/>
    <n v="95"/>
    <s v="Product 12"/>
    <x v="49"/>
    <s v="Ronald Reed"/>
    <x v="45"/>
    <n v="7"/>
    <x v="6"/>
    <x v="5"/>
    <x v="5"/>
    <x v="1"/>
    <x v="0"/>
  </r>
  <r>
    <s v="AX23411"/>
    <s v="ENX2092"/>
    <s v="A156"/>
    <s v="EMP1002"/>
    <s v="C1091"/>
    <x v="747"/>
    <n v="1"/>
    <n v="1639"/>
    <n v="1295"/>
    <n v="1295"/>
    <n v="1639"/>
    <n v="344"/>
    <s v="Product 93"/>
    <x v="14"/>
    <s v="Andrew Bowman"/>
    <x v="513"/>
    <n v="7"/>
    <x v="6"/>
    <x v="5"/>
    <x v="5"/>
    <x v="1"/>
    <x v="0"/>
  </r>
  <r>
    <s v="AX23731"/>
    <s v="ENX2042"/>
    <s v="A121"/>
    <s v="EMP1028"/>
    <s v="C1463"/>
    <x v="745"/>
    <n v="2"/>
    <n v="203"/>
    <n v="154"/>
    <n v="308"/>
    <n v="406"/>
    <n v="98"/>
    <s v="Product 43"/>
    <x v="72"/>
    <s v="Howard Sims"/>
    <x v="535"/>
    <n v="7"/>
    <x v="6"/>
    <x v="5"/>
    <x v="5"/>
    <x v="1"/>
    <x v="0"/>
  </r>
  <r>
    <s v="AX23929"/>
    <s v="ENX2030"/>
    <s v="A145"/>
    <s v="EMP1013"/>
    <s v="C1194"/>
    <x v="744"/>
    <n v="1"/>
    <n v="1899"/>
    <n v="1044"/>
    <n v="1044"/>
    <n v="1899"/>
    <n v="855"/>
    <s v="Product 31"/>
    <x v="35"/>
    <s v="Charles Harper"/>
    <x v="323"/>
    <n v="7"/>
    <x v="6"/>
    <x v="5"/>
    <x v="5"/>
    <x v="1"/>
    <x v="0"/>
  </r>
  <r>
    <s v="AX23995"/>
    <s v="ENX2069"/>
    <s v="A159"/>
    <s v="EMP1025"/>
    <s v="C1184"/>
    <x v="745"/>
    <n v="4"/>
    <n v="378"/>
    <n v="291"/>
    <n v="1164"/>
    <n v="1512"/>
    <n v="348"/>
    <s v="Product 70"/>
    <x v="13"/>
    <s v="Ernest Wagner"/>
    <x v="707"/>
    <n v="7"/>
    <x v="6"/>
    <x v="5"/>
    <x v="5"/>
    <x v="1"/>
    <x v="0"/>
  </r>
  <r>
    <s v="AX24369"/>
    <s v="ENX2088"/>
    <s v="A156"/>
    <s v="EMP1003"/>
    <s v="C1342"/>
    <x v="744"/>
    <n v="1"/>
    <n v="603"/>
    <n v="416"/>
    <n v="416"/>
    <n v="603"/>
    <n v="187"/>
    <s v="Product 89"/>
    <x v="14"/>
    <s v="Christopher Tucker"/>
    <x v="62"/>
    <n v="7"/>
    <x v="6"/>
    <x v="5"/>
    <x v="5"/>
    <x v="1"/>
    <x v="0"/>
  </r>
  <r>
    <s v="AX24619"/>
    <s v="ENX2013"/>
    <s v="A165"/>
    <s v="EMP1044"/>
    <s v="C1785"/>
    <x v="745"/>
    <n v="1"/>
    <n v="368"/>
    <n v="269"/>
    <n v="269"/>
    <n v="368"/>
    <n v="99"/>
    <s v="Product 14"/>
    <x v="55"/>
    <s v="Martin Carr"/>
    <x v="107"/>
    <n v="7"/>
    <x v="6"/>
    <x v="5"/>
    <x v="5"/>
    <x v="1"/>
    <x v="0"/>
  </r>
  <r>
    <s v="AX10093"/>
    <s v="ENX2035"/>
    <s v="A113"/>
    <s v="EMP1044"/>
    <s v="C1758"/>
    <x v="748"/>
    <n v="4"/>
    <n v="458"/>
    <n v="376"/>
    <n v="1504"/>
    <n v="1832"/>
    <n v="328"/>
    <s v="Product 36"/>
    <x v="73"/>
    <s v="Martin Carr"/>
    <x v="329"/>
    <n v="7"/>
    <x v="6"/>
    <x v="5"/>
    <x v="5"/>
    <x v="1"/>
    <x v="2"/>
  </r>
  <r>
    <s v="AX10358"/>
    <s v="ENX2044"/>
    <s v="A120"/>
    <s v="EMP1008"/>
    <s v="C1130"/>
    <x v="749"/>
    <n v="1"/>
    <n v="886"/>
    <n v="478"/>
    <n v="478"/>
    <n v="886"/>
    <n v="408"/>
    <s v="Product 45"/>
    <x v="20"/>
    <s v="Carl Elliott"/>
    <x v="448"/>
    <n v="7"/>
    <x v="6"/>
    <x v="5"/>
    <x v="5"/>
    <x v="1"/>
    <x v="2"/>
  </r>
  <r>
    <s v="AX10749"/>
    <s v="ENX2025"/>
    <s v="A123"/>
    <s v="EMP1025"/>
    <s v="C1000"/>
    <x v="750"/>
    <n v="1"/>
    <n v="667"/>
    <n v="387"/>
    <n v="387"/>
    <n v="667"/>
    <n v="280"/>
    <s v="Product 26"/>
    <x v="34"/>
    <s v="Ernest Wagner"/>
    <x v="57"/>
    <n v="7"/>
    <x v="6"/>
    <x v="5"/>
    <x v="5"/>
    <x v="1"/>
    <x v="2"/>
  </r>
  <r>
    <s v="AX11089"/>
    <s v="ENX2074"/>
    <s v="A118"/>
    <s v="EMP1013"/>
    <s v="C1506"/>
    <x v="751"/>
    <n v="1"/>
    <n v="504"/>
    <n v="408"/>
    <n v="408"/>
    <n v="504"/>
    <n v="96"/>
    <s v="Product 75"/>
    <x v="19"/>
    <s v="Charles Harper"/>
    <x v="538"/>
    <n v="7"/>
    <x v="6"/>
    <x v="5"/>
    <x v="5"/>
    <x v="1"/>
    <x v="2"/>
  </r>
  <r>
    <s v="AX11230"/>
    <s v="ENX2045"/>
    <s v="A156"/>
    <s v="EMP1013"/>
    <s v="C1166"/>
    <x v="749"/>
    <n v="1"/>
    <n v="556"/>
    <n v="395"/>
    <n v="395"/>
    <n v="556"/>
    <n v="161"/>
    <s v="Product 46"/>
    <x v="14"/>
    <s v="Charles Harper"/>
    <x v="733"/>
    <n v="7"/>
    <x v="6"/>
    <x v="5"/>
    <x v="5"/>
    <x v="1"/>
    <x v="2"/>
  </r>
  <r>
    <s v="AX11974"/>
    <s v="ENX2042"/>
    <s v="A167"/>
    <s v="EMP1041"/>
    <s v="C1784"/>
    <x v="748"/>
    <n v="3"/>
    <n v="203"/>
    <n v="154"/>
    <n v="462"/>
    <n v="609"/>
    <n v="147"/>
    <s v="Product 43"/>
    <x v="64"/>
    <s v="Joe Sims"/>
    <x v="397"/>
    <n v="7"/>
    <x v="6"/>
    <x v="5"/>
    <x v="5"/>
    <x v="1"/>
    <x v="2"/>
  </r>
  <r>
    <s v="AX12025"/>
    <s v="ENX2054"/>
    <s v="A136"/>
    <s v="EMP1031"/>
    <s v="C1284"/>
    <x v="750"/>
    <n v="1"/>
    <n v="127"/>
    <n v="79"/>
    <n v="79"/>
    <n v="127"/>
    <n v="48"/>
    <s v="Product 55"/>
    <x v="43"/>
    <s v="Brian Thomas"/>
    <x v="713"/>
    <n v="7"/>
    <x v="6"/>
    <x v="5"/>
    <x v="5"/>
    <x v="1"/>
    <x v="2"/>
  </r>
  <r>
    <s v="AX12158"/>
    <s v="ENX2085"/>
    <s v="A161"/>
    <s v="EMP1036"/>
    <s v="C1614"/>
    <x v="750"/>
    <n v="4"/>
    <n v="1862"/>
    <n v="1173"/>
    <n v="4692"/>
    <n v="7448"/>
    <n v="2756"/>
    <s v="Product 86"/>
    <x v="6"/>
    <s v="Robert Reed"/>
    <x v="11"/>
    <n v="7"/>
    <x v="6"/>
    <x v="5"/>
    <x v="5"/>
    <x v="1"/>
    <x v="2"/>
  </r>
  <r>
    <s v="AX13604"/>
    <s v="ENX2069"/>
    <s v="A173"/>
    <s v="EMP1036"/>
    <s v="C1221"/>
    <x v="751"/>
    <n v="2"/>
    <n v="378"/>
    <n v="291"/>
    <n v="582"/>
    <n v="756"/>
    <n v="174"/>
    <s v="Product 70"/>
    <x v="25"/>
    <s v="Robert Reed"/>
    <x v="429"/>
    <n v="7"/>
    <x v="6"/>
    <x v="5"/>
    <x v="5"/>
    <x v="1"/>
    <x v="2"/>
  </r>
  <r>
    <s v="AX13613"/>
    <s v="ENX2004"/>
    <s v="A164"/>
    <s v="EMP1021"/>
    <s v="C1517"/>
    <x v="749"/>
    <n v="3"/>
    <n v="1278"/>
    <n v="665"/>
    <n v="1995"/>
    <n v="3834"/>
    <n v="1839"/>
    <s v="Product 5"/>
    <x v="3"/>
    <s v="Clarence Fox"/>
    <x v="359"/>
    <n v="7"/>
    <x v="6"/>
    <x v="5"/>
    <x v="5"/>
    <x v="1"/>
    <x v="2"/>
  </r>
  <r>
    <s v="AX13679"/>
    <s v="ENX2068"/>
    <s v="A119"/>
    <s v="EMP1036"/>
    <s v="C1782"/>
    <x v="750"/>
    <n v="3"/>
    <n v="1500"/>
    <n v="900"/>
    <n v="2700"/>
    <n v="4500"/>
    <n v="1800"/>
    <s v="Product 69"/>
    <x v="16"/>
    <s v="Robert Reed"/>
    <x v="607"/>
    <n v="7"/>
    <x v="6"/>
    <x v="5"/>
    <x v="5"/>
    <x v="1"/>
    <x v="2"/>
  </r>
  <r>
    <s v="AX14030"/>
    <s v="ENX2063"/>
    <s v="A137"/>
    <s v="EMP1039"/>
    <s v="C1322"/>
    <x v="751"/>
    <n v="4"/>
    <n v="1708"/>
    <n v="871"/>
    <n v="3484"/>
    <n v="6832"/>
    <n v="3348"/>
    <s v="Product 64"/>
    <x v="68"/>
    <s v="Eugene Holmes"/>
    <x v="604"/>
    <n v="7"/>
    <x v="6"/>
    <x v="5"/>
    <x v="5"/>
    <x v="1"/>
    <x v="2"/>
  </r>
  <r>
    <s v="AX14369"/>
    <s v="ENX2096"/>
    <s v="A173"/>
    <s v="EMP1003"/>
    <s v="C1704"/>
    <x v="748"/>
    <n v="1"/>
    <n v="1587"/>
    <n v="1301"/>
    <n v="1301"/>
    <n v="1587"/>
    <n v="286"/>
    <s v="Product 97"/>
    <x v="25"/>
    <s v="Christopher Tucker"/>
    <x v="28"/>
    <n v="7"/>
    <x v="6"/>
    <x v="5"/>
    <x v="5"/>
    <x v="1"/>
    <x v="2"/>
  </r>
  <r>
    <s v="AX14550"/>
    <s v="ENX2035"/>
    <s v="A161"/>
    <s v="EMP1003"/>
    <s v="C1268"/>
    <x v="752"/>
    <n v="3"/>
    <n v="458"/>
    <n v="376"/>
    <n v="1128"/>
    <n v="1374"/>
    <n v="246"/>
    <s v="Product 36"/>
    <x v="6"/>
    <s v="Christopher Tucker"/>
    <x v="526"/>
    <n v="7"/>
    <x v="6"/>
    <x v="5"/>
    <x v="5"/>
    <x v="1"/>
    <x v="2"/>
  </r>
  <r>
    <s v="AX14850"/>
    <s v="ENX2002"/>
    <s v="A158"/>
    <s v="EMP1009"/>
    <s v="C1485"/>
    <x v="749"/>
    <n v="1"/>
    <n v="847"/>
    <n v="534"/>
    <n v="534"/>
    <n v="847"/>
    <n v="313"/>
    <s v="Product 3"/>
    <x v="58"/>
    <s v="Kenneth Fields"/>
    <x v="679"/>
    <n v="7"/>
    <x v="6"/>
    <x v="5"/>
    <x v="5"/>
    <x v="1"/>
    <x v="2"/>
  </r>
  <r>
    <s v="AX15130"/>
    <s v="ENX2067"/>
    <s v="A131"/>
    <s v="EMP1009"/>
    <s v="C1010"/>
    <x v="750"/>
    <n v="1"/>
    <n v="1119"/>
    <n v="683"/>
    <n v="683"/>
    <n v="1119"/>
    <n v="436"/>
    <s v="Product 68"/>
    <x v="32"/>
    <s v="Kenneth Fields"/>
    <x v="399"/>
    <n v="7"/>
    <x v="6"/>
    <x v="5"/>
    <x v="5"/>
    <x v="1"/>
    <x v="2"/>
  </r>
  <r>
    <s v="AX15176"/>
    <s v="ENX2055"/>
    <s v="A140"/>
    <s v="EMP1024"/>
    <s v="C1731"/>
    <x v="748"/>
    <n v="1"/>
    <n v="2495"/>
    <n v="1896"/>
    <n v="1896"/>
    <n v="2495"/>
    <n v="599"/>
    <s v="Product 56"/>
    <x v="18"/>
    <s v="Ernest Wheeler"/>
    <x v="762"/>
    <n v="7"/>
    <x v="6"/>
    <x v="5"/>
    <x v="5"/>
    <x v="1"/>
    <x v="2"/>
  </r>
  <r>
    <s v="AX15967"/>
    <s v="ENX2058"/>
    <s v="A128"/>
    <s v="EMP1025"/>
    <s v="C1592"/>
    <x v="750"/>
    <n v="1"/>
    <n v="2257"/>
    <n v="1535"/>
    <n v="1535"/>
    <n v="2257"/>
    <n v="722"/>
    <s v="Product 59"/>
    <x v="12"/>
    <s v="Ernest Wagner"/>
    <x v="499"/>
    <n v="7"/>
    <x v="6"/>
    <x v="5"/>
    <x v="5"/>
    <x v="1"/>
    <x v="2"/>
  </r>
  <r>
    <s v="AX16352"/>
    <s v="ENX2077"/>
    <s v="A161"/>
    <s v="EMP1004"/>
    <s v="C1700"/>
    <x v="748"/>
    <n v="1"/>
    <n v="530"/>
    <n v="424"/>
    <n v="424"/>
    <n v="530"/>
    <n v="106"/>
    <s v="Product 78"/>
    <x v="6"/>
    <s v="Kenneth Bradley"/>
    <x v="271"/>
    <n v="7"/>
    <x v="6"/>
    <x v="5"/>
    <x v="5"/>
    <x v="1"/>
    <x v="2"/>
  </r>
  <r>
    <s v="AX16358"/>
    <s v="ENX2050"/>
    <s v="A112"/>
    <s v="EMP1043"/>
    <s v="C1374"/>
    <x v="752"/>
    <n v="3"/>
    <n v="2391"/>
    <n v="1291"/>
    <n v="3873"/>
    <n v="7173"/>
    <n v="3300"/>
    <s v="Product 51"/>
    <x v="66"/>
    <s v="Joshua Taylor"/>
    <x v="189"/>
    <n v="7"/>
    <x v="6"/>
    <x v="5"/>
    <x v="5"/>
    <x v="1"/>
    <x v="2"/>
  </r>
  <r>
    <s v="AX16476"/>
    <s v="ENX2064"/>
    <s v="A113"/>
    <s v="EMP1031"/>
    <s v="C1395"/>
    <x v="748"/>
    <n v="1"/>
    <n v="1414"/>
    <n v="962"/>
    <n v="962"/>
    <n v="1414"/>
    <n v="452"/>
    <s v="Product 65"/>
    <x v="73"/>
    <s v="Brian Thomas"/>
    <x v="202"/>
    <n v="7"/>
    <x v="6"/>
    <x v="5"/>
    <x v="5"/>
    <x v="1"/>
    <x v="2"/>
  </r>
  <r>
    <s v="AX16529"/>
    <s v="ENX2059"/>
    <s v="A132"/>
    <s v="EMP1043"/>
    <s v="C1192"/>
    <x v="749"/>
    <n v="3"/>
    <n v="1494"/>
    <n v="971"/>
    <n v="2913"/>
    <n v="4482"/>
    <n v="1569"/>
    <s v="Product 60"/>
    <x v="48"/>
    <s v="Joshua Taylor"/>
    <x v="746"/>
    <n v="7"/>
    <x v="6"/>
    <x v="5"/>
    <x v="5"/>
    <x v="1"/>
    <x v="2"/>
  </r>
  <r>
    <s v="AX16675"/>
    <s v="ENX2023"/>
    <s v="A138"/>
    <s v="EMP1035"/>
    <s v="C1502"/>
    <x v="751"/>
    <n v="3"/>
    <n v="818"/>
    <n v="450"/>
    <n v="1350"/>
    <n v="2454"/>
    <n v="1104"/>
    <s v="Product 24"/>
    <x v="37"/>
    <s v="Roger Ramos"/>
    <x v="364"/>
    <n v="7"/>
    <x v="6"/>
    <x v="5"/>
    <x v="5"/>
    <x v="1"/>
    <x v="2"/>
  </r>
  <r>
    <s v="AX16798"/>
    <s v="ENX2022"/>
    <s v="A169"/>
    <s v="EMP1039"/>
    <s v="C1680"/>
    <x v="749"/>
    <n v="1"/>
    <n v="561"/>
    <n v="421"/>
    <n v="421"/>
    <n v="561"/>
    <n v="140"/>
    <s v="Product 23"/>
    <x v="17"/>
    <s v="Eugene Holmes"/>
    <x v="797"/>
    <n v="7"/>
    <x v="6"/>
    <x v="5"/>
    <x v="5"/>
    <x v="1"/>
    <x v="2"/>
  </r>
  <r>
    <s v="AX17007"/>
    <s v="ENX2039"/>
    <s v="A105"/>
    <s v="EMP1032"/>
    <s v="C1758"/>
    <x v="750"/>
    <n v="1"/>
    <n v="817"/>
    <n v="409"/>
    <n v="409"/>
    <n v="817"/>
    <n v="408"/>
    <s v="Product 40"/>
    <x v="45"/>
    <s v="Larry Castillo"/>
    <x v="329"/>
    <n v="7"/>
    <x v="6"/>
    <x v="5"/>
    <x v="5"/>
    <x v="1"/>
    <x v="2"/>
  </r>
  <r>
    <s v="AX17041"/>
    <s v="ENX2002"/>
    <s v="A134"/>
    <s v="EMP1043"/>
    <s v="C1007"/>
    <x v="751"/>
    <n v="1"/>
    <n v="847"/>
    <n v="534"/>
    <n v="534"/>
    <n v="847"/>
    <n v="313"/>
    <s v="Product 3"/>
    <x v="41"/>
    <s v="Joshua Taylor"/>
    <x v="413"/>
    <n v="7"/>
    <x v="6"/>
    <x v="5"/>
    <x v="5"/>
    <x v="1"/>
    <x v="2"/>
  </r>
  <r>
    <s v="AX17254"/>
    <s v="ENX2070"/>
    <s v="A169"/>
    <s v="EMP1016"/>
    <s v="C1000"/>
    <x v="750"/>
    <n v="1"/>
    <n v="1671"/>
    <n v="1220"/>
    <n v="1220"/>
    <n v="1671"/>
    <n v="451"/>
    <s v="Product 71"/>
    <x v="17"/>
    <s v="Henry Nelson"/>
    <x v="57"/>
    <n v="7"/>
    <x v="6"/>
    <x v="5"/>
    <x v="5"/>
    <x v="1"/>
    <x v="2"/>
  </r>
  <r>
    <s v="AX17491"/>
    <s v="ENX2046"/>
    <s v="A105"/>
    <s v="EMP1036"/>
    <s v="C1654"/>
    <x v="750"/>
    <n v="1"/>
    <n v="2410"/>
    <n v="1518"/>
    <n v="1518"/>
    <n v="2410"/>
    <n v="892"/>
    <s v="Product 47"/>
    <x v="45"/>
    <s v="Robert Reed"/>
    <x v="351"/>
    <n v="7"/>
    <x v="6"/>
    <x v="5"/>
    <x v="5"/>
    <x v="1"/>
    <x v="2"/>
  </r>
  <r>
    <s v="AX17715"/>
    <s v="ENX2022"/>
    <s v="A116"/>
    <s v="EMP1029"/>
    <s v="C1174"/>
    <x v="748"/>
    <n v="3"/>
    <n v="561"/>
    <n v="421"/>
    <n v="1263"/>
    <n v="1683"/>
    <n v="420"/>
    <s v="Product 23"/>
    <x v="15"/>
    <s v="Howard Gardner"/>
    <x v="715"/>
    <n v="7"/>
    <x v="6"/>
    <x v="5"/>
    <x v="5"/>
    <x v="1"/>
    <x v="2"/>
  </r>
  <r>
    <s v="AX17814"/>
    <s v="ENX2009"/>
    <s v="A170"/>
    <s v="EMP1001"/>
    <s v="C1519"/>
    <x v="749"/>
    <n v="4"/>
    <n v="584"/>
    <n v="420"/>
    <n v="1680"/>
    <n v="2336"/>
    <n v="656"/>
    <s v="Product 10"/>
    <x v="47"/>
    <s v="Kevin Butler"/>
    <x v="426"/>
    <n v="7"/>
    <x v="6"/>
    <x v="5"/>
    <x v="5"/>
    <x v="1"/>
    <x v="2"/>
  </r>
  <r>
    <s v="AX17876"/>
    <s v="ENX2026"/>
    <s v="A112"/>
    <s v="EMP1042"/>
    <s v="C1733"/>
    <x v="752"/>
    <n v="1"/>
    <n v="947"/>
    <n v="786"/>
    <n v="786"/>
    <n v="947"/>
    <n v="161"/>
    <s v="Product 27"/>
    <x v="66"/>
    <s v="Scott Clark"/>
    <x v="32"/>
    <n v="7"/>
    <x v="6"/>
    <x v="5"/>
    <x v="5"/>
    <x v="1"/>
    <x v="2"/>
  </r>
  <r>
    <s v="AX17943"/>
    <s v="ENX2004"/>
    <s v="A106"/>
    <s v="EMP1013"/>
    <s v="C1765"/>
    <x v="748"/>
    <n v="2"/>
    <n v="1278"/>
    <n v="665"/>
    <n v="1330"/>
    <n v="2556"/>
    <n v="1226"/>
    <s v="Product 5"/>
    <x v="11"/>
    <s v="Charles Harper"/>
    <x v="470"/>
    <n v="7"/>
    <x v="6"/>
    <x v="5"/>
    <x v="5"/>
    <x v="1"/>
    <x v="2"/>
  </r>
  <r>
    <s v="AX17979"/>
    <s v="ENX2079"/>
    <s v="A116"/>
    <s v="EMP1005"/>
    <s v="C1320"/>
    <x v="749"/>
    <n v="1"/>
    <n v="1725"/>
    <n v="1363"/>
    <n v="1363"/>
    <n v="1725"/>
    <n v="362"/>
    <s v="Product 80"/>
    <x v="15"/>
    <s v="Ryan Welch"/>
    <x v="480"/>
    <n v="7"/>
    <x v="6"/>
    <x v="5"/>
    <x v="5"/>
    <x v="1"/>
    <x v="2"/>
  </r>
  <r>
    <s v="AX18059"/>
    <s v="ENX2080"/>
    <s v="A135"/>
    <s v="EMP1033"/>
    <s v="C1133"/>
    <x v="748"/>
    <n v="4"/>
    <n v="2353"/>
    <n v="1788"/>
    <n v="7152"/>
    <n v="9412"/>
    <n v="2260"/>
    <s v="Product 81"/>
    <x v="10"/>
    <s v="Jerry Perry"/>
    <x v="468"/>
    <n v="7"/>
    <x v="6"/>
    <x v="5"/>
    <x v="5"/>
    <x v="1"/>
    <x v="2"/>
  </r>
  <r>
    <s v="AX18282"/>
    <s v="ENX2046"/>
    <s v="A106"/>
    <s v="EMP1032"/>
    <s v="C1695"/>
    <x v="748"/>
    <n v="2"/>
    <n v="2410"/>
    <n v="1518"/>
    <n v="3036"/>
    <n v="4820"/>
    <n v="1784"/>
    <s v="Product 47"/>
    <x v="11"/>
    <s v="Larry Castillo"/>
    <x v="18"/>
    <n v="7"/>
    <x v="6"/>
    <x v="5"/>
    <x v="5"/>
    <x v="1"/>
    <x v="2"/>
  </r>
  <r>
    <s v="AX18323"/>
    <s v="ENX2051"/>
    <s v="A124"/>
    <s v="EMP1020"/>
    <s v="C1571"/>
    <x v="750"/>
    <n v="2"/>
    <n v="1077"/>
    <n v="732"/>
    <n v="1464"/>
    <n v="2154"/>
    <n v="690"/>
    <s v="Product 52"/>
    <x v="67"/>
    <s v="Ryan Butler"/>
    <x v="316"/>
    <n v="7"/>
    <x v="6"/>
    <x v="5"/>
    <x v="5"/>
    <x v="1"/>
    <x v="2"/>
  </r>
  <r>
    <s v="AX18508"/>
    <s v="ENX2054"/>
    <s v="A120"/>
    <s v="EMP1014"/>
    <s v="C1346"/>
    <x v="748"/>
    <n v="4"/>
    <n v="127"/>
    <n v="79"/>
    <n v="316"/>
    <n v="508"/>
    <n v="192"/>
    <s v="Product 55"/>
    <x v="20"/>
    <s v="Ronald Reed"/>
    <x v="340"/>
    <n v="7"/>
    <x v="6"/>
    <x v="5"/>
    <x v="5"/>
    <x v="1"/>
    <x v="2"/>
  </r>
  <r>
    <s v="AX18590"/>
    <s v="ENX2087"/>
    <s v="A157"/>
    <s v="EMP1023"/>
    <s v="C1642"/>
    <x v="749"/>
    <n v="1"/>
    <n v="1022"/>
    <n v="818"/>
    <n v="818"/>
    <n v="1022"/>
    <n v="204"/>
    <s v="Product 88"/>
    <x v="7"/>
    <s v="Brian Davis"/>
    <x v="97"/>
    <n v="7"/>
    <x v="6"/>
    <x v="5"/>
    <x v="5"/>
    <x v="1"/>
    <x v="2"/>
  </r>
  <r>
    <s v="AX18605"/>
    <s v="ENX2017"/>
    <s v="A150"/>
    <s v="EMP1006"/>
    <s v="C1591"/>
    <x v="751"/>
    <n v="3"/>
    <n v="35"/>
    <n v="22"/>
    <n v="66"/>
    <n v="105"/>
    <n v="39"/>
    <s v="Product 18"/>
    <x v="30"/>
    <s v="Sean Miller"/>
    <x v="289"/>
    <n v="7"/>
    <x v="6"/>
    <x v="5"/>
    <x v="5"/>
    <x v="1"/>
    <x v="2"/>
  </r>
  <r>
    <s v="AX18734"/>
    <s v="ENX2020"/>
    <s v="A140"/>
    <s v="EMP1022"/>
    <s v="C1674"/>
    <x v="748"/>
    <n v="1"/>
    <n v="2005"/>
    <n v="1223"/>
    <n v="1223"/>
    <n v="2005"/>
    <n v="782"/>
    <s v="Product 21"/>
    <x v="18"/>
    <s v="Walter Cook"/>
    <x v="774"/>
    <n v="7"/>
    <x v="6"/>
    <x v="5"/>
    <x v="5"/>
    <x v="1"/>
    <x v="2"/>
  </r>
  <r>
    <s v="AX18866"/>
    <s v="ENX2009"/>
    <s v="A165"/>
    <s v="EMP1040"/>
    <s v="C1709"/>
    <x v="751"/>
    <n v="1"/>
    <n v="584"/>
    <n v="420"/>
    <n v="420"/>
    <n v="584"/>
    <n v="164"/>
    <s v="Product 10"/>
    <x v="55"/>
    <s v="Patrick Ruiz"/>
    <x v="203"/>
    <n v="7"/>
    <x v="6"/>
    <x v="5"/>
    <x v="5"/>
    <x v="1"/>
    <x v="2"/>
  </r>
  <r>
    <s v="AX18887"/>
    <s v="ENX2009"/>
    <s v="A172"/>
    <s v="EMP1016"/>
    <s v="C1089"/>
    <x v="750"/>
    <n v="1"/>
    <n v="584"/>
    <n v="420"/>
    <n v="420"/>
    <n v="584"/>
    <n v="164"/>
    <s v="Product 10"/>
    <x v="36"/>
    <s v="Henry Nelson"/>
    <x v="267"/>
    <n v="7"/>
    <x v="6"/>
    <x v="5"/>
    <x v="5"/>
    <x v="1"/>
    <x v="2"/>
  </r>
  <r>
    <s v="AX19051"/>
    <s v="ENX2054"/>
    <s v="A126"/>
    <s v="EMP1040"/>
    <s v="C1541"/>
    <x v="750"/>
    <n v="4"/>
    <n v="127"/>
    <n v="79"/>
    <n v="316"/>
    <n v="508"/>
    <n v="192"/>
    <s v="Product 55"/>
    <x v="5"/>
    <s v="Patrick Ruiz"/>
    <x v="628"/>
    <n v="7"/>
    <x v="6"/>
    <x v="5"/>
    <x v="5"/>
    <x v="1"/>
    <x v="2"/>
  </r>
  <r>
    <s v="AX19081"/>
    <s v="ENX2013"/>
    <s v="A172"/>
    <s v="EMP1004"/>
    <s v="C1404"/>
    <x v="750"/>
    <n v="4"/>
    <n v="368"/>
    <n v="269"/>
    <n v="1076"/>
    <n v="1472"/>
    <n v="396"/>
    <s v="Product 14"/>
    <x v="36"/>
    <s v="Kenneth Bradley"/>
    <x v="75"/>
    <n v="7"/>
    <x v="6"/>
    <x v="5"/>
    <x v="5"/>
    <x v="1"/>
    <x v="2"/>
  </r>
  <r>
    <s v="AX19590"/>
    <s v="ENX2020"/>
    <s v="A118"/>
    <s v="EMP1022"/>
    <s v="C1497"/>
    <x v="748"/>
    <n v="3"/>
    <n v="2005"/>
    <n v="1223"/>
    <n v="3669"/>
    <n v="6015"/>
    <n v="2346"/>
    <s v="Product 21"/>
    <x v="19"/>
    <s v="Walter Cook"/>
    <x v="794"/>
    <n v="7"/>
    <x v="6"/>
    <x v="5"/>
    <x v="5"/>
    <x v="1"/>
    <x v="2"/>
  </r>
  <r>
    <s v="AX19624"/>
    <s v="ENX2083"/>
    <s v="A148"/>
    <s v="EMP1018"/>
    <s v="C1183"/>
    <x v="748"/>
    <n v="3"/>
    <n v="2141"/>
    <n v="1777"/>
    <n v="5331"/>
    <n v="6423"/>
    <n v="1092"/>
    <s v="Product 84"/>
    <x v="62"/>
    <s v="Jimmy Young"/>
    <x v="404"/>
    <n v="7"/>
    <x v="6"/>
    <x v="5"/>
    <x v="5"/>
    <x v="1"/>
    <x v="2"/>
  </r>
  <r>
    <s v="AX19629"/>
    <s v="ENX2031"/>
    <s v="A130"/>
    <s v="EMP1044"/>
    <s v="C1321"/>
    <x v="750"/>
    <n v="3"/>
    <n v="1638"/>
    <n v="1261"/>
    <n v="3783"/>
    <n v="4914"/>
    <n v="1131"/>
    <s v="Product 32"/>
    <x v="4"/>
    <s v="Martin Carr"/>
    <x v="775"/>
    <n v="7"/>
    <x v="6"/>
    <x v="5"/>
    <x v="5"/>
    <x v="1"/>
    <x v="2"/>
  </r>
  <r>
    <s v="AX19654"/>
    <s v="ENX2017"/>
    <s v="A160"/>
    <s v="EMP1040"/>
    <s v="C1399"/>
    <x v="748"/>
    <n v="1"/>
    <n v="35"/>
    <n v="22"/>
    <n v="22"/>
    <n v="35"/>
    <n v="13"/>
    <s v="Product 18"/>
    <x v="9"/>
    <s v="Patrick Ruiz"/>
    <x v="776"/>
    <n v="7"/>
    <x v="6"/>
    <x v="5"/>
    <x v="5"/>
    <x v="1"/>
    <x v="2"/>
  </r>
  <r>
    <s v="AX20016"/>
    <s v="ENX2071"/>
    <s v="A161"/>
    <s v="EMP1016"/>
    <s v="C1044"/>
    <x v="752"/>
    <n v="3"/>
    <n v="136"/>
    <n v="72"/>
    <n v="216"/>
    <n v="408"/>
    <n v="192"/>
    <s v="Product 72"/>
    <x v="6"/>
    <s v="Henry Nelson"/>
    <x v="331"/>
    <n v="7"/>
    <x v="6"/>
    <x v="5"/>
    <x v="5"/>
    <x v="1"/>
    <x v="2"/>
  </r>
  <r>
    <s v="AX20609"/>
    <s v="ENX2005"/>
    <s v="A129"/>
    <s v="EMP1014"/>
    <s v="C1631"/>
    <x v="750"/>
    <n v="2"/>
    <n v="684"/>
    <n v="561"/>
    <n v="1122"/>
    <n v="1368"/>
    <n v="246"/>
    <s v="Product 6"/>
    <x v="22"/>
    <s v="Ronald Reed"/>
    <x v="659"/>
    <n v="7"/>
    <x v="6"/>
    <x v="5"/>
    <x v="5"/>
    <x v="1"/>
    <x v="2"/>
  </r>
  <r>
    <s v="AX20663"/>
    <s v="ENX2099"/>
    <s v="A144"/>
    <s v="EMP1005"/>
    <s v="C1701"/>
    <x v="750"/>
    <n v="2"/>
    <n v="1367"/>
    <n v="984"/>
    <n v="1968"/>
    <n v="2734"/>
    <n v="766"/>
    <s v="Product 100"/>
    <x v="65"/>
    <s v="Ryan Welch"/>
    <x v="736"/>
    <n v="7"/>
    <x v="6"/>
    <x v="5"/>
    <x v="5"/>
    <x v="1"/>
    <x v="2"/>
  </r>
  <r>
    <s v="AX20753"/>
    <s v="ENX2043"/>
    <s v="A166"/>
    <s v="EMP1039"/>
    <s v="C1743"/>
    <x v="750"/>
    <n v="3"/>
    <n v="545"/>
    <n v="425"/>
    <n v="1275"/>
    <n v="1635"/>
    <n v="360"/>
    <s v="Product 44"/>
    <x v="70"/>
    <s v="Eugene Holmes"/>
    <x v="276"/>
    <n v="7"/>
    <x v="6"/>
    <x v="5"/>
    <x v="5"/>
    <x v="1"/>
    <x v="2"/>
  </r>
  <r>
    <s v="AX20778"/>
    <s v="ENX2008"/>
    <s v="A135"/>
    <s v="EMP1016"/>
    <s v="C1201"/>
    <x v="751"/>
    <n v="2"/>
    <n v="315"/>
    <n v="208"/>
    <n v="416"/>
    <n v="630"/>
    <n v="214"/>
    <s v="Product 9"/>
    <x v="10"/>
    <s v="Henry Nelson"/>
    <x v="760"/>
    <n v="7"/>
    <x v="6"/>
    <x v="5"/>
    <x v="5"/>
    <x v="1"/>
    <x v="2"/>
  </r>
  <r>
    <s v="AX21092"/>
    <s v="ENX2074"/>
    <s v="A166"/>
    <s v="EMP1017"/>
    <s v="C1076"/>
    <x v="748"/>
    <n v="1"/>
    <n v="504"/>
    <n v="408"/>
    <n v="408"/>
    <n v="504"/>
    <n v="96"/>
    <s v="Product 75"/>
    <x v="70"/>
    <s v="Brian Hansen"/>
    <x v="772"/>
    <n v="7"/>
    <x v="6"/>
    <x v="5"/>
    <x v="5"/>
    <x v="1"/>
    <x v="2"/>
  </r>
  <r>
    <s v="AX21200"/>
    <s v="ENX2043"/>
    <s v="A106"/>
    <s v="EMP1024"/>
    <s v="C1429"/>
    <x v="751"/>
    <n v="1"/>
    <n v="545"/>
    <n v="425"/>
    <n v="425"/>
    <n v="545"/>
    <n v="120"/>
    <s v="Product 44"/>
    <x v="11"/>
    <s v="Ernest Wheeler"/>
    <x v="651"/>
    <n v="7"/>
    <x v="6"/>
    <x v="5"/>
    <x v="5"/>
    <x v="1"/>
    <x v="2"/>
  </r>
  <r>
    <s v="AX21252"/>
    <s v="ENX2063"/>
    <s v="A106"/>
    <s v="EMP1043"/>
    <s v="C1493"/>
    <x v="749"/>
    <n v="3"/>
    <n v="1708"/>
    <n v="871"/>
    <n v="2613"/>
    <n v="5124"/>
    <n v="2511"/>
    <s v="Product 64"/>
    <x v="11"/>
    <s v="Joshua Taylor"/>
    <x v="380"/>
    <n v="7"/>
    <x v="6"/>
    <x v="5"/>
    <x v="5"/>
    <x v="1"/>
    <x v="2"/>
  </r>
  <r>
    <s v="AX21517"/>
    <s v="ENX2067"/>
    <s v="A172"/>
    <s v="EMP1011"/>
    <s v="C1408"/>
    <x v="748"/>
    <n v="1"/>
    <n v="1119"/>
    <n v="683"/>
    <n v="683"/>
    <n v="1119"/>
    <n v="436"/>
    <s v="Product 68"/>
    <x v="36"/>
    <s v="Larry Marshall"/>
    <x v="647"/>
    <n v="7"/>
    <x v="6"/>
    <x v="5"/>
    <x v="5"/>
    <x v="1"/>
    <x v="2"/>
  </r>
  <r>
    <s v="AX21608"/>
    <s v="ENX2027"/>
    <s v="A161"/>
    <s v="EMP1012"/>
    <s v="C1121"/>
    <x v="751"/>
    <n v="1"/>
    <n v="2497"/>
    <n v="1473"/>
    <n v="1473"/>
    <n v="2497"/>
    <n v="1024"/>
    <s v="Product 28"/>
    <x v="6"/>
    <s v="John Reyes"/>
    <x v="681"/>
    <n v="7"/>
    <x v="6"/>
    <x v="5"/>
    <x v="5"/>
    <x v="1"/>
    <x v="2"/>
  </r>
  <r>
    <s v="AX21704"/>
    <s v="ENX2094"/>
    <s v="A152"/>
    <s v="EMP1028"/>
    <s v="C1727"/>
    <x v="748"/>
    <n v="1"/>
    <n v="771"/>
    <n v="648"/>
    <n v="648"/>
    <n v="771"/>
    <n v="123"/>
    <s v="Product 95"/>
    <x v="26"/>
    <s v="Howard Sims"/>
    <x v="581"/>
    <n v="7"/>
    <x v="6"/>
    <x v="5"/>
    <x v="5"/>
    <x v="1"/>
    <x v="2"/>
  </r>
  <r>
    <s v="AX21904"/>
    <s v="ENX2010"/>
    <s v="A114"/>
    <s v="EMP1038"/>
    <s v="C1326"/>
    <x v="750"/>
    <n v="4"/>
    <n v="1812"/>
    <n v="1305"/>
    <n v="5220"/>
    <n v="7248"/>
    <n v="2028"/>
    <s v="Product 11"/>
    <x v="28"/>
    <s v="Scott Mason"/>
    <x v="98"/>
    <n v="7"/>
    <x v="6"/>
    <x v="5"/>
    <x v="5"/>
    <x v="1"/>
    <x v="2"/>
  </r>
  <r>
    <s v="AX22133"/>
    <s v="ENX2046"/>
    <s v="A123"/>
    <s v="EMP1013"/>
    <s v="C1012"/>
    <x v="752"/>
    <n v="2"/>
    <n v="2410"/>
    <n v="1518"/>
    <n v="3036"/>
    <n v="4820"/>
    <n v="1784"/>
    <s v="Product 47"/>
    <x v="34"/>
    <s v="Charles Harper"/>
    <x v="738"/>
    <n v="7"/>
    <x v="6"/>
    <x v="5"/>
    <x v="5"/>
    <x v="1"/>
    <x v="2"/>
  </r>
  <r>
    <s v="AX22392"/>
    <s v="ENX2054"/>
    <s v="A102"/>
    <s v="EMP1024"/>
    <s v="C1539"/>
    <x v="749"/>
    <n v="3"/>
    <n v="127"/>
    <n v="79"/>
    <n v="237"/>
    <n v="381"/>
    <n v="144"/>
    <s v="Product 55"/>
    <x v="44"/>
    <s v="Ernest Wheeler"/>
    <x v="280"/>
    <n v="7"/>
    <x v="6"/>
    <x v="5"/>
    <x v="5"/>
    <x v="1"/>
    <x v="2"/>
  </r>
  <r>
    <s v="AX22712"/>
    <s v="ENX2094"/>
    <s v="A109"/>
    <s v="EMP1008"/>
    <s v="C1795"/>
    <x v="750"/>
    <n v="1"/>
    <n v="771"/>
    <n v="648"/>
    <n v="648"/>
    <n v="771"/>
    <n v="123"/>
    <s v="Product 95"/>
    <x v="57"/>
    <s v="Carl Elliott"/>
    <x v="592"/>
    <n v="7"/>
    <x v="6"/>
    <x v="5"/>
    <x v="5"/>
    <x v="1"/>
    <x v="2"/>
  </r>
  <r>
    <s v="AX22975"/>
    <s v="ENX2007"/>
    <s v="A168"/>
    <s v="EMP1033"/>
    <s v="C1472"/>
    <x v="750"/>
    <n v="1"/>
    <n v="1405"/>
    <n v="1054"/>
    <n v="1054"/>
    <n v="1405"/>
    <n v="351"/>
    <s v="Product 8"/>
    <x v="40"/>
    <s v="Jerry Perry"/>
    <x v="626"/>
    <n v="7"/>
    <x v="6"/>
    <x v="5"/>
    <x v="5"/>
    <x v="1"/>
    <x v="2"/>
  </r>
  <r>
    <s v="AX23087"/>
    <s v="ENX2018"/>
    <s v="A102"/>
    <s v="EMP1035"/>
    <s v="C1710"/>
    <x v="750"/>
    <n v="1"/>
    <n v="1972"/>
    <n v="1321"/>
    <n v="1321"/>
    <n v="1972"/>
    <n v="651"/>
    <s v="Product 19"/>
    <x v="44"/>
    <s v="Roger Ramos"/>
    <x v="197"/>
    <n v="7"/>
    <x v="6"/>
    <x v="5"/>
    <x v="5"/>
    <x v="1"/>
    <x v="2"/>
  </r>
  <r>
    <s v="AX23363"/>
    <s v="ENX2047"/>
    <s v="A142"/>
    <s v="EMP1022"/>
    <s v="C1581"/>
    <x v="752"/>
    <n v="2"/>
    <n v="290"/>
    <n v="200"/>
    <n v="400"/>
    <n v="580"/>
    <n v="180"/>
    <s v="Product 48"/>
    <x v="56"/>
    <s v="Walter Cook"/>
    <x v="510"/>
    <n v="7"/>
    <x v="6"/>
    <x v="5"/>
    <x v="5"/>
    <x v="1"/>
    <x v="2"/>
  </r>
  <r>
    <s v="AX23638"/>
    <s v="ENX2059"/>
    <s v="A109"/>
    <s v="EMP1038"/>
    <s v="C1710"/>
    <x v="748"/>
    <n v="3"/>
    <n v="1494"/>
    <n v="971"/>
    <n v="2913"/>
    <n v="4482"/>
    <n v="1569"/>
    <s v="Product 60"/>
    <x v="57"/>
    <s v="Scott Mason"/>
    <x v="197"/>
    <n v="7"/>
    <x v="6"/>
    <x v="5"/>
    <x v="5"/>
    <x v="1"/>
    <x v="2"/>
  </r>
  <r>
    <s v="AX23703"/>
    <s v="ENX2056"/>
    <s v="A158"/>
    <s v="EMP1031"/>
    <s v="C1415"/>
    <x v="748"/>
    <n v="2"/>
    <n v="1635"/>
    <n v="1046"/>
    <n v="2092"/>
    <n v="3270"/>
    <n v="1178"/>
    <s v="Product 57"/>
    <x v="58"/>
    <s v="Brian Thomas"/>
    <x v="352"/>
    <n v="7"/>
    <x v="6"/>
    <x v="5"/>
    <x v="5"/>
    <x v="1"/>
    <x v="2"/>
  </r>
  <r>
    <s v="AX23815"/>
    <s v="ENX2045"/>
    <s v="A148"/>
    <s v="EMP1013"/>
    <s v="C1406"/>
    <x v="750"/>
    <n v="1"/>
    <n v="556"/>
    <n v="395"/>
    <n v="395"/>
    <n v="556"/>
    <n v="161"/>
    <s v="Product 46"/>
    <x v="62"/>
    <s v="Charles Harper"/>
    <x v="783"/>
    <n v="7"/>
    <x v="6"/>
    <x v="5"/>
    <x v="5"/>
    <x v="1"/>
    <x v="2"/>
  </r>
  <r>
    <s v="AX24173"/>
    <s v="ENX2020"/>
    <s v="A156"/>
    <s v="EMP1031"/>
    <s v="C1627"/>
    <x v="748"/>
    <n v="1"/>
    <n v="2005"/>
    <n v="1223"/>
    <n v="1223"/>
    <n v="2005"/>
    <n v="782"/>
    <s v="Product 21"/>
    <x v="14"/>
    <s v="Brian Thomas"/>
    <x v="785"/>
    <n v="7"/>
    <x v="6"/>
    <x v="5"/>
    <x v="5"/>
    <x v="1"/>
    <x v="2"/>
  </r>
  <r>
    <s v="AX24805"/>
    <s v="ENX2023"/>
    <s v="A132"/>
    <s v="EMP1013"/>
    <s v="C1569"/>
    <x v="751"/>
    <n v="2"/>
    <n v="818"/>
    <n v="450"/>
    <n v="900"/>
    <n v="1636"/>
    <n v="736"/>
    <s v="Product 24"/>
    <x v="48"/>
    <s v="Charles Harper"/>
    <x v="485"/>
    <n v="7"/>
    <x v="6"/>
    <x v="5"/>
    <x v="5"/>
    <x v="1"/>
    <x v="2"/>
  </r>
  <r>
    <s v="AX10016"/>
    <s v="ENX2097"/>
    <s v="A130"/>
    <s v="EMP1023"/>
    <s v="C1133"/>
    <x v="753"/>
    <n v="1"/>
    <n v="1052"/>
    <n v="589"/>
    <n v="589"/>
    <n v="1052"/>
    <n v="463"/>
    <s v="Product 98"/>
    <x v="4"/>
    <s v="Brian Davis"/>
    <x v="468"/>
    <n v="7"/>
    <x v="6"/>
    <x v="6"/>
    <x v="6"/>
    <x v="2"/>
    <x v="0"/>
  </r>
  <r>
    <s v="AX10157"/>
    <s v="ENX2025"/>
    <s v="A148"/>
    <s v="EMP1043"/>
    <s v="C1243"/>
    <x v="754"/>
    <n v="2"/>
    <n v="667"/>
    <n v="387"/>
    <n v="774"/>
    <n v="1334"/>
    <n v="560"/>
    <s v="Product 26"/>
    <x v="62"/>
    <s v="Joshua Taylor"/>
    <x v="129"/>
    <n v="7"/>
    <x v="6"/>
    <x v="6"/>
    <x v="6"/>
    <x v="2"/>
    <x v="0"/>
  </r>
  <r>
    <s v="AX10228"/>
    <s v="ENX2075"/>
    <s v="A135"/>
    <s v="EMP1001"/>
    <s v="C1314"/>
    <x v="755"/>
    <n v="2"/>
    <n v="400"/>
    <n v="208"/>
    <n v="416"/>
    <n v="800"/>
    <n v="384"/>
    <s v="Product 76"/>
    <x v="10"/>
    <s v="Kevin Butler"/>
    <x v="421"/>
    <n v="7"/>
    <x v="6"/>
    <x v="6"/>
    <x v="6"/>
    <x v="2"/>
    <x v="0"/>
  </r>
  <r>
    <s v="AX10866"/>
    <s v="ENX2076"/>
    <s v="A123"/>
    <s v="EMP1004"/>
    <s v="C1329"/>
    <x v="753"/>
    <n v="1"/>
    <n v="1522"/>
    <n v="791"/>
    <n v="791"/>
    <n v="1522"/>
    <n v="731"/>
    <s v="Product 77"/>
    <x v="34"/>
    <s v="Kenneth Bradley"/>
    <x v="244"/>
    <n v="7"/>
    <x v="6"/>
    <x v="6"/>
    <x v="6"/>
    <x v="2"/>
    <x v="0"/>
  </r>
  <r>
    <s v="AX10916"/>
    <s v="ENX2060"/>
    <s v="A107"/>
    <s v="EMP1020"/>
    <s v="C1748"/>
    <x v="753"/>
    <n v="2"/>
    <n v="1467"/>
    <n v="807"/>
    <n v="1614"/>
    <n v="2934"/>
    <n v="1320"/>
    <s v="Product 61"/>
    <x v="21"/>
    <s v="Ryan Butler"/>
    <x v="162"/>
    <n v="7"/>
    <x v="6"/>
    <x v="6"/>
    <x v="6"/>
    <x v="2"/>
    <x v="0"/>
  </r>
  <r>
    <s v="AX11112"/>
    <s v="ENX2050"/>
    <s v="A106"/>
    <s v="EMP1027"/>
    <s v="C1605"/>
    <x v="754"/>
    <n v="3"/>
    <n v="2391"/>
    <n v="1291"/>
    <n v="3873"/>
    <n v="7173"/>
    <n v="3300"/>
    <s v="Product 51"/>
    <x v="11"/>
    <s v="Gary Rodriguez"/>
    <x v="676"/>
    <n v="7"/>
    <x v="6"/>
    <x v="6"/>
    <x v="6"/>
    <x v="2"/>
    <x v="0"/>
  </r>
  <r>
    <s v="AX11287"/>
    <s v="ENX2083"/>
    <s v="A113"/>
    <s v="EMP1033"/>
    <s v="C1242"/>
    <x v="753"/>
    <n v="3"/>
    <n v="2141"/>
    <n v="1777"/>
    <n v="5331"/>
    <n v="6423"/>
    <n v="1092"/>
    <s v="Product 84"/>
    <x v="73"/>
    <s v="Jerry Perry"/>
    <x v="781"/>
    <n v="7"/>
    <x v="6"/>
    <x v="6"/>
    <x v="6"/>
    <x v="2"/>
    <x v="0"/>
  </r>
  <r>
    <s v="AX11413"/>
    <s v="ENX2082"/>
    <s v="A123"/>
    <s v="EMP1036"/>
    <s v="C1220"/>
    <x v="755"/>
    <n v="1"/>
    <n v="1103"/>
    <n v="838"/>
    <n v="838"/>
    <n v="1103"/>
    <n v="265"/>
    <s v="Product 83"/>
    <x v="34"/>
    <s v="Robert Reed"/>
    <x v="204"/>
    <n v="7"/>
    <x v="6"/>
    <x v="6"/>
    <x v="6"/>
    <x v="2"/>
    <x v="0"/>
  </r>
  <r>
    <s v="AX11464"/>
    <s v="ENX2020"/>
    <s v="A154"/>
    <s v="EMP1019"/>
    <s v="C1034"/>
    <x v="753"/>
    <n v="2"/>
    <n v="2005"/>
    <n v="1223"/>
    <n v="2446"/>
    <n v="4010"/>
    <n v="1564"/>
    <s v="Product 21"/>
    <x v="24"/>
    <s v="Roger Robertson"/>
    <x v="704"/>
    <n v="7"/>
    <x v="6"/>
    <x v="6"/>
    <x v="6"/>
    <x v="2"/>
    <x v="0"/>
  </r>
  <r>
    <s v="AX11491"/>
    <s v="ENX2099"/>
    <s v="A127"/>
    <s v="EMP1027"/>
    <s v="C1476"/>
    <x v="756"/>
    <n v="1"/>
    <n v="1367"/>
    <n v="984"/>
    <n v="984"/>
    <n v="1367"/>
    <n v="383"/>
    <s v="Product 100"/>
    <x v="69"/>
    <s v="Gary Rodriguez"/>
    <x v="207"/>
    <n v="7"/>
    <x v="6"/>
    <x v="6"/>
    <x v="6"/>
    <x v="2"/>
    <x v="0"/>
  </r>
  <r>
    <s v="AX12030"/>
    <s v="ENX2080"/>
    <s v="A121"/>
    <s v="EMP1018"/>
    <s v="C1017"/>
    <x v="755"/>
    <n v="4"/>
    <n v="2353"/>
    <n v="1788"/>
    <n v="7152"/>
    <n v="9412"/>
    <n v="2260"/>
    <s v="Product 81"/>
    <x v="72"/>
    <s v="Jimmy Young"/>
    <x v="402"/>
    <n v="7"/>
    <x v="6"/>
    <x v="6"/>
    <x v="6"/>
    <x v="2"/>
    <x v="0"/>
  </r>
  <r>
    <s v="AX12191"/>
    <s v="ENX2017"/>
    <s v="A160"/>
    <s v="EMP1025"/>
    <s v="C1054"/>
    <x v="754"/>
    <n v="1"/>
    <n v="35"/>
    <n v="22"/>
    <n v="22"/>
    <n v="35"/>
    <n v="13"/>
    <s v="Product 18"/>
    <x v="9"/>
    <s v="Ernest Wagner"/>
    <x v="58"/>
    <n v="7"/>
    <x v="6"/>
    <x v="6"/>
    <x v="6"/>
    <x v="2"/>
    <x v="0"/>
  </r>
  <r>
    <s v="AX12336"/>
    <s v="ENX2091"/>
    <s v="A124"/>
    <s v="EMP1007"/>
    <s v="C1451"/>
    <x v="755"/>
    <n v="4"/>
    <n v="368"/>
    <n v="294"/>
    <n v="1176"/>
    <n v="1472"/>
    <n v="296"/>
    <s v="Product 92"/>
    <x v="67"/>
    <s v="Jeremy Mendoza"/>
    <x v="80"/>
    <n v="7"/>
    <x v="6"/>
    <x v="6"/>
    <x v="6"/>
    <x v="2"/>
    <x v="0"/>
  </r>
  <r>
    <s v="AX12702"/>
    <s v="ENX2043"/>
    <s v="A157"/>
    <s v="EMP1021"/>
    <s v="C1611"/>
    <x v="753"/>
    <n v="4"/>
    <n v="545"/>
    <n v="425"/>
    <n v="1700"/>
    <n v="2180"/>
    <n v="480"/>
    <s v="Product 44"/>
    <x v="7"/>
    <s v="Clarence Fox"/>
    <x v="306"/>
    <n v="7"/>
    <x v="6"/>
    <x v="6"/>
    <x v="6"/>
    <x v="2"/>
    <x v="0"/>
  </r>
  <r>
    <s v="AX12842"/>
    <s v="ENX2086"/>
    <s v="A114"/>
    <s v="EMP1026"/>
    <s v="C1393"/>
    <x v="754"/>
    <n v="1"/>
    <n v="123"/>
    <n v="84"/>
    <n v="84"/>
    <n v="123"/>
    <n v="39"/>
    <s v="Product 87"/>
    <x v="28"/>
    <s v="Martin Perry"/>
    <x v="93"/>
    <n v="7"/>
    <x v="6"/>
    <x v="6"/>
    <x v="6"/>
    <x v="2"/>
    <x v="0"/>
  </r>
  <r>
    <s v="AX13542"/>
    <s v="ENX2001"/>
    <s v="A172"/>
    <s v="EMP1035"/>
    <s v="C1643"/>
    <x v="753"/>
    <n v="1"/>
    <n v="951"/>
    <n v="504"/>
    <n v="504"/>
    <n v="951"/>
    <n v="447"/>
    <s v="Product 2"/>
    <x v="36"/>
    <s v="Roger Ramos"/>
    <x v="142"/>
    <n v="7"/>
    <x v="6"/>
    <x v="6"/>
    <x v="6"/>
    <x v="2"/>
    <x v="0"/>
  </r>
  <r>
    <s v="AX14069"/>
    <s v="ENX2078"/>
    <s v="A118"/>
    <s v="EMP1020"/>
    <s v="C1731"/>
    <x v="754"/>
    <n v="1"/>
    <n v="1798"/>
    <n v="971"/>
    <n v="971"/>
    <n v="1798"/>
    <n v="827"/>
    <s v="Product 79"/>
    <x v="19"/>
    <s v="Ryan Butler"/>
    <x v="762"/>
    <n v="7"/>
    <x v="6"/>
    <x v="6"/>
    <x v="6"/>
    <x v="2"/>
    <x v="0"/>
  </r>
  <r>
    <s v="AX14210"/>
    <s v="ENX2044"/>
    <s v="A149"/>
    <s v="EMP1004"/>
    <s v="C1043"/>
    <x v="753"/>
    <n v="1"/>
    <n v="886"/>
    <n v="478"/>
    <n v="478"/>
    <n v="886"/>
    <n v="408"/>
    <s v="Product 45"/>
    <x v="59"/>
    <s v="Kenneth Bradley"/>
    <x v="546"/>
    <n v="7"/>
    <x v="6"/>
    <x v="6"/>
    <x v="6"/>
    <x v="2"/>
    <x v="0"/>
  </r>
  <r>
    <s v="AX14940"/>
    <s v="ENX2020"/>
    <s v="A164"/>
    <s v="EMP1010"/>
    <s v="C1603"/>
    <x v="754"/>
    <n v="3"/>
    <n v="2005"/>
    <n v="1223"/>
    <n v="3669"/>
    <n v="6015"/>
    <n v="2346"/>
    <s v="Product 21"/>
    <x v="3"/>
    <s v="Joshua Cook"/>
    <x v="229"/>
    <n v="7"/>
    <x v="6"/>
    <x v="6"/>
    <x v="6"/>
    <x v="2"/>
    <x v="0"/>
  </r>
  <r>
    <s v="AX15112"/>
    <s v="ENX2023"/>
    <s v="A123"/>
    <s v="EMP1007"/>
    <s v="C1752"/>
    <x v="756"/>
    <n v="3"/>
    <n v="818"/>
    <n v="450"/>
    <n v="1350"/>
    <n v="2454"/>
    <n v="1104"/>
    <s v="Product 24"/>
    <x v="34"/>
    <s v="Jeremy Mendoza"/>
    <x v="233"/>
    <n v="7"/>
    <x v="6"/>
    <x v="6"/>
    <x v="6"/>
    <x v="2"/>
    <x v="0"/>
  </r>
  <r>
    <s v="AX15346"/>
    <s v="ENX2029"/>
    <s v="A145"/>
    <s v="EMP1000"/>
    <s v="C1055"/>
    <x v="755"/>
    <n v="2"/>
    <n v="1848"/>
    <n v="1294"/>
    <n v="2588"/>
    <n v="3696"/>
    <n v="1108"/>
    <s v="Product 30"/>
    <x v="35"/>
    <s v="Fred Robertson"/>
    <x v="593"/>
    <n v="7"/>
    <x v="6"/>
    <x v="6"/>
    <x v="6"/>
    <x v="2"/>
    <x v="0"/>
  </r>
  <r>
    <s v="AX15676"/>
    <s v="ENX2064"/>
    <s v="A132"/>
    <s v="EMP1044"/>
    <s v="C1629"/>
    <x v="753"/>
    <n v="1"/>
    <n v="1414"/>
    <n v="962"/>
    <n v="962"/>
    <n v="1414"/>
    <n v="452"/>
    <s v="Product 65"/>
    <x v="48"/>
    <s v="Martin Carr"/>
    <x v="734"/>
    <n v="7"/>
    <x v="6"/>
    <x v="6"/>
    <x v="6"/>
    <x v="2"/>
    <x v="0"/>
  </r>
  <r>
    <s v="AX15748"/>
    <s v="ENX2039"/>
    <s v="A126"/>
    <s v="EMP1016"/>
    <s v="C1727"/>
    <x v="754"/>
    <n v="1"/>
    <n v="817"/>
    <n v="409"/>
    <n v="409"/>
    <n v="817"/>
    <n v="408"/>
    <s v="Product 40"/>
    <x v="5"/>
    <s v="Henry Nelson"/>
    <x v="581"/>
    <n v="7"/>
    <x v="6"/>
    <x v="6"/>
    <x v="6"/>
    <x v="2"/>
    <x v="0"/>
  </r>
  <r>
    <s v="AX15782"/>
    <s v="ENX2081"/>
    <s v="A166"/>
    <s v="EMP1000"/>
    <s v="C1433"/>
    <x v="754"/>
    <n v="1"/>
    <n v="1566"/>
    <n v="1190"/>
    <n v="1190"/>
    <n v="1566"/>
    <n v="376"/>
    <s v="Product 82"/>
    <x v="70"/>
    <s v="Fred Robertson"/>
    <x v="525"/>
    <n v="7"/>
    <x v="6"/>
    <x v="6"/>
    <x v="6"/>
    <x v="2"/>
    <x v="0"/>
  </r>
  <r>
    <s v="AX15994"/>
    <s v="ENX2040"/>
    <s v="A153"/>
    <s v="EMP1031"/>
    <s v="C1354"/>
    <x v="754"/>
    <n v="4"/>
    <n v="1889"/>
    <n v="945"/>
    <n v="3780"/>
    <n v="7556"/>
    <n v="3776"/>
    <s v="Product 41"/>
    <x v="8"/>
    <s v="Brian Thomas"/>
    <x v="133"/>
    <n v="7"/>
    <x v="6"/>
    <x v="6"/>
    <x v="6"/>
    <x v="2"/>
    <x v="0"/>
  </r>
  <r>
    <s v="AX16105"/>
    <s v="ENX2069"/>
    <s v="A163"/>
    <s v="EMP1011"/>
    <s v="C1798"/>
    <x v="754"/>
    <n v="3"/>
    <n v="378"/>
    <n v="291"/>
    <n v="873"/>
    <n v="1134"/>
    <n v="261"/>
    <s v="Product 70"/>
    <x v="51"/>
    <s v="Larry Marshall"/>
    <x v="608"/>
    <n v="7"/>
    <x v="6"/>
    <x v="6"/>
    <x v="6"/>
    <x v="2"/>
    <x v="0"/>
  </r>
  <r>
    <s v="AX16550"/>
    <s v="ENX2007"/>
    <s v="A116"/>
    <s v="EMP1030"/>
    <s v="C1279"/>
    <x v="753"/>
    <n v="1"/>
    <n v="1405"/>
    <n v="1054"/>
    <n v="1054"/>
    <n v="1405"/>
    <n v="351"/>
    <s v="Product 8"/>
    <x v="15"/>
    <s v="Bobby Russell"/>
    <x v="210"/>
    <n v="7"/>
    <x v="6"/>
    <x v="6"/>
    <x v="6"/>
    <x v="2"/>
    <x v="0"/>
  </r>
  <r>
    <s v="AX16554"/>
    <s v="ENX2050"/>
    <s v="A163"/>
    <s v="EMP1020"/>
    <s v="C1235"/>
    <x v="756"/>
    <n v="1"/>
    <n v="2391"/>
    <n v="1291"/>
    <n v="1291"/>
    <n v="2391"/>
    <n v="1100"/>
    <s v="Product 51"/>
    <x v="51"/>
    <s v="Ryan Butler"/>
    <x v="353"/>
    <n v="7"/>
    <x v="6"/>
    <x v="6"/>
    <x v="6"/>
    <x v="2"/>
    <x v="0"/>
  </r>
  <r>
    <s v="AX16592"/>
    <s v="ENX2054"/>
    <s v="A131"/>
    <s v="EMP1038"/>
    <s v="C1320"/>
    <x v="754"/>
    <n v="1"/>
    <n v="127"/>
    <n v="79"/>
    <n v="79"/>
    <n v="127"/>
    <n v="48"/>
    <s v="Product 55"/>
    <x v="32"/>
    <s v="Scott Mason"/>
    <x v="480"/>
    <n v="7"/>
    <x v="6"/>
    <x v="6"/>
    <x v="6"/>
    <x v="2"/>
    <x v="0"/>
  </r>
  <r>
    <s v="AX16632"/>
    <s v="ENX2012"/>
    <s v="A105"/>
    <s v="EMP1009"/>
    <s v="C1466"/>
    <x v="753"/>
    <n v="3"/>
    <n v="1353"/>
    <n v="947"/>
    <n v="2841"/>
    <n v="4059"/>
    <n v="1218"/>
    <s v="Product 13"/>
    <x v="45"/>
    <s v="Kenneth Fields"/>
    <x v="132"/>
    <n v="7"/>
    <x v="6"/>
    <x v="6"/>
    <x v="6"/>
    <x v="2"/>
    <x v="0"/>
  </r>
  <r>
    <s v="AX16834"/>
    <s v="ENX2033"/>
    <s v="A116"/>
    <s v="EMP1002"/>
    <s v="C1067"/>
    <x v="756"/>
    <n v="3"/>
    <n v="2182"/>
    <n v="1200"/>
    <n v="3600"/>
    <n v="6546"/>
    <n v="2946"/>
    <s v="Product 34"/>
    <x v="15"/>
    <s v="Andrew Bowman"/>
    <x v="108"/>
    <n v="7"/>
    <x v="6"/>
    <x v="6"/>
    <x v="6"/>
    <x v="2"/>
    <x v="0"/>
  </r>
  <r>
    <s v="AX17614"/>
    <s v="ENX2064"/>
    <s v="A102"/>
    <s v="EMP1036"/>
    <s v="C1684"/>
    <x v="753"/>
    <n v="3"/>
    <n v="1414"/>
    <n v="962"/>
    <n v="2886"/>
    <n v="4242"/>
    <n v="1356"/>
    <s v="Product 65"/>
    <x v="44"/>
    <s v="Robert Reed"/>
    <x v="258"/>
    <n v="7"/>
    <x v="6"/>
    <x v="6"/>
    <x v="6"/>
    <x v="2"/>
    <x v="0"/>
  </r>
  <r>
    <s v="AX17991"/>
    <s v="ENX2065"/>
    <s v="A164"/>
    <s v="EMP1016"/>
    <s v="C1716"/>
    <x v="755"/>
    <n v="1"/>
    <n v="2396"/>
    <n v="1965"/>
    <n v="1965"/>
    <n v="2396"/>
    <n v="431"/>
    <s v="Product 66"/>
    <x v="3"/>
    <s v="Henry Nelson"/>
    <x v="24"/>
    <n v="7"/>
    <x v="6"/>
    <x v="6"/>
    <x v="6"/>
    <x v="2"/>
    <x v="0"/>
  </r>
  <r>
    <s v="AX18042"/>
    <s v="ENX2011"/>
    <s v="A123"/>
    <s v="EMP1015"/>
    <s v="C1594"/>
    <x v="756"/>
    <n v="1"/>
    <n v="530"/>
    <n v="435"/>
    <n v="435"/>
    <n v="530"/>
    <n v="95"/>
    <s v="Product 12"/>
    <x v="34"/>
    <s v="Justin Lynch"/>
    <x v="770"/>
    <n v="7"/>
    <x v="6"/>
    <x v="6"/>
    <x v="6"/>
    <x v="2"/>
    <x v="0"/>
  </r>
  <r>
    <s v="AX18068"/>
    <s v="ENX2015"/>
    <s v="A164"/>
    <s v="EMP1010"/>
    <s v="C1099"/>
    <x v="753"/>
    <n v="1"/>
    <n v="637"/>
    <n v="389"/>
    <n v="389"/>
    <n v="637"/>
    <n v="248"/>
    <s v="Product 16"/>
    <x v="3"/>
    <s v="Joshua Cook"/>
    <x v="394"/>
    <n v="7"/>
    <x v="6"/>
    <x v="6"/>
    <x v="6"/>
    <x v="2"/>
    <x v="0"/>
  </r>
  <r>
    <s v="AX18162"/>
    <s v="ENX2074"/>
    <s v="A150"/>
    <s v="EMP1043"/>
    <s v="C1610"/>
    <x v="756"/>
    <n v="1"/>
    <n v="504"/>
    <n v="408"/>
    <n v="408"/>
    <n v="504"/>
    <n v="96"/>
    <s v="Product 75"/>
    <x v="30"/>
    <s v="Joshua Taylor"/>
    <x v="362"/>
    <n v="7"/>
    <x v="6"/>
    <x v="6"/>
    <x v="6"/>
    <x v="2"/>
    <x v="0"/>
  </r>
  <r>
    <s v="AX19374"/>
    <s v="ENX2065"/>
    <s v="A163"/>
    <s v="EMP1011"/>
    <s v="C1008"/>
    <x v="754"/>
    <n v="1"/>
    <n v="2396"/>
    <n v="1965"/>
    <n v="1965"/>
    <n v="2396"/>
    <n v="431"/>
    <s v="Product 66"/>
    <x v="51"/>
    <s v="Larry Marshall"/>
    <x v="796"/>
    <n v="7"/>
    <x v="6"/>
    <x v="6"/>
    <x v="6"/>
    <x v="2"/>
    <x v="0"/>
  </r>
  <r>
    <s v="AX19917"/>
    <s v="ENX2099"/>
    <s v="A148"/>
    <s v="EMP1024"/>
    <s v="C1391"/>
    <x v="756"/>
    <n v="1"/>
    <n v="1367"/>
    <n v="984"/>
    <n v="984"/>
    <n v="1367"/>
    <n v="383"/>
    <s v="Product 100"/>
    <x v="62"/>
    <s v="Ernest Wheeler"/>
    <x v="745"/>
    <n v="7"/>
    <x v="6"/>
    <x v="6"/>
    <x v="6"/>
    <x v="2"/>
    <x v="0"/>
  </r>
  <r>
    <s v="AX19932"/>
    <s v="ENX2044"/>
    <s v="A105"/>
    <s v="EMP1019"/>
    <s v="C1229"/>
    <x v="755"/>
    <n v="2"/>
    <n v="886"/>
    <n v="478"/>
    <n v="956"/>
    <n v="1772"/>
    <n v="816"/>
    <s v="Product 45"/>
    <x v="45"/>
    <s v="Roger Robertson"/>
    <x v="562"/>
    <n v="7"/>
    <x v="6"/>
    <x v="6"/>
    <x v="6"/>
    <x v="2"/>
    <x v="0"/>
  </r>
  <r>
    <s v="AX20430"/>
    <s v="ENX2099"/>
    <s v="A172"/>
    <s v="EMP1000"/>
    <s v="C1698"/>
    <x v="754"/>
    <n v="1"/>
    <n v="1367"/>
    <n v="984"/>
    <n v="984"/>
    <n v="1367"/>
    <n v="383"/>
    <s v="Product 100"/>
    <x v="36"/>
    <s v="Fred Robertson"/>
    <x v="86"/>
    <n v="7"/>
    <x v="6"/>
    <x v="6"/>
    <x v="6"/>
    <x v="2"/>
    <x v="0"/>
  </r>
  <r>
    <s v="AX21809"/>
    <s v="ENX2005"/>
    <s v="A146"/>
    <s v="EMP1029"/>
    <s v="C1235"/>
    <x v="756"/>
    <n v="2"/>
    <n v="684"/>
    <n v="561"/>
    <n v="1122"/>
    <n v="1368"/>
    <n v="246"/>
    <s v="Product 6"/>
    <x v="27"/>
    <s v="Howard Gardner"/>
    <x v="353"/>
    <n v="7"/>
    <x v="6"/>
    <x v="6"/>
    <x v="6"/>
    <x v="2"/>
    <x v="0"/>
  </r>
  <r>
    <s v="AX22129"/>
    <s v="ENX2001"/>
    <s v="A130"/>
    <s v="EMP1029"/>
    <s v="C1599"/>
    <x v="753"/>
    <n v="1"/>
    <n v="951"/>
    <n v="504"/>
    <n v="504"/>
    <n v="951"/>
    <n v="447"/>
    <s v="Product 2"/>
    <x v="4"/>
    <s v="Howard Gardner"/>
    <x v="556"/>
    <n v="7"/>
    <x v="6"/>
    <x v="6"/>
    <x v="6"/>
    <x v="2"/>
    <x v="0"/>
  </r>
  <r>
    <s v="AX22508"/>
    <s v="ENX2089"/>
    <s v="A103"/>
    <s v="EMP1013"/>
    <s v="C1378"/>
    <x v="753"/>
    <n v="3"/>
    <n v="2294"/>
    <n v="1399"/>
    <n v="4197"/>
    <n v="6882"/>
    <n v="2685"/>
    <s v="Product 90"/>
    <x v="61"/>
    <s v="Charles Harper"/>
    <x v="787"/>
    <n v="7"/>
    <x v="6"/>
    <x v="6"/>
    <x v="6"/>
    <x v="2"/>
    <x v="0"/>
  </r>
  <r>
    <s v="AX22686"/>
    <s v="ENX2041"/>
    <s v="A118"/>
    <s v="EMP1030"/>
    <s v="C1511"/>
    <x v="753"/>
    <n v="1"/>
    <n v="1380"/>
    <n v="1090"/>
    <n v="1090"/>
    <n v="1380"/>
    <n v="290"/>
    <s v="Product 42"/>
    <x v="19"/>
    <s v="Bobby Russell"/>
    <x v="754"/>
    <n v="7"/>
    <x v="6"/>
    <x v="6"/>
    <x v="6"/>
    <x v="2"/>
    <x v="0"/>
  </r>
  <r>
    <s v="AX22790"/>
    <s v="ENX2096"/>
    <s v="A130"/>
    <s v="EMP1038"/>
    <s v="C1093"/>
    <x v="754"/>
    <n v="1"/>
    <n v="1587"/>
    <n v="1301"/>
    <n v="1301"/>
    <n v="1587"/>
    <n v="286"/>
    <s v="Product 97"/>
    <x v="4"/>
    <s v="Scott Mason"/>
    <x v="290"/>
    <n v="7"/>
    <x v="6"/>
    <x v="6"/>
    <x v="6"/>
    <x v="2"/>
    <x v="0"/>
  </r>
  <r>
    <s v="AX22811"/>
    <s v="ENX2062"/>
    <s v="A128"/>
    <s v="EMP1003"/>
    <s v="C1380"/>
    <x v="754"/>
    <n v="4"/>
    <n v="2464"/>
    <n v="1774"/>
    <n v="7096"/>
    <n v="9856"/>
    <n v="2760"/>
    <s v="Product 63"/>
    <x v="12"/>
    <s v="Christopher Tucker"/>
    <x v="540"/>
    <n v="7"/>
    <x v="6"/>
    <x v="6"/>
    <x v="6"/>
    <x v="2"/>
    <x v="0"/>
  </r>
  <r>
    <s v="AX22866"/>
    <s v="ENX2097"/>
    <s v="A106"/>
    <s v="EMP1020"/>
    <s v="C1047"/>
    <x v="753"/>
    <n v="1"/>
    <n v="1052"/>
    <n v="589"/>
    <n v="589"/>
    <n v="1052"/>
    <n v="463"/>
    <s v="Product 98"/>
    <x v="11"/>
    <s v="Ryan Butler"/>
    <x v="486"/>
    <n v="7"/>
    <x v="6"/>
    <x v="6"/>
    <x v="6"/>
    <x v="2"/>
    <x v="0"/>
  </r>
  <r>
    <s v="AX23206"/>
    <s v="ENX2091"/>
    <s v="A129"/>
    <s v="EMP1041"/>
    <s v="C1549"/>
    <x v="755"/>
    <n v="1"/>
    <n v="368"/>
    <n v="294"/>
    <n v="294"/>
    <n v="368"/>
    <n v="74"/>
    <s v="Product 92"/>
    <x v="22"/>
    <s v="Joe Sims"/>
    <x v="174"/>
    <n v="7"/>
    <x v="6"/>
    <x v="6"/>
    <x v="6"/>
    <x v="2"/>
    <x v="0"/>
  </r>
  <r>
    <s v="AX23498"/>
    <s v="ENX2011"/>
    <s v="A167"/>
    <s v="EMP1011"/>
    <s v="C1310"/>
    <x v="755"/>
    <n v="2"/>
    <n v="530"/>
    <n v="435"/>
    <n v="870"/>
    <n v="1060"/>
    <n v="190"/>
    <s v="Product 12"/>
    <x v="64"/>
    <s v="Larry Marshall"/>
    <x v="169"/>
    <n v="7"/>
    <x v="6"/>
    <x v="6"/>
    <x v="6"/>
    <x v="2"/>
    <x v="0"/>
  </r>
  <r>
    <s v="AX23633"/>
    <s v="ENX2012"/>
    <s v="A151"/>
    <s v="EMP1015"/>
    <s v="C1721"/>
    <x v="756"/>
    <n v="1"/>
    <n v="1353"/>
    <n v="947"/>
    <n v="947"/>
    <n v="1353"/>
    <n v="406"/>
    <s v="Product 13"/>
    <x v="1"/>
    <s v="Justin Lynch"/>
    <x v="678"/>
    <n v="7"/>
    <x v="6"/>
    <x v="6"/>
    <x v="6"/>
    <x v="2"/>
    <x v="0"/>
  </r>
  <r>
    <s v="AX24049"/>
    <s v="ENX2064"/>
    <s v="A171"/>
    <s v="EMP1010"/>
    <s v="C1679"/>
    <x v="754"/>
    <n v="1"/>
    <n v="1414"/>
    <n v="962"/>
    <n v="962"/>
    <n v="1414"/>
    <n v="452"/>
    <s v="Product 65"/>
    <x v="0"/>
    <s v="Joshua Cook"/>
    <x v="664"/>
    <n v="7"/>
    <x v="6"/>
    <x v="6"/>
    <x v="6"/>
    <x v="2"/>
    <x v="0"/>
  </r>
  <r>
    <s v="AX24486"/>
    <s v="ENX2100"/>
    <s v="A148"/>
    <s v="EMP1030"/>
    <s v="C1001"/>
    <x v="755"/>
    <n v="4"/>
    <n v="799"/>
    <n v="455"/>
    <n v="1820"/>
    <n v="3196"/>
    <n v="1376"/>
    <s v="Product 101"/>
    <x v="62"/>
    <s v="Bobby Russell"/>
    <x v="725"/>
    <n v="7"/>
    <x v="6"/>
    <x v="6"/>
    <x v="6"/>
    <x v="2"/>
    <x v="0"/>
  </r>
  <r>
    <s v="AX24615"/>
    <s v="ENX2062"/>
    <s v="A164"/>
    <s v="EMP1000"/>
    <s v="C1407"/>
    <x v="756"/>
    <n v="3"/>
    <n v="2464"/>
    <n v="1774"/>
    <n v="5322"/>
    <n v="7392"/>
    <n v="2070"/>
    <s v="Product 63"/>
    <x v="3"/>
    <s v="Fred Robertson"/>
    <x v="294"/>
    <n v="7"/>
    <x v="6"/>
    <x v="6"/>
    <x v="6"/>
    <x v="2"/>
    <x v="0"/>
  </r>
  <r>
    <s v="AX24957"/>
    <s v="ENX2013"/>
    <s v="A167"/>
    <s v="EMP1042"/>
    <s v="C1189"/>
    <x v="755"/>
    <n v="1"/>
    <n v="368"/>
    <n v="269"/>
    <n v="269"/>
    <n v="368"/>
    <n v="99"/>
    <s v="Product 14"/>
    <x v="64"/>
    <s v="Scott Clark"/>
    <x v="752"/>
    <n v="7"/>
    <x v="6"/>
    <x v="6"/>
    <x v="6"/>
    <x v="2"/>
    <x v="0"/>
  </r>
  <r>
    <s v="AX10009"/>
    <s v="ENX2082"/>
    <s v="A101"/>
    <s v="EMP1029"/>
    <s v="C1764"/>
    <x v="757"/>
    <n v="1"/>
    <n v="1103"/>
    <n v="838"/>
    <n v="838"/>
    <n v="1103"/>
    <n v="265"/>
    <s v="Product 83"/>
    <x v="60"/>
    <s v="Howard Gardner"/>
    <x v="386"/>
    <n v="7"/>
    <x v="6"/>
    <x v="6"/>
    <x v="6"/>
    <x v="2"/>
    <x v="2"/>
  </r>
  <r>
    <s v="AX10347"/>
    <s v="ENX2026"/>
    <s v="A101"/>
    <s v="EMP1015"/>
    <s v="C1304"/>
    <x v="758"/>
    <n v="2"/>
    <n v="947"/>
    <n v="786"/>
    <n v="1572"/>
    <n v="1894"/>
    <n v="322"/>
    <s v="Product 27"/>
    <x v="60"/>
    <s v="Justin Lynch"/>
    <x v="298"/>
    <n v="7"/>
    <x v="6"/>
    <x v="6"/>
    <x v="6"/>
    <x v="2"/>
    <x v="2"/>
  </r>
  <r>
    <s v="AX10353"/>
    <s v="ENX2028"/>
    <s v="A172"/>
    <s v="EMP1004"/>
    <s v="C1509"/>
    <x v="757"/>
    <n v="1"/>
    <n v="2283"/>
    <n v="1484"/>
    <n v="1484"/>
    <n v="2283"/>
    <n v="799"/>
    <s v="Product 29"/>
    <x v="36"/>
    <s v="Kenneth Bradley"/>
    <x v="442"/>
    <n v="7"/>
    <x v="6"/>
    <x v="6"/>
    <x v="6"/>
    <x v="2"/>
    <x v="2"/>
  </r>
  <r>
    <s v="AX10698"/>
    <s v="ENX2021"/>
    <s v="A157"/>
    <s v="EMP1030"/>
    <s v="C1626"/>
    <x v="759"/>
    <n v="1"/>
    <n v="217"/>
    <n v="171"/>
    <n v="171"/>
    <n v="217"/>
    <n v="46"/>
    <s v="Product 22"/>
    <x v="7"/>
    <s v="Bobby Russell"/>
    <x v="153"/>
    <n v="7"/>
    <x v="6"/>
    <x v="6"/>
    <x v="6"/>
    <x v="2"/>
    <x v="2"/>
  </r>
  <r>
    <s v="AX10738"/>
    <s v="ENX2004"/>
    <s v="A170"/>
    <s v="EMP1039"/>
    <s v="C1434"/>
    <x v="759"/>
    <n v="3"/>
    <n v="1278"/>
    <n v="665"/>
    <n v="1995"/>
    <n v="3834"/>
    <n v="1839"/>
    <s v="Product 5"/>
    <x v="47"/>
    <s v="Eugene Holmes"/>
    <x v="722"/>
    <n v="7"/>
    <x v="6"/>
    <x v="6"/>
    <x v="6"/>
    <x v="2"/>
    <x v="2"/>
  </r>
  <r>
    <s v="AX11924"/>
    <s v="ENX2087"/>
    <s v="A160"/>
    <s v="EMP1004"/>
    <s v="C1001"/>
    <x v="758"/>
    <n v="1"/>
    <n v="1022"/>
    <n v="818"/>
    <n v="818"/>
    <n v="1022"/>
    <n v="204"/>
    <s v="Product 88"/>
    <x v="9"/>
    <s v="Kenneth Bradley"/>
    <x v="725"/>
    <n v="7"/>
    <x v="6"/>
    <x v="6"/>
    <x v="6"/>
    <x v="2"/>
    <x v="2"/>
  </r>
  <r>
    <s v="AX11981"/>
    <s v="ENX2086"/>
    <s v="A125"/>
    <s v="EMP1016"/>
    <s v="C1724"/>
    <x v="759"/>
    <n v="4"/>
    <n v="123"/>
    <n v="84"/>
    <n v="336"/>
    <n v="492"/>
    <n v="156"/>
    <s v="Product 87"/>
    <x v="31"/>
    <s v="Henry Nelson"/>
    <x v="378"/>
    <n v="7"/>
    <x v="6"/>
    <x v="6"/>
    <x v="6"/>
    <x v="2"/>
    <x v="2"/>
  </r>
  <r>
    <s v="AX12087"/>
    <s v="ENX2028"/>
    <s v="A110"/>
    <s v="EMP1039"/>
    <s v="C1429"/>
    <x v="757"/>
    <n v="4"/>
    <n v="2283"/>
    <n v="1484"/>
    <n v="5936"/>
    <n v="9132"/>
    <n v="3196"/>
    <s v="Product 29"/>
    <x v="63"/>
    <s v="Eugene Holmes"/>
    <x v="651"/>
    <n v="7"/>
    <x v="6"/>
    <x v="6"/>
    <x v="6"/>
    <x v="2"/>
    <x v="2"/>
  </r>
  <r>
    <s v="AX12101"/>
    <s v="ENX2073"/>
    <s v="A118"/>
    <s v="EMP1025"/>
    <s v="C1635"/>
    <x v="758"/>
    <n v="1"/>
    <n v="95"/>
    <n v="61"/>
    <n v="61"/>
    <n v="95"/>
    <n v="34"/>
    <s v="Product 74"/>
    <x v="19"/>
    <s v="Ernest Wagner"/>
    <x v="31"/>
    <n v="7"/>
    <x v="6"/>
    <x v="6"/>
    <x v="6"/>
    <x v="2"/>
    <x v="2"/>
  </r>
  <r>
    <s v="AX12643"/>
    <s v="ENX2025"/>
    <s v="A127"/>
    <s v="EMP1037"/>
    <s v="C1505"/>
    <x v="760"/>
    <n v="1"/>
    <n v="667"/>
    <n v="387"/>
    <n v="387"/>
    <n v="667"/>
    <n v="280"/>
    <s v="Product 26"/>
    <x v="69"/>
    <s v="Carl Hall"/>
    <x v="632"/>
    <n v="7"/>
    <x v="6"/>
    <x v="6"/>
    <x v="6"/>
    <x v="2"/>
    <x v="2"/>
  </r>
  <r>
    <s v="AX12885"/>
    <s v="ENX2063"/>
    <s v="A147"/>
    <s v="EMP1042"/>
    <s v="C1798"/>
    <x v="757"/>
    <n v="1"/>
    <n v="1708"/>
    <n v="871"/>
    <n v="871"/>
    <n v="1708"/>
    <n v="837"/>
    <s v="Product 64"/>
    <x v="42"/>
    <s v="Scott Clark"/>
    <x v="608"/>
    <n v="7"/>
    <x v="6"/>
    <x v="6"/>
    <x v="6"/>
    <x v="2"/>
    <x v="2"/>
  </r>
  <r>
    <s v="AX13036"/>
    <s v="ENX2025"/>
    <s v="A144"/>
    <s v="EMP1041"/>
    <s v="C1718"/>
    <x v="760"/>
    <n v="1"/>
    <n v="667"/>
    <n v="387"/>
    <n v="387"/>
    <n v="667"/>
    <n v="280"/>
    <s v="Product 26"/>
    <x v="65"/>
    <s v="Joe Sims"/>
    <x v="14"/>
    <n v="7"/>
    <x v="6"/>
    <x v="6"/>
    <x v="6"/>
    <x v="2"/>
    <x v="2"/>
  </r>
  <r>
    <s v="AX13384"/>
    <s v="ENX2070"/>
    <s v="A168"/>
    <s v="EMP1011"/>
    <s v="C1047"/>
    <x v="759"/>
    <n v="2"/>
    <n v="1671"/>
    <n v="1220"/>
    <n v="2440"/>
    <n v="3342"/>
    <n v="902"/>
    <s v="Product 71"/>
    <x v="40"/>
    <s v="Larry Marshall"/>
    <x v="486"/>
    <n v="7"/>
    <x v="6"/>
    <x v="6"/>
    <x v="6"/>
    <x v="2"/>
    <x v="2"/>
  </r>
  <r>
    <s v="AX13955"/>
    <s v="ENX2034"/>
    <s v="A120"/>
    <s v="EMP1039"/>
    <s v="C1591"/>
    <x v="757"/>
    <n v="4"/>
    <n v="871"/>
    <n v="540"/>
    <n v="2160"/>
    <n v="3484"/>
    <n v="1324"/>
    <s v="Product 35"/>
    <x v="20"/>
    <s v="Eugene Holmes"/>
    <x v="289"/>
    <n v="7"/>
    <x v="6"/>
    <x v="6"/>
    <x v="6"/>
    <x v="2"/>
    <x v="2"/>
  </r>
  <r>
    <s v="AX14570"/>
    <s v="ENX2076"/>
    <s v="A125"/>
    <s v="EMP1007"/>
    <s v="C1047"/>
    <x v="757"/>
    <n v="4"/>
    <n v="1522"/>
    <n v="791"/>
    <n v="3164"/>
    <n v="6088"/>
    <n v="2924"/>
    <s v="Product 77"/>
    <x v="31"/>
    <s v="Jeremy Mendoza"/>
    <x v="486"/>
    <n v="7"/>
    <x v="6"/>
    <x v="6"/>
    <x v="6"/>
    <x v="2"/>
    <x v="2"/>
  </r>
  <r>
    <s v="AX14879"/>
    <s v="ENX2060"/>
    <s v="A103"/>
    <s v="EMP1024"/>
    <s v="C1614"/>
    <x v="760"/>
    <n v="2"/>
    <n v="1467"/>
    <n v="807"/>
    <n v="1614"/>
    <n v="2934"/>
    <n v="1320"/>
    <s v="Product 61"/>
    <x v="61"/>
    <s v="Ernest Wheeler"/>
    <x v="11"/>
    <n v="7"/>
    <x v="6"/>
    <x v="6"/>
    <x v="6"/>
    <x v="2"/>
    <x v="2"/>
  </r>
  <r>
    <s v="AX15535"/>
    <s v="ENX2098"/>
    <s v="A146"/>
    <s v="EMP1013"/>
    <s v="C1607"/>
    <x v="759"/>
    <n v="1"/>
    <n v="1178"/>
    <n v="683"/>
    <n v="683"/>
    <n v="1178"/>
    <n v="495"/>
    <s v="Product 99"/>
    <x v="27"/>
    <s v="Charles Harper"/>
    <x v="211"/>
    <n v="7"/>
    <x v="6"/>
    <x v="6"/>
    <x v="6"/>
    <x v="2"/>
    <x v="2"/>
  </r>
  <r>
    <s v="AX15736"/>
    <s v="ENX2011"/>
    <s v="A111"/>
    <s v="EMP1040"/>
    <s v="C1547"/>
    <x v="759"/>
    <n v="4"/>
    <n v="530"/>
    <n v="435"/>
    <n v="1740"/>
    <n v="2120"/>
    <n v="380"/>
    <s v="Product 12"/>
    <x v="54"/>
    <s v="Patrick Ruiz"/>
    <x v="800"/>
    <n v="7"/>
    <x v="6"/>
    <x v="6"/>
    <x v="6"/>
    <x v="2"/>
    <x v="2"/>
  </r>
  <r>
    <s v="AX15903"/>
    <s v="ENX2021"/>
    <s v="A109"/>
    <s v="EMP1031"/>
    <s v="C1337"/>
    <x v="760"/>
    <n v="1"/>
    <n v="217"/>
    <n v="171"/>
    <n v="171"/>
    <n v="217"/>
    <n v="46"/>
    <s v="Product 22"/>
    <x v="57"/>
    <s v="Brian Thomas"/>
    <x v="417"/>
    <n v="7"/>
    <x v="6"/>
    <x v="6"/>
    <x v="6"/>
    <x v="2"/>
    <x v="2"/>
  </r>
  <r>
    <s v="AX16392"/>
    <s v="ENX2081"/>
    <s v="A106"/>
    <s v="EMP1013"/>
    <s v="C1022"/>
    <x v="757"/>
    <n v="1"/>
    <n v="1566"/>
    <n v="1190"/>
    <n v="1190"/>
    <n v="1566"/>
    <n v="376"/>
    <s v="Product 82"/>
    <x v="11"/>
    <s v="Charles Harper"/>
    <x v="249"/>
    <n v="7"/>
    <x v="6"/>
    <x v="6"/>
    <x v="6"/>
    <x v="2"/>
    <x v="2"/>
  </r>
  <r>
    <s v="AX17168"/>
    <s v="ENX2097"/>
    <s v="A145"/>
    <s v="EMP1015"/>
    <s v="C1502"/>
    <x v="758"/>
    <n v="1"/>
    <n v="1052"/>
    <n v="589"/>
    <n v="589"/>
    <n v="1052"/>
    <n v="463"/>
    <s v="Product 98"/>
    <x v="35"/>
    <s v="Justin Lynch"/>
    <x v="364"/>
    <n v="7"/>
    <x v="6"/>
    <x v="6"/>
    <x v="6"/>
    <x v="2"/>
    <x v="2"/>
  </r>
  <r>
    <s v="AX17298"/>
    <s v="ENX2085"/>
    <s v="A103"/>
    <s v="EMP1013"/>
    <s v="C1034"/>
    <x v="760"/>
    <n v="1"/>
    <n v="1862"/>
    <n v="1173"/>
    <n v="1173"/>
    <n v="1862"/>
    <n v="689"/>
    <s v="Product 86"/>
    <x v="61"/>
    <s v="Charles Harper"/>
    <x v="704"/>
    <n v="7"/>
    <x v="6"/>
    <x v="6"/>
    <x v="6"/>
    <x v="2"/>
    <x v="2"/>
  </r>
  <r>
    <s v="AX17339"/>
    <s v="ENX2004"/>
    <s v="A135"/>
    <s v="EMP1021"/>
    <s v="C1610"/>
    <x v="760"/>
    <n v="1"/>
    <n v="1278"/>
    <n v="665"/>
    <n v="665"/>
    <n v="1278"/>
    <n v="613"/>
    <s v="Product 5"/>
    <x v="10"/>
    <s v="Clarence Fox"/>
    <x v="362"/>
    <n v="7"/>
    <x v="6"/>
    <x v="6"/>
    <x v="6"/>
    <x v="2"/>
    <x v="2"/>
  </r>
  <r>
    <s v="AX17392"/>
    <s v="ENX2049"/>
    <s v="A164"/>
    <s v="EMP1033"/>
    <s v="C1081"/>
    <x v="757"/>
    <n v="1"/>
    <n v="826"/>
    <n v="562"/>
    <n v="562"/>
    <n v="826"/>
    <n v="264"/>
    <s v="Product 50"/>
    <x v="3"/>
    <s v="Jerry Perry"/>
    <x v="168"/>
    <n v="7"/>
    <x v="6"/>
    <x v="6"/>
    <x v="6"/>
    <x v="2"/>
    <x v="2"/>
  </r>
  <r>
    <s v="AX17601"/>
    <s v="ENX2080"/>
    <s v="A156"/>
    <s v="EMP1026"/>
    <s v="C1372"/>
    <x v="757"/>
    <n v="1"/>
    <n v="2353"/>
    <n v="1788"/>
    <n v="1788"/>
    <n v="2353"/>
    <n v="565"/>
    <s v="Product 81"/>
    <x v="14"/>
    <s v="Martin Perry"/>
    <x v="60"/>
    <n v="7"/>
    <x v="6"/>
    <x v="6"/>
    <x v="6"/>
    <x v="2"/>
    <x v="2"/>
  </r>
  <r>
    <s v="AX17779"/>
    <s v="ENX2030"/>
    <s v="A161"/>
    <s v="EMP1019"/>
    <s v="C1016"/>
    <x v="758"/>
    <n v="2"/>
    <n v="1899"/>
    <n v="1044"/>
    <n v="2088"/>
    <n v="3798"/>
    <n v="1710"/>
    <s v="Product 31"/>
    <x v="6"/>
    <s v="Roger Robertson"/>
    <x v="335"/>
    <n v="7"/>
    <x v="6"/>
    <x v="6"/>
    <x v="6"/>
    <x v="2"/>
    <x v="2"/>
  </r>
  <r>
    <s v="AX18149"/>
    <s v="ENX2071"/>
    <s v="A144"/>
    <s v="EMP1018"/>
    <s v="C1085"/>
    <x v="757"/>
    <n v="3"/>
    <n v="136"/>
    <n v="72"/>
    <n v="216"/>
    <n v="408"/>
    <n v="192"/>
    <s v="Product 72"/>
    <x v="65"/>
    <s v="Jimmy Young"/>
    <x v="412"/>
    <n v="7"/>
    <x v="6"/>
    <x v="6"/>
    <x v="6"/>
    <x v="2"/>
    <x v="2"/>
  </r>
  <r>
    <s v="AX18240"/>
    <s v="ENX2021"/>
    <s v="A157"/>
    <s v="EMP1021"/>
    <s v="C1369"/>
    <x v="759"/>
    <n v="1"/>
    <n v="217"/>
    <n v="171"/>
    <n v="171"/>
    <n v="217"/>
    <n v="46"/>
    <s v="Product 22"/>
    <x v="7"/>
    <s v="Clarence Fox"/>
    <x v="126"/>
    <n v="7"/>
    <x v="6"/>
    <x v="6"/>
    <x v="6"/>
    <x v="2"/>
    <x v="2"/>
  </r>
  <r>
    <s v="AX18800"/>
    <s v="ENX2008"/>
    <s v="A124"/>
    <s v="EMP1040"/>
    <s v="C1786"/>
    <x v="757"/>
    <n v="4"/>
    <n v="315"/>
    <n v="208"/>
    <n v="832"/>
    <n v="1260"/>
    <n v="428"/>
    <s v="Product 9"/>
    <x v="67"/>
    <s v="Patrick Ruiz"/>
    <x v="406"/>
    <n v="7"/>
    <x v="6"/>
    <x v="6"/>
    <x v="6"/>
    <x v="2"/>
    <x v="2"/>
  </r>
  <r>
    <s v="AX20033"/>
    <s v="ENX2024"/>
    <s v="A139"/>
    <s v="EMP1003"/>
    <s v="C1221"/>
    <x v="760"/>
    <n v="3"/>
    <n v="356"/>
    <n v="292"/>
    <n v="876"/>
    <n v="1068"/>
    <n v="192"/>
    <s v="Product 25"/>
    <x v="38"/>
    <s v="Christopher Tucker"/>
    <x v="429"/>
    <n v="7"/>
    <x v="6"/>
    <x v="6"/>
    <x v="6"/>
    <x v="2"/>
    <x v="2"/>
  </r>
  <r>
    <s v="AX20147"/>
    <s v="ENX2041"/>
    <s v="A112"/>
    <s v="EMP1025"/>
    <s v="C1774"/>
    <x v="757"/>
    <n v="1"/>
    <n v="1380"/>
    <n v="1090"/>
    <n v="1090"/>
    <n v="1380"/>
    <n v="290"/>
    <s v="Product 42"/>
    <x v="66"/>
    <s v="Ernest Wagner"/>
    <x v="232"/>
    <n v="7"/>
    <x v="6"/>
    <x v="6"/>
    <x v="6"/>
    <x v="2"/>
    <x v="2"/>
  </r>
  <r>
    <s v="AX20695"/>
    <s v="ENX2022"/>
    <s v="A122"/>
    <s v="EMP1016"/>
    <s v="C1441"/>
    <x v="758"/>
    <n v="1"/>
    <n v="561"/>
    <n v="421"/>
    <n v="421"/>
    <n v="561"/>
    <n v="140"/>
    <s v="Product 23"/>
    <x v="71"/>
    <s v="Henry Nelson"/>
    <x v="667"/>
    <n v="7"/>
    <x v="6"/>
    <x v="6"/>
    <x v="6"/>
    <x v="2"/>
    <x v="2"/>
  </r>
  <r>
    <s v="AX21057"/>
    <s v="ENX2034"/>
    <s v="A160"/>
    <s v="EMP1024"/>
    <s v="C1737"/>
    <x v="759"/>
    <n v="1"/>
    <n v="871"/>
    <n v="540"/>
    <n v="540"/>
    <n v="871"/>
    <n v="331"/>
    <s v="Product 35"/>
    <x v="9"/>
    <s v="Ernest Wheeler"/>
    <x v="343"/>
    <n v="7"/>
    <x v="6"/>
    <x v="6"/>
    <x v="6"/>
    <x v="2"/>
    <x v="2"/>
  </r>
  <r>
    <s v="AX21066"/>
    <s v="ENX2021"/>
    <s v="A162"/>
    <s v="EMP1021"/>
    <s v="C1745"/>
    <x v="760"/>
    <n v="1"/>
    <n v="217"/>
    <n v="171"/>
    <n v="171"/>
    <n v="217"/>
    <n v="46"/>
    <s v="Product 22"/>
    <x v="2"/>
    <s v="Clarence Fox"/>
    <x v="784"/>
    <n v="7"/>
    <x v="6"/>
    <x v="6"/>
    <x v="6"/>
    <x v="2"/>
    <x v="2"/>
  </r>
  <r>
    <s v="AX21319"/>
    <s v="ENX2043"/>
    <s v="A132"/>
    <s v="EMP1040"/>
    <s v="C1395"/>
    <x v="757"/>
    <n v="1"/>
    <n v="545"/>
    <n v="425"/>
    <n v="425"/>
    <n v="545"/>
    <n v="120"/>
    <s v="Product 44"/>
    <x v="48"/>
    <s v="Patrick Ruiz"/>
    <x v="202"/>
    <n v="7"/>
    <x v="6"/>
    <x v="6"/>
    <x v="6"/>
    <x v="2"/>
    <x v="2"/>
  </r>
  <r>
    <s v="AX21347"/>
    <s v="ENX2038"/>
    <s v="A165"/>
    <s v="EMP1013"/>
    <s v="C1698"/>
    <x v="759"/>
    <n v="3"/>
    <n v="392"/>
    <n v="255"/>
    <n v="765"/>
    <n v="1176"/>
    <n v="411"/>
    <s v="Product 39"/>
    <x v="55"/>
    <s v="Charles Harper"/>
    <x v="86"/>
    <n v="7"/>
    <x v="6"/>
    <x v="6"/>
    <x v="6"/>
    <x v="2"/>
    <x v="2"/>
  </r>
  <r>
    <s v="AX21356"/>
    <s v="ENX2036"/>
    <s v="A128"/>
    <s v="EMP1002"/>
    <s v="C1715"/>
    <x v="757"/>
    <n v="1"/>
    <n v="1582"/>
    <n v="1234"/>
    <n v="1234"/>
    <n v="1582"/>
    <n v="348"/>
    <s v="Product 37"/>
    <x v="12"/>
    <s v="Andrew Bowman"/>
    <x v="342"/>
    <n v="7"/>
    <x v="6"/>
    <x v="6"/>
    <x v="6"/>
    <x v="2"/>
    <x v="2"/>
  </r>
  <r>
    <s v="AX21462"/>
    <s v="ENX2056"/>
    <s v="A124"/>
    <s v="EMP1023"/>
    <s v="C1738"/>
    <x v="759"/>
    <n v="2"/>
    <n v="1635"/>
    <n v="1046"/>
    <n v="2092"/>
    <n v="3270"/>
    <n v="1178"/>
    <s v="Product 57"/>
    <x v="67"/>
    <s v="Brian Davis"/>
    <x v="35"/>
    <n v="7"/>
    <x v="6"/>
    <x v="6"/>
    <x v="6"/>
    <x v="2"/>
    <x v="2"/>
  </r>
  <r>
    <s v="AX21553"/>
    <s v="ENX2013"/>
    <s v="A150"/>
    <s v="EMP1026"/>
    <s v="C1313"/>
    <x v="760"/>
    <n v="1"/>
    <n v="368"/>
    <n v="269"/>
    <n v="269"/>
    <n v="368"/>
    <n v="99"/>
    <s v="Product 14"/>
    <x v="30"/>
    <s v="Martin Perry"/>
    <x v="728"/>
    <n v="7"/>
    <x v="6"/>
    <x v="6"/>
    <x v="6"/>
    <x v="2"/>
    <x v="2"/>
  </r>
  <r>
    <s v="AX21789"/>
    <s v="ENX2083"/>
    <s v="A116"/>
    <s v="EMP1014"/>
    <s v="C1641"/>
    <x v="757"/>
    <n v="3"/>
    <n v="2141"/>
    <n v="1777"/>
    <n v="5331"/>
    <n v="6423"/>
    <n v="1092"/>
    <s v="Product 84"/>
    <x v="15"/>
    <s v="Ronald Reed"/>
    <x v="761"/>
    <n v="7"/>
    <x v="6"/>
    <x v="6"/>
    <x v="6"/>
    <x v="2"/>
    <x v="2"/>
  </r>
  <r>
    <s v="AX21980"/>
    <s v="ENX2050"/>
    <s v="A159"/>
    <s v="EMP1038"/>
    <s v="C1069"/>
    <x v="759"/>
    <n v="1"/>
    <n v="2391"/>
    <n v="1291"/>
    <n v="1291"/>
    <n v="2391"/>
    <n v="1100"/>
    <s v="Product 51"/>
    <x v="13"/>
    <s v="Scott Mason"/>
    <x v="284"/>
    <n v="7"/>
    <x v="6"/>
    <x v="6"/>
    <x v="6"/>
    <x v="2"/>
    <x v="2"/>
  </r>
  <r>
    <s v="AX21994"/>
    <s v="ENX2000"/>
    <s v="A129"/>
    <s v="EMP1038"/>
    <s v="C1507"/>
    <x v="760"/>
    <n v="2"/>
    <n v="2241"/>
    <n v="1367"/>
    <n v="2734"/>
    <n v="4482"/>
    <n v="1748"/>
    <s v="Product 1"/>
    <x v="22"/>
    <s v="Scott Mason"/>
    <x v="227"/>
    <n v="7"/>
    <x v="6"/>
    <x v="6"/>
    <x v="6"/>
    <x v="2"/>
    <x v="2"/>
  </r>
  <r>
    <s v="AX22077"/>
    <s v="ENX2030"/>
    <s v="A113"/>
    <s v="EMP1005"/>
    <s v="C1142"/>
    <x v="757"/>
    <n v="2"/>
    <n v="1899"/>
    <n v="1044"/>
    <n v="2088"/>
    <n v="3798"/>
    <n v="1710"/>
    <s v="Product 31"/>
    <x v="73"/>
    <s v="Ryan Welch"/>
    <x v="731"/>
    <n v="7"/>
    <x v="6"/>
    <x v="6"/>
    <x v="6"/>
    <x v="2"/>
    <x v="2"/>
  </r>
  <r>
    <s v="AX22125"/>
    <s v="ENX2094"/>
    <s v="A171"/>
    <s v="EMP1001"/>
    <s v="C1390"/>
    <x v="758"/>
    <n v="1"/>
    <n v="771"/>
    <n v="648"/>
    <n v="648"/>
    <n v="771"/>
    <n v="123"/>
    <s v="Product 95"/>
    <x v="0"/>
    <s v="Kevin Butler"/>
    <x v="279"/>
    <n v="7"/>
    <x v="6"/>
    <x v="6"/>
    <x v="6"/>
    <x v="2"/>
    <x v="2"/>
  </r>
  <r>
    <s v="AX22221"/>
    <s v="ENX2039"/>
    <s v="A161"/>
    <s v="EMP1039"/>
    <s v="C1092"/>
    <x v="757"/>
    <n v="1"/>
    <n v="817"/>
    <n v="409"/>
    <n v="409"/>
    <n v="817"/>
    <n v="408"/>
    <s v="Product 40"/>
    <x v="6"/>
    <s v="Eugene Holmes"/>
    <x v="572"/>
    <n v="7"/>
    <x v="6"/>
    <x v="6"/>
    <x v="6"/>
    <x v="2"/>
    <x v="2"/>
  </r>
  <r>
    <s v="AX22329"/>
    <s v="ENX2048"/>
    <s v="A117"/>
    <s v="EMP1000"/>
    <s v="C1734"/>
    <x v="757"/>
    <n v="2"/>
    <n v="502"/>
    <n v="296"/>
    <n v="592"/>
    <n v="1004"/>
    <n v="412"/>
    <s v="Product 49"/>
    <x v="29"/>
    <s v="Fred Robertson"/>
    <x v="658"/>
    <n v="7"/>
    <x v="6"/>
    <x v="6"/>
    <x v="6"/>
    <x v="2"/>
    <x v="2"/>
  </r>
  <r>
    <s v="AX22495"/>
    <s v="ENX2058"/>
    <s v="A167"/>
    <s v="EMP1023"/>
    <s v="C1159"/>
    <x v="757"/>
    <n v="4"/>
    <n v="2257"/>
    <n v="1535"/>
    <n v="6140"/>
    <n v="9028"/>
    <n v="2888"/>
    <s v="Product 59"/>
    <x v="64"/>
    <s v="Brian Davis"/>
    <x v="793"/>
    <n v="7"/>
    <x v="6"/>
    <x v="6"/>
    <x v="6"/>
    <x v="2"/>
    <x v="2"/>
  </r>
  <r>
    <s v="AX22530"/>
    <s v="ENX2003"/>
    <s v="A118"/>
    <s v="EMP1000"/>
    <s v="C1009"/>
    <x v="760"/>
    <n v="2"/>
    <n v="1783"/>
    <n v="1516"/>
    <n v="3032"/>
    <n v="3566"/>
    <n v="534"/>
    <s v="Product 4"/>
    <x v="19"/>
    <s v="Fred Robertson"/>
    <x v="458"/>
    <n v="7"/>
    <x v="6"/>
    <x v="6"/>
    <x v="6"/>
    <x v="2"/>
    <x v="2"/>
  </r>
  <r>
    <s v="AX22698"/>
    <s v="ENX2082"/>
    <s v="A125"/>
    <s v="EMP1002"/>
    <s v="C1484"/>
    <x v="757"/>
    <n v="1"/>
    <n v="1103"/>
    <n v="838"/>
    <n v="838"/>
    <n v="1103"/>
    <n v="265"/>
    <s v="Product 83"/>
    <x v="31"/>
    <s v="Andrew Bowman"/>
    <x v="466"/>
    <n v="7"/>
    <x v="6"/>
    <x v="6"/>
    <x v="6"/>
    <x v="2"/>
    <x v="2"/>
  </r>
  <r>
    <s v="AX22758"/>
    <s v="ENX2068"/>
    <s v="A161"/>
    <s v="EMP1008"/>
    <s v="C1343"/>
    <x v="760"/>
    <n v="1"/>
    <n v="1500"/>
    <n v="900"/>
    <n v="900"/>
    <n v="1500"/>
    <n v="600"/>
    <s v="Product 69"/>
    <x v="6"/>
    <s v="Carl Elliott"/>
    <x v="175"/>
    <n v="7"/>
    <x v="6"/>
    <x v="6"/>
    <x v="6"/>
    <x v="2"/>
    <x v="2"/>
  </r>
  <r>
    <s v="AX23388"/>
    <s v="ENX2029"/>
    <s v="A168"/>
    <s v="EMP1042"/>
    <s v="C1204"/>
    <x v="757"/>
    <n v="3"/>
    <n v="1848"/>
    <n v="1294"/>
    <n v="3882"/>
    <n v="5544"/>
    <n v="1662"/>
    <s v="Product 30"/>
    <x v="40"/>
    <s v="Scott Clark"/>
    <x v="654"/>
    <n v="7"/>
    <x v="6"/>
    <x v="6"/>
    <x v="6"/>
    <x v="2"/>
    <x v="2"/>
  </r>
  <r>
    <s v="AX24134"/>
    <s v="ENX2045"/>
    <s v="A119"/>
    <s v="EMP1007"/>
    <s v="C1690"/>
    <x v="759"/>
    <n v="1"/>
    <n v="556"/>
    <n v="395"/>
    <n v="395"/>
    <n v="556"/>
    <n v="161"/>
    <s v="Product 46"/>
    <x v="16"/>
    <s v="Jeremy Mendoza"/>
    <x v="185"/>
    <n v="7"/>
    <x v="6"/>
    <x v="6"/>
    <x v="6"/>
    <x v="2"/>
    <x v="2"/>
  </r>
  <r>
    <s v="AX24293"/>
    <s v="ENX2035"/>
    <s v="A142"/>
    <s v="EMP1000"/>
    <s v="C1786"/>
    <x v="760"/>
    <n v="2"/>
    <n v="458"/>
    <n v="376"/>
    <n v="752"/>
    <n v="916"/>
    <n v="164"/>
    <s v="Product 36"/>
    <x v="56"/>
    <s v="Fred Robertson"/>
    <x v="406"/>
    <n v="7"/>
    <x v="6"/>
    <x v="6"/>
    <x v="6"/>
    <x v="2"/>
    <x v="2"/>
  </r>
  <r>
    <s v="AX24588"/>
    <s v="ENX2078"/>
    <s v="A167"/>
    <s v="EMP1028"/>
    <s v="C1038"/>
    <x v="758"/>
    <n v="1"/>
    <n v="1798"/>
    <n v="971"/>
    <n v="971"/>
    <n v="1798"/>
    <n v="827"/>
    <s v="Product 79"/>
    <x v="64"/>
    <s v="Howard Sims"/>
    <x v="545"/>
    <n v="7"/>
    <x v="6"/>
    <x v="6"/>
    <x v="6"/>
    <x v="2"/>
    <x v="2"/>
  </r>
  <r>
    <s v="AX24961"/>
    <s v="ENX2048"/>
    <s v="A148"/>
    <s v="EMP1028"/>
    <s v="C1532"/>
    <x v="757"/>
    <n v="2"/>
    <n v="502"/>
    <n v="296"/>
    <n v="592"/>
    <n v="1004"/>
    <n v="412"/>
    <s v="Product 49"/>
    <x v="62"/>
    <s v="Howard Sims"/>
    <x v="103"/>
    <n v="7"/>
    <x v="6"/>
    <x v="6"/>
    <x v="6"/>
    <x v="2"/>
    <x v="2"/>
  </r>
  <r>
    <s v="AX10296"/>
    <s v="ENX2070"/>
    <s v="A139"/>
    <s v="EMP1041"/>
    <s v="C1152"/>
    <x v="761"/>
    <n v="3"/>
    <n v="1671"/>
    <n v="1220"/>
    <n v="3660"/>
    <n v="5013"/>
    <n v="1353"/>
    <s v="Product 71"/>
    <x v="38"/>
    <s v="Joe Sims"/>
    <x v="198"/>
    <n v="7"/>
    <x v="6"/>
    <x v="7"/>
    <x v="7"/>
    <x v="2"/>
    <x v="0"/>
  </r>
  <r>
    <s v="AX10459"/>
    <s v="ENX2017"/>
    <s v="A119"/>
    <s v="EMP1025"/>
    <s v="C1571"/>
    <x v="762"/>
    <n v="2"/>
    <n v="35"/>
    <n v="22"/>
    <n v="44"/>
    <n v="70"/>
    <n v="26"/>
    <s v="Product 18"/>
    <x v="16"/>
    <s v="Ernest Wagner"/>
    <x v="316"/>
    <n v="7"/>
    <x v="6"/>
    <x v="7"/>
    <x v="7"/>
    <x v="2"/>
    <x v="0"/>
  </r>
  <r>
    <s v="AX11201"/>
    <s v="ENX2083"/>
    <s v="A113"/>
    <s v="EMP1008"/>
    <s v="C1649"/>
    <x v="761"/>
    <n v="3"/>
    <n v="2141"/>
    <n v="1777"/>
    <n v="5331"/>
    <n v="6423"/>
    <n v="1092"/>
    <s v="Product 84"/>
    <x v="73"/>
    <s v="Carl Elliott"/>
    <x v="790"/>
    <n v="7"/>
    <x v="6"/>
    <x v="7"/>
    <x v="7"/>
    <x v="2"/>
    <x v="0"/>
  </r>
  <r>
    <s v="AX12330"/>
    <s v="ENX2034"/>
    <s v="A147"/>
    <s v="EMP1032"/>
    <s v="C1710"/>
    <x v="762"/>
    <n v="1"/>
    <n v="871"/>
    <n v="540"/>
    <n v="540"/>
    <n v="871"/>
    <n v="331"/>
    <s v="Product 35"/>
    <x v="42"/>
    <s v="Larry Castillo"/>
    <x v="197"/>
    <n v="7"/>
    <x v="6"/>
    <x v="7"/>
    <x v="7"/>
    <x v="2"/>
    <x v="0"/>
  </r>
  <r>
    <s v="AX12442"/>
    <s v="ENX2062"/>
    <s v="A133"/>
    <s v="EMP1028"/>
    <s v="C1538"/>
    <x v="763"/>
    <n v="4"/>
    <n v="2464"/>
    <n v="1774"/>
    <n v="7096"/>
    <n v="9856"/>
    <n v="2760"/>
    <s v="Product 63"/>
    <x v="46"/>
    <s v="Howard Sims"/>
    <x v="384"/>
    <n v="7"/>
    <x v="6"/>
    <x v="7"/>
    <x v="7"/>
    <x v="2"/>
    <x v="0"/>
  </r>
  <r>
    <s v="AX12591"/>
    <s v="ENX2003"/>
    <s v="A132"/>
    <s v="EMP1005"/>
    <s v="C1789"/>
    <x v="764"/>
    <n v="1"/>
    <n v="1783"/>
    <n v="1516"/>
    <n v="1516"/>
    <n v="1783"/>
    <n v="267"/>
    <s v="Product 4"/>
    <x v="48"/>
    <s v="Ryan Welch"/>
    <x v="701"/>
    <n v="7"/>
    <x v="6"/>
    <x v="7"/>
    <x v="7"/>
    <x v="2"/>
    <x v="0"/>
  </r>
  <r>
    <s v="AX13395"/>
    <s v="ENX2062"/>
    <s v="A137"/>
    <s v="EMP1002"/>
    <s v="C1570"/>
    <x v="763"/>
    <n v="1"/>
    <n v="2464"/>
    <n v="1774"/>
    <n v="1774"/>
    <n v="2464"/>
    <n v="690"/>
    <s v="Product 63"/>
    <x v="68"/>
    <s v="Andrew Bowman"/>
    <x v="695"/>
    <n v="7"/>
    <x v="6"/>
    <x v="7"/>
    <x v="7"/>
    <x v="2"/>
    <x v="0"/>
  </r>
  <r>
    <s v="AX13567"/>
    <s v="ENX2020"/>
    <s v="A148"/>
    <s v="EMP1013"/>
    <s v="C1452"/>
    <x v="765"/>
    <n v="2"/>
    <n v="2005"/>
    <n v="1223"/>
    <n v="2446"/>
    <n v="4010"/>
    <n v="1564"/>
    <s v="Product 21"/>
    <x v="62"/>
    <s v="Charles Harper"/>
    <x v="234"/>
    <n v="7"/>
    <x v="6"/>
    <x v="7"/>
    <x v="7"/>
    <x v="2"/>
    <x v="0"/>
  </r>
  <r>
    <s v="AX13657"/>
    <s v="ENX2001"/>
    <s v="A121"/>
    <s v="EMP1016"/>
    <s v="C1349"/>
    <x v="762"/>
    <n v="1"/>
    <n v="951"/>
    <n v="504"/>
    <n v="504"/>
    <n v="951"/>
    <n v="447"/>
    <s v="Product 2"/>
    <x v="72"/>
    <s v="Henry Nelson"/>
    <x v="501"/>
    <n v="7"/>
    <x v="6"/>
    <x v="7"/>
    <x v="7"/>
    <x v="2"/>
    <x v="0"/>
  </r>
  <r>
    <s v="AX13851"/>
    <s v="ENX2023"/>
    <s v="A105"/>
    <s v="EMP1011"/>
    <s v="C1326"/>
    <x v="761"/>
    <n v="1"/>
    <n v="818"/>
    <n v="450"/>
    <n v="450"/>
    <n v="818"/>
    <n v="368"/>
    <s v="Product 24"/>
    <x v="45"/>
    <s v="Larry Marshall"/>
    <x v="98"/>
    <n v="7"/>
    <x v="6"/>
    <x v="7"/>
    <x v="7"/>
    <x v="2"/>
    <x v="0"/>
  </r>
  <r>
    <s v="AX13868"/>
    <s v="ENX2061"/>
    <s v="A108"/>
    <s v="EMP1012"/>
    <s v="C1357"/>
    <x v="762"/>
    <n v="1"/>
    <n v="913"/>
    <n v="584"/>
    <n v="584"/>
    <n v="913"/>
    <n v="329"/>
    <s v="Product 62"/>
    <x v="49"/>
    <s v="John Reyes"/>
    <x v="327"/>
    <n v="7"/>
    <x v="6"/>
    <x v="7"/>
    <x v="7"/>
    <x v="2"/>
    <x v="0"/>
  </r>
  <r>
    <s v="AX13970"/>
    <s v="ENX2090"/>
    <s v="A138"/>
    <s v="EMP1042"/>
    <s v="C1335"/>
    <x v="763"/>
    <n v="2"/>
    <n v="1338"/>
    <n v="682"/>
    <n v="1364"/>
    <n v="2676"/>
    <n v="1312"/>
    <s v="Product 91"/>
    <x v="37"/>
    <s v="Scott Clark"/>
    <x v="2"/>
    <n v="7"/>
    <x v="6"/>
    <x v="7"/>
    <x v="7"/>
    <x v="2"/>
    <x v="0"/>
  </r>
  <r>
    <s v="AX14087"/>
    <s v="ENX2063"/>
    <s v="A153"/>
    <s v="EMP1034"/>
    <s v="C1023"/>
    <x v="765"/>
    <n v="3"/>
    <n v="1708"/>
    <n v="871"/>
    <n v="2613"/>
    <n v="5124"/>
    <n v="2511"/>
    <s v="Product 64"/>
    <x v="8"/>
    <s v="Arthur Mccoy"/>
    <x v="799"/>
    <n v="7"/>
    <x v="6"/>
    <x v="7"/>
    <x v="7"/>
    <x v="2"/>
    <x v="0"/>
  </r>
  <r>
    <s v="AX14195"/>
    <s v="ENX2044"/>
    <s v="A112"/>
    <s v="EMP1000"/>
    <s v="C1246"/>
    <x v="761"/>
    <n v="1"/>
    <n v="886"/>
    <n v="478"/>
    <n v="478"/>
    <n v="886"/>
    <n v="408"/>
    <s v="Product 45"/>
    <x v="66"/>
    <s v="Fred Robertson"/>
    <x v="665"/>
    <n v="7"/>
    <x v="6"/>
    <x v="7"/>
    <x v="7"/>
    <x v="2"/>
    <x v="0"/>
  </r>
  <r>
    <s v="AX14696"/>
    <s v="ENX2058"/>
    <s v="A134"/>
    <s v="EMP1035"/>
    <s v="C1168"/>
    <x v="765"/>
    <n v="4"/>
    <n v="2257"/>
    <n v="1535"/>
    <n v="6140"/>
    <n v="9028"/>
    <n v="2888"/>
    <s v="Product 59"/>
    <x v="41"/>
    <s v="Roger Ramos"/>
    <x v="532"/>
    <n v="7"/>
    <x v="6"/>
    <x v="7"/>
    <x v="7"/>
    <x v="2"/>
    <x v="0"/>
  </r>
  <r>
    <s v="AX15179"/>
    <s v="ENX2007"/>
    <s v="A152"/>
    <s v="EMP1005"/>
    <s v="C1501"/>
    <x v="761"/>
    <n v="1"/>
    <n v="1405"/>
    <n v="1054"/>
    <n v="1054"/>
    <n v="1405"/>
    <n v="351"/>
    <s v="Product 8"/>
    <x v="26"/>
    <s v="Ryan Welch"/>
    <x v="387"/>
    <n v="7"/>
    <x v="6"/>
    <x v="7"/>
    <x v="7"/>
    <x v="2"/>
    <x v="0"/>
  </r>
  <r>
    <s v="AX15339"/>
    <s v="ENX2019"/>
    <s v="A121"/>
    <s v="EMP1003"/>
    <s v="C1507"/>
    <x v="762"/>
    <n v="1"/>
    <n v="800"/>
    <n v="536"/>
    <n v="536"/>
    <n v="800"/>
    <n v="264"/>
    <s v="Product 20"/>
    <x v="72"/>
    <s v="Christopher Tucker"/>
    <x v="227"/>
    <n v="7"/>
    <x v="6"/>
    <x v="7"/>
    <x v="7"/>
    <x v="2"/>
    <x v="0"/>
  </r>
  <r>
    <s v="AX15853"/>
    <s v="ENX2086"/>
    <s v="A158"/>
    <s v="EMP1019"/>
    <s v="C1092"/>
    <x v="763"/>
    <n v="2"/>
    <n v="123"/>
    <n v="84"/>
    <n v="168"/>
    <n v="246"/>
    <n v="78"/>
    <s v="Product 87"/>
    <x v="58"/>
    <s v="Roger Robertson"/>
    <x v="572"/>
    <n v="7"/>
    <x v="6"/>
    <x v="7"/>
    <x v="7"/>
    <x v="2"/>
    <x v="0"/>
  </r>
  <r>
    <s v="AX15943"/>
    <s v="ENX2067"/>
    <s v="A167"/>
    <s v="EMP1025"/>
    <s v="C1579"/>
    <x v="761"/>
    <n v="1"/>
    <n v="1119"/>
    <n v="683"/>
    <n v="683"/>
    <n v="1119"/>
    <n v="436"/>
    <s v="Product 68"/>
    <x v="64"/>
    <s v="Ernest Wagner"/>
    <x v="422"/>
    <n v="7"/>
    <x v="6"/>
    <x v="7"/>
    <x v="7"/>
    <x v="2"/>
    <x v="0"/>
  </r>
  <r>
    <s v="AX16057"/>
    <s v="ENX2070"/>
    <s v="A120"/>
    <s v="EMP1004"/>
    <s v="C1698"/>
    <x v="762"/>
    <n v="1"/>
    <n v="1671"/>
    <n v="1220"/>
    <n v="1220"/>
    <n v="1671"/>
    <n v="451"/>
    <s v="Product 71"/>
    <x v="20"/>
    <s v="Kenneth Bradley"/>
    <x v="86"/>
    <n v="7"/>
    <x v="6"/>
    <x v="7"/>
    <x v="7"/>
    <x v="2"/>
    <x v="0"/>
  </r>
  <r>
    <s v="AX16199"/>
    <s v="ENX2029"/>
    <s v="A149"/>
    <s v="EMP1007"/>
    <s v="C1702"/>
    <x v="762"/>
    <n v="2"/>
    <n v="1848"/>
    <n v="1294"/>
    <n v="2588"/>
    <n v="3696"/>
    <n v="1108"/>
    <s v="Product 30"/>
    <x v="59"/>
    <s v="Jeremy Mendoza"/>
    <x v="70"/>
    <n v="7"/>
    <x v="6"/>
    <x v="7"/>
    <x v="7"/>
    <x v="2"/>
    <x v="0"/>
  </r>
  <r>
    <s v="AX16552"/>
    <s v="ENX2020"/>
    <s v="A160"/>
    <s v="EMP1024"/>
    <s v="C1169"/>
    <x v="765"/>
    <n v="1"/>
    <n v="2005"/>
    <n v="1223"/>
    <n v="1223"/>
    <n v="2005"/>
    <n v="782"/>
    <s v="Product 21"/>
    <x v="9"/>
    <s v="Ernest Wheeler"/>
    <x v="293"/>
    <n v="7"/>
    <x v="6"/>
    <x v="7"/>
    <x v="7"/>
    <x v="2"/>
    <x v="0"/>
  </r>
  <r>
    <s v="AX16649"/>
    <s v="ENX2016"/>
    <s v="A105"/>
    <s v="EMP1016"/>
    <s v="C1385"/>
    <x v="761"/>
    <n v="1"/>
    <n v="1351"/>
    <n v="1108"/>
    <n v="1108"/>
    <n v="1351"/>
    <n v="243"/>
    <s v="Product 17"/>
    <x v="45"/>
    <s v="Henry Nelson"/>
    <x v="523"/>
    <n v="7"/>
    <x v="6"/>
    <x v="7"/>
    <x v="7"/>
    <x v="2"/>
    <x v="0"/>
  </r>
  <r>
    <s v="AX17082"/>
    <s v="ENX2087"/>
    <s v="A130"/>
    <s v="EMP1010"/>
    <s v="C1412"/>
    <x v="761"/>
    <n v="4"/>
    <n v="1022"/>
    <n v="818"/>
    <n v="3272"/>
    <n v="4088"/>
    <n v="816"/>
    <s v="Product 88"/>
    <x v="4"/>
    <s v="Joshua Cook"/>
    <x v="460"/>
    <n v="7"/>
    <x v="6"/>
    <x v="7"/>
    <x v="7"/>
    <x v="2"/>
    <x v="0"/>
  </r>
  <r>
    <s v="AX17190"/>
    <s v="ENX2075"/>
    <s v="A137"/>
    <s v="EMP1035"/>
    <s v="C1461"/>
    <x v="761"/>
    <n v="2"/>
    <n v="400"/>
    <n v="208"/>
    <n v="416"/>
    <n v="800"/>
    <n v="384"/>
    <s v="Product 76"/>
    <x v="68"/>
    <s v="Roger Ramos"/>
    <x v="634"/>
    <n v="7"/>
    <x v="6"/>
    <x v="7"/>
    <x v="7"/>
    <x v="2"/>
    <x v="0"/>
  </r>
  <r>
    <s v="AX17299"/>
    <s v="ENX2034"/>
    <s v="A165"/>
    <s v="EMP1002"/>
    <s v="C1388"/>
    <x v="765"/>
    <n v="4"/>
    <n v="871"/>
    <n v="540"/>
    <n v="2160"/>
    <n v="3484"/>
    <n v="1324"/>
    <s v="Product 35"/>
    <x v="55"/>
    <s v="Andrew Bowman"/>
    <x v="120"/>
    <n v="7"/>
    <x v="6"/>
    <x v="7"/>
    <x v="7"/>
    <x v="2"/>
    <x v="0"/>
  </r>
  <r>
    <s v="AX17523"/>
    <s v="ENX2063"/>
    <s v="A117"/>
    <s v="EMP1025"/>
    <s v="C1716"/>
    <x v="761"/>
    <n v="3"/>
    <n v="1708"/>
    <n v="871"/>
    <n v="2613"/>
    <n v="5124"/>
    <n v="2511"/>
    <s v="Product 64"/>
    <x v="29"/>
    <s v="Ernest Wagner"/>
    <x v="24"/>
    <n v="7"/>
    <x v="6"/>
    <x v="7"/>
    <x v="7"/>
    <x v="2"/>
    <x v="0"/>
  </r>
  <r>
    <s v="AX17840"/>
    <s v="ENX2070"/>
    <s v="A117"/>
    <s v="EMP1005"/>
    <s v="C1749"/>
    <x v="765"/>
    <n v="1"/>
    <n v="1671"/>
    <n v="1220"/>
    <n v="1220"/>
    <n v="1671"/>
    <n v="451"/>
    <s v="Product 71"/>
    <x v="29"/>
    <s v="Ryan Welch"/>
    <x v="393"/>
    <n v="7"/>
    <x v="6"/>
    <x v="7"/>
    <x v="7"/>
    <x v="2"/>
    <x v="0"/>
  </r>
  <r>
    <s v="AX17963"/>
    <s v="ENX2073"/>
    <s v="A135"/>
    <s v="EMP1023"/>
    <s v="C1655"/>
    <x v="763"/>
    <n v="1"/>
    <n v="95"/>
    <n v="61"/>
    <n v="61"/>
    <n v="95"/>
    <n v="34"/>
    <s v="Product 74"/>
    <x v="10"/>
    <s v="Brian Davis"/>
    <x v="73"/>
    <n v="7"/>
    <x v="6"/>
    <x v="7"/>
    <x v="7"/>
    <x v="2"/>
    <x v="0"/>
  </r>
  <r>
    <s v="AX18156"/>
    <s v="ENX2038"/>
    <s v="A105"/>
    <s v="EMP1009"/>
    <s v="C1796"/>
    <x v="764"/>
    <n v="3"/>
    <n v="392"/>
    <n v="255"/>
    <n v="765"/>
    <n v="1176"/>
    <n v="411"/>
    <s v="Product 39"/>
    <x v="45"/>
    <s v="Kenneth Fields"/>
    <x v="630"/>
    <n v="7"/>
    <x v="6"/>
    <x v="7"/>
    <x v="7"/>
    <x v="2"/>
    <x v="0"/>
  </r>
  <r>
    <s v="AX18295"/>
    <s v="ENX2042"/>
    <s v="A164"/>
    <s v="EMP1017"/>
    <s v="C1638"/>
    <x v="761"/>
    <n v="1"/>
    <n v="203"/>
    <n v="154"/>
    <n v="154"/>
    <n v="203"/>
    <n v="49"/>
    <s v="Product 43"/>
    <x v="3"/>
    <s v="Brian Hansen"/>
    <x v="395"/>
    <n v="7"/>
    <x v="6"/>
    <x v="7"/>
    <x v="7"/>
    <x v="2"/>
    <x v="0"/>
  </r>
  <r>
    <s v="AX18523"/>
    <s v="ENX2066"/>
    <s v="A106"/>
    <s v="EMP1006"/>
    <s v="C1283"/>
    <x v="763"/>
    <n v="1"/>
    <n v="2091"/>
    <n v="1485"/>
    <n v="1485"/>
    <n v="2091"/>
    <n v="606"/>
    <s v="Product 67"/>
    <x v="11"/>
    <s v="Sean Miller"/>
    <x v="184"/>
    <n v="7"/>
    <x v="6"/>
    <x v="7"/>
    <x v="7"/>
    <x v="2"/>
    <x v="0"/>
  </r>
  <r>
    <s v="AX18576"/>
    <s v="ENX2022"/>
    <s v="A139"/>
    <s v="EMP1031"/>
    <s v="C1004"/>
    <x v="761"/>
    <n v="3"/>
    <n v="561"/>
    <n v="421"/>
    <n v="1263"/>
    <n v="1683"/>
    <n v="420"/>
    <s v="Product 23"/>
    <x v="38"/>
    <s v="Brian Thomas"/>
    <x v="708"/>
    <n v="7"/>
    <x v="6"/>
    <x v="7"/>
    <x v="7"/>
    <x v="2"/>
    <x v="0"/>
  </r>
  <r>
    <s v="AX19199"/>
    <s v="ENX2035"/>
    <s v="A144"/>
    <s v="EMP1008"/>
    <s v="C1020"/>
    <x v="762"/>
    <n v="1"/>
    <n v="458"/>
    <n v="376"/>
    <n v="376"/>
    <n v="458"/>
    <n v="82"/>
    <s v="Product 36"/>
    <x v="65"/>
    <s v="Carl Elliott"/>
    <x v="423"/>
    <n v="7"/>
    <x v="6"/>
    <x v="7"/>
    <x v="7"/>
    <x v="2"/>
    <x v="0"/>
  </r>
  <r>
    <s v="AX19211"/>
    <s v="ENX2015"/>
    <s v="A119"/>
    <s v="EMP1028"/>
    <s v="C1400"/>
    <x v="765"/>
    <n v="1"/>
    <n v="637"/>
    <n v="389"/>
    <n v="389"/>
    <n v="637"/>
    <n v="248"/>
    <s v="Product 16"/>
    <x v="16"/>
    <s v="Howard Sims"/>
    <x v="437"/>
    <n v="7"/>
    <x v="6"/>
    <x v="7"/>
    <x v="7"/>
    <x v="2"/>
    <x v="0"/>
  </r>
  <r>
    <s v="AX19399"/>
    <s v="ENX2073"/>
    <s v="A106"/>
    <s v="EMP1043"/>
    <s v="C1637"/>
    <x v="763"/>
    <n v="1"/>
    <n v="95"/>
    <n v="61"/>
    <n v="61"/>
    <n v="95"/>
    <n v="34"/>
    <s v="Product 74"/>
    <x v="11"/>
    <s v="Joshua Taylor"/>
    <x v="326"/>
    <n v="7"/>
    <x v="6"/>
    <x v="7"/>
    <x v="7"/>
    <x v="2"/>
    <x v="0"/>
  </r>
  <r>
    <s v="AX19760"/>
    <s v="ENX2060"/>
    <s v="A173"/>
    <s v="EMP1044"/>
    <s v="C1752"/>
    <x v="761"/>
    <n v="3"/>
    <n v="1467"/>
    <n v="807"/>
    <n v="2421"/>
    <n v="4401"/>
    <n v="1980"/>
    <s v="Product 61"/>
    <x v="25"/>
    <s v="Martin Carr"/>
    <x v="233"/>
    <n v="7"/>
    <x v="6"/>
    <x v="7"/>
    <x v="7"/>
    <x v="2"/>
    <x v="0"/>
  </r>
  <r>
    <s v="AX19914"/>
    <s v="ENX2003"/>
    <s v="A110"/>
    <s v="EMP1019"/>
    <s v="C1280"/>
    <x v="764"/>
    <n v="1"/>
    <n v="1783"/>
    <n v="1516"/>
    <n v="1516"/>
    <n v="1783"/>
    <n v="267"/>
    <s v="Product 4"/>
    <x v="63"/>
    <s v="Roger Robertson"/>
    <x v="349"/>
    <n v="7"/>
    <x v="6"/>
    <x v="7"/>
    <x v="7"/>
    <x v="2"/>
    <x v="0"/>
  </r>
  <r>
    <s v="AX20094"/>
    <s v="ENX2052"/>
    <s v="A141"/>
    <s v="EMP1035"/>
    <s v="C1600"/>
    <x v="764"/>
    <n v="1"/>
    <n v="1526"/>
    <n v="1251"/>
    <n v="1251"/>
    <n v="1526"/>
    <n v="275"/>
    <s v="Product 53"/>
    <x v="23"/>
    <s v="Roger Ramos"/>
    <x v="266"/>
    <n v="7"/>
    <x v="6"/>
    <x v="7"/>
    <x v="7"/>
    <x v="2"/>
    <x v="0"/>
  </r>
  <r>
    <s v="AX20635"/>
    <s v="ENX2042"/>
    <s v="A153"/>
    <s v="EMP1000"/>
    <s v="C1677"/>
    <x v="762"/>
    <n v="2"/>
    <n v="203"/>
    <n v="154"/>
    <n v="308"/>
    <n v="406"/>
    <n v="98"/>
    <s v="Product 43"/>
    <x v="8"/>
    <s v="Fred Robertson"/>
    <x v="641"/>
    <n v="7"/>
    <x v="6"/>
    <x v="7"/>
    <x v="7"/>
    <x v="2"/>
    <x v="0"/>
  </r>
  <r>
    <s v="AX20700"/>
    <s v="ENX2038"/>
    <s v="A145"/>
    <s v="EMP1016"/>
    <s v="C1300"/>
    <x v="764"/>
    <n v="2"/>
    <n v="392"/>
    <n v="255"/>
    <n v="510"/>
    <n v="784"/>
    <n v="274"/>
    <s v="Product 39"/>
    <x v="35"/>
    <s v="Henry Nelson"/>
    <x v="201"/>
    <n v="7"/>
    <x v="6"/>
    <x v="7"/>
    <x v="7"/>
    <x v="2"/>
    <x v="0"/>
  </r>
  <r>
    <s v="AX21288"/>
    <s v="ENX2024"/>
    <s v="A159"/>
    <s v="EMP1029"/>
    <s v="C1466"/>
    <x v="762"/>
    <n v="4"/>
    <n v="356"/>
    <n v="292"/>
    <n v="1168"/>
    <n v="1424"/>
    <n v="256"/>
    <s v="Product 25"/>
    <x v="13"/>
    <s v="Howard Gardner"/>
    <x v="132"/>
    <n v="7"/>
    <x v="6"/>
    <x v="7"/>
    <x v="7"/>
    <x v="2"/>
    <x v="0"/>
  </r>
  <r>
    <s v="AX21290"/>
    <s v="ENX2001"/>
    <s v="A123"/>
    <s v="EMP1029"/>
    <s v="C1209"/>
    <x v="762"/>
    <n v="3"/>
    <n v="951"/>
    <n v="504"/>
    <n v="1512"/>
    <n v="2853"/>
    <n v="1341"/>
    <s v="Product 2"/>
    <x v="34"/>
    <s v="Howard Gardner"/>
    <x v="225"/>
    <n v="7"/>
    <x v="6"/>
    <x v="7"/>
    <x v="7"/>
    <x v="2"/>
    <x v="0"/>
  </r>
  <r>
    <s v="AX21701"/>
    <s v="ENX2082"/>
    <s v="A151"/>
    <s v="EMP1030"/>
    <s v="C1068"/>
    <x v="765"/>
    <n v="1"/>
    <n v="1103"/>
    <n v="838"/>
    <n v="838"/>
    <n v="1103"/>
    <n v="265"/>
    <s v="Product 83"/>
    <x v="1"/>
    <s v="Bobby Russell"/>
    <x v="288"/>
    <n v="7"/>
    <x v="6"/>
    <x v="7"/>
    <x v="7"/>
    <x v="2"/>
    <x v="0"/>
  </r>
  <r>
    <s v="AX21778"/>
    <s v="ENX2006"/>
    <s v="A145"/>
    <s v="EMP1021"/>
    <s v="C1185"/>
    <x v="763"/>
    <n v="1"/>
    <n v="1826"/>
    <n v="1443"/>
    <n v="1443"/>
    <n v="1826"/>
    <n v="383"/>
    <s v="Product 7"/>
    <x v="35"/>
    <s v="Clarence Fox"/>
    <x v="215"/>
    <n v="7"/>
    <x v="6"/>
    <x v="7"/>
    <x v="7"/>
    <x v="2"/>
    <x v="0"/>
  </r>
  <r>
    <s v="AX22304"/>
    <s v="ENX2061"/>
    <s v="A159"/>
    <s v="EMP1028"/>
    <s v="C1495"/>
    <x v="761"/>
    <n v="1"/>
    <n v="913"/>
    <n v="584"/>
    <n v="584"/>
    <n v="913"/>
    <n v="329"/>
    <s v="Product 62"/>
    <x v="13"/>
    <s v="Howard Sims"/>
    <x v="780"/>
    <n v="7"/>
    <x v="6"/>
    <x v="7"/>
    <x v="7"/>
    <x v="2"/>
    <x v="0"/>
  </r>
  <r>
    <s v="AX22555"/>
    <s v="ENX2067"/>
    <s v="A136"/>
    <s v="EMP1026"/>
    <s v="C1643"/>
    <x v="762"/>
    <n v="1"/>
    <n v="1119"/>
    <n v="683"/>
    <n v="683"/>
    <n v="1119"/>
    <n v="436"/>
    <s v="Product 68"/>
    <x v="43"/>
    <s v="Martin Perry"/>
    <x v="142"/>
    <n v="7"/>
    <x v="6"/>
    <x v="7"/>
    <x v="7"/>
    <x v="2"/>
    <x v="0"/>
  </r>
  <r>
    <s v="AX22650"/>
    <s v="ENX2051"/>
    <s v="A126"/>
    <s v="EMP1037"/>
    <s v="C1557"/>
    <x v="764"/>
    <n v="2"/>
    <n v="1077"/>
    <n v="732"/>
    <n v="1464"/>
    <n v="2154"/>
    <n v="690"/>
    <s v="Product 52"/>
    <x v="5"/>
    <s v="Carl Hall"/>
    <x v="729"/>
    <n v="7"/>
    <x v="6"/>
    <x v="7"/>
    <x v="7"/>
    <x v="2"/>
    <x v="0"/>
  </r>
  <r>
    <s v="AX22928"/>
    <s v="ENX2088"/>
    <s v="A153"/>
    <s v="EMP1011"/>
    <s v="C1766"/>
    <x v="763"/>
    <n v="3"/>
    <n v="603"/>
    <n v="416"/>
    <n v="1248"/>
    <n v="1809"/>
    <n v="561"/>
    <s v="Product 89"/>
    <x v="8"/>
    <s v="Larry Marshall"/>
    <x v="452"/>
    <n v="7"/>
    <x v="6"/>
    <x v="7"/>
    <x v="7"/>
    <x v="2"/>
    <x v="0"/>
  </r>
  <r>
    <s v="AX22999"/>
    <s v="ENX2039"/>
    <s v="A158"/>
    <s v="EMP1012"/>
    <s v="C1271"/>
    <x v="765"/>
    <n v="2"/>
    <n v="817"/>
    <n v="409"/>
    <n v="818"/>
    <n v="1634"/>
    <n v="816"/>
    <s v="Product 40"/>
    <x v="58"/>
    <s v="John Reyes"/>
    <x v="314"/>
    <n v="7"/>
    <x v="6"/>
    <x v="7"/>
    <x v="7"/>
    <x v="2"/>
    <x v="0"/>
  </r>
  <r>
    <s v="AX23075"/>
    <s v="ENX2053"/>
    <s v="A101"/>
    <s v="EMP1020"/>
    <s v="C1387"/>
    <x v="761"/>
    <n v="2"/>
    <n v="596"/>
    <n v="358"/>
    <n v="716"/>
    <n v="1192"/>
    <n v="476"/>
    <s v="Product 54"/>
    <x v="60"/>
    <s v="Ryan Butler"/>
    <x v="346"/>
    <n v="7"/>
    <x v="6"/>
    <x v="7"/>
    <x v="7"/>
    <x v="2"/>
    <x v="0"/>
  </r>
  <r>
    <s v="AX23152"/>
    <s v="ENX2021"/>
    <s v="A132"/>
    <s v="EMP1024"/>
    <s v="C1276"/>
    <x v="764"/>
    <n v="2"/>
    <n v="217"/>
    <n v="171"/>
    <n v="342"/>
    <n v="434"/>
    <n v="92"/>
    <s v="Product 22"/>
    <x v="48"/>
    <s v="Ernest Wheeler"/>
    <x v="773"/>
    <n v="7"/>
    <x v="6"/>
    <x v="7"/>
    <x v="7"/>
    <x v="2"/>
    <x v="0"/>
  </r>
  <r>
    <s v="AX23528"/>
    <s v="ENX2080"/>
    <s v="A145"/>
    <s v="EMP1031"/>
    <s v="C1033"/>
    <x v="762"/>
    <n v="1"/>
    <n v="2353"/>
    <n v="1788"/>
    <n v="1788"/>
    <n v="2353"/>
    <n v="565"/>
    <s v="Product 81"/>
    <x v="35"/>
    <s v="Brian Thomas"/>
    <x v="515"/>
    <n v="7"/>
    <x v="6"/>
    <x v="7"/>
    <x v="7"/>
    <x v="2"/>
    <x v="0"/>
  </r>
  <r>
    <s v="AX23573"/>
    <s v="ENX2005"/>
    <s v="A157"/>
    <s v="EMP1036"/>
    <s v="C1171"/>
    <x v="764"/>
    <n v="2"/>
    <n v="684"/>
    <n v="561"/>
    <n v="1122"/>
    <n v="1368"/>
    <n v="246"/>
    <s v="Product 6"/>
    <x v="7"/>
    <s v="Robert Reed"/>
    <x v="150"/>
    <n v="7"/>
    <x v="6"/>
    <x v="7"/>
    <x v="7"/>
    <x v="2"/>
    <x v="0"/>
  </r>
  <r>
    <s v="AX23743"/>
    <s v="ENX2004"/>
    <s v="A119"/>
    <s v="EMP1033"/>
    <s v="C1419"/>
    <x v="762"/>
    <n v="1"/>
    <n v="1278"/>
    <n v="665"/>
    <n v="665"/>
    <n v="1278"/>
    <n v="613"/>
    <s v="Product 5"/>
    <x v="16"/>
    <s v="Jerry Perry"/>
    <x v="163"/>
    <n v="7"/>
    <x v="6"/>
    <x v="7"/>
    <x v="7"/>
    <x v="2"/>
    <x v="0"/>
  </r>
  <r>
    <s v="AX24078"/>
    <s v="ENX2020"/>
    <s v="A105"/>
    <s v="EMP1008"/>
    <s v="C1671"/>
    <x v="762"/>
    <n v="1"/>
    <n v="2005"/>
    <n v="1223"/>
    <n v="1223"/>
    <n v="2005"/>
    <n v="782"/>
    <s v="Product 21"/>
    <x v="45"/>
    <s v="Carl Elliott"/>
    <x v="248"/>
    <n v="7"/>
    <x v="6"/>
    <x v="7"/>
    <x v="7"/>
    <x v="2"/>
    <x v="0"/>
  </r>
  <r>
    <s v="AX24192"/>
    <s v="ENX2081"/>
    <s v="A147"/>
    <s v="EMP1007"/>
    <s v="C1256"/>
    <x v="763"/>
    <n v="1"/>
    <n v="1566"/>
    <n v="1190"/>
    <n v="1190"/>
    <n v="1566"/>
    <n v="376"/>
    <s v="Product 82"/>
    <x v="42"/>
    <s v="Jeremy Mendoza"/>
    <x v="524"/>
    <n v="7"/>
    <x v="6"/>
    <x v="7"/>
    <x v="7"/>
    <x v="2"/>
    <x v="0"/>
  </r>
  <r>
    <s v="AX24392"/>
    <s v="ENX2057"/>
    <s v="A113"/>
    <s v="EMP1034"/>
    <s v="C1278"/>
    <x v="764"/>
    <n v="4"/>
    <n v="181"/>
    <n v="130"/>
    <n v="520"/>
    <n v="724"/>
    <n v="204"/>
    <s v="Product 58"/>
    <x v="73"/>
    <s v="Arthur Mccoy"/>
    <x v="744"/>
    <n v="7"/>
    <x v="6"/>
    <x v="7"/>
    <x v="7"/>
    <x v="2"/>
    <x v="0"/>
  </r>
  <r>
    <s v="AX10767"/>
    <s v="ENX2040"/>
    <s v="A151"/>
    <s v="EMP1043"/>
    <s v="C1157"/>
    <x v="766"/>
    <n v="3"/>
    <n v="1889"/>
    <n v="945"/>
    <n v="2835"/>
    <n v="5667"/>
    <n v="2832"/>
    <s v="Product 41"/>
    <x v="1"/>
    <s v="Joshua Taylor"/>
    <x v="415"/>
    <n v="7"/>
    <x v="6"/>
    <x v="7"/>
    <x v="7"/>
    <x v="2"/>
    <x v="2"/>
  </r>
  <r>
    <s v="AX10885"/>
    <s v="ENX2015"/>
    <s v="A150"/>
    <s v="EMP1022"/>
    <s v="C1653"/>
    <x v="767"/>
    <n v="1"/>
    <n v="637"/>
    <n v="389"/>
    <n v="389"/>
    <n v="637"/>
    <n v="248"/>
    <s v="Product 16"/>
    <x v="30"/>
    <s v="Walter Cook"/>
    <x v="187"/>
    <n v="7"/>
    <x v="6"/>
    <x v="7"/>
    <x v="7"/>
    <x v="2"/>
    <x v="2"/>
  </r>
  <r>
    <s v="AX11179"/>
    <s v="ENX2049"/>
    <s v="A111"/>
    <s v="EMP1027"/>
    <s v="C1753"/>
    <x v="768"/>
    <n v="2"/>
    <n v="826"/>
    <n v="562"/>
    <n v="1124"/>
    <n v="1652"/>
    <n v="528"/>
    <s v="Product 50"/>
    <x v="54"/>
    <s v="Gary Rodriguez"/>
    <x v="696"/>
    <n v="7"/>
    <x v="6"/>
    <x v="7"/>
    <x v="7"/>
    <x v="2"/>
    <x v="2"/>
  </r>
  <r>
    <s v="AX11346"/>
    <s v="ENX2023"/>
    <s v="A157"/>
    <s v="EMP1015"/>
    <s v="C1357"/>
    <x v="769"/>
    <n v="2"/>
    <n v="818"/>
    <n v="450"/>
    <n v="900"/>
    <n v="1636"/>
    <n v="736"/>
    <s v="Product 24"/>
    <x v="7"/>
    <s v="Justin Lynch"/>
    <x v="327"/>
    <n v="7"/>
    <x v="6"/>
    <x v="7"/>
    <x v="7"/>
    <x v="2"/>
    <x v="2"/>
  </r>
  <r>
    <s v="AX11539"/>
    <s v="ENX2037"/>
    <s v="A160"/>
    <s v="EMP1018"/>
    <s v="C1570"/>
    <x v="767"/>
    <n v="1"/>
    <n v="880"/>
    <n v="634"/>
    <n v="634"/>
    <n v="880"/>
    <n v="246"/>
    <s v="Product 38"/>
    <x v="9"/>
    <s v="Jimmy Young"/>
    <x v="695"/>
    <n v="7"/>
    <x v="6"/>
    <x v="7"/>
    <x v="7"/>
    <x v="2"/>
    <x v="2"/>
  </r>
  <r>
    <s v="AX11650"/>
    <s v="ENX2082"/>
    <s v="A167"/>
    <s v="EMP1039"/>
    <s v="C1631"/>
    <x v="767"/>
    <n v="1"/>
    <n v="1103"/>
    <n v="838"/>
    <n v="838"/>
    <n v="1103"/>
    <n v="265"/>
    <s v="Product 83"/>
    <x v="64"/>
    <s v="Eugene Holmes"/>
    <x v="659"/>
    <n v="7"/>
    <x v="6"/>
    <x v="7"/>
    <x v="7"/>
    <x v="2"/>
    <x v="2"/>
  </r>
  <r>
    <s v="AX12230"/>
    <s v="ENX2078"/>
    <s v="A169"/>
    <s v="EMP1035"/>
    <s v="C1194"/>
    <x v="768"/>
    <n v="1"/>
    <n v="1798"/>
    <n v="971"/>
    <n v="971"/>
    <n v="1798"/>
    <n v="827"/>
    <s v="Product 79"/>
    <x v="17"/>
    <s v="Roger Ramos"/>
    <x v="323"/>
    <n v="7"/>
    <x v="6"/>
    <x v="7"/>
    <x v="7"/>
    <x v="2"/>
    <x v="2"/>
  </r>
  <r>
    <s v="AX12448"/>
    <s v="ENX2060"/>
    <s v="A109"/>
    <s v="EMP1030"/>
    <s v="C1500"/>
    <x v="768"/>
    <n v="1"/>
    <n v="1467"/>
    <n v="807"/>
    <n v="807"/>
    <n v="1467"/>
    <n v="660"/>
    <s v="Product 61"/>
    <x v="57"/>
    <s v="Bobby Russell"/>
    <x v="639"/>
    <n v="7"/>
    <x v="6"/>
    <x v="7"/>
    <x v="7"/>
    <x v="2"/>
    <x v="2"/>
  </r>
  <r>
    <s v="AX12537"/>
    <s v="ENX2095"/>
    <s v="A157"/>
    <s v="EMP1016"/>
    <s v="C1109"/>
    <x v="766"/>
    <n v="1"/>
    <n v="1743"/>
    <n v="872"/>
    <n v="872"/>
    <n v="1743"/>
    <n v="871"/>
    <s v="Product 96"/>
    <x v="7"/>
    <s v="Henry Nelson"/>
    <x v="756"/>
    <n v="7"/>
    <x v="6"/>
    <x v="7"/>
    <x v="7"/>
    <x v="2"/>
    <x v="2"/>
  </r>
  <r>
    <s v="AX12561"/>
    <s v="ENX2076"/>
    <s v="A149"/>
    <s v="EMP1004"/>
    <s v="C1691"/>
    <x v="769"/>
    <n v="2"/>
    <n v="1522"/>
    <n v="791"/>
    <n v="1582"/>
    <n v="3044"/>
    <n v="1462"/>
    <s v="Product 77"/>
    <x v="59"/>
    <s v="Kenneth Bradley"/>
    <x v="157"/>
    <n v="7"/>
    <x v="6"/>
    <x v="7"/>
    <x v="7"/>
    <x v="2"/>
    <x v="2"/>
  </r>
  <r>
    <s v="AX12773"/>
    <s v="ENX2091"/>
    <s v="A130"/>
    <s v="EMP1035"/>
    <s v="C1079"/>
    <x v="767"/>
    <n v="4"/>
    <n v="368"/>
    <n v="294"/>
    <n v="1176"/>
    <n v="1472"/>
    <n v="296"/>
    <s v="Product 92"/>
    <x v="4"/>
    <s v="Roger Ramos"/>
    <x v="370"/>
    <n v="7"/>
    <x v="6"/>
    <x v="7"/>
    <x v="7"/>
    <x v="2"/>
    <x v="2"/>
  </r>
  <r>
    <s v="AX12812"/>
    <s v="ENX2063"/>
    <s v="A120"/>
    <s v="EMP1033"/>
    <s v="C1469"/>
    <x v="769"/>
    <n v="4"/>
    <n v="1708"/>
    <n v="871"/>
    <n v="3484"/>
    <n v="6832"/>
    <n v="3348"/>
    <s v="Product 64"/>
    <x v="20"/>
    <s v="Jerry Perry"/>
    <x v="300"/>
    <n v="7"/>
    <x v="6"/>
    <x v="7"/>
    <x v="7"/>
    <x v="2"/>
    <x v="2"/>
  </r>
  <r>
    <s v="AX12864"/>
    <s v="ENX2013"/>
    <s v="A101"/>
    <s v="EMP1025"/>
    <s v="C1278"/>
    <x v="769"/>
    <n v="1"/>
    <n v="368"/>
    <n v="269"/>
    <n v="269"/>
    <n v="368"/>
    <n v="99"/>
    <s v="Product 14"/>
    <x v="60"/>
    <s v="Ernest Wagner"/>
    <x v="744"/>
    <n v="7"/>
    <x v="6"/>
    <x v="7"/>
    <x v="7"/>
    <x v="2"/>
    <x v="2"/>
  </r>
  <r>
    <s v="AX13030"/>
    <s v="ENX2036"/>
    <s v="A136"/>
    <s v="EMP1016"/>
    <s v="C1568"/>
    <x v="768"/>
    <n v="4"/>
    <n v="1582"/>
    <n v="1234"/>
    <n v="4936"/>
    <n v="6328"/>
    <n v="1392"/>
    <s v="Product 37"/>
    <x v="43"/>
    <s v="Henry Nelson"/>
    <x v="551"/>
    <n v="7"/>
    <x v="6"/>
    <x v="7"/>
    <x v="7"/>
    <x v="2"/>
    <x v="2"/>
  </r>
  <r>
    <s v="AX13212"/>
    <s v="ENX2062"/>
    <s v="A146"/>
    <s v="EMP1031"/>
    <s v="C1369"/>
    <x v="767"/>
    <n v="1"/>
    <n v="2464"/>
    <n v="1774"/>
    <n v="1774"/>
    <n v="2464"/>
    <n v="690"/>
    <s v="Product 63"/>
    <x v="27"/>
    <s v="Brian Thomas"/>
    <x v="126"/>
    <n v="7"/>
    <x v="6"/>
    <x v="7"/>
    <x v="7"/>
    <x v="2"/>
    <x v="2"/>
  </r>
  <r>
    <s v="AX13223"/>
    <s v="ENX2086"/>
    <s v="A129"/>
    <s v="EMP1009"/>
    <s v="C1021"/>
    <x v="768"/>
    <n v="1"/>
    <n v="123"/>
    <n v="84"/>
    <n v="84"/>
    <n v="123"/>
    <n v="39"/>
    <s v="Product 87"/>
    <x v="22"/>
    <s v="Kenneth Fields"/>
    <x v="246"/>
    <n v="7"/>
    <x v="6"/>
    <x v="7"/>
    <x v="7"/>
    <x v="2"/>
    <x v="2"/>
  </r>
  <r>
    <s v="AX13417"/>
    <s v="ENX2088"/>
    <s v="A138"/>
    <s v="EMP1002"/>
    <s v="C1559"/>
    <x v="767"/>
    <n v="1"/>
    <n v="603"/>
    <n v="416"/>
    <n v="416"/>
    <n v="603"/>
    <n v="187"/>
    <s v="Product 89"/>
    <x v="37"/>
    <s v="Andrew Bowman"/>
    <x v="43"/>
    <n v="7"/>
    <x v="6"/>
    <x v="7"/>
    <x v="7"/>
    <x v="2"/>
    <x v="2"/>
  </r>
  <r>
    <s v="AX13480"/>
    <s v="ENX2082"/>
    <s v="A134"/>
    <s v="EMP1041"/>
    <s v="C1356"/>
    <x v="768"/>
    <n v="1"/>
    <n v="1103"/>
    <n v="838"/>
    <n v="838"/>
    <n v="1103"/>
    <n v="265"/>
    <s v="Product 83"/>
    <x v="41"/>
    <s v="Joe Sims"/>
    <x v="238"/>
    <n v="7"/>
    <x v="6"/>
    <x v="7"/>
    <x v="7"/>
    <x v="2"/>
    <x v="2"/>
  </r>
  <r>
    <s v="AX13620"/>
    <s v="ENX2059"/>
    <s v="A123"/>
    <s v="EMP1031"/>
    <s v="C1372"/>
    <x v="767"/>
    <n v="3"/>
    <n v="1494"/>
    <n v="971"/>
    <n v="2913"/>
    <n v="4482"/>
    <n v="1569"/>
    <s v="Product 60"/>
    <x v="34"/>
    <s v="Brian Thomas"/>
    <x v="60"/>
    <n v="7"/>
    <x v="6"/>
    <x v="7"/>
    <x v="7"/>
    <x v="2"/>
    <x v="2"/>
  </r>
  <r>
    <s v="AX13848"/>
    <s v="ENX2082"/>
    <s v="A149"/>
    <s v="EMP1039"/>
    <s v="C1781"/>
    <x v="769"/>
    <n v="1"/>
    <n v="1103"/>
    <n v="838"/>
    <n v="838"/>
    <n v="1103"/>
    <n v="265"/>
    <s v="Product 83"/>
    <x v="59"/>
    <s v="Eugene Holmes"/>
    <x v="606"/>
    <n v="7"/>
    <x v="6"/>
    <x v="7"/>
    <x v="7"/>
    <x v="2"/>
    <x v="2"/>
  </r>
  <r>
    <s v="AX13908"/>
    <s v="ENX2093"/>
    <s v="A155"/>
    <s v="EMP1035"/>
    <s v="C1762"/>
    <x v="766"/>
    <n v="1"/>
    <n v="112"/>
    <n v="90"/>
    <n v="90"/>
    <n v="112"/>
    <n v="22"/>
    <s v="Product 94"/>
    <x v="53"/>
    <s v="Roger Ramos"/>
    <x v="164"/>
    <n v="7"/>
    <x v="6"/>
    <x v="7"/>
    <x v="7"/>
    <x v="2"/>
    <x v="2"/>
  </r>
  <r>
    <s v="AX14104"/>
    <s v="ENX2065"/>
    <s v="A118"/>
    <s v="EMP1009"/>
    <s v="C1311"/>
    <x v="766"/>
    <n v="3"/>
    <n v="2396"/>
    <n v="1965"/>
    <n v="5895"/>
    <n v="7188"/>
    <n v="1293"/>
    <s v="Product 66"/>
    <x v="19"/>
    <s v="Kenneth Fields"/>
    <x v="309"/>
    <n v="7"/>
    <x v="6"/>
    <x v="7"/>
    <x v="7"/>
    <x v="2"/>
    <x v="2"/>
  </r>
  <r>
    <s v="AX14226"/>
    <s v="ENX2044"/>
    <s v="A107"/>
    <s v="EMP1005"/>
    <s v="C1568"/>
    <x v="767"/>
    <n v="1"/>
    <n v="886"/>
    <n v="478"/>
    <n v="478"/>
    <n v="886"/>
    <n v="408"/>
    <s v="Product 45"/>
    <x v="21"/>
    <s v="Ryan Welch"/>
    <x v="551"/>
    <n v="7"/>
    <x v="6"/>
    <x v="7"/>
    <x v="7"/>
    <x v="2"/>
    <x v="2"/>
  </r>
  <r>
    <s v="AX14650"/>
    <s v="ENX2038"/>
    <s v="A168"/>
    <s v="EMP1018"/>
    <s v="C1024"/>
    <x v="768"/>
    <n v="3"/>
    <n v="392"/>
    <n v="255"/>
    <n v="765"/>
    <n v="1176"/>
    <n v="411"/>
    <s v="Product 39"/>
    <x v="40"/>
    <s v="Jimmy Young"/>
    <x v="599"/>
    <n v="7"/>
    <x v="6"/>
    <x v="7"/>
    <x v="7"/>
    <x v="2"/>
    <x v="2"/>
  </r>
  <r>
    <s v="AX15213"/>
    <s v="ENX2019"/>
    <s v="A154"/>
    <s v="EMP1014"/>
    <s v="C1699"/>
    <x v="767"/>
    <n v="3"/>
    <n v="800"/>
    <n v="536"/>
    <n v="1608"/>
    <n v="2400"/>
    <n v="792"/>
    <s v="Product 20"/>
    <x v="24"/>
    <s v="Ronald Reed"/>
    <x v="672"/>
    <n v="7"/>
    <x v="6"/>
    <x v="7"/>
    <x v="7"/>
    <x v="2"/>
    <x v="2"/>
  </r>
  <r>
    <s v="AX16023"/>
    <s v="ENX2079"/>
    <s v="A102"/>
    <s v="EMP1040"/>
    <s v="C1471"/>
    <x v="766"/>
    <n v="1"/>
    <n v="1725"/>
    <n v="1363"/>
    <n v="1363"/>
    <n v="1725"/>
    <n v="362"/>
    <s v="Product 80"/>
    <x v="44"/>
    <s v="Patrick Ruiz"/>
    <x v="586"/>
    <n v="7"/>
    <x v="6"/>
    <x v="7"/>
    <x v="7"/>
    <x v="2"/>
    <x v="2"/>
  </r>
  <r>
    <s v="AX16490"/>
    <s v="ENX2035"/>
    <s v="A142"/>
    <s v="EMP1004"/>
    <s v="C1275"/>
    <x v="767"/>
    <n v="1"/>
    <n v="458"/>
    <n v="376"/>
    <n v="376"/>
    <n v="458"/>
    <n v="82"/>
    <s v="Product 36"/>
    <x v="56"/>
    <s v="Kenneth Bradley"/>
    <x v="144"/>
    <n v="7"/>
    <x v="6"/>
    <x v="7"/>
    <x v="7"/>
    <x v="2"/>
    <x v="2"/>
  </r>
  <r>
    <s v="AX16790"/>
    <s v="ENX2023"/>
    <s v="A133"/>
    <s v="EMP1017"/>
    <s v="C1422"/>
    <x v="768"/>
    <n v="1"/>
    <n v="818"/>
    <n v="450"/>
    <n v="450"/>
    <n v="818"/>
    <n v="368"/>
    <s v="Product 24"/>
    <x v="46"/>
    <s v="Brian Hansen"/>
    <x v="176"/>
    <n v="7"/>
    <x v="6"/>
    <x v="7"/>
    <x v="7"/>
    <x v="2"/>
    <x v="2"/>
  </r>
  <r>
    <s v="AX16998"/>
    <s v="ENX2007"/>
    <s v="A128"/>
    <s v="EMP1016"/>
    <s v="C1526"/>
    <x v="769"/>
    <n v="3"/>
    <n v="1405"/>
    <n v="1054"/>
    <n v="3162"/>
    <n v="4215"/>
    <n v="1053"/>
    <s v="Product 8"/>
    <x v="12"/>
    <s v="Henry Nelson"/>
    <x v="6"/>
    <n v="7"/>
    <x v="6"/>
    <x v="7"/>
    <x v="7"/>
    <x v="2"/>
    <x v="2"/>
  </r>
  <r>
    <s v="AX17186"/>
    <s v="ENX2045"/>
    <s v="A127"/>
    <s v="EMP1027"/>
    <s v="C1338"/>
    <x v="769"/>
    <n v="4"/>
    <n v="556"/>
    <n v="395"/>
    <n v="1580"/>
    <n v="2224"/>
    <n v="644"/>
    <s v="Product 46"/>
    <x v="69"/>
    <s v="Gary Rodriguez"/>
    <x v="542"/>
    <n v="7"/>
    <x v="6"/>
    <x v="7"/>
    <x v="7"/>
    <x v="2"/>
    <x v="2"/>
  </r>
  <r>
    <s v="AX18183"/>
    <s v="ENX2027"/>
    <s v="A101"/>
    <s v="EMP1003"/>
    <s v="C1047"/>
    <x v="766"/>
    <n v="1"/>
    <n v="2497"/>
    <n v="1473"/>
    <n v="1473"/>
    <n v="2497"/>
    <n v="1024"/>
    <s v="Product 28"/>
    <x v="60"/>
    <s v="Christopher Tucker"/>
    <x v="486"/>
    <n v="7"/>
    <x v="6"/>
    <x v="7"/>
    <x v="7"/>
    <x v="2"/>
    <x v="2"/>
  </r>
  <r>
    <s v="AX18230"/>
    <s v="ENX2043"/>
    <s v="A116"/>
    <s v="EMP1024"/>
    <s v="C1299"/>
    <x v="766"/>
    <n v="1"/>
    <n v="545"/>
    <n v="425"/>
    <n v="425"/>
    <n v="545"/>
    <n v="120"/>
    <s v="Product 44"/>
    <x v="15"/>
    <s v="Ernest Wheeler"/>
    <x v="655"/>
    <n v="7"/>
    <x v="6"/>
    <x v="7"/>
    <x v="7"/>
    <x v="2"/>
    <x v="2"/>
  </r>
  <r>
    <s v="AX18441"/>
    <s v="ENX2091"/>
    <s v="A132"/>
    <s v="EMP1025"/>
    <s v="C1687"/>
    <x v="766"/>
    <n v="1"/>
    <n v="368"/>
    <n v="294"/>
    <n v="294"/>
    <n v="368"/>
    <n v="74"/>
    <s v="Product 92"/>
    <x v="48"/>
    <s v="Ernest Wagner"/>
    <x v="389"/>
    <n v="7"/>
    <x v="6"/>
    <x v="7"/>
    <x v="7"/>
    <x v="2"/>
    <x v="2"/>
  </r>
  <r>
    <s v="AX18492"/>
    <s v="ENX2051"/>
    <s v="A167"/>
    <s v="EMP1027"/>
    <s v="C1485"/>
    <x v="767"/>
    <n v="1"/>
    <n v="1077"/>
    <n v="732"/>
    <n v="732"/>
    <n v="1077"/>
    <n v="345"/>
    <s v="Product 52"/>
    <x v="64"/>
    <s v="Gary Rodriguez"/>
    <x v="679"/>
    <n v="7"/>
    <x v="6"/>
    <x v="7"/>
    <x v="7"/>
    <x v="2"/>
    <x v="2"/>
  </r>
  <r>
    <s v="AX18725"/>
    <s v="ENX2056"/>
    <s v="A137"/>
    <s v="EMP1020"/>
    <s v="C1496"/>
    <x v="769"/>
    <n v="1"/>
    <n v="1635"/>
    <n v="1046"/>
    <n v="1046"/>
    <n v="1635"/>
    <n v="589"/>
    <s v="Product 57"/>
    <x v="68"/>
    <s v="Ryan Butler"/>
    <x v="54"/>
    <n v="7"/>
    <x v="6"/>
    <x v="7"/>
    <x v="7"/>
    <x v="2"/>
    <x v="2"/>
  </r>
  <r>
    <s v="AX19006"/>
    <s v="ENX2047"/>
    <s v="A126"/>
    <s v="EMP1014"/>
    <s v="C1507"/>
    <x v="767"/>
    <n v="2"/>
    <n v="290"/>
    <n v="200"/>
    <n v="400"/>
    <n v="580"/>
    <n v="180"/>
    <s v="Product 48"/>
    <x v="5"/>
    <s v="Ronald Reed"/>
    <x v="227"/>
    <n v="7"/>
    <x v="6"/>
    <x v="7"/>
    <x v="7"/>
    <x v="2"/>
    <x v="2"/>
  </r>
  <r>
    <s v="AX19145"/>
    <s v="ENX2049"/>
    <s v="A170"/>
    <s v="EMP1008"/>
    <s v="C1169"/>
    <x v="769"/>
    <n v="1"/>
    <n v="826"/>
    <n v="562"/>
    <n v="562"/>
    <n v="826"/>
    <n v="264"/>
    <s v="Product 50"/>
    <x v="47"/>
    <s v="Carl Elliott"/>
    <x v="293"/>
    <n v="7"/>
    <x v="6"/>
    <x v="7"/>
    <x v="7"/>
    <x v="2"/>
    <x v="2"/>
  </r>
  <r>
    <s v="AX19231"/>
    <s v="ENX2078"/>
    <s v="A146"/>
    <s v="EMP1023"/>
    <s v="C1269"/>
    <x v="766"/>
    <n v="4"/>
    <n v="1798"/>
    <n v="971"/>
    <n v="3884"/>
    <n v="7192"/>
    <n v="3308"/>
    <s v="Product 79"/>
    <x v="27"/>
    <s v="Brian Davis"/>
    <x v="661"/>
    <n v="7"/>
    <x v="6"/>
    <x v="7"/>
    <x v="7"/>
    <x v="2"/>
    <x v="2"/>
  </r>
  <r>
    <s v="AX19452"/>
    <s v="ENX2082"/>
    <s v="A148"/>
    <s v="EMP1039"/>
    <s v="C1206"/>
    <x v="766"/>
    <n v="1"/>
    <n v="1103"/>
    <n v="838"/>
    <n v="838"/>
    <n v="1103"/>
    <n v="265"/>
    <s v="Product 83"/>
    <x v="62"/>
    <s v="Eugene Holmes"/>
    <x v="518"/>
    <n v="7"/>
    <x v="6"/>
    <x v="7"/>
    <x v="7"/>
    <x v="2"/>
    <x v="2"/>
  </r>
  <r>
    <s v="AX20478"/>
    <s v="ENX2042"/>
    <s v="A105"/>
    <s v="EMP1030"/>
    <s v="C1590"/>
    <x v="767"/>
    <n v="1"/>
    <n v="203"/>
    <n v="154"/>
    <n v="154"/>
    <n v="203"/>
    <n v="49"/>
    <s v="Product 43"/>
    <x v="45"/>
    <s v="Bobby Russell"/>
    <x v="735"/>
    <n v="7"/>
    <x v="6"/>
    <x v="7"/>
    <x v="7"/>
    <x v="2"/>
    <x v="2"/>
  </r>
  <r>
    <s v="AX20539"/>
    <s v="ENX2044"/>
    <s v="A158"/>
    <s v="EMP1034"/>
    <s v="C1692"/>
    <x v="766"/>
    <n v="1"/>
    <n v="886"/>
    <n v="478"/>
    <n v="478"/>
    <n v="886"/>
    <n v="408"/>
    <s v="Product 45"/>
    <x v="58"/>
    <s v="Arthur Mccoy"/>
    <x v="555"/>
    <n v="7"/>
    <x v="6"/>
    <x v="7"/>
    <x v="7"/>
    <x v="2"/>
    <x v="2"/>
  </r>
  <r>
    <s v="AX20649"/>
    <s v="ENX2059"/>
    <s v="A161"/>
    <s v="EMP1028"/>
    <s v="C1777"/>
    <x v="767"/>
    <n v="1"/>
    <n v="1494"/>
    <n v="971"/>
    <n v="971"/>
    <n v="1494"/>
    <n v="523"/>
    <s v="Product 60"/>
    <x v="6"/>
    <s v="Howard Sims"/>
    <x v="682"/>
    <n v="7"/>
    <x v="6"/>
    <x v="7"/>
    <x v="7"/>
    <x v="2"/>
    <x v="2"/>
  </r>
  <r>
    <s v="AX20867"/>
    <s v="ENX2082"/>
    <s v="A160"/>
    <s v="EMP1026"/>
    <s v="C1345"/>
    <x v="766"/>
    <n v="3"/>
    <n v="1103"/>
    <n v="838"/>
    <n v="2514"/>
    <n v="3309"/>
    <n v="795"/>
    <s v="Product 83"/>
    <x v="9"/>
    <s v="Martin Perry"/>
    <x v="567"/>
    <n v="7"/>
    <x v="6"/>
    <x v="7"/>
    <x v="7"/>
    <x v="2"/>
    <x v="2"/>
  </r>
  <r>
    <s v="AX21077"/>
    <s v="ENX2087"/>
    <s v="A134"/>
    <s v="EMP1035"/>
    <s v="C1706"/>
    <x v="767"/>
    <n v="1"/>
    <n v="1022"/>
    <n v="818"/>
    <n v="818"/>
    <n v="1022"/>
    <n v="204"/>
    <s v="Product 88"/>
    <x v="41"/>
    <s v="Roger Ramos"/>
    <x v="171"/>
    <n v="7"/>
    <x v="6"/>
    <x v="7"/>
    <x v="7"/>
    <x v="2"/>
    <x v="2"/>
  </r>
  <r>
    <s v="AX21584"/>
    <s v="ENX2038"/>
    <s v="A157"/>
    <s v="EMP1038"/>
    <s v="C1119"/>
    <x v="766"/>
    <n v="2"/>
    <n v="392"/>
    <n v="255"/>
    <n v="510"/>
    <n v="784"/>
    <n v="274"/>
    <s v="Product 39"/>
    <x v="7"/>
    <s v="Scott Mason"/>
    <x v="614"/>
    <n v="7"/>
    <x v="6"/>
    <x v="7"/>
    <x v="7"/>
    <x v="2"/>
    <x v="2"/>
  </r>
  <r>
    <s v="AX21730"/>
    <s v="ENX2077"/>
    <s v="A153"/>
    <s v="EMP1032"/>
    <s v="C1222"/>
    <x v="766"/>
    <n v="1"/>
    <n v="530"/>
    <n v="424"/>
    <n v="424"/>
    <n v="530"/>
    <n v="106"/>
    <s v="Product 78"/>
    <x v="8"/>
    <s v="Larry Castillo"/>
    <x v="691"/>
    <n v="7"/>
    <x v="6"/>
    <x v="7"/>
    <x v="7"/>
    <x v="2"/>
    <x v="2"/>
  </r>
  <r>
    <s v="AX21766"/>
    <s v="ENX2049"/>
    <s v="A161"/>
    <s v="EMP1016"/>
    <s v="C1412"/>
    <x v="768"/>
    <n v="1"/>
    <n v="826"/>
    <n v="562"/>
    <n v="562"/>
    <n v="826"/>
    <n v="264"/>
    <s v="Product 50"/>
    <x v="6"/>
    <s v="Henry Nelson"/>
    <x v="460"/>
    <n v="7"/>
    <x v="6"/>
    <x v="7"/>
    <x v="7"/>
    <x v="2"/>
    <x v="2"/>
  </r>
  <r>
    <s v="AX22092"/>
    <s v="ENX2069"/>
    <s v="A149"/>
    <s v="EMP1010"/>
    <s v="C1549"/>
    <x v="767"/>
    <n v="1"/>
    <n v="378"/>
    <n v="291"/>
    <n v="291"/>
    <n v="378"/>
    <n v="87"/>
    <s v="Product 70"/>
    <x v="59"/>
    <s v="Joshua Cook"/>
    <x v="174"/>
    <n v="7"/>
    <x v="6"/>
    <x v="7"/>
    <x v="7"/>
    <x v="2"/>
    <x v="2"/>
  </r>
  <r>
    <s v="AX22388"/>
    <s v="ENX2074"/>
    <s v="A151"/>
    <s v="EMP1038"/>
    <s v="C1644"/>
    <x v="767"/>
    <n v="1"/>
    <n v="504"/>
    <n v="408"/>
    <n v="408"/>
    <n v="504"/>
    <n v="96"/>
    <s v="Product 75"/>
    <x v="1"/>
    <s v="Scott Mason"/>
    <x v="109"/>
    <n v="7"/>
    <x v="6"/>
    <x v="7"/>
    <x v="7"/>
    <x v="2"/>
    <x v="2"/>
  </r>
  <r>
    <s v="AX22415"/>
    <s v="ENX2081"/>
    <s v="A156"/>
    <s v="EMP1012"/>
    <s v="C1654"/>
    <x v="767"/>
    <n v="2"/>
    <n v="1566"/>
    <n v="1190"/>
    <n v="2380"/>
    <n v="3132"/>
    <n v="752"/>
    <s v="Product 82"/>
    <x v="14"/>
    <s v="John Reyes"/>
    <x v="351"/>
    <n v="7"/>
    <x v="6"/>
    <x v="7"/>
    <x v="7"/>
    <x v="2"/>
    <x v="2"/>
  </r>
  <r>
    <s v="AX22745"/>
    <s v="ENX2008"/>
    <s v="A157"/>
    <s v="EMP1001"/>
    <s v="C1708"/>
    <x v="769"/>
    <n v="3"/>
    <n v="315"/>
    <n v="208"/>
    <n v="624"/>
    <n v="945"/>
    <n v="321"/>
    <s v="Product 9"/>
    <x v="7"/>
    <s v="Kevin Butler"/>
    <x v="579"/>
    <n v="7"/>
    <x v="6"/>
    <x v="7"/>
    <x v="7"/>
    <x v="2"/>
    <x v="2"/>
  </r>
  <r>
    <s v="AX23253"/>
    <s v="ENX2042"/>
    <s v="A100"/>
    <s v="EMP1022"/>
    <s v="C1533"/>
    <x v="766"/>
    <n v="1"/>
    <n v="203"/>
    <n v="154"/>
    <n v="154"/>
    <n v="203"/>
    <n v="49"/>
    <s v="Product 43"/>
    <x v="52"/>
    <s v="Walter Cook"/>
    <x v="179"/>
    <n v="7"/>
    <x v="6"/>
    <x v="7"/>
    <x v="7"/>
    <x v="2"/>
    <x v="2"/>
  </r>
  <r>
    <s v="AX23688"/>
    <s v="ENX2071"/>
    <s v="A146"/>
    <s v="EMP1032"/>
    <s v="C1613"/>
    <x v="768"/>
    <n v="2"/>
    <n v="136"/>
    <n v="72"/>
    <n v="144"/>
    <n v="272"/>
    <n v="128"/>
    <s v="Product 72"/>
    <x v="27"/>
    <s v="Larry Castillo"/>
    <x v="143"/>
    <n v="7"/>
    <x v="6"/>
    <x v="7"/>
    <x v="7"/>
    <x v="2"/>
    <x v="2"/>
  </r>
  <r>
    <s v="AX23708"/>
    <s v="ENX2014"/>
    <s v="A128"/>
    <s v="EMP1044"/>
    <s v="C1615"/>
    <x v="769"/>
    <n v="1"/>
    <n v="1809"/>
    <n v="1067"/>
    <n v="1067"/>
    <n v="1809"/>
    <n v="742"/>
    <s v="Product 15"/>
    <x v="12"/>
    <s v="Martin Carr"/>
    <x v="457"/>
    <n v="7"/>
    <x v="6"/>
    <x v="7"/>
    <x v="7"/>
    <x v="2"/>
    <x v="2"/>
  </r>
  <r>
    <s v="AX23775"/>
    <s v="ENX2012"/>
    <s v="A134"/>
    <s v="EMP1022"/>
    <s v="C1730"/>
    <x v="766"/>
    <n v="3"/>
    <n v="1353"/>
    <n v="947"/>
    <n v="2841"/>
    <n v="4059"/>
    <n v="1218"/>
    <s v="Product 13"/>
    <x v="41"/>
    <s v="Walter Cook"/>
    <x v="777"/>
    <n v="7"/>
    <x v="6"/>
    <x v="7"/>
    <x v="7"/>
    <x v="2"/>
    <x v="2"/>
  </r>
  <r>
    <s v="AX23989"/>
    <s v="ENX2093"/>
    <s v="A154"/>
    <s v="EMP1022"/>
    <s v="C1369"/>
    <x v="769"/>
    <n v="1"/>
    <n v="112"/>
    <n v="90"/>
    <n v="90"/>
    <n v="112"/>
    <n v="22"/>
    <s v="Product 94"/>
    <x v="24"/>
    <s v="Walter Cook"/>
    <x v="126"/>
    <n v="7"/>
    <x v="6"/>
    <x v="7"/>
    <x v="7"/>
    <x v="2"/>
    <x v="2"/>
  </r>
  <r>
    <s v="AX24223"/>
    <s v="ENX2017"/>
    <s v="A125"/>
    <s v="EMP1042"/>
    <s v="C1766"/>
    <x v="768"/>
    <n v="2"/>
    <n v="35"/>
    <n v="22"/>
    <n v="44"/>
    <n v="70"/>
    <n v="26"/>
    <s v="Product 18"/>
    <x v="31"/>
    <s v="Scott Clark"/>
    <x v="452"/>
    <n v="7"/>
    <x v="6"/>
    <x v="7"/>
    <x v="7"/>
    <x v="2"/>
    <x v="2"/>
  </r>
  <r>
    <s v="AX24381"/>
    <s v="ENX2036"/>
    <s v="A134"/>
    <s v="EMP1031"/>
    <s v="C1243"/>
    <x v="767"/>
    <n v="4"/>
    <n v="1582"/>
    <n v="1234"/>
    <n v="4936"/>
    <n v="6328"/>
    <n v="1392"/>
    <s v="Product 37"/>
    <x v="41"/>
    <s v="Brian Thomas"/>
    <x v="129"/>
    <n v="7"/>
    <x v="6"/>
    <x v="7"/>
    <x v="7"/>
    <x v="2"/>
    <x v="2"/>
  </r>
  <r>
    <s v="AX24410"/>
    <s v="ENX2085"/>
    <s v="A128"/>
    <s v="EMP1041"/>
    <s v="C1769"/>
    <x v="766"/>
    <n v="1"/>
    <n v="1862"/>
    <n v="1173"/>
    <n v="1173"/>
    <n v="1862"/>
    <n v="689"/>
    <s v="Product 86"/>
    <x v="12"/>
    <s v="Joe Sims"/>
    <x v="269"/>
    <n v="7"/>
    <x v="6"/>
    <x v="7"/>
    <x v="7"/>
    <x v="2"/>
    <x v="2"/>
  </r>
  <r>
    <s v="AX24497"/>
    <s v="ENX2052"/>
    <s v="A131"/>
    <s v="EMP1018"/>
    <s v="C1795"/>
    <x v="768"/>
    <n v="1"/>
    <n v="1526"/>
    <n v="1251"/>
    <n v="1251"/>
    <n v="1526"/>
    <n v="275"/>
    <s v="Product 53"/>
    <x v="32"/>
    <s v="Jimmy Young"/>
    <x v="592"/>
    <n v="7"/>
    <x v="6"/>
    <x v="7"/>
    <x v="7"/>
    <x v="2"/>
    <x v="2"/>
  </r>
  <r>
    <s v="AX24504"/>
    <s v="ENX2031"/>
    <s v="A131"/>
    <s v="EMP1008"/>
    <s v="C1519"/>
    <x v="769"/>
    <n v="3"/>
    <n v="1638"/>
    <n v="1261"/>
    <n v="3783"/>
    <n v="4914"/>
    <n v="1131"/>
    <s v="Product 32"/>
    <x v="32"/>
    <s v="Carl Elliott"/>
    <x v="426"/>
    <n v="7"/>
    <x v="6"/>
    <x v="7"/>
    <x v="7"/>
    <x v="2"/>
    <x v="2"/>
  </r>
  <r>
    <s v="AX24871"/>
    <s v="ENX2058"/>
    <s v="A148"/>
    <s v="EMP1002"/>
    <s v="C1141"/>
    <x v="767"/>
    <n v="4"/>
    <n v="2257"/>
    <n v="1535"/>
    <n v="6140"/>
    <n v="9028"/>
    <n v="2888"/>
    <s v="Product 59"/>
    <x v="62"/>
    <s v="Andrew Bowman"/>
    <x v="166"/>
    <n v="7"/>
    <x v="6"/>
    <x v="7"/>
    <x v="7"/>
    <x v="2"/>
    <x v="2"/>
  </r>
  <r>
    <s v="AX24981"/>
    <s v="ENX2037"/>
    <s v="A113"/>
    <s v="EMP1038"/>
    <s v="C1616"/>
    <x v="766"/>
    <n v="1"/>
    <n v="880"/>
    <n v="634"/>
    <n v="634"/>
    <n v="880"/>
    <n v="246"/>
    <s v="Product 38"/>
    <x v="73"/>
    <s v="Scott Mason"/>
    <x v="253"/>
    <n v="7"/>
    <x v="6"/>
    <x v="7"/>
    <x v="7"/>
    <x v="2"/>
    <x v="2"/>
  </r>
  <r>
    <s v="AX10126"/>
    <s v="ENX2054"/>
    <s v="A138"/>
    <s v="EMP1030"/>
    <s v="C1337"/>
    <x v="770"/>
    <n v="1"/>
    <n v="127"/>
    <n v="79"/>
    <n v="79"/>
    <n v="127"/>
    <n v="48"/>
    <s v="Product 55"/>
    <x v="37"/>
    <s v="Bobby Russell"/>
    <x v="417"/>
    <n v="7"/>
    <x v="6"/>
    <x v="8"/>
    <x v="8"/>
    <x v="2"/>
    <x v="0"/>
  </r>
  <r>
    <s v="AX10197"/>
    <s v="ENX2067"/>
    <s v="A134"/>
    <s v="EMP1002"/>
    <s v="C1717"/>
    <x v="771"/>
    <n v="1"/>
    <n v="1119"/>
    <n v="683"/>
    <n v="683"/>
    <n v="1119"/>
    <n v="436"/>
    <s v="Product 68"/>
    <x v="41"/>
    <s v="Andrew Bowman"/>
    <x v="605"/>
    <n v="7"/>
    <x v="6"/>
    <x v="8"/>
    <x v="8"/>
    <x v="2"/>
    <x v="0"/>
  </r>
  <r>
    <s v="AX11176"/>
    <s v="ENX2042"/>
    <s v="A128"/>
    <s v="EMP1038"/>
    <s v="C1001"/>
    <x v="770"/>
    <n v="1"/>
    <n v="203"/>
    <n v="154"/>
    <n v="154"/>
    <n v="203"/>
    <n v="49"/>
    <s v="Product 43"/>
    <x v="12"/>
    <s v="Scott Mason"/>
    <x v="725"/>
    <n v="7"/>
    <x v="6"/>
    <x v="8"/>
    <x v="8"/>
    <x v="2"/>
    <x v="0"/>
  </r>
  <r>
    <s v="AX11192"/>
    <s v="ENX2078"/>
    <s v="A100"/>
    <s v="EMP1008"/>
    <s v="C1373"/>
    <x v="771"/>
    <n v="3"/>
    <n v="1798"/>
    <n v="971"/>
    <n v="2913"/>
    <n v="5394"/>
    <n v="2481"/>
    <s v="Product 79"/>
    <x v="52"/>
    <s v="Carl Elliott"/>
    <x v="471"/>
    <n v="7"/>
    <x v="6"/>
    <x v="8"/>
    <x v="8"/>
    <x v="2"/>
    <x v="0"/>
  </r>
  <r>
    <s v="AX11196"/>
    <s v="ENX2062"/>
    <s v="A122"/>
    <s v="EMP1007"/>
    <s v="C1095"/>
    <x v="771"/>
    <n v="4"/>
    <n v="2464"/>
    <n v="1774"/>
    <n v="7096"/>
    <n v="9856"/>
    <n v="2760"/>
    <s v="Product 63"/>
    <x v="71"/>
    <s v="Jeremy Mendoza"/>
    <x v="240"/>
    <n v="7"/>
    <x v="6"/>
    <x v="8"/>
    <x v="8"/>
    <x v="2"/>
    <x v="0"/>
  </r>
  <r>
    <s v="AX11369"/>
    <s v="ENX2028"/>
    <s v="A166"/>
    <s v="EMP1042"/>
    <s v="C1712"/>
    <x v="771"/>
    <n v="1"/>
    <n v="2283"/>
    <n v="1484"/>
    <n v="1484"/>
    <n v="2283"/>
    <n v="799"/>
    <s v="Product 29"/>
    <x v="70"/>
    <s v="Scott Clark"/>
    <x v="21"/>
    <n v="7"/>
    <x v="6"/>
    <x v="8"/>
    <x v="8"/>
    <x v="2"/>
    <x v="0"/>
  </r>
  <r>
    <s v="AX11760"/>
    <s v="ENX2100"/>
    <s v="A136"/>
    <s v="EMP1026"/>
    <s v="C1574"/>
    <x v="772"/>
    <n v="4"/>
    <n v="799"/>
    <n v="455"/>
    <n v="1820"/>
    <n v="3196"/>
    <n v="1376"/>
    <s v="Product 101"/>
    <x v="43"/>
    <s v="Martin Perry"/>
    <x v="521"/>
    <n v="7"/>
    <x v="6"/>
    <x v="8"/>
    <x v="8"/>
    <x v="2"/>
    <x v="0"/>
  </r>
  <r>
    <s v="AX11942"/>
    <s v="ENX2063"/>
    <s v="A127"/>
    <s v="EMP1038"/>
    <s v="C1135"/>
    <x v="770"/>
    <n v="4"/>
    <n v="1708"/>
    <n v="871"/>
    <n v="3484"/>
    <n v="6832"/>
    <n v="3348"/>
    <s v="Product 64"/>
    <x v="69"/>
    <s v="Scott Mason"/>
    <x v="669"/>
    <n v="7"/>
    <x v="6"/>
    <x v="8"/>
    <x v="8"/>
    <x v="2"/>
    <x v="0"/>
  </r>
  <r>
    <s v="AX12083"/>
    <s v="ENX2082"/>
    <s v="A171"/>
    <s v="EMP1032"/>
    <s v="C1068"/>
    <x v="771"/>
    <n v="1"/>
    <n v="1103"/>
    <n v="838"/>
    <n v="838"/>
    <n v="1103"/>
    <n v="265"/>
    <s v="Product 83"/>
    <x v="0"/>
    <s v="Larry Castillo"/>
    <x v="288"/>
    <n v="7"/>
    <x v="6"/>
    <x v="8"/>
    <x v="8"/>
    <x v="2"/>
    <x v="0"/>
  </r>
  <r>
    <s v="AX12213"/>
    <s v="ENX2074"/>
    <s v="A115"/>
    <s v="EMP1010"/>
    <s v="C1185"/>
    <x v="770"/>
    <n v="2"/>
    <n v="504"/>
    <n v="408"/>
    <n v="816"/>
    <n v="1008"/>
    <n v="192"/>
    <s v="Product 75"/>
    <x v="33"/>
    <s v="Joshua Cook"/>
    <x v="215"/>
    <n v="7"/>
    <x v="6"/>
    <x v="8"/>
    <x v="8"/>
    <x v="2"/>
    <x v="0"/>
  </r>
  <r>
    <s v="AX12252"/>
    <s v="ENX2049"/>
    <s v="A165"/>
    <s v="EMP1015"/>
    <s v="C1254"/>
    <x v="771"/>
    <n v="4"/>
    <n v="826"/>
    <n v="562"/>
    <n v="2248"/>
    <n v="3304"/>
    <n v="1056"/>
    <s v="Product 50"/>
    <x v="55"/>
    <s v="Justin Lynch"/>
    <x v="104"/>
    <n v="7"/>
    <x v="6"/>
    <x v="8"/>
    <x v="8"/>
    <x v="2"/>
    <x v="0"/>
  </r>
  <r>
    <s v="AX12298"/>
    <s v="ENX2000"/>
    <s v="A150"/>
    <s v="EMP1034"/>
    <s v="C1345"/>
    <x v="771"/>
    <n v="2"/>
    <n v="2241"/>
    <n v="1367"/>
    <n v="2734"/>
    <n v="4482"/>
    <n v="1748"/>
    <s v="Product 1"/>
    <x v="30"/>
    <s v="Arthur Mccoy"/>
    <x v="567"/>
    <n v="7"/>
    <x v="6"/>
    <x v="8"/>
    <x v="8"/>
    <x v="2"/>
    <x v="0"/>
  </r>
  <r>
    <s v="AX13139"/>
    <s v="ENX2000"/>
    <s v="A165"/>
    <s v="EMP1006"/>
    <s v="C1771"/>
    <x v="772"/>
    <n v="2"/>
    <n v="2241"/>
    <n v="1367"/>
    <n v="2734"/>
    <n v="4482"/>
    <n v="1748"/>
    <s v="Product 1"/>
    <x v="55"/>
    <s v="Sean Miller"/>
    <x v="34"/>
    <n v="7"/>
    <x v="6"/>
    <x v="8"/>
    <x v="8"/>
    <x v="2"/>
    <x v="0"/>
  </r>
  <r>
    <s v="AX13274"/>
    <s v="ENX2097"/>
    <s v="A112"/>
    <s v="EMP1007"/>
    <s v="C1002"/>
    <x v="773"/>
    <n v="1"/>
    <n v="1052"/>
    <n v="589"/>
    <n v="589"/>
    <n v="1052"/>
    <n v="463"/>
    <s v="Product 98"/>
    <x v="66"/>
    <s v="Jeremy Mendoza"/>
    <x v="49"/>
    <n v="7"/>
    <x v="6"/>
    <x v="8"/>
    <x v="8"/>
    <x v="2"/>
    <x v="0"/>
  </r>
  <r>
    <s v="AX14514"/>
    <s v="ENX2085"/>
    <s v="A162"/>
    <s v="EMP1012"/>
    <s v="C1734"/>
    <x v="770"/>
    <n v="1"/>
    <n v="1862"/>
    <n v="1173"/>
    <n v="1173"/>
    <n v="1862"/>
    <n v="689"/>
    <s v="Product 86"/>
    <x v="2"/>
    <s v="John Reyes"/>
    <x v="658"/>
    <n v="7"/>
    <x v="6"/>
    <x v="8"/>
    <x v="8"/>
    <x v="2"/>
    <x v="0"/>
  </r>
  <r>
    <s v="AX14551"/>
    <s v="ENX2013"/>
    <s v="A106"/>
    <s v="EMP1011"/>
    <s v="C1111"/>
    <x v="772"/>
    <n v="2"/>
    <n v="368"/>
    <n v="269"/>
    <n v="538"/>
    <n v="736"/>
    <n v="198"/>
    <s v="Product 14"/>
    <x v="11"/>
    <s v="Larry Marshall"/>
    <x v="563"/>
    <n v="7"/>
    <x v="6"/>
    <x v="8"/>
    <x v="8"/>
    <x v="2"/>
    <x v="0"/>
  </r>
  <r>
    <s v="AX14717"/>
    <s v="ENX2016"/>
    <s v="A124"/>
    <s v="EMP1021"/>
    <s v="C1676"/>
    <x v="772"/>
    <n v="4"/>
    <n v="1351"/>
    <n v="1108"/>
    <n v="4432"/>
    <n v="5404"/>
    <n v="972"/>
    <s v="Product 17"/>
    <x v="67"/>
    <s v="Clarence Fox"/>
    <x v="497"/>
    <n v="7"/>
    <x v="6"/>
    <x v="8"/>
    <x v="8"/>
    <x v="2"/>
    <x v="0"/>
  </r>
  <r>
    <s v="AX14772"/>
    <s v="ENX2049"/>
    <s v="A117"/>
    <s v="EMP1039"/>
    <s v="C1499"/>
    <x v="772"/>
    <n v="1"/>
    <n v="826"/>
    <n v="562"/>
    <n v="562"/>
    <n v="826"/>
    <n v="264"/>
    <s v="Product 50"/>
    <x v="29"/>
    <s v="Eugene Holmes"/>
    <x v="610"/>
    <n v="7"/>
    <x v="6"/>
    <x v="8"/>
    <x v="8"/>
    <x v="2"/>
    <x v="0"/>
  </r>
  <r>
    <s v="AX16262"/>
    <s v="ENX2057"/>
    <s v="A139"/>
    <s v="EMP1001"/>
    <s v="C1245"/>
    <x v="771"/>
    <n v="1"/>
    <n v="181"/>
    <n v="130"/>
    <n v="130"/>
    <n v="181"/>
    <n v="51"/>
    <s v="Product 58"/>
    <x v="38"/>
    <s v="Kevin Butler"/>
    <x v="165"/>
    <n v="7"/>
    <x v="6"/>
    <x v="8"/>
    <x v="8"/>
    <x v="2"/>
    <x v="0"/>
  </r>
  <r>
    <s v="AX16288"/>
    <s v="ENX2097"/>
    <s v="A171"/>
    <s v="EMP1042"/>
    <s v="C1100"/>
    <x v="773"/>
    <n v="1"/>
    <n v="1052"/>
    <n v="589"/>
    <n v="589"/>
    <n v="1052"/>
    <n v="463"/>
    <s v="Product 98"/>
    <x v="0"/>
    <s v="Scott Clark"/>
    <x v="110"/>
    <n v="7"/>
    <x v="6"/>
    <x v="8"/>
    <x v="8"/>
    <x v="2"/>
    <x v="0"/>
  </r>
  <r>
    <s v="AX16572"/>
    <s v="ENX2056"/>
    <s v="A115"/>
    <s v="EMP1014"/>
    <s v="C1643"/>
    <x v="772"/>
    <n v="1"/>
    <n v="1635"/>
    <n v="1046"/>
    <n v="1046"/>
    <n v="1635"/>
    <n v="589"/>
    <s v="Product 57"/>
    <x v="33"/>
    <s v="Ronald Reed"/>
    <x v="142"/>
    <n v="7"/>
    <x v="6"/>
    <x v="8"/>
    <x v="8"/>
    <x v="2"/>
    <x v="0"/>
  </r>
  <r>
    <s v="AX16759"/>
    <s v="ENX2034"/>
    <s v="A156"/>
    <s v="EMP1025"/>
    <s v="C1608"/>
    <x v="773"/>
    <n v="1"/>
    <n v="871"/>
    <n v="540"/>
    <n v="540"/>
    <n v="871"/>
    <n v="331"/>
    <s v="Product 35"/>
    <x v="14"/>
    <s v="Ernest Wagner"/>
    <x v="463"/>
    <n v="7"/>
    <x v="6"/>
    <x v="8"/>
    <x v="8"/>
    <x v="2"/>
    <x v="0"/>
  </r>
  <r>
    <s v="AX16855"/>
    <s v="ENX2093"/>
    <s v="A161"/>
    <s v="EMP1036"/>
    <s v="C1441"/>
    <x v="771"/>
    <n v="3"/>
    <n v="112"/>
    <n v="90"/>
    <n v="270"/>
    <n v="336"/>
    <n v="66"/>
    <s v="Product 94"/>
    <x v="6"/>
    <s v="Robert Reed"/>
    <x v="667"/>
    <n v="7"/>
    <x v="6"/>
    <x v="8"/>
    <x v="8"/>
    <x v="2"/>
    <x v="0"/>
  </r>
  <r>
    <s v="AX16914"/>
    <s v="ENX2006"/>
    <s v="A168"/>
    <s v="EMP1030"/>
    <s v="C1271"/>
    <x v="770"/>
    <n v="1"/>
    <n v="1826"/>
    <n v="1443"/>
    <n v="1443"/>
    <n v="1826"/>
    <n v="383"/>
    <s v="Product 7"/>
    <x v="40"/>
    <s v="Bobby Russell"/>
    <x v="314"/>
    <n v="7"/>
    <x v="6"/>
    <x v="8"/>
    <x v="8"/>
    <x v="2"/>
    <x v="0"/>
  </r>
  <r>
    <s v="AX16982"/>
    <s v="ENX2006"/>
    <s v="A101"/>
    <s v="EMP1011"/>
    <s v="C1736"/>
    <x v="770"/>
    <n v="1"/>
    <n v="1826"/>
    <n v="1443"/>
    <n v="1443"/>
    <n v="1826"/>
    <n v="383"/>
    <s v="Product 7"/>
    <x v="60"/>
    <s v="Larry Marshall"/>
    <x v="472"/>
    <n v="7"/>
    <x v="6"/>
    <x v="8"/>
    <x v="8"/>
    <x v="2"/>
    <x v="0"/>
  </r>
  <r>
    <s v="AX17388"/>
    <s v="ENX2019"/>
    <s v="A112"/>
    <s v="EMP1020"/>
    <s v="C1650"/>
    <x v="770"/>
    <n v="3"/>
    <n v="800"/>
    <n v="536"/>
    <n v="1608"/>
    <n v="2400"/>
    <n v="792"/>
    <s v="Product 20"/>
    <x v="66"/>
    <s v="Ryan Butler"/>
    <x v="645"/>
    <n v="7"/>
    <x v="6"/>
    <x v="8"/>
    <x v="8"/>
    <x v="2"/>
    <x v="0"/>
  </r>
  <r>
    <s v="AX17414"/>
    <s v="ENX2014"/>
    <s v="A120"/>
    <s v="EMP1028"/>
    <s v="C1072"/>
    <x v="773"/>
    <n v="4"/>
    <n v="1809"/>
    <n v="1067"/>
    <n v="4268"/>
    <n v="7236"/>
    <n v="2968"/>
    <s v="Product 15"/>
    <x v="20"/>
    <s v="Howard Sims"/>
    <x v="529"/>
    <n v="7"/>
    <x v="6"/>
    <x v="8"/>
    <x v="8"/>
    <x v="2"/>
    <x v="0"/>
  </r>
  <r>
    <s v="AX17577"/>
    <s v="ENX2004"/>
    <s v="A150"/>
    <s v="EMP1035"/>
    <s v="C1468"/>
    <x v="771"/>
    <n v="1"/>
    <n v="1278"/>
    <n v="665"/>
    <n v="665"/>
    <n v="1278"/>
    <n v="613"/>
    <s v="Product 5"/>
    <x v="30"/>
    <s v="Roger Ramos"/>
    <x v="688"/>
    <n v="7"/>
    <x v="6"/>
    <x v="8"/>
    <x v="8"/>
    <x v="2"/>
    <x v="0"/>
  </r>
  <r>
    <s v="AX17837"/>
    <s v="ENX2047"/>
    <s v="A117"/>
    <s v="EMP1019"/>
    <s v="C1324"/>
    <x v="770"/>
    <n v="2"/>
    <n v="290"/>
    <n v="200"/>
    <n v="400"/>
    <n v="580"/>
    <n v="180"/>
    <s v="Product 48"/>
    <x v="29"/>
    <s v="Roger Robertson"/>
    <x v="252"/>
    <n v="7"/>
    <x v="6"/>
    <x v="8"/>
    <x v="8"/>
    <x v="2"/>
    <x v="0"/>
  </r>
  <r>
    <s v="AX18234"/>
    <s v="ENX2074"/>
    <s v="A131"/>
    <s v="EMP1040"/>
    <s v="C1324"/>
    <x v="773"/>
    <n v="4"/>
    <n v="504"/>
    <n v="408"/>
    <n v="1632"/>
    <n v="2016"/>
    <n v="384"/>
    <s v="Product 75"/>
    <x v="32"/>
    <s v="Patrick Ruiz"/>
    <x v="252"/>
    <n v="7"/>
    <x v="6"/>
    <x v="8"/>
    <x v="8"/>
    <x v="2"/>
    <x v="0"/>
  </r>
  <r>
    <s v="AX18423"/>
    <s v="ENX2068"/>
    <s v="A110"/>
    <s v="EMP1007"/>
    <s v="C1690"/>
    <x v="773"/>
    <n v="2"/>
    <n v="1500"/>
    <n v="900"/>
    <n v="1800"/>
    <n v="3000"/>
    <n v="1200"/>
    <s v="Product 69"/>
    <x v="63"/>
    <s v="Jeremy Mendoza"/>
    <x v="185"/>
    <n v="7"/>
    <x v="6"/>
    <x v="8"/>
    <x v="8"/>
    <x v="2"/>
    <x v="0"/>
  </r>
  <r>
    <s v="AX19008"/>
    <s v="ENX2032"/>
    <s v="A131"/>
    <s v="EMP1044"/>
    <s v="C1347"/>
    <x v="771"/>
    <n v="4"/>
    <n v="1967"/>
    <n v="1397"/>
    <n v="5588"/>
    <n v="7868"/>
    <n v="2280"/>
    <s v="Product 33"/>
    <x v="32"/>
    <s v="Martin Carr"/>
    <x v="686"/>
    <n v="7"/>
    <x v="6"/>
    <x v="8"/>
    <x v="8"/>
    <x v="2"/>
    <x v="0"/>
  </r>
  <r>
    <s v="AX19019"/>
    <s v="ENX2029"/>
    <s v="A126"/>
    <s v="EMP1019"/>
    <s v="C1333"/>
    <x v="771"/>
    <n v="4"/>
    <n v="1848"/>
    <n v="1294"/>
    <n v="5176"/>
    <n v="7392"/>
    <n v="2216"/>
    <s v="Product 30"/>
    <x v="5"/>
    <s v="Roger Robertson"/>
    <x v="673"/>
    <n v="7"/>
    <x v="6"/>
    <x v="8"/>
    <x v="8"/>
    <x v="2"/>
    <x v="0"/>
  </r>
  <r>
    <s v="AX19157"/>
    <s v="ENX2068"/>
    <s v="A131"/>
    <s v="EMP1020"/>
    <s v="C1479"/>
    <x v="772"/>
    <n v="3"/>
    <n v="1500"/>
    <n v="900"/>
    <n v="2700"/>
    <n v="4500"/>
    <n v="1800"/>
    <s v="Product 69"/>
    <x v="32"/>
    <s v="Ryan Butler"/>
    <x v="385"/>
    <n v="7"/>
    <x v="6"/>
    <x v="8"/>
    <x v="8"/>
    <x v="2"/>
    <x v="0"/>
  </r>
  <r>
    <s v="AX19238"/>
    <s v="ENX2013"/>
    <s v="A109"/>
    <s v="EMP1010"/>
    <s v="C1586"/>
    <x v="770"/>
    <n v="4"/>
    <n v="368"/>
    <n v="269"/>
    <n v="1076"/>
    <n v="1472"/>
    <n v="396"/>
    <s v="Product 14"/>
    <x v="57"/>
    <s v="Joshua Cook"/>
    <x v="585"/>
    <n v="7"/>
    <x v="6"/>
    <x v="8"/>
    <x v="8"/>
    <x v="2"/>
    <x v="0"/>
  </r>
  <r>
    <s v="AX20052"/>
    <s v="ENX2024"/>
    <s v="A118"/>
    <s v="EMP1042"/>
    <s v="C1084"/>
    <x v="770"/>
    <n v="1"/>
    <n v="356"/>
    <n v="292"/>
    <n v="292"/>
    <n v="356"/>
    <n v="64"/>
    <s v="Product 25"/>
    <x v="19"/>
    <s v="Scott Clark"/>
    <x v="631"/>
    <n v="7"/>
    <x v="6"/>
    <x v="8"/>
    <x v="8"/>
    <x v="2"/>
    <x v="0"/>
  </r>
  <r>
    <s v="AX20060"/>
    <s v="ENX2026"/>
    <s v="A115"/>
    <s v="EMP1031"/>
    <s v="C1127"/>
    <x v="773"/>
    <n v="1"/>
    <n v="947"/>
    <n v="786"/>
    <n v="786"/>
    <n v="947"/>
    <n v="161"/>
    <s v="Product 27"/>
    <x v="33"/>
    <s v="Brian Thomas"/>
    <x v="438"/>
    <n v="7"/>
    <x v="6"/>
    <x v="8"/>
    <x v="8"/>
    <x v="2"/>
    <x v="0"/>
  </r>
  <r>
    <s v="AX20408"/>
    <s v="ENX2065"/>
    <s v="A165"/>
    <s v="EMP1023"/>
    <s v="C1505"/>
    <x v="770"/>
    <n v="4"/>
    <n v="2396"/>
    <n v="1965"/>
    <n v="7860"/>
    <n v="9584"/>
    <n v="1724"/>
    <s v="Product 66"/>
    <x v="55"/>
    <s v="Brian Davis"/>
    <x v="632"/>
    <n v="7"/>
    <x v="6"/>
    <x v="8"/>
    <x v="8"/>
    <x v="2"/>
    <x v="0"/>
  </r>
  <r>
    <s v="AX20508"/>
    <s v="ENX2027"/>
    <s v="A147"/>
    <s v="EMP1010"/>
    <s v="C1549"/>
    <x v="770"/>
    <n v="3"/>
    <n v="2497"/>
    <n v="1473"/>
    <n v="4419"/>
    <n v="7491"/>
    <n v="3072"/>
    <s v="Product 28"/>
    <x v="42"/>
    <s v="Joshua Cook"/>
    <x v="174"/>
    <n v="7"/>
    <x v="6"/>
    <x v="8"/>
    <x v="8"/>
    <x v="2"/>
    <x v="0"/>
  </r>
  <r>
    <s v="AX20799"/>
    <s v="ENX2061"/>
    <s v="A147"/>
    <s v="EMP1036"/>
    <s v="C1069"/>
    <x v="772"/>
    <n v="4"/>
    <n v="913"/>
    <n v="584"/>
    <n v="2336"/>
    <n v="3652"/>
    <n v="1316"/>
    <s v="Product 62"/>
    <x v="42"/>
    <s v="Robert Reed"/>
    <x v="284"/>
    <n v="7"/>
    <x v="6"/>
    <x v="8"/>
    <x v="8"/>
    <x v="2"/>
    <x v="0"/>
  </r>
  <r>
    <s v="AX20930"/>
    <s v="ENX2031"/>
    <s v="A161"/>
    <s v="EMP1017"/>
    <s v="C1377"/>
    <x v="771"/>
    <n v="4"/>
    <n v="1638"/>
    <n v="1261"/>
    <n v="5044"/>
    <n v="6552"/>
    <n v="1508"/>
    <s v="Product 32"/>
    <x v="6"/>
    <s v="Brian Hansen"/>
    <x v="214"/>
    <n v="7"/>
    <x v="6"/>
    <x v="8"/>
    <x v="8"/>
    <x v="2"/>
    <x v="0"/>
  </r>
  <r>
    <s v="AX21074"/>
    <s v="ENX2016"/>
    <s v="A151"/>
    <s v="EMP1017"/>
    <s v="C1341"/>
    <x v="773"/>
    <n v="1"/>
    <n v="1351"/>
    <n v="1108"/>
    <n v="1108"/>
    <n v="1351"/>
    <n v="243"/>
    <s v="Product 17"/>
    <x v="1"/>
    <s v="Brian Hansen"/>
    <x v="750"/>
    <n v="7"/>
    <x v="6"/>
    <x v="8"/>
    <x v="8"/>
    <x v="2"/>
    <x v="0"/>
  </r>
  <r>
    <s v="AX21403"/>
    <s v="ENX2091"/>
    <s v="A131"/>
    <s v="EMP1026"/>
    <s v="C1594"/>
    <x v="772"/>
    <n v="1"/>
    <n v="368"/>
    <n v="294"/>
    <n v="294"/>
    <n v="368"/>
    <n v="74"/>
    <s v="Product 92"/>
    <x v="32"/>
    <s v="Martin Perry"/>
    <x v="770"/>
    <n v="7"/>
    <x v="6"/>
    <x v="8"/>
    <x v="8"/>
    <x v="2"/>
    <x v="0"/>
  </r>
  <r>
    <s v="AX21531"/>
    <s v="ENX2077"/>
    <s v="A138"/>
    <s v="EMP1026"/>
    <s v="C1020"/>
    <x v="773"/>
    <n v="1"/>
    <n v="530"/>
    <n v="424"/>
    <n v="424"/>
    <n v="530"/>
    <n v="106"/>
    <s v="Product 78"/>
    <x v="37"/>
    <s v="Martin Perry"/>
    <x v="423"/>
    <n v="7"/>
    <x v="6"/>
    <x v="8"/>
    <x v="8"/>
    <x v="2"/>
    <x v="0"/>
  </r>
  <r>
    <s v="AX21810"/>
    <s v="ENX2069"/>
    <s v="A163"/>
    <s v="EMP1017"/>
    <s v="C1159"/>
    <x v="771"/>
    <n v="3"/>
    <n v="378"/>
    <n v="291"/>
    <n v="873"/>
    <n v="1134"/>
    <n v="261"/>
    <s v="Product 70"/>
    <x v="51"/>
    <s v="Brian Hansen"/>
    <x v="793"/>
    <n v="7"/>
    <x v="6"/>
    <x v="8"/>
    <x v="8"/>
    <x v="2"/>
    <x v="0"/>
  </r>
  <r>
    <s v="AX21878"/>
    <s v="ENX2007"/>
    <s v="A117"/>
    <s v="EMP1042"/>
    <s v="C1125"/>
    <x v="770"/>
    <n v="4"/>
    <n v="1405"/>
    <n v="1054"/>
    <n v="4216"/>
    <n v="5620"/>
    <n v="1404"/>
    <s v="Product 8"/>
    <x v="29"/>
    <s v="Scott Clark"/>
    <x v="539"/>
    <n v="7"/>
    <x v="6"/>
    <x v="8"/>
    <x v="8"/>
    <x v="2"/>
    <x v="0"/>
  </r>
  <r>
    <s v="AX22269"/>
    <s v="ENX2007"/>
    <s v="A121"/>
    <s v="EMP1009"/>
    <s v="C1040"/>
    <x v="772"/>
    <n v="1"/>
    <n v="1405"/>
    <n v="1054"/>
    <n v="1054"/>
    <n v="1405"/>
    <n v="351"/>
    <s v="Product 8"/>
    <x v="72"/>
    <s v="Kenneth Fields"/>
    <x v="221"/>
    <n v="7"/>
    <x v="6"/>
    <x v="8"/>
    <x v="8"/>
    <x v="2"/>
    <x v="0"/>
  </r>
  <r>
    <s v="AX22382"/>
    <s v="ENX2022"/>
    <s v="A123"/>
    <s v="EMP1000"/>
    <s v="C1124"/>
    <x v="773"/>
    <n v="3"/>
    <n v="561"/>
    <n v="421"/>
    <n v="1263"/>
    <n v="1683"/>
    <n v="420"/>
    <s v="Product 23"/>
    <x v="34"/>
    <s v="Fred Robertson"/>
    <x v="102"/>
    <n v="7"/>
    <x v="6"/>
    <x v="8"/>
    <x v="8"/>
    <x v="2"/>
    <x v="0"/>
  </r>
  <r>
    <s v="AX23068"/>
    <s v="ENX2077"/>
    <s v="A168"/>
    <s v="EMP1041"/>
    <s v="C1080"/>
    <x v="772"/>
    <n v="1"/>
    <n v="530"/>
    <n v="424"/>
    <n v="424"/>
    <n v="530"/>
    <n v="106"/>
    <s v="Product 78"/>
    <x v="40"/>
    <s v="Joe Sims"/>
    <x v="720"/>
    <n v="7"/>
    <x v="6"/>
    <x v="8"/>
    <x v="8"/>
    <x v="2"/>
    <x v="0"/>
  </r>
  <r>
    <s v="AX23760"/>
    <s v="ENX2031"/>
    <s v="A170"/>
    <s v="EMP1044"/>
    <s v="C1084"/>
    <x v="772"/>
    <n v="2"/>
    <n v="1638"/>
    <n v="1261"/>
    <n v="2522"/>
    <n v="3276"/>
    <n v="754"/>
    <s v="Product 32"/>
    <x v="47"/>
    <s v="Martin Carr"/>
    <x v="631"/>
    <n v="7"/>
    <x v="6"/>
    <x v="8"/>
    <x v="8"/>
    <x v="2"/>
    <x v="0"/>
  </r>
  <r>
    <s v="AX23789"/>
    <s v="ENX2032"/>
    <s v="A136"/>
    <s v="EMP1002"/>
    <s v="C1171"/>
    <x v="772"/>
    <n v="3"/>
    <n v="1967"/>
    <n v="1397"/>
    <n v="4191"/>
    <n v="5901"/>
    <n v="1710"/>
    <s v="Product 33"/>
    <x v="43"/>
    <s v="Andrew Bowman"/>
    <x v="150"/>
    <n v="7"/>
    <x v="6"/>
    <x v="8"/>
    <x v="8"/>
    <x v="2"/>
    <x v="0"/>
  </r>
  <r>
    <s v="AX24241"/>
    <s v="ENX2081"/>
    <s v="A104"/>
    <s v="EMP1002"/>
    <s v="C1041"/>
    <x v="770"/>
    <n v="4"/>
    <n v="1566"/>
    <n v="1190"/>
    <n v="4760"/>
    <n v="6264"/>
    <n v="1504"/>
    <s v="Product 82"/>
    <x v="50"/>
    <s v="Andrew Bowman"/>
    <x v="29"/>
    <n v="7"/>
    <x v="6"/>
    <x v="8"/>
    <x v="8"/>
    <x v="2"/>
    <x v="0"/>
  </r>
  <r>
    <s v="AX24727"/>
    <s v="ENX2022"/>
    <s v="A136"/>
    <s v="EMP1001"/>
    <s v="C1324"/>
    <x v="771"/>
    <n v="3"/>
    <n v="561"/>
    <n v="421"/>
    <n v="1263"/>
    <n v="1683"/>
    <n v="420"/>
    <s v="Product 23"/>
    <x v="43"/>
    <s v="Kevin Butler"/>
    <x v="252"/>
    <n v="7"/>
    <x v="6"/>
    <x v="8"/>
    <x v="8"/>
    <x v="2"/>
    <x v="0"/>
  </r>
  <r>
    <s v="AX24898"/>
    <s v="ENX2002"/>
    <s v="A121"/>
    <s v="EMP1010"/>
    <s v="C1498"/>
    <x v="772"/>
    <n v="3"/>
    <n v="847"/>
    <n v="534"/>
    <n v="1602"/>
    <n v="2541"/>
    <n v="939"/>
    <s v="Product 3"/>
    <x v="72"/>
    <s v="Joshua Cook"/>
    <x v="10"/>
    <n v="7"/>
    <x v="6"/>
    <x v="8"/>
    <x v="8"/>
    <x v="2"/>
    <x v="0"/>
  </r>
  <r>
    <s v="AX10444"/>
    <s v="ENX2034"/>
    <s v="A117"/>
    <s v="EMP1012"/>
    <s v="C1254"/>
    <x v="774"/>
    <n v="3"/>
    <n v="871"/>
    <n v="540"/>
    <n v="1620"/>
    <n v="2613"/>
    <n v="993"/>
    <s v="Product 35"/>
    <x v="29"/>
    <s v="John Reyes"/>
    <x v="104"/>
    <n v="7"/>
    <x v="6"/>
    <x v="8"/>
    <x v="8"/>
    <x v="2"/>
    <x v="2"/>
  </r>
  <r>
    <s v="AX10488"/>
    <s v="ENX2028"/>
    <s v="A170"/>
    <s v="EMP1017"/>
    <s v="C1169"/>
    <x v="775"/>
    <n v="1"/>
    <n v="2283"/>
    <n v="1484"/>
    <n v="1484"/>
    <n v="2283"/>
    <n v="799"/>
    <s v="Product 29"/>
    <x v="47"/>
    <s v="Brian Hansen"/>
    <x v="293"/>
    <n v="7"/>
    <x v="6"/>
    <x v="8"/>
    <x v="8"/>
    <x v="2"/>
    <x v="2"/>
  </r>
  <r>
    <s v="AX10529"/>
    <s v="ENX2060"/>
    <s v="A162"/>
    <s v="EMP1040"/>
    <s v="C1524"/>
    <x v="775"/>
    <n v="3"/>
    <n v="1467"/>
    <n v="807"/>
    <n v="2421"/>
    <n v="4401"/>
    <n v="1980"/>
    <s v="Product 61"/>
    <x v="2"/>
    <s v="Patrick Ruiz"/>
    <x v="263"/>
    <n v="7"/>
    <x v="6"/>
    <x v="8"/>
    <x v="8"/>
    <x v="2"/>
    <x v="2"/>
  </r>
  <r>
    <s v="AX10642"/>
    <s v="ENX2028"/>
    <s v="A143"/>
    <s v="EMP1040"/>
    <s v="C1499"/>
    <x v="774"/>
    <n v="3"/>
    <n v="2283"/>
    <n v="1484"/>
    <n v="4452"/>
    <n v="6849"/>
    <n v="2397"/>
    <s v="Product 29"/>
    <x v="39"/>
    <s v="Patrick Ruiz"/>
    <x v="610"/>
    <n v="7"/>
    <x v="6"/>
    <x v="8"/>
    <x v="8"/>
    <x v="2"/>
    <x v="2"/>
  </r>
  <r>
    <s v="AX10922"/>
    <s v="ENX2015"/>
    <s v="A131"/>
    <s v="EMP1008"/>
    <s v="C1432"/>
    <x v="775"/>
    <n v="1"/>
    <n v="637"/>
    <n v="389"/>
    <n v="389"/>
    <n v="637"/>
    <n v="248"/>
    <s v="Product 16"/>
    <x v="32"/>
    <s v="Carl Elliott"/>
    <x v="186"/>
    <n v="7"/>
    <x v="6"/>
    <x v="8"/>
    <x v="8"/>
    <x v="2"/>
    <x v="2"/>
  </r>
  <r>
    <s v="AX11016"/>
    <s v="ENX2093"/>
    <s v="A150"/>
    <s v="EMP1039"/>
    <s v="C1625"/>
    <x v="775"/>
    <n v="2"/>
    <n v="112"/>
    <n v="90"/>
    <n v="180"/>
    <n v="224"/>
    <n v="44"/>
    <s v="Product 94"/>
    <x v="30"/>
    <s v="Eugene Holmes"/>
    <x v="575"/>
    <n v="7"/>
    <x v="6"/>
    <x v="8"/>
    <x v="8"/>
    <x v="2"/>
    <x v="2"/>
  </r>
  <r>
    <s v="AX11067"/>
    <s v="ENX2021"/>
    <s v="A102"/>
    <s v="EMP1031"/>
    <s v="C1369"/>
    <x v="776"/>
    <n v="3"/>
    <n v="217"/>
    <n v="171"/>
    <n v="513"/>
    <n v="651"/>
    <n v="138"/>
    <s v="Product 22"/>
    <x v="44"/>
    <s v="Brian Thomas"/>
    <x v="126"/>
    <n v="7"/>
    <x v="6"/>
    <x v="8"/>
    <x v="8"/>
    <x v="2"/>
    <x v="2"/>
  </r>
  <r>
    <s v="AX11083"/>
    <s v="ENX2004"/>
    <s v="A119"/>
    <s v="EMP1030"/>
    <s v="C1474"/>
    <x v="774"/>
    <n v="1"/>
    <n v="1278"/>
    <n v="665"/>
    <n v="665"/>
    <n v="1278"/>
    <n v="613"/>
    <s v="Product 5"/>
    <x v="16"/>
    <s v="Bobby Russell"/>
    <x v="265"/>
    <n v="7"/>
    <x v="6"/>
    <x v="8"/>
    <x v="8"/>
    <x v="2"/>
    <x v="2"/>
  </r>
  <r>
    <s v="AX11389"/>
    <s v="ENX2016"/>
    <s v="A161"/>
    <s v="EMP1034"/>
    <s v="C1400"/>
    <x v="775"/>
    <n v="4"/>
    <n v="1351"/>
    <n v="1108"/>
    <n v="4432"/>
    <n v="5404"/>
    <n v="972"/>
    <s v="Product 17"/>
    <x v="6"/>
    <s v="Arthur Mccoy"/>
    <x v="437"/>
    <n v="7"/>
    <x v="6"/>
    <x v="8"/>
    <x v="8"/>
    <x v="2"/>
    <x v="2"/>
  </r>
  <r>
    <s v="AX11396"/>
    <s v="ENX2043"/>
    <s v="A158"/>
    <s v="EMP1023"/>
    <s v="C1639"/>
    <x v="777"/>
    <n v="1"/>
    <n v="545"/>
    <n v="425"/>
    <n v="425"/>
    <n v="545"/>
    <n v="120"/>
    <s v="Product 44"/>
    <x v="58"/>
    <s v="Brian Davis"/>
    <x v="30"/>
    <n v="7"/>
    <x v="6"/>
    <x v="8"/>
    <x v="8"/>
    <x v="2"/>
    <x v="2"/>
  </r>
  <r>
    <s v="AX11515"/>
    <s v="ENX2005"/>
    <s v="A173"/>
    <s v="EMP1003"/>
    <s v="C1498"/>
    <x v="774"/>
    <n v="1"/>
    <n v="684"/>
    <n v="561"/>
    <n v="561"/>
    <n v="684"/>
    <n v="123"/>
    <s v="Product 6"/>
    <x v="25"/>
    <s v="Christopher Tucker"/>
    <x v="10"/>
    <n v="7"/>
    <x v="6"/>
    <x v="8"/>
    <x v="8"/>
    <x v="2"/>
    <x v="2"/>
  </r>
  <r>
    <s v="AX11538"/>
    <s v="ENX2097"/>
    <s v="A106"/>
    <s v="EMP1021"/>
    <s v="C1280"/>
    <x v="775"/>
    <n v="2"/>
    <n v="1052"/>
    <n v="589"/>
    <n v="1178"/>
    <n v="2104"/>
    <n v="926"/>
    <s v="Product 98"/>
    <x v="11"/>
    <s v="Clarence Fox"/>
    <x v="349"/>
    <n v="7"/>
    <x v="6"/>
    <x v="8"/>
    <x v="8"/>
    <x v="2"/>
    <x v="2"/>
  </r>
  <r>
    <s v="AX11878"/>
    <s v="ENX2078"/>
    <s v="A148"/>
    <s v="EMP1019"/>
    <s v="C1751"/>
    <x v="776"/>
    <n v="3"/>
    <n v="1798"/>
    <n v="971"/>
    <n v="2913"/>
    <n v="5394"/>
    <n v="2481"/>
    <s v="Product 79"/>
    <x v="62"/>
    <s v="Roger Robertson"/>
    <x v="332"/>
    <n v="7"/>
    <x v="6"/>
    <x v="8"/>
    <x v="8"/>
    <x v="2"/>
    <x v="2"/>
  </r>
  <r>
    <s v="AX11988"/>
    <s v="ENX2097"/>
    <s v="A114"/>
    <s v="EMP1016"/>
    <s v="C1081"/>
    <x v="777"/>
    <n v="1"/>
    <n v="1052"/>
    <n v="589"/>
    <n v="589"/>
    <n v="1052"/>
    <n v="463"/>
    <s v="Product 98"/>
    <x v="28"/>
    <s v="Henry Nelson"/>
    <x v="168"/>
    <n v="7"/>
    <x v="6"/>
    <x v="8"/>
    <x v="8"/>
    <x v="2"/>
    <x v="2"/>
  </r>
  <r>
    <s v="AX12072"/>
    <s v="ENX2083"/>
    <s v="A155"/>
    <s v="EMP1023"/>
    <s v="C1800"/>
    <x v="778"/>
    <n v="4"/>
    <n v="2141"/>
    <n v="1777"/>
    <n v="7108"/>
    <n v="8564"/>
    <n v="1456"/>
    <s v="Product 84"/>
    <x v="53"/>
    <s v="Brian Davis"/>
    <x v="319"/>
    <n v="7"/>
    <x v="6"/>
    <x v="8"/>
    <x v="8"/>
    <x v="2"/>
    <x v="2"/>
  </r>
  <r>
    <s v="AX12382"/>
    <s v="ENX2031"/>
    <s v="A173"/>
    <s v="EMP1020"/>
    <s v="C1251"/>
    <x v="775"/>
    <n v="3"/>
    <n v="1638"/>
    <n v="1261"/>
    <n v="3783"/>
    <n v="4914"/>
    <n v="1131"/>
    <s v="Product 32"/>
    <x v="25"/>
    <s v="Ryan Butler"/>
    <x v="199"/>
    <n v="7"/>
    <x v="6"/>
    <x v="8"/>
    <x v="8"/>
    <x v="2"/>
    <x v="2"/>
  </r>
  <r>
    <s v="AX12425"/>
    <s v="ENX2071"/>
    <s v="A144"/>
    <s v="EMP1043"/>
    <s v="C1585"/>
    <x v="775"/>
    <n v="1"/>
    <n v="136"/>
    <n v="72"/>
    <n v="72"/>
    <n v="136"/>
    <n v="64"/>
    <s v="Product 72"/>
    <x v="65"/>
    <s v="Joshua Taylor"/>
    <x v="400"/>
    <n v="7"/>
    <x v="6"/>
    <x v="8"/>
    <x v="8"/>
    <x v="2"/>
    <x v="2"/>
  </r>
  <r>
    <s v="AX12484"/>
    <s v="ENX2096"/>
    <s v="A127"/>
    <s v="EMP1021"/>
    <s v="C1549"/>
    <x v="774"/>
    <n v="1"/>
    <n v="1587"/>
    <n v="1301"/>
    <n v="1301"/>
    <n v="1587"/>
    <n v="286"/>
    <s v="Product 97"/>
    <x v="69"/>
    <s v="Clarence Fox"/>
    <x v="174"/>
    <n v="7"/>
    <x v="6"/>
    <x v="8"/>
    <x v="8"/>
    <x v="2"/>
    <x v="2"/>
  </r>
  <r>
    <s v="AX12609"/>
    <s v="ENX2040"/>
    <s v="A106"/>
    <s v="EMP1041"/>
    <s v="C1362"/>
    <x v="777"/>
    <n v="1"/>
    <n v="1889"/>
    <n v="945"/>
    <n v="945"/>
    <n v="1889"/>
    <n v="944"/>
    <s v="Product 41"/>
    <x v="11"/>
    <s v="Joe Sims"/>
    <x v="41"/>
    <n v="7"/>
    <x v="6"/>
    <x v="8"/>
    <x v="8"/>
    <x v="2"/>
    <x v="2"/>
  </r>
  <r>
    <s v="AX12629"/>
    <s v="ENX2091"/>
    <s v="A127"/>
    <s v="EMP1020"/>
    <s v="C1006"/>
    <x v="777"/>
    <n v="1"/>
    <n v="368"/>
    <n v="294"/>
    <n v="294"/>
    <n v="368"/>
    <n v="74"/>
    <s v="Product 92"/>
    <x v="69"/>
    <s v="Ryan Butler"/>
    <x v="687"/>
    <n v="7"/>
    <x v="6"/>
    <x v="8"/>
    <x v="8"/>
    <x v="2"/>
    <x v="2"/>
  </r>
  <r>
    <s v="AX13357"/>
    <s v="ENX2060"/>
    <s v="A125"/>
    <s v="EMP1038"/>
    <s v="C1460"/>
    <x v="776"/>
    <n v="1"/>
    <n v="1467"/>
    <n v="807"/>
    <n v="807"/>
    <n v="1467"/>
    <n v="660"/>
    <s v="Product 61"/>
    <x v="31"/>
    <s v="Scott Mason"/>
    <x v="613"/>
    <n v="7"/>
    <x v="6"/>
    <x v="8"/>
    <x v="8"/>
    <x v="2"/>
    <x v="2"/>
  </r>
  <r>
    <s v="AX13645"/>
    <s v="ENX2072"/>
    <s v="A128"/>
    <s v="EMP1041"/>
    <s v="C1159"/>
    <x v="777"/>
    <n v="1"/>
    <n v="1887"/>
    <n v="1378"/>
    <n v="1378"/>
    <n v="1887"/>
    <n v="509"/>
    <s v="Product 73"/>
    <x v="12"/>
    <s v="Joe Sims"/>
    <x v="793"/>
    <n v="7"/>
    <x v="6"/>
    <x v="8"/>
    <x v="8"/>
    <x v="2"/>
    <x v="2"/>
  </r>
  <r>
    <s v="AX13865"/>
    <s v="ENX2009"/>
    <s v="A102"/>
    <s v="EMP1003"/>
    <s v="C1489"/>
    <x v="774"/>
    <n v="4"/>
    <n v="584"/>
    <n v="420"/>
    <n v="1680"/>
    <n v="2336"/>
    <n v="656"/>
    <s v="Product 10"/>
    <x v="44"/>
    <s v="Christopher Tucker"/>
    <x v="19"/>
    <n v="7"/>
    <x v="6"/>
    <x v="8"/>
    <x v="8"/>
    <x v="2"/>
    <x v="2"/>
  </r>
  <r>
    <s v="AX14047"/>
    <s v="ENX2075"/>
    <s v="A170"/>
    <s v="EMP1020"/>
    <s v="C1777"/>
    <x v="774"/>
    <n v="1"/>
    <n v="400"/>
    <n v="208"/>
    <n v="208"/>
    <n v="400"/>
    <n v="192"/>
    <s v="Product 76"/>
    <x v="47"/>
    <s v="Ryan Butler"/>
    <x v="682"/>
    <n v="7"/>
    <x v="6"/>
    <x v="8"/>
    <x v="8"/>
    <x v="2"/>
    <x v="2"/>
  </r>
  <r>
    <s v="AX14132"/>
    <s v="ENX2003"/>
    <s v="A106"/>
    <s v="EMP1024"/>
    <s v="C1350"/>
    <x v="775"/>
    <n v="1"/>
    <n v="1783"/>
    <n v="1516"/>
    <n v="1516"/>
    <n v="1783"/>
    <n v="267"/>
    <s v="Product 4"/>
    <x v="11"/>
    <s v="Ernest Wheeler"/>
    <x v="625"/>
    <n v="7"/>
    <x v="6"/>
    <x v="8"/>
    <x v="8"/>
    <x v="2"/>
    <x v="2"/>
  </r>
  <r>
    <s v="AX14777"/>
    <s v="ENX2027"/>
    <s v="A101"/>
    <s v="EMP1012"/>
    <s v="C1317"/>
    <x v="775"/>
    <n v="3"/>
    <n v="2497"/>
    <n v="1473"/>
    <n v="4419"/>
    <n v="7491"/>
    <n v="3072"/>
    <s v="Product 28"/>
    <x v="60"/>
    <s v="John Reyes"/>
    <x v="504"/>
    <n v="7"/>
    <x v="6"/>
    <x v="8"/>
    <x v="8"/>
    <x v="2"/>
    <x v="2"/>
  </r>
  <r>
    <s v="AX15056"/>
    <s v="ENX2019"/>
    <s v="A139"/>
    <s v="EMP1026"/>
    <s v="C1518"/>
    <x v="776"/>
    <n v="1"/>
    <n v="800"/>
    <n v="536"/>
    <n v="536"/>
    <n v="800"/>
    <n v="264"/>
    <s v="Product 20"/>
    <x v="38"/>
    <s v="Martin Perry"/>
    <x v="703"/>
    <n v="7"/>
    <x v="6"/>
    <x v="8"/>
    <x v="8"/>
    <x v="2"/>
    <x v="2"/>
  </r>
  <r>
    <s v="AX15114"/>
    <s v="ENX2008"/>
    <s v="A162"/>
    <s v="EMP1030"/>
    <s v="C1423"/>
    <x v="778"/>
    <n v="1"/>
    <n v="315"/>
    <n v="208"/>
    <n v="208"/>
    <n v="315"/>
    <n v="107"/>
    <s v="Product 9"/>
    <x v="2"/>
    <s v="Bobby Russell"/>
    <x v="182"/>
    <n v="7"/>
    <x v="6"/>
    <x v="8"/>
    <x v="8"/>
    <x v="2"/>
    <x v="2"/>
  </r>
  <r>
    <s v="AX15244"/>
    <s v="ENX2010"/>
    <s v="A147"/>
    <s v="EMP1003"/>
    <s v="C1667"/>
    <x v="774"/>
    <n v="3"/>
    <n v="1812"/>
    <n v="1305"/>
    <n v="3915"/>
    <n v="5436"/>
    <n v="1521"/>
    <s v="Product 11"/>
    <x v="42"/>
    <s v="Christopher Tucker"/>
    <x v="462"/>
    <n v="7"/>
    <x v="6"/>
    <x v="8"/>
    <x v="8"/>
    <x v="2"/>
    <x v="2"/>
  </r>
  <r>
    <s v="AX15266"/>
    <s v="ENX2030"/>
    <s v="A134"/>
    <s v="EMP1014"/>
    <s v="C1413"/>
    <x v="777"/>
    <n v="1"/>
    <n v="1899"/>
    <n v="1044"/>
    <n v="1044"/>
    <n v="1899"/>
    <n v="855"/>
    <s v="Product 31"/>
    <x v="41"/>
    <s v="Ronald Reed"/>
    <x v="571"/>
    <n v="7"/>
    <x v="6"/>
    <x v="8"/>
    <x v="8"/>
    <x v="2"/>
    <x v="2"/>
  </r>
  <r>
    <s v="AX15723"/>
    <s v="ENX2066"/>
    <s v="A115"/>
    <s v="EMP1010"/>
    <s v="C1028"/>
    <x v="776"/>
    <n v="1"/>
    <n v="2091"/>
    <n v="1485"/>
    <n v="1485"/>
    <n v="2091"/>
    <n v="606"/>
    <s v="Product 67"/>
    <x v="33"/>
    <s v="Joshua Cook"/>
    <x v="135"/>
    <n v="7"/>
    <x v="6"/>
    <x v="8"/>
    <x v="8"/>
    <x v="2"/>
    <x v="2"/>
  </r>
  <r>
    <s v="AX16198"/>
    <s v="ENX2097"/>
    <s v="A171"/>
    <s v="EMP1021"/>
    <s v="C1769"/>
    <x v="775"/>
    <n v="1"/>
    <n v="1052"/>
    <n v="589"/>
    <n v="589"/>
    <n v="1052"/>
    <n v="463"/>
    <s v="Product 98"/>
    <x v="0"/>
    <s v="Clarence Fox"/>
    <x v="269"/>
    <n v="7"/>
    <x v="6"/>
    <x v="8"/>
    <x v="8"/>
    <x v="2"/>
    <x v="2"/>
  </r>
  <r>
    <s v="AX16289"/>
    <s v="ENX2042"/>
    <s v="A142"/>
    <s v="EMP1025"/>
    <s v="C1574"/>
    <x v="775"/>
    <n v="1"/>
    <n v="203"/>
    <n v="154"/>
    <n v="154"/>
    <n v="203"/>
    <n v="49"/>
    <s v="Product 43"/>
    <x v="56"/>
    <s v="Ernest Wagner"/>
    <x v="521"/>
    <n v="7"/>
    <x v="6"/>
    <x v="8"/>
    <x v="8"/>
    <x v="2"/>
    <x v="2"/>
  </r>
  <r>
    <s v="AX16848"/>
    <s v="ENX2011"/>
    <s v="A125"/>
    <s v="EMP1026"/>
    <s v="C1239"/>
    <x v="774"/>
    <n v="2"/>
    <n v="530"/>
    <n v="435"/>
    <n v="870"/>
    <n v="1060"/>
    <n v="190"/>
    <s v="Product 12"/>
    <x v="31"/>
    <s v="Martin Perry"/>
    <x v="479"/>
    <n v="7"/>
    <x v="6"/>
    <x v="8"/>
    <x v="8"/>
    <x v="2"/>
    <x v="2"/>
  </r>
  <r>
    <s v="AX17531"/>
    <s v="ENX2047"/>
    <s v="A143"/>
    <s v="EMP1019"/>
    <s v="C1032"/>
    <x v="774"/>
    <n v="1"/>
    <n v="290"/>
    <n v="200"/>
    <n v="200"/>
    <n v="290"/>
    <n v="90"/>
    <s v="Product 48"/>
    <x v="39"/>
    <s v="Roger Robertson"/>
    <x v="270"/>
    <n v="7"/>
    <x v="6"/>
    <x v="8"/>
    <x v="8"/>
    <x v="2"/>
    <x v="2"/>
  </r>
  <r>
    <s v="AX17575"/>
    <s v="ENX2061"/>
    <s v="A122"/>
    <s v="EMP1011"/>
    <s v="C1499"/>
    <x v="778"/>
    <n v="2"/>
    <n v="913"/>
    <n v="584"/>
    <n v="1168"/>
    <n v="1826"/>
    <n v="658"/>
    <s v="Product 62"/>
    <x v="71"/>
    <s v="Larry Marshall"/>
    <x v="610"/>
    <n v="7"/>
    <x v="6"/>
    <x v="8"/>
    <x v="8"/>
    <x v="2"/>
    <x v="2"/>
  </r>
  <r>
    <s v="AX17716"/>
    <s v="ENX2089"/>
    <s v="A141"/>
    <s v="EMP1010"/>
    <s v="C1796"/>
    <x v="778"/>
    <n v="3"/>
    <n v="2294"/>
    <n v="1399"/>
    <n v="4197"/>
    <n v="6882"/>
    <n v="2685"/>
    <s v="Product 90"/>
    <x v="23"/>
    <s v="Joshua Cook"/>
    <x v="630"/>
    <n v="7"/>
    <x v="6"/>
    <x v="8"/>
    <x v="8"/>
    <x v="2"/>
    <x v="2"/>
  </r>
  <r>
    <s v="AX18217"/>
    <s v="ENX2019"/>
    <s v="A163"/>
    <s v="EMP1007"/>
    <s v="C1442"/>
    <x v="777"/>
    <n v="1"/>
    <n v="800"/>
    <n v="536"/>
    <n v="536"/>
    <n v="800"/>
    <n v="264"/>
    <s v="Product 20"/>
    <x v="51"/>
    <s v="Jeremy Mendoza"/>
    <x v="299"/>
    <n v="7"/>
    <x v="6"/>
    <x v="8"/>
    <x v="8"/>
    <x v="2"/>
    <x v="2"/>
  </r>
  <r>
    <s v="AX18256"/>
    <s v="ENX2090"/>
    <s v="A126"/>
    <s v="EMP1038"/>
    <s v="C1212"/>
    <x v="777"/>
    <n v="1"/>
    <n v="1338"/>
    <n v="682"/>
    <n v="682"/>
    <n v="1338"/>
    <n v="656"/>
    <s v="Product 91"/>
    <x v="5"/>
    <s v="Scott Mason"/>
    <x v="220"/>
    <n v="7"/>
    <x v="6"/>
    <x v="8"/>
    <x v="8"/>
    <x v="2"/>
    <x v="2"/>
  </r>
  <r>
    <s v="AX18595"/>
    <s v="ENX2001"/>
    <s v="A113"/>
    <s v="EMP1017"/>
    <s v="C1009"/>
    <x v="774"/>
    <n v="3"/>
    <n v="951"/>
    <n v="504"/>
    <n v="1512"/>
    <n v="2853"/>
    <n v="1341"/>
    <s v="Product 2"/>
    <x v="73"/>
    <s v="Brian Hansen"/>
    <x v="458"/>
    <n v="7"/>
    <x v="6"/>
    <x v="8"/>
    <x v="8"/>
    <x v="2"/>
    <x v="2"/>
  </r>
  <r>
    <s v="AX18828"/>
    <s v="ENX2069"/>
    <s v="A155"/>
    <s v="EMP1041"/>
    <s v="C1213"/>
    <x v="776"/>
    <n v="1"/>
    <n v="378"/>
    <n v="291"/>
    <n v="291"/>
    <n v="378"/>
    <n v="87"/>
    <s v="Product 70"/>
    <x v="53"/>
    <s v="Joe Sims"/>
    <x v="487"/>
    <n v="7"/>
    <x v="6"/>
    <x v="8"/>
    <x v="8"/>
    <x v="2"/>
    <x v="2"/>
  </r>
  <r>
    <s v="AX18864"/>
    <s v="ENX2026"/>
    <s v="A124"/>
    <s v="EMP1035"/>
    <s v="C1419"/>
    <x v="778"/>
    <n v="1"/>
    <n v="947"/>
    <n v="786"/>
    <n v="786"/>
    <n v="947"/>
    <n v="161"/>
    <s v="Product 27"/>
    <x v="67"/>
    <s v="Roger Ramos"/>
    <x v="163"/>
    <n v="7"/>
    <x v="6"/>
    <x v="8"/>
    <x v="8"/>
    <x v="2"/>
    <x v="2"/>
  </r>
  <r>
    <s v="AX18957"/>
    <s v="ENX2012"/>
    <s v="A108"/>
    <s v="EMP1031"/>
    <s v="C1235"/>
    <x v="778"/>
    <n v="1"/>
    <n v="1353"/>
    <n v="947"/>
    <n v="947"/>
    <n v="1353"/>
    <n v="406"/>
    <s v="Product 13"/>
    <x v="49"/>
    <s v="Brian Thomas"/>
    <x v="353"/>
    <n v="7"/>
    <x v="6"/>
    <x v="8"/>
    <x v="8"/>
    <x v="2"/>
    <x v="2"/>
  </r>
  <r>
    <s v="AX19186"/>
    <s v="ENX2044"/>
    <s v="A106"/>
    <s v="EMP1034"/>
    <s v="C1159"/>
    <x v="774"/>
    <n v="3"/>
    <n v="886"/>
    <n v="478"/>
    <n v="1434"/>
    <n v="2658"/>
    <n v="1224"/>
    <s v="Product 45"/>
    <x v="11"/>
    <s v="Arthur Mccoy"/>
    <x v="793"/>
    <n v="7"/>
    <x v="6"/>
    <x v="8"/>
    <x v="8"/>
    <x v="2"/>
    <x v="2"/>
  </r>
  <r>
    <s v="AX19492"/>
    <s v="ENX2044"/>
    <s v="A130"/>
    <s v="EMP1018"/>
    <s v="C1709"/>
    <x v="774"/>
    <n v="3"/>
    <n v="886"/>
    <n v="478"/>
    <n v="1434"/>
    <n v="2658"/>
    <n v="1224"/>
    <s v="Product 45"/>
    <x v="4"/>
    <s v="Jimmy Young"/>
    <x v="203"/>
    <n v="7"/>
    <x v="6"/>
    <x v="8"/>
    <x v="8"/>
    <x v="2"/>
    <x v="2"/>
  </r>
  <r>
    <s v="AX19567"/>
    <s v="ENX2041"/>
    <s v="A165"/>
    <s v="EMP1043"/>
    <s v="C1292"/>
    <x v="775"/>
    <n v="3"/>
    <n v="1380"/>
    <n v="1090"/>
    <n v="3270"/>
    <n v="4140"/>
    <n v="870"/>
    <s v="Product 42"/>
    <x v="55"/>
    <s v="Joshua Taylor"/>
    <x v="333"/>
    <n v="7"/>
    <x v="6"/>
    <x v="8"/>
    <x v="8"/>
    <x v="2"/>
    <x v="2"/>
  </r>
  <r>
    <s v="AX20046"/>
    <s v="ENX2021"/>
    <s v="A104"/>
    <s v="EMP1015"/>
    <s v="C1722"/>
    <x v="775"/>
    <n v="2"/>
    <n v="217"/>
    <n v="171"/>
    <n v="342"/>
    <n v="434"/>
    <n v="92"/>
    <s v="Product 22"/>
    <x v="50"/>
    <s v="Justin Lynch"/>
    <x v="257"/>
    <n v="7"/>
    <x v="6"/>
    <x v="8"/>
    <x v="8"/>
    <x v="2"/>
    <x v="2"/>
  </r>
  <r>
    <s v="AX20104"/>
    <s v="ENX2046"/>
    <s v="A102"/>
    <s v="EMP1004"/>
    <s v="C1214"/>
    <x v="776"/>
    <n v="3"/>
    <n v="2410"/>
    <n v="1518"/>
    <n v="4554"/>
    <n v="7230"/>
    <n v="2676"/>
    <s v="Product 47"/>
    <x v="44"/>
    <s v="Kenneth Bradley"/>
    <x v="262"/>
    <n v="7"/>
    <x v="6"/>
    <x v="8"/>
    <x v="8"/>
    <x v="2"/>
    <x v="2"/>
  </r>
  <r>
    <s v="AX20192"/>
    <s v="ENX2014"/>
    <s v="A154"/>
    <s v="EMP1027"/>
    <s v="C1597"/>
    <x v="775"/>
    <n v="1"/>
    <n v="1809"/>
    <n v="1067"/>
    <n v="1067"/>
    <n v="1809"/>
    <n v="742"/>
    <s v="Product 15"/>
    <x v="24"/>
    <s v="Gary Rodriguez"/>
    <x v="183"/>
    <n v="7"/>
    <x v="6"/>
    <x v="8"/>
    <x v="8"/>
    <x v="2"/>
    <x v="2"/>
  </r>
  <r>
    <s v="AX20751"/>
    <s v="ENX2068"/>
    <s v="A173"/>
    <s v="EMP1021"/>
    <s v="C1166"/>
    <x v="775"/>
    <n v="1"/>
    <n v="1500"/>
    <n v="900"/>
    <n v="900"/>
    <n v="1500"/>
    <n v="600"/>
    <s v="Product 69"/>
    <x v="25"/>
    <s v="Clarence Fox"/>
    <x v="733"/>
    <n v="7"/>
    <x v="6"/>
    <x v="8"/>
    <x v="8"/>
    <x v="2"/>
    <x v="2"/>
  </r>
  <r>
    <s v="AX20954"/>
    <s v="ENX2031"/>
    <s v="A156"/>
    <s v="EMP1033"/>
    <s v="C1728"/>
    <x v="775"/>
    <n v="1"/>
    <n v="1638"/>
    <n v="1261"/>
    <n v="1261"/>
    <n v="1638"/>
    <n v="377"/>
    <s v="Product 32"/>
    <x v="14"/>
    <s v="Jerry Perry"/>
    <x v="446"/>
    <n v="7"/>
    <x v="6"/>
    <x v="8"/>
    <x v="8"/>
    <x v="2"/>
    <x v="2"/>
  </r>
  <r>
    <s v="AX21574"/>
    <s v="ENX2059"/>
    <s v="A163"/>
    <s v="EMP1010"/>
    <s v="C1730"/>
    <x v="774"/>
    <n v="3"/>
    <n v="1494"/>
    <n v="971"/>
    <n v="2913"/>
    <n v="4482"/>
    <n v="1569"/>
    <s v="Product 60"/>
    <x v="51"/>
    <s v="Joshua Cook"/>
    <x v="777"/>
    <n v="7"/>
    <x v="6"/>
    <x v="8"/>
    <x v="8"/>
    <x v="2"/>
    <x v="2"/>
  </r>
  <r>
    <s v="AX21812"/>
    <s v="ENX2019"/>
    <s v="A117"/>
    <s v="EMP1034"/>
    <s v="C1419"/>
    <x v="777"/>
    <n v="3"/>
    <n v="800"/>
    <n v="536"/>
    <n v="1608"/>
    <n v="2400"/>
    <n v="792"/>
    <s v="Product 20"/>
    <x v="29"/>
    <s v="Arthur Mccoy"/>
    <x v="163"/>
    <n v="7"/>
    <x v="6"/>
    <x v="8"/>
    <x v="8"/>
    <x v="2"/>
    <x v="2"/>
  </r>
  <r>
    <s v="AX21858"/>
    <s v="ENX2020"/>
    <s v="A159"/>
    <s v="EMP1014"/>
    <s v="C1481"/>
    <x v="776"/>
    <n v="1"/>
    <n v="2005"/>
    <n v="1223"/>
    <n v="1223"/>
    <n v="2005"/>
    <n v="782"/>
    <s v="Product 21"/>
    <x v="13"/>
    <s v="Ronald Reed"/>
    <x v="764"/>
    <n v="7"/>
    <x v="6"/>
    <x v="8"/>
    <x v="8"/>
    <x v="2"/>
    <x v="2"/>
  </r>
  <r>
    <s v="AX21893"/>
    <s v="ENX2039"/>
    <s v="A104"/>
    <s v="EMP1010"/>
    <s v="C1662"/>
    <x v="777"/>
    <n v="1"/>
    <n v="817"/>
    <n v="409"/>
    <n v="409"/>
    <n v="817"/>
    <n v="408"/>
    <s v="Product 40"/>
    <x v="50"/>
    <s v="Joshua Cook"/>
    <x v="649"/>
    <n v="7"/>
    <x v="6"/>
    <x v="8"/>
    <x v="8"/>
    <x v="2"/>
    <x v="2"/>
  </r>
  <r>
    <s v="AX21919"/>
    <s v="ENX2081"/>
    <s v="A101"/>
    <s v="EMP1015"/>
    <s v="C1413"/>
    <x v="774"/>
    <n v="1"/>
    <n v="1566"/>
    <n v="1190"/>
    <n v="1190"/>
    <n v="1566"/>
    <n v="376"/>
    <s v="Product 82"/>
    <x v="60"/>
    <s v="Justin Lynch"/>
    <x v="571"/>
    <n v="7"/>
    <x v="6"/>
    <x v="8"/>
    <x v="8"/>
    <x v="2"/>
    <x v="2"/>
  </r>
  <r>
    <s v="AX22154"/>
    <s v="ENX2075"/>
    <s v="A118"/>
    <s v="EMP1003"/>
    <s v="C1341"/>
    <x v="778"/>
    <n v="4"/>
    <n v="400"/>
    <n v="208"/>
    <n v="832"/>
    <n v="1600"/>
    <n v="768"/>
    <s v="Product 76"/>
    <x v="19"/>
    <s v="Christopher Tucker"/>
    <x v="750"/>
    <n v="7"/>
    <x v="6"/>
    <x v="8"/>
    <x v="8"/>
    <x v="2"/>
    <x v="2"/>
  </r>
  <r>
    <s v="AX22167"/>
    <s v="ENX2028"/>
    <s v="A157"/>
    <s v="EMP1018"/>
    <s v="C1326"/>
    <x v="777"/>
    <n v="4"/>
    <n v="2283"/>
    <n v="1484"/>
    <n v="5936"/>
    <n v="9132"/>
    <n v="3196"/>
    <s v="Product 29"/>
    <x v="7"/>
    <s v="Jimmy Young"/>
    <x v="98"/>
    <n v="7"/>
    <x v="6"/>
    <x v="8"/>
    <x v="8"/>
    <x v="2"/>
    <x v="2"/>
  </r>
  <r>
    <s v="AX22485"/>
    <s v="ENX2067"/>
    <s v="A110"/>
    <s v="EMP1042"/>
    <s v="C1679"/>
    <x v="778"/>
    <n v="1"/>
    <n v="1119"/>
    <n v="683"/>
    <n v="683"/>
    <n v="1119"/>
    <n v="436"/>
    <s v="Product 68"/>
    <x v="63"/>
    <s v="Scott Clark"/>
    <x v="664"/>
    <n v="7"/>
    <x v="6"/>
    <x v="8"/>
    <x v="8"/>
    <x v="2"/>
    <x v="2"/>
  </r>
  <r>
    <s v="AX22919"/>
    <s v="ENX2059"/>
    <s v="A114"/>
    <s v="EMP1012"/>
    <s v="C1753"/>
    <x v="777"/>
    <n v="1"/>
    <n v="1494"/>
    <n v="971"/>
    <n v="971"/>
    <n v="1494"/>
    <n v="523"/>
    <s v="Product 60"/>
    <x v="28"/>
    <s v="John Reyes"/>
    <x v="696"/>
    <n v="7"/>
    <x v="6"/>
    <x v="8"/>
    <x v="8"/>
    <x v="2"/>
    <x v="2"/>
  </r>
  <r>
    <s v="AX23119"/>
    <s v="ENX2021"/>
    <s v="A142"/>
    <s v="EMP1036"/>
    <s v="C1415"/>
    <x v="776"/>
    <n v="3"/>
    <n v="217"/>
    <n v="171"/>
    <n v="513"/>
    <n v="651"/>
    <n v="138"/>
    <s v="Product 22"/>
    <x v="56"/>
    <s v="Robert Reed"/>
    <x v="352"/>
    <n v="7"/>
    <x v="6"/>
    <x v="8"/>
    <x v="8"/>
    <x v="2"/>
    <x v="2"/>
  </r>
  <r>
    <s v="AX23336"/>
    <s v="ENX2098"/>
    <s v="A158"/>
    <s v="EMP1039"/>
    <s v="C1191"/>
    <x v="776"/>
    <n v="2"/>
    <n v="1178"/>
    <n v="683"/>
    <n v="1366"/>
    <n v="2356"/>
    <n v="990"/>
    <s v="Product 99"/>
    <x v="58"/>
    <s v="Eugene Holmes"/>
    <x v="739"/>
    <n v="7"/>
    <x v="6"/>
    <x v="8"/>
    <x v="8"/>
    <x v="2"/>
    <x v="2"/>
  </r>
  <r>
    <s v="AX23504"/>
    <s v="ENX2012"/>
    <s v="A140"/>
    <s v="EMP1028"/>
    <s v="C1077"/>
    <x v="777"/>
    <n v="4"/>
    <n v="1353"/>
    <n v="947"/>
    <n v="3788"/>
    <n v="5412"/>
    <n v="1624"/>
    <s v="Product 13"/>
    <x v="18"/>
    <s v="Howard Sims"/>
    <x v="315"/>
    <n v="7"/>
    <x v="6"/>
    <x v="8"/>
    <x v="8"/>
    <x v="2"/>
    <x v="2"/>
  </r>
  <r>
    <s v="AX23712"/>
    <s v="ENX2013"/>
    <s v="A107"/>
    <s v="EMP1013"/>
    <s v="C1056"/>
    <x v="776"/>
    <n v="1"/>
    <n v="368"/>
    <n v="269"/>
    <n v="269"/>
    <n v="368"/>
    <n v="99"/>
    <s v="Product 14"/>
    <x v="21"/>
    <s v="Charles Harper"/>
    <x v="260"/>
    <n v="7"/>
    <x v="6"/>
    <x v="8"/>
    <x v="8"/>
    <x v="2"/>
    <x v="2"/>
  </r>
  <r>
    <s v="AX23794"/>
    <s v="ENX2034"/>
    <s v="A111"/>
    <s v="EMP1025"/>
    <s v="C1306"/>
    <x v="777"/>
    <n v="1"/>
    <n v="871"/>
    <n v="540"/>
    <n v="540"/>
    <n v="871"/>
    <n v="331"/>
    <s v="Product 35"/>
    <x v="54"/>
    <s v="Ernest Wagner"/>
    <x v="692"/>
    <n v="7"/>
    <x v="6"/>
    <x v="8"/>
    <x v="8"/>
    <x v="2"/>
    <x v="2"/>
  </r>
  <r>
    <s v="AX24602"/>
    <s v="ENX2028"/>
    <s v="A104"/>
    <s v="EMP1000"/>
    <s v="C1606"/>
    <x v="777"/>
    <n v="3"/>
    <n v="2283"/>
    <n v="1484"/>
    <n v="4452"/>
    <n v="6849"/>
    <n v="2397"/>
    <s v="Product 29"/>
    <x v="50"/>
    <s v="Fred Robertson"/>
    <x v="250"/>
    <n v="7"/>
    <x v="6"/>
    <x v="8"/>
    <x v="8"/>
    <x v="2"/>
    <x v="2"/>
  </r>
  <r>
    <s v="AX24606"/>
    <s v="ENX2085"/>
    <s v="A138"/>
    <s v="EMP1041"/>
    <s v="C1194"/>
    <x v="778"/>
    <n v="2"/>
    <n v="1862"/>
    <n v="1173"/>
    <n v="2346"/>
    <n v="3724"/>
    <n v="1378"/>
    <s v="Product 86"/>
    <x v="37"/>
    <s v="Joe Sims"/>
    <x v="323"/>
    <n v="7"/>
    <x v="6"/>
    <x v="8"/>
    <x v="8"/>
    <x v="2"/>
    <x v="2"/>
  </r>
  <r>
    <s v="AX24846"/>
    <s v="ENX2042"/>
    <s v="A157"/>
    <s v="EMP1032"/>
    <s v="C1165"/>
    <x v="778"/>
    <n v="1"/>
    <n v="203"/>
    <n v="154"/>
    <n v="154"/>
    <n v="203"/>
    <n v="49"/>
    <s v="Product 43"/>
    <x v="7"/>
    <s v="Larry Castillo"/>
    <x v="82"/>
    <n v="7"/>
    <x v="6"/>
    <x v="8"/>
    <x v="8"/>
    <x v="2"/>
    <x v="2"/>
  </r>
  <r>
    <s v="AX24899"/>
    <s v="ENX2026"/>
    <s v="A111"/>
    <s v="EMP1023"/>
    <s v="C1345"/>
    <x v="775"/>
    <n v="1"/>
    <n v="947"/>
    <n v="786"/>
    <n v="786"/>
    <n v="947"/>
    <n v="161"/>
    <s v="Product 27"/>
    <x v="54"/>
    <s v="Brian Davis"/>
    <x v="567"/>
    <n v="7"/>
    <x v="6"/>
    <x v="8"/>
    <x v="8"/>
    <x v="2"/>
    <x v="2"/>
  </r>
  <r>
    <s v="AX10020"/>
    <s v="ENX2036"/>
    <s v="A127"/>
    <s v="EMP1013"/>
    <s v="C1155"/>
    <x v="779"/>
    <n v="2"/>
    <n v="1582"/>
    <n v="1234"/>
    <n v="2468"/>
    <n v="3164"/>
    <n v="696"/>
    <s v="Product 37"/>
    <x v="69"/>
    <s v="Charles Harper"/>
    <x v="711"/>
    <n v="7"/>
    <x v="6"/>
    <x v="9"/>
    <x v="9"/>
    <x v="3"/>
    <x v="0"/>
  </r>
  <r>
    <s v="AX10873"/>
    <s v="ENX2080"/>
    <s v="A161"/>
    <s v="EMP1011"/>
    <s v="C1283"/>
    <x v="779"/>
    <n v="3"/>
    <n v="2353"/>
    <n v="1788"/>
    <n v="5364"/>
    <n v="7059"/>
    <n v="1695"/>
    <s v="Product 81"/>
    <x v="6"/>
    <s v="Larry Marshall"/>
    <x v="184"/>
    <n v="7"/>
    <x v="6"/>
    <x v="9"/>
    <x v="9"/>
    <x v="3"/>
    <x v="0"/>
  </r>
  <r>
    <s v="AX11007"/>
    <s v="ENX2045"/>
    <s v="A145"/>
    <s v="EMP1042"/>
    <s v="C1685"/>
    <x v="779"/>
    <n v="1"/>
    <n v="556"/>
    <n v="395"/>
    <n v="395"/>
    <n v="556"/>
    <n v="161"/>
    <s v="Product 46"/>
    <x v="35"/>
    <s v="Scott Clark"/>
    <x v="90"/>
    <n v="7"/>
    <x v="6"/>
    <x v="9"/>
    <x v="9"/>
    <x v="3"/>
    <x v="0"/>
  </r>
  <r>
    <s v="AX11703"/>
    <s v="ENX2065"/>
    <s v="A118"/>
    <s v="EMP1036"/>
    <s v="C1534"/>
    <x v="780"/>
    <n v="3"/>
    <n v="2396"/>
    <n v="1965"/>
    <n v="5895"/>
    <n v="7188"/>
    <n v="1293"/>
    <s v="Product 66"/>
    <x v="19"/>
    <s v="Robert Reed"/>
    <x v="273"/>
    <n v="7"/>
    <x v="6"/>
    <x v="9"/>
    <x v="9"/>
    <x v="3"/>
    <x v="0"/>
  </r>
  <r>
    <s v="AX11859"/>
    <s v="ENX2083"/>
    <s v="A102"/>
    <s v="EMP1018"/>
    <s v="C1463"/>
    <x v="780"/>
    <n v="4"/>
    <n v="2141"/>
    <n v="1777"/>
    <n v="7108"/>
    <n v="8564"/>
    <n v="1456"/>
    <s v="Product 84"/>
    <x v="44"/>
    <s v="Jimmy Young"/>
    <x v="535"/>
    <n v="7"/>
    <x v="6"/>
    <x v="9"/>
    <x v="9"/>
    <x v="3"/>
    <x v="0"/>
  </r>
  <r>
    <s v="AX12400"/>
    <s v="ENX2094"/>
    <s v="A160"/>
    <s v="EMP1044"/>
    <s v="C1040"/>
    <x v="781"/>
    <n v="1"/>
    <n v="771"/>
    <n v="648"/>
    <n v="648"/>
    <n v="771"/>
    <n v="123"/>
    <s v="Product 95"/>
    <x v="9"/>
    <s v="Martin Carr"/>
    <x v="221"/>
    <n v="7"/>
    <x v="6"/>
    <x v="9"/>
    <x v="9"/>
    <x v="3"/>
    <x v="0"/>
  </r>
  <r>
    <s v="AX12402"/>
    <s v="ENX2081"/>
    <s v="A112"/>
    <s v="EMP1034"/>
    <s v="C1040"/>
    <x v="779"/>
    <n v="3"/>
    <n v="1566"/>
    <n v="1190"/>
    <n v="3570"/>
    <n v="4698"/>
    <n v="1128"/>
    <s v="Product 82"/>
    <x v="66"/>
    <s v="Arthur Mccoy"/>
    <x v="221"/>
    <n v="7"/>
    <x v="6"/>
    <x v="9"/>
    <x v="9"/>
    <x v="3"/>
    <x v="0"/>
  </r>
  <r>
    <s v="AX12415"/>
    <s v="ENX2062"/>
    <s v="A106"/>
    <s v="EMP1041"/>
    <s v="C1134"/>
    <x v="782"/>
    <n v="2"/>
    <n v="2464"/>
    <n v="1774"/>
    <n v="3548"/>
    <n v="4928"/>
    <n v="1380"/>
    <s v="Product 63"/>
    <x v="11"/>
    <s v="Joe Sims"/>
    <x v="495"/>
    <n v="7"/>
    <x v="6"/>
    <x v="9"/>
    <x v="9"/>
    <x v="3"/>
    <x v="0"/>
  </r>
  <r>
    <s v="AX12493"/>
    <s v="ENX2008"/>
    <s v="A155"/>
    <s v="EMP1031"/>
    <s v="C1016"/>
    <x v="781"/>
    <n v="3"/>
    <n v="315"/>
    <n v="208"/>
    <n v="624"/>
    <n v="945"/>
    <n v="321"/>
    <s v="Product 9"/>
    <x v="53"/>
    <s v="Brian Thomas"/>
    <x v="335"/>
    <n v="7"/>
    <x v="6"/>
    <x v="9"/>
    <x v="9"/>
    <x v="3"/>
    <x v="0"/>
  </r>
  <r>
    <s v="AX12881"/>
    <s v="ENX2089"/>
    <s v="A148"/>
    <s v="EMP1030"/>
    <s v="C1671"/>
    <x v="780"/>
    <n v="3"/>
    <n v="2294"/>
    <n v="1399"/>
    <n v="4197"/>
    <n v="6882"/>
    <n v="2685"/>
    <s v="Product 90"/>
    <x v="62"/>
    <s v="Bobby Russell"/>
    <x v="248"/>
    <n v="7"/>
    <x v="6"/>
    <x v="9"/>
    <x v="9"/>
    <x v="3"/>
    <x v="0"/>
  </r>
  <r>
    <s v="AX12944"/>
    <s v="ENX2015"/>
    <s v="A158"/>
    <s v="EMP1032"/>
    <s v="C1137"/>
    <x v="781"/>
    <n v="2"/>
    <n v="637"/>
    <n v="389"/>
    <n v="778"/>
    <n v="1274"/>
    <n v="496"/>
    <s v="Product 16"/>
    <x v="58"/>
    <s v="Larry Castillo"/>
    <x v="131"/>
    <n v="7"/>
    <x v="6"/>
    <x v="9"/>
    <x v="9"/>
    <x v="3"/>
    <x v="0"/>
  </r>
  <r>
    <s v="AX13312"/>
    <s v="ENX2098"/>
    <s v="A171"/>
    <s v="EMP1031"/>
    <s v="C1517"/>
    <x v="782"/>
    <n v="1"/>
    <n v="1178"/>
    <n v="683"/>
    <n v="683"/>
    <n v="1178"/>
    <n v="495"/>
    <s v="Product 99"/>
    <x v="0"/>
    <s v="Brian Thomas"/>
    <x v="359"/>
    <n v="7"/>
    <x v="6"/>
    <x v="9"/>
    <x v="9"/>
    <x v="3"/>
    <x v="0"/>
  </r>
  <r>
    <s v="AX14346"/>
    <s v="ENX2026"/>
    <s v="A115"/>
    <s v="EMP1020"/>
    <s v="C1415"/>
    <x v="782"/>
    <n v="2"/>
    <n v="947"/>
    <n v="786"/>
    <n v="1572"/>
    <n v="1894"/>
    <n v="322"/>
    <s v="Product 27"/>
    <x v="33"/>
    <s v="Ryan Butler"/>
    <x v="352"/>
    <n v="7"/>
    <x v="6"/>
    <x v="9"/>
    <x v="9"/>
    <x v="3"/>
    <x v="0"/>
  </r>
  <r>
    <s v="AX14434"/>
    <s v="ENX2088"/>
    <s v="A116"/>
    <s v="EMP1001"/>
    <s v="C1318"/>
    <x v="781"/>
    <n v="1"/>
    <n v="603"/>
    <n v="416"/>
    <n v="416"/>
    <n v="603"/>
    <n v="187"/>
    <s v="Product 89"/>
    <x v="15"/>
    <s v="Kevin Butler"/>
    <x v="730"/>
    <n v="7"/>
    <x v="6"/>
    <x v="9"/>
    <x v="9"/>
    <x v="3"/>
    <x v="0"/>
  </r>
  <r>
    <s v="AX14813"/>
    <s v="ENX2051"/>
    <s v="A105"/>
    <s v="EMP1034"/>
    <s v="C1186"/>
    <x v="781"/>
    <n v="3"/>
    <n v="1077"/>
    <n v="732"/>
    <n v="2196"/>
    <n v="3231"/>
    <n v="1035"/>
    <s v="Product 52"/>
    <x v="45"/>
    <s v="Arthur Mccoy"/>
    <x v="467"/>
    <n v="7"/>
    <x v="6"/>
    <x v="9"/>
    <x v="9"/>
    <x v="3"/>
    <x v="0"/>
  </r>
  <r>
    <s v="AX15102"/>
    <s v="ENX2075"/>
    <s v="A101"/>
    <s v="EMP1014"/>
    <s v="C1150"/>
    <x v="781"/>
    <n v="4"/>
    <n v="400"/>
    <n v="208"/>
    <n v="832"/>
    <n v="1600"/>
    <n v="768"/>
    <s v="Product 76"/>
    <x v="60"/>
    <s v="Ronald Reed"/>
    <x v="456"/>
    <n v="7"/>
    <x v="6"/>
    <x v="9"/>
    <x v="9"/>
    <x v="3"/>
    <x v="0"/>
  </r>
  <r>
    <s v="AX15354"/>
    <s v="ENX2021"/>
    <s v="A136"/>
    <s v="EMP1004"/>
    <s v="C1663"/>
    <x v="782"/>
    <n v="1"/>
    <n v="217"/>
    <n v="171"/>
    <n v="171"/>
    <n v="217"/>
    <n v="46"/>
    <s v="Product 22"/>
    <x v="43"/>
    <s v="Kenneth Bradley"/>
    <x v="602"/>
    <n v="7"/>
    <x v="6"/>
    <x v="9"/>
    <x v="9"/>
    <x v="3"/>
    <x v="0"/>
  </r>
  <r>
    <s v="AX15910"/>
    <s v="ENX2023"/>
    <s v="A111"/>
    <s v="EMP1005"/>
    <s v="C1063"/>
    <x v="779"/>
    <n v="2"/>
    <n v="818"/>
    <n v="450"/>
    <n v="900"/>
    <n v="1636"/>
    <n v="736"/>
    <s v="Product 24"/>
    <x v="54"/>
    <s v="Ryan Welch"/>
    <x v="296"/>
    <n v="7"/>
    <x v="6"/>
    <x v="9"/>
    <x v="9"/>
    <x v="3"/>
    <x v="0"/>
  </r>
  <r>
    <s v="AX16064"/>
    <s v="ENX2053"/>
    <s v="A135"/>
    <s v="EMP1019"/>
    <s v="C1222"/>
    <x v="782"/>
    <n v="4"/>
    <n v="596"/>
    <n v="358"/>
    <n v="1432"/>
    <n v="2384"/>
    <n v="952"/>
    <s v="Product 54"/>
    <x v="10"/>
    <s v="Roger Robertson"/>
    <x v="691"/>
    <n v="7"/>
    <x v="6"/>
    <x v="9"/>
    <x v="9"/>
    <x v="3"/>
    <x v="0"/>
  </r>
  <r>
    <s v="AX16079"/>
    <s v="ENX2071"/>
    <s v="A121"/>
    <s v="EMP1027"/>
    <s v="C1063"/>
    <x v="779"/>
    <n v="1"/>
    <n v="136"/>
    <n v="72"/>
    <n v="72"/>
    <n v="136"/>
    <n v="64"/>
    <s v="Product 72"/>
    <x v="72"/>
    <s v="Gary Rodriguez"/>
    <x v="296"/>
    <n v="7"/>
    <x v="6"/>
    <x v="9"/>
    <x v="9"/>
    <x v="3"/>
    <x v="0"/>
  </r>
  <r>
    <s v="AX16109"/>
    <s v="ENX2071"/>
    <s v="A131"/>
    <s v="EMP1031"/>
    <s v="C1773"/>
    <x v="779"/>
    <n v="2"/>
    <n v="136"/>
    <n v="72"/>
    <n v="144"/>
    <n v="272"/>
    <n v="128"/>
    <s v="Product 72"/>
    <x v="32"/>
    <s v="Brian Thomas"/>
    <x v="723"/>
    <n v="7"/>
    <x v="6"/>
    <x v="9"/>
    <x v="9"/>
    <x v="3"/>
    <x v="0"/>
  </r>
  <r>
    <s v="AX16644"/>
    <s v="ENX2099"/>
    <s v="A119"/>
    <s v="EMP1036"/>
    <s v="C1327"/>
    <x v="780"/>
    <n v="1"/>
    <n v="1367"/>
    <n v="984"/>
    <n v="984"/>
    <n v="1367"/>
    <n v="383"/>
    <s v="Product 100"/>
    <x v="16"/>
    <s v="Robert Reed"/>
    <x v="321"/>
    <n v="7"/>
    <x v="6"/>
    <x v="9"/>
    <x v="9"/>
    <x v="3"/>
    <x v="0"/>
  </r>
  <r>
    <s v="AX17199"/>
    <s v="ENX2023"/>
    <s v="A122"/>
    <s v="EMP1029"/>
    <s v="C1520"/>
    <x v="781"/>
    <n v="1"/>
    <n v="818"/>
    <n v="450"/>
    <n v="450"/>
    <n v="818"/>
    <n v="368"/>
    <s v="Product 24"/>
    <x v="71"/>
    <s v="Howard Gardner"/>
    <x v="576"/>
    <n v="7"/>
    <x v="6"/>
    <x v="9"/>
    <x v="9"/>
    <x v="3"/>
    <x v="0"/>
  </r>
  <r>
    <s v="AX17534"/>
    <s v="ENX2084"/>
    <s v="A141"/>
    <s v="EMP1043"/>
    <s v="C1710"/>
    <x v="782"/>
    <n v="2"/>
    <n v="1783"/>
    <n v="1230"/>
    <n v="2460"/>
    <n v="3566"/>
    <n v="1106"/>
    <s v="Product 85"/>
    <x v="23"/>
    <s v="Joshua Taylor"/>
    <x v="197"/>
    <n v="7"/>
    <x v="6"/>
    <x v="9"/>
    <x v="9"/>
    <x v="3"/>
    <x v="0"/>
  </r>
  <r>
    <s v="AX17692"/>
    <s v="ENX2073"/>
    <s v="A100"/>
    <s v="EMP1002"/>
    <s v="C1303"/>
    <x v="781"/>
    <n v="1"/>
    <n v="95"/>
    <n v="61"/>
    <n v="61"/>
    <n v="95"/>
    <n v="34"/>
    <s v="Product 74"/>
    <x v="52"/>
    <s v="Andrew Bowman"/>
    <x v="531"/>
    <n v="7"/>
    <x v="6"/>
    <x v="9"/>
    <x v="9"/>
    <x v="3"/>
    <x v="0"/>
  </r>
  <r>
    <s v="AX17993"/>
    <s v="ENX2048"/>
    <s v="A105"/>
    <s v="EMP1039"/>
    <s v="C1235"/>
    <x v="781"/>
    <n v="2"/>
    <n v="502"/>
    <n v="296"/>
    <n v="592"/>
    <n v="1004"/>
    <n v="412"/>
    <s v="Product 49"/>
    <x v="45"/>
    <s v="Eugene Holmes"/>
    <x v="353"/>
    <n v="7"/>
    <x v="6"/>
    <x v="9"/>
    <x v="9"/>
    <x v="3"/>
    <x v="0"/>
  </r>
  <r>
    <s v="AX18660"/>
    <s v="ENX2089"/>
    <s v="A152"/>
    <s v="EMP1029"/>
    <s v="C1422"/>
    <x v="781"/>
    <n v="3"/>
    <n v="2294"/>
    <n v="1399"/>
    <n v="4197"/>
    <n v="6882"/>
    <n v="2685"/>
    <s v="Product 90"/>
    <x v="26"/>
    <s v="Howard Gardner"/>
    <x v="176"/>
    <n v="7"/>
    <x v="6"/>
    <x v="9"/>
    <x v="9"/>
    <x v="3"/>
    <x v="0"/>
  </r>
  <r>
    <s v="AX19568"/>
    <s v="ENX2014"/>
    <s v="A150"/>
    <s v="EMP1001"/>
    <s v="C1748"/>
    <x v="781"/>
    <n v="3"/>
    <n v="1809"/>
    <n v="1067"/>
    <n v="3201"/>
    <n v="5427"/>
    <n v="2226"/>
    <s v="Product 15"/>
    <x v="30"/>
    <s v="Kevin Butler"/>
    <x v="162"/>
    <n v="7"/>
    <x v="6"/>
    <x v="9"/>
    <x v="9"/>
    <x v="3"/>
    <x v="0"/>
  </r>
  <r>
    <s v="AX19877"/>
    <s v="ENX2072"/>
    <s v="A155"/>
    <s v="EMP1012"/>
    <s v="C1054"/>
    <x v="782"/>
    <n v="1"/>
    <n v="1887"/>
    <n v="1378"/>
    <n v="1378"/>
    <n v="1887"/>
    <n v="509"/>
    <s v="Product 73"/>
    <x v="53"/>
    <s v="John Reyes"/>
    <x v="58"/>
    <n v="7"/>
    <x v="6"/>
    <x v="9"/>
    <x v="9"/>
    <x v="3"/>
    <x v="0"/>
  </r>
  <r>
    <s v="AX19889"/>
    <s v="ENX2037"/>
    <s v="A121"/>
    <s v="EMP1018"/>
    <s v="C1150"/>
    <x v="781"/>
    <n v="1"/>
    <n v="880"/>
    <n v="634"/>
    <n v="634"/>
    <n v="880"/>
    <n v="246"/>
    <s v="Product 38"/>
    <x v="72"/>
    <s v="Jimmy Young"/>
    <x v="456"/>
    <n v="7"/>
    <x v="6"/>
    <x v="9"/>
    <x v="9"/>
    <x v="3"/>
    <x v="0"/>
  </r>
  <r>
    <s v="AX20198"/>
    <s v="ENX2042"/>
    <s v="A138"/>
    <s v="EMP1005"/>
    <s v="C1769"/>
    <x v="781"/>
    <n v="2"/>
    <n v="203"/>
    <n v="154"/>
    <n v="308"/>
    <n v="406"/>
    <n v="98"/>
    <s v="Product 43"/>
    <x v="37"/>
    <s v="Ryan Welch"/>
    <x v="269"/>
    <n v="7"/>
    <x v="6"/>
    <x v="9"/>
    <x v="9"/>
    <x v="3"/>
    <x v="0"/>
  </r>
  <r>
    <s v="AX20235"/>
    <s v="ENX2040"/>
    <s v="A134"/>
    <s v="EMP1010"/>
    <s v="C1795"/>
    <x v="782"/>
    <n v="2"/>
    <n v="1889"/>
    <n v="945"/>
    <n v="1890"/>
    <n v="3778"/>
    <n v="1888"/>
    <s v="Product 41"/>
    <x v="41"/>
    <s v="Joshua Cook"/>
    <x v="592"/>
    <n v="7"/>
    <x v="6"/>
    <x v="9"/>
    <x v="9"/>
    <x v="3"/>
    <x v="0"/>
  </r>
  <r>
    <s v="AX20266"/>
    <s v="ENX2097"/>
    <s v="A106"/>
    <s v="EMP1040"/>
    <s v="C1043"/>
    <x v="779"/>
    <n v="1"/>
    <n v="1052"/>
    <n v="589"/>
    <n v="589"/>
    <n v="1052"/>
    <n v="463"/>
    <s v="Product 98"/>
    <x v="11"/>
    <s v="Patrick Ruiz"/>
    <x v="546"/>
    <n v="7"/>
    <x v="6"/>
    <x v="9"/>
    <x v="9"/>
    <x v="3"/>
    <x v="0"/>
  </r>
  <r>
    <s v="AX20572"/>
    <s v="ENX2090"/>
    <s v="A122"/>
    <s v="EMP1030"/>
    <s v="C1174"/>
    <x v="780"/>
    <n v="1"/>
    <n v="1338"/>
    <n v="682"/>
    <n v="682"/>
    <n v="1338"/>
    <n v="656"/>
    <s v="Product 91"/>
    <x v="71"/>
    <s v="Bobby Russell"/>
    <x v="715"/>
    <n v="7"/>
    <x v="6"/>
    <x v="9"/>
    <x v="9"/>
    <x v="3"/>
    <x v="0"/>
  </r>
  <r>
    <s v="AX20702"/>
    <s v="ENX2074"/>
    <s v="A161"/>
    <s v="EMP1000"/>
    <s v="C1686"/>
    <x v="782"/>
    <n v="1"/>
    <n v="504"/>
    <n v="408"/>
    <n v="408"/>
    <n v="504"/>
    <n v="96"/>
    <s v="Product 75"/>
    <x v="6"/>
    <s v="Fred Robertson"/>
    <x v="748"/>
    <n v="7"/>
    <x v="6"/>
    <x v="9"/>
    <x v="9"/>
    <x v="3"/>
    <x v="0"/>
  </r>
  <r>
    <s v="AX20849"/>
    <s v="ENX2041"/>
    <s v="A102"/>
    <s v="EMP1022"/>
    <s v="C1486"/>
    <x v="781"/>
    <n v="4"/>
    <n v="1380"/>
    <n v="1090"/>
    <n v="4360"/>
    <n v="5520"/>
    <n v="1160"/>
    <s v="Product 42"/>
    <x v="44"/>
    <s v="Walter Cook"/>
    <x v="357"/>
    <n v="7"/>
    <x v="6"/>
    <x v="9"/>
    <x v="9"/>
    <x v="3"/>
    <x v="0"/>
  </r>
  <r>
    <s v="AX20871"/>
    <s v="ENX2096"/>
    <s v="A103"/>
    <s v="EMP1035"/>
    <s v="C1090"/>
    <x v="781"/>
    <n v="4"/>
    <n v="1587"/>
    <n v="1301"/>
    <n v="5204"/>
    <n v="6348"/>
    <n v="1144"/>
    <s v="Product 97"/>
    <x v="61"/>
    <s v="Roger Ramos"/>
    <x v="0"/>
    <n v="7"/>
    <x v="6"/>
    <x v="9"/>
    <x v="9"/>
    <x v="3"/>
    <x v="0"/>
  </r>
  <r>
    <s v="AX20944"/>
    <s v="ENX2002"/>
    <s v="A142"/>
    <s v="EMP1044"/>
    <s v="C1247"/>
    <x v="779"/>
    <n v="2"/>
    <n v="847"/>
    <n v="534"/>
    <n v="1068"/>
    <n v="1694"/>
    <n v="626"/>
    <s v="Product 3"/>
    <x v="56"/>
    <s v="Martin Carr"/>
    <x v="552"/>
    <n v="7"/>
    <x v="6"/>
    <x v="9"/>
    <x v="9"/>
    <x v="3"/>
    <x v="0"/>
  </r>
  <r>
    <s v="AX21279"/>
    <s v="ENX2039"/>
    <s v="A155"/>
    <s v="EMP1010"/>
    <s v="C1015"/>
    <x v="781"/>
    <n v="3"/>
    <n v="817"/>
    <n v="409"/>
    <n v="1227"/>
    <n v="2451"/>
    <n v="1224"/>
    <s v="Product 40"/>
    <x v="53"/>
    <s v="Joshua Cook"/>
    <x v="583"/>
    <n v="7"/>
    <x v="6"/>
    <x v="9"/>
    <x v="9"/>
    <x v="3"/>
    <x v="0"/>
  </r>
  <r>
    <s v="AX21944"/>
    <s v="ENX2081"/>
    <s v="A131"/>
    <s v="EMP1041"/>
    <s v="C1535"/>
    <x v="780"/>
    <n v="4"/>
    <n v="1566"/>
    <n v="1190"/>
    <n v="4760"/>
    <n v="6264"/>
    <n v="1504"/>
    <s v="Product 82"/>
    <x v="32"/>
    <s v="Joe Sims"/>
    <x v="85"/>
    <n v="7"/>
    <x v="6"/>
    <x v="9"/>
    <x v="9"/>
    <x v="3"/>
    <x v="0"/>
  </r>
  <r>
    <s v="AX22050"/>
    <s v="ENX2071"/>
    <s v="A147"/>
    <s v="EMP1032"/>
    <s v="C1533"/>
    <x v="782"/>
    <n v="3"/>
    <n v="136"/>
    <n v="72"/>
    <n v="216"/>
    <n v="408"/>
    <n v="192"/>
    <s v="Product 72"/>
    <x v="42"/>
    <s v="Larry Castillo"/>
    <x v="179"/>
    <n v="7"/>
    <x v="6"/>
    <x v="9"/>
    <x v="9"/>
    <x v="3"/>
    <x v="0"/>
  </r>
  <r>
    <s v="AX22539"/>
    <s v="ENX2054"/>
    <s v="A170"/>
    <s v="EMP1030"/>
    <s v="C1764"/>
    <x v="781"/>
    <n v="1"/>
    <n v="127"/>
    <n v="79"/>
    <n v="79"/>
    <n v="127"/>
    <n v="48"/>
    <s v="Product 55"/>
    <x v="47"/>
    <s v="Bobby Russell"/>
    <x v="386"/>
    <n v="7"/>
    <x v="6"/>
    <x v="9"/>
    <x v="9"/>
    <x v="3"/>
    <x v="0"/>
  </r>
  <r>
    <s v="AX22729"/>
    <s v="ENX2051"/>
    <s v="A136"/>
    <s v="EMP1027"/>
    <s v="C1192"/>
    <x v="781"/>
    <n v="1"/>
    <n v="1077"/>
    <n v="732"/>
    <n v="732"/>
    <n v="1077"/>
    <n v="345"/>
    <s v="Product 52"/>
    <x v="43"/>
    <s v="Gary Rodriguez"/>
    <x v="746"/>
    <n v="7"/>
    <x v="6"/>
    <x v="9"/>
    <x v="9"/>
    <x v="3"/>
    <x v="0"/>
  </r>
  <r>
    <s v="AX22752"/>
    <s v="ENX2032"/>
    <s v="A156"/>
    <s v="EMP1010"/>
    <s v="C1341"/>
    <x v="781"/>
    <n v="1"/>
    <n v="1967"/>
    <n v="1397"/>
    <n v="1397"/>
    <n v="1967"/>
    <n v="570"/>
    <s v="Product 33"/>
    <x v="14"/>
    <s v="Joshua Cook"/>
    <x v="750"/>
    <n v="7"/>
    <x v="6"/>
    <x v="9"/>
    <x v="9"/>
    <x v="3"/>
    <x v="0"/>
  </r>
  <r>
    <s v="AX22795"/>
    <s v="ENX2034"/>
    <s v="A110"/>
    <s v="EMP1003"/>
    <s v="C1456"/>
    <x v="780"/>
    <n v="1"/>
    <n v="871"/>
    <n v="540"/>
    <n v="540"/>
    <n v="871"/>
    <n v="331"/>
    <s v="Product 35"/>
    <x v="63"/>
    <s v="Christopher Tucker"/>
    <x v="366"/>
    <n v="7"/>
    <x v="6"/>
    <x v="9"/>
    <x v="9"/>
    <x v="3"/>
    <x v="0"/>
  </r>
  <r>
    <s v="AX23031"/>
    <s v="ENX2005"/>
    <s v="A143"/>
    <s v="EMP1036"/>
    <s v="C1490"/>
    <x v="780"/>
    <n v="1"/>
    <n v="684"/>
    <n v="561"/>
    <n v="561"/>
    <n v="684"/>
    <n v="123"/>
    <s v="Product 6"/>
    <x v="39"/>
    <s v="Robert Reed"/>
    <x v="61"/>
    <n v="7"/>
    <x v="6"/>
    <x v="9"/>
    <x v="9"/>
    <x v="3"/>
    <x v="0"/>
  </r>
  <r>
    <s v="AX23293"/>
    <s v="ENX2099"/>
    <s v="A122"/>
    <s v="EMP1025"/>
    <s v="C1487"/>
    <x v="781"/>
    <n v="2"/>
    <n v="1367"/>
    <n v="984"/>
    <n v="1968"/>
    <n v="2734"/>
    <n v="766"/>
    <s v="Product 100"/>
    <x v="71"/>
    <s v="Ernest Wagner"/>
    <x v="461"/>
    <n v="7"/>
    <x v="6"/>
    <x v="9"/>
    <x v="9"/>
    <x v="3"/>
    <x v="0"/>
  </r>
  <r>
    <s v="AX23416"/>
    <s v="ENX2075"/>
    <s v="A149"/>
    <s v="EMP1010"/>
    <s v="C1780"/>
    <x v="779"/>
    <n v="1"/>
    <n v="400"/>
    <n v="208"/>
    <n v="208"/>
    <n v="400"/>
    <n v="192"/>
    <s v="Product 76"/>
    <x v="59"/>
    <s v="Joshua Cook"/>
    <x v="320"/>
    <n v="7"/>
    <x v="6"/>
    <x v="9"/>
    <x v="9"/>
    <x v="3"/>
    <x v="0"/>
  </r>
  <r>
    <s v="AX23771"/>
    <s v="ENX2037"/>
    <s v="A152"/>
    <s v="EMP1006"/>
    <s v="C1651"/>
    <x v="779"/>
    <n v="1"/>
    <n v="880"/>
    <n v="634"/>
    <n v="634"/>
    <n v="880"/>
    <n v="246"/>
    <s v="Product 38"/>
    <x v="26"/>
    <s v="Sean Miller"/>
    <x v="660"/>
    <n v="7"/>
    <x v="6"/>
    <x v="9"/>
    <x v="9"/>
    <x v="3"/>
    <x v="0"/>
  </r>
  <r>
    <s v="AX23917"/>
    <s v="ENX2036"/>
    <s v="A140"/>
    <s v="EMP1041"/>
    <s v="C1153"/>
    <x v="780"/>
    <n v="2"/>
    <n v="1582"/>
    <n v="1234"/>
    <n v="2468"/>
    <n v="3164"/>
    <n v="696"/>
    <s v="Product 37"/>
    <x v="18"/>
    <s v="Joe Sims"/>
    <x v="382"/>
    <n v="7"/>
    <x v="6"/>
    <x v="9"/>
    <x v="9"/>
    <x v="3"/>
    <x v="0"/>
  </r>
  <r>
    <s v="AX24239"/>
    <s v="ENX2003"/>
    <s v="A163"/>
    <s v="EMP1037"/>
    <s v="C1331"/>
    <x v="781"/>
    <n v="1"/>
    <n v="1783"/>
    <n v="1516"/>
    <n v="1516"/>
    <n v="1783"/>
    <n v="267"/>
    <s v="Product 4"/>
    <x v="51"/>
    <s v="Carl Hall"/>
    <x v="482"/>
    <n v="7"/>
    <x v="6"/>
    <x v="9"/>
    <x v="9"/>
    <x v="3"/>
    <x v="0"/>
  </r>
  <r>
    <s v="AX24780"/>
    <s v="ENX2000"/>
    <s v="A132"/>
    <s v="EMP1000"/>
    <s v="C1315"/>
    <x v="782"/>
    <n v="4"/>
    <n v="2241"/>
    <n v="1367"/>
    <n v="5468"/>
    <n v="8964"/>
    <n v="3496"/>
    <s v="Product 1"/>
    <x v="48"/>
    <s v="Fred Robertson"/>
    <x v="388"/>
    <n v="7"/>
    <x v="6"/>
    <x v="9"/>
    <x v="9"/>
    <x v="3"/>
    <x v="0"/>
  </r>
  <r>
    <s v="AX10181"/>
    <s v="ENX2093"/>
    <s v="A140"/>
    <s v="EMP1017"/>
    <s v="C1658"/>
    <x v="783"/>
    <n v="3"/>
    <n v="112"/>
    <n v="90"/>
    <n v="270"/>
    <n v="336"/>
    <n v="66"/>
    <s v="Product 94"/>
    <x v="18"/>
    <s v="Brian Hansen"/>
    <x v="612"/>
    <n v="7"/>
    <x v="6"/>
    <x v="9"/>
    <x v="9"/>
    <x v="3"/>
    <x v="2"/>
  </r>
  <r>
    <s v="AX10364"/>
    <s v="ENX2080"/>
    <s v="A147"/>
    <s v="EMP1038"/>
    <s v="C1798"/>
    <x v="783"/>
    <n v="3"/>
    <n v="2353"/>
    <n v="1788"/>
    <n v="5364"/>
    <n v="7059"/>
    <n v="1695"/>
    <s v="Product 81"/>
    <x v="42"/>
    <s v="Scott Mason"/>
    <x v="608"/>
    <n v="7"/>
    <x v="6"/>
    <x v="9"/>
    <x v="9"/>
    <x v="3"/>
    <x v="2"/>
  </r>
  <r>
    <s v="AX10554"/>
    <s v="ENX2001"/>
    <s v="A165"/>
    <s v="EMP1008"/>
    <s v="C1396"/>
    <x v="784"/>
    <n v="2"/>
    <n v="951"/>
    <n v="504"/>
    <n v="1008"/>
    <n v="1902"/>
    <n v="894"/>
    <s v="Product 2"/>
    <x v="55"/>
    <s v="Carl Elliott"/>
    <x v="624"/>
    <n v="7"/>
    <x v="6"/>
    <x v="9"/>
    <x v="9"/>
    <x v="3"/>
    <x v="2"/>
  </r>
  <r>
    <s v="AX10591"/>
    <s v="ENX2018"/>
    <s v="A131"/>
    <s v="EMP1003"/>
    <s v="C1235"/>
    <x v="785"/>
    <n v="1"/>
    <n v="1972"/>
    <n v="1321"/>
    <n v="1321"/>
    <n v="1972"/>
    <n v="651"/>
    <s v="Product 19"/>
    <x v="32"/>
    <s v="Christopher Tucker"/>
    <x v="353"/>
    <n v="7"/>
    <x v="6"/>
    <x v="9"/>
    <x v="9"/>
    <x v="3"/>
    <x v="2"/>
  </r>
  <r>
    <s v="AX10613"/>
    <s v="ENX2064"/>
    <s v="A125"/>
    <s v="EMP1022"/>
    <s v="C1778"/>
    <x v="785"/>
    <n v="1"/>
    <n v="1414"/>
    <n v="962"/>
    <n v="962"/>
    <n v="1414"/>
    <n v="452"/>
    <s v="Product 65"/>
    <x v="31"/>
    <s v="Walter Cook"/>
    <x v="420"/>
    <n v="7"/>
    <x v="6"/>
    <x v="9"/>
    <x v="9"/>
    <x v="3"/>
    <x v="2"/>
  </r>
  <r>
    <s v="AX10686"/>
    <s v="ENX2013"/>
    <s v="A106"/>
    <s v="EMP1013"/>
    <s v="C1274"/>
    <x v="785"/>
    <n v="1"/>
    <n v="368"/>
    <n v="269"/>
    <n v="269"/>
    <n v="368"/>
    <n v="99"/>
    <s v="Product 14"/>
    <x v="11"/>
    <s v="Charles Harper"/>
    <x v="173"/>
    <n v="7"/>
    <x v="6"/>
    <x v="9"/>
    <x v="9"/>
    <x v="3"/>
    <x v="2"/>
  </r>
  <r>
    <s v="AX10742"/>
    <s v="ENX2058"/>
    <s v="A143"/>
    <s v="EMP1003"/>
    <s v="C1700"/>
    <x v="786"/>
    <n v="1"/>
    <n v="2257"/>
    <n v="1535"/>
    <n v="1535"/>
    <n v="2257"/>
    <n v="722"/>
    <s v="Product 59"/>
    <x v="39"/>
    <s v="Christopher Tucker"/>
    <x v="271"/>
    <n v="7"/>
    <x v="6"/>
    <x v="9"/>
    <x v="9"/>
    <x v="3"/>
    <x v="2"/>
  </r>
  <r>
    <s v="AX10895"/>
    <s v="ENX2030"/>
    <s v="A137"/>
    <s v="EMP1037"/>
    <s v="C1571"/>
    <x v="784"/>
    <n v="1"/>
    <n v="1899"/>
    <n v="1044"/>
    <n v="1044"/>
    <n v="1899"/>
    <n v="855"/>
    <s v="Product 31"/>
    <x v="68"/>
    <s v="Carl Hall"/>
    <x v="316"/>
    <n v="7"/>
    <x v="6"/>
    <x v="9"/>
    <x v="9"/>
    <x v="3"/>
    <x v="2"/>
  </r>
  <r>
    <s v="AX11784"/>
    <s v="ENX2008"/>
    <s v="A115"/>
    <s v="EMP1044"/>
    <s v="C1280"/>
    <x v="783"/>
    <n v="3"/>
    <n v="315"/>
    <n v="208"/>
    <n v="624"/>
    <n v="945"/>
    <n v="321"/>
    <s v="Product 9"/>
    <x v="33"/>
    <s v="Martin Carr"/>
    <x v="349"/>
    <n v="7"/>
    <x v="6"/>
    <x v="9"/>
    <x v="9"/>
    <x v="3"/>
    <x v="2"/>
  </r>
  <r>
    <s v="AX12410"/>
    <s v="ENX2068"/>
    <s v="A166"/>
    <s v="EMP1015"/>
    <s v="C1761"/>
    <x v="783"/>
    <n v="2"/>
    <n v="1500"/>
    <n v="900"/>
    <n v="1800"/>
    <n v="3000"/>
    <n v="1200"/>
    <s v="Product 69"/>
    <x v="70"/>
    <s v="Justin Lynch"/>
    <x v="618"/>
    <n v="7"/>
    <x v="6"/>
    <x v="9"/>
    <x v="9"/>
    <x v="3"/>
    <x v="2"/>
  </r>
  <r>
    <s v="AX12979"/>
    <s v="ENX2007"/>
    <s v="A151"/>
    <s v="EMP1005"/>
    <s v="C1346"/>
    <x v="785"/>
    <n v="2"/>
    <n v="1405"/>
    <n v="1054"/>
    <n v="2108"/>
    <n v="2810"/>
    <n v="702"/>
    <s v="Product 8"/>
    <x v="1"/>
    <s v="Ryan Welch"/>
    <x v="340"/>
    <n v="7"/>
    <x v="6"/>
    <x v="9"/>
    <x v="9"/>
    <x v="3"/>
    <x v="2"/>
  </r>
  <r>
    <s v="AX13091"/>
    <s v="ENX2027"/>
    <s v="A120"/>
    <s v="EMP1039"/>
    <s v="C1199"/>
    <x v="783"/>
    <n v="1"/>
    <n v="2497"/>
    <n v="1473"/>
    <n v="1473"/>
    <n v="2497"/>
    <n v="1024"/>
    <s v="Product 28"/>
    <x v="20"/>
    <s v="Eugene Holmes"/>
    <x v="245"/>
    <n v="7"/>
    <x v="6"/>
    <x v="9"/>
    <x v="9"/>
    <x v="3"/>
    <x v="2"/>
  </r>
  <r>
    <s v="AX13154"/>
    <s v="ENX2026"/>
    <s v="A125"/>
    <s v="EMP1022"/>
    <s v="C1019"/>
    <x v="784"/>
    <n v="2"/>
    <n v="947"/>
    <n v="786"/>
    <n v="1572"/>
    <n v="1894"/>
    <n v="322"/>
    <s v="Product 27"/>
    <x v="31"/>
    <s v="Walter Cook"/>
    <x v="503"/>
    <n v="7"/>
    <x v="6"/>
    <x v="9"/>
    <x v="9"/>
    <x v="3"/>
    <x v="2"/>
  </r>
  <r>
    <s v="AX13809"/>
    <s v="ENX2100"/>
    <s v="A167"/>
    <s v="EMP1009"/>
    <s v="C1777"/>
    <x v="786"/>
    <n v="2"/>
    <n v="799"/>
    <n v="455"/>
    <n v="910"/>
    <n v="1598"/>
    <n v="688"/>
    <s v="Product 101"/>
    <x v="64"/>
    <s v="Kenneth Fields"/>
    <x v="682"/>
    <n v="7"/>
    <x v="6"/>
    <x v="9"/>
    <x v="9"/>
    <x v="3"/>
    <x v="2"/>
  </r>
  <r>
    <s v="AX13948"/>
    <s v="ENX2024"/>
    <s v="A161"/>
    <s v="EMP1042"/>
    <s v="C1289"/>
    <x v="783"/>
    <n v="4"/>
    <n v="356"/>
    <n v="292"/>
    <n v="1168"/>
    <n v="1424"/>
    <n v="256"/>
    <s v="Product 25"/>
    <x v="6"/>
    <s v="Scott Clark"/>
    <x v="328"/>
    <n v="7"/>
    <x v="6"/>
    <x v="9"/>
    <x v="9"/>
    <x v="3"/>
    <x v="2"/>
  </r>
  <r>
    <s v="AX15503"/>
    <s v="ENX2073"/>
    <s v="A157"/>
    <s v="EMP1037"/>
    <s v="C1386"/>
    <x v="785"/>
    <n v="3"/>
    <n v="95"/>
    <n v="61"/>
    <n v="183"/>
    <n v="285"/>
    <n v="102"/>
    <s v="Product 74"/>
    <x v="7"/>
    <s v="Carl Hall"/>
    <x v="123"/>
    <n v="7"/>
    <x v="6"/>
    <x v="9"/>
    <x v="9"/>
    <x v="3"/>
    <x v="2"/>
  </r>
  <r>
    <s v="AX15916"/>
    <s v="ENX2024"/>
    <s v="A124"/>
    <s v="EMP1035"/>
    <s v="C1053"/>
    <x v="785"/>
    <n v="1"/>
    <n v="356"/>
    <n v="292"/>
    <n v="292"/>
    <n v="356"/>
    <n v="64"/>
    <s v="Product 25"/>
    <x v="67"/>
    <s v="Roger Ramos"/>
    <x v="435"/>
    <n v="7"/>
    <x v="6"/>
    <x v="9"/>
    <x v="9"/>
    <x v="3"/>
    <x v="2"/>
  </r>
  <r>
    <s v="AX16713"/>
    <s v="ENX2007"/>
    <s v="A165"/>
    <s v="EMP1017"/>
    <s v="C1645"/>
    <x v="784"/>
    <n v="2"/>
    <n v="1405"/>
    <n v="1054"/>
    <n v="2108"/>
    <n v="2810"/>
    <n v="702"/>
    <s v="Product 8"/>
    <x v="55"/>
    <s v="Brian Hansen"/>
    <x v="128"/>
    <n v="7"/>
    <x v="6"/>
    <x v="9"/>
    <x v="9"/>
    <x v="3"/>
    <x v="2"/>
  </r>
  <r>
    <s v="AX16812"/>
    <s v="ENX2005"/>
    <s v="A118"/>
    <s v="EMP1015"/>
    <s v="C1203"/>
    <x v="784"/>
    <n v="1"/>
    <n v="684"/>
    <n v="561"/>
    <n v="561"/>
    <n v="684"/>
    <n v="123"/>
    <s v="Product 6"/>
    <x v="19"/>
    <s v="Justin Lynch"/>
    <x v="792"/>
    <n v="7"/>
    <x v="6"/>
    <x v="9"/>
    <x v="9"/>
    <x v="3"/>
    <x v="2"/>
  </r>
  <r>
    <s v="AX16858"/>
    <s v="ENX2092"/>
    <s v="A168"/>
    <s v="EMP1022"/>
    <s v="C1274"/>
    <x v="785"/>
    <n v="3"/>
    <n v="1639"/>
    <n v="1295"/>
    <n v="3885"/>
    <n v="4917"/>
    <n v="1032"/>
    <s v="Product 93"/>
    <x v="40"/>
    <s v="Walter Cook"/>
    <x v="173"/>
    <n v="7"/>
    <x v="6"/>
    <x v="9"/>
    <x v="9"/>
    <x v="3"/>
    <x v="2"/>
  </r>
  <r>
    <s v="AX17105"/>
    <s v="ENX2002"/>
    <s v="A112"/>
    <s v="EMP1000"/>
    <s v="C1006"/>
    <x v="785"/>
    <n v="1"/>
    <n v="847"/>
    <n v="534"/>
    <n v="534"/>
    <n v="847"/>
    <n v="313"/>
    <s v="Product 3"/>
    <x v="66"/>
    <s v="Fred Robertson"/>
    <x v="687"/>
    <n v="7"/>
    <x v="6"/>
    <x v="9"/>
    <x v="9"/>
    <x v="3"/>
    <x v="2"/>
  </r>
  <r>
    <s v="AX17267"/>
    <s v="ENX2035"/>
    <s v="A111"/>
    <s v="EMP1005"/>
    <s v="C1528"/>
    <x v="786"/>
    <n v="4"/>
    <n v="458"/>
    <n v="376"/>
    <n v="1504"/>
    <n v="1832"/>
    <n v="328"/>
    <s v="Product 36"/>
    <x v="54"/>
    <s v="Ryan Welch"/>
    <x v="158"/>
    <n v="7"/>
    <x v="6"/>
    <x v="9"/>
    <x v="9"/>
    <x v="3"/>
    <x v="2"/>
  </r>
  <r>
    <s v="AX17319"/>
    <s v="ENX2092"/>
    <s v="A146"/>
    <s v="EMP1042"/>
    <s v="C1371"/>
    <x v="783"/>
    <n v="4"/>
    <n v="1639"/>
    <n v="1295"/>
    <n v="5180"/>
    <n v="6556"/>
    <n v="1376"/>
    <s v="Product 93"/>
    <x v="27"/>
    <s v="Scott Clark"/>
    <x v="180"/>
    <n v="7"/>
    <x v="6"/>
    <x v="9"/>
    <x v="9"/>
    <x v="3"/>
    <x v="2"/>
  </r>
  <r>
    <s v="AX17645"/>
    <s v="ENX2010"/>
    <s v="A121"/>
    <s v="EMP1028"/>
    <s v="C1712"/>
    <x v="785"/>
    <n v="1"/>
    <n v="1812"/>
    <n v="1305"/>
    <n v="1305"/>
    <n v="1812"/>
    <n v="507"/>
    <s v="Product 11"/>
    <x v="72"/>
    <s v="Howard Sims"/>
    <x v="21"/>
    <n v="7"/>
    <x v="6"/>
    <x v="9"/>
    <x v="9"/>
    <x v="3"/>
    <x v="2"/>
  </r>
  <r>
    <s v="AX17841"/>
    <s v="ENX2037"/>
    <s v="A163"/>
    <s v="EMP1006"/>
    <s v="C1274"/>
    <x v="785"/>
    <n v="1"/>
    <n v="880"/>
    <n v="634"/>
    <n v="634"/>
    <n v="880"/>
    <n v="246"/>
    <s v="Product 38"/>
    <x v="51"/>
    <s v="Sean Miller"/>
    <x v="173"/>
    <n v="7"/>
    <x v="6"/>
    <x v="9"/>
    <x v="9"/>
    <x v="3"/>
    <x v="2"/>
  </r>
  <r>
    <s v="AX18036"/>
    <s v="ENX2053"/>
    <s v="A127"/>
    <s v="EMP1043"/>
    <s v="C1184"/>
    <x v="786"/>
    <n v="3"/>
    <n v="596"/>
    <n v="358"/>
    <n v="1074"/>
    <n v="1788"/>
    <n v="714"/>
    <s v="Product 54"/>
    <x v="69"/>
    <s v="Joshua Taylor"/>
    <x v="707"/>
    <n v="7"/>
    <x v="6"/>
    <x v="9"/>
    <x v="9"/>
    <x v="3"/>
    <x v="2"/>
  </r>
  <r>
    <s v="AX18079"/>
    <s v="ENX2051"/>
    <s v="A117"/>
    <s v="EMP1000"/>
    <s v="C1075"/>
    <x v="785"/>
    <n v="1"/>
    <n v="1077"/>
    <n v="732"/>
    <n v="732"/>
    <n v="1077"/>
    <n v="345"/>
    <s v="Product 52"/>
    <x v="29"/>
    <s v="Fred Robertson"/>
    <x v="594"/>
    <n v="7"/>
    <x v="6"/>
    <x v="9"/>
    <x v="9"/>
    <x v="3"/>
    <x v="2"/>
  </r>
  <r>
    <s v="AX18574"/>
    <s v="ENX2057"/>
    <s v="A107"/>
    <s v="EMP1023"/>
    <s v="C1263"/>
    <x v="784"/>
    <n v="4"/>
    <n v="181"/>
    <n v="130"/>
    <n v="520"/>
    <n v="724"/>
    <n v="204"/>
    <s v="Product 58"/>
    <x v="21"/>
    <s v="Brian Davis"/>
    <x v="368"/>
    <n v="7"/>
    <x v="6"/>
    <x v="9"/>
    <x v="9"/>
    <x v="3"/>
    <x v="2"/>
  </r>
  <r>
    <s v="AX19076"/>
    <s v="ENX2026"/>
    <s v="A170"/>
    <s v="EMP1024"/>
    <s v="C1594"/>
    <x v="784"/>
    <n v="1"/>
    <n v="947"/>
    <n v="786"/>
    <n v="786"/>
    <n v="947"/>
    <n v="161"/>
    <s v="Product 27"/>
    <x v="47"/>
    <s v="Ernest Wheeler"/>
    <x v="770"/>
    <n v="7"/>
    <x v="6"/>
    <x v="9"/>
    <x v="9"/>
    <x v="3"/>
    <x v="2"/>
  </r>
  <r>
    <s v="AX19293"/>
    <s v="ENX2058"/>
    <s v="A167"/>
    <s v="EMP1010"/>
    <s v="C1069"/>
    <x v="783"/>
    <n v="3"/>
    <n v="2257"/>
    <n v="1535"/>
    <n v="4605"/>
    <n v="6771"/>
    <n v="2166"/>
    <s v="Product 59"/>
    <x v="64"/>
    <s v="Joshua Cook"/>
    <x v="284"/>
    <n v="7"/>
    <x v="6"/>
    <x v="9"/>
    <x v="9"/>
    <x v="3"/>
    <x v="2"/>
  </r>
  <r>
    <s v="AX19404"/>
    <s v="ENX2054"/>
    <s v="A108"/>
    <s v="EMP1017"/>
    <s v="C1223"/>
    <x v="784"/>
    <n v="1"/>
    <n v="127"/>
    <n v="79"/>
    <n v="79"/>
    <n v="127"/>
    <n v="48"/>
    <s v="Product 55"/>
    <x v="49"/>
    <s v="Brian Hansen"/>
    <x v="310"/>
    <n v="7"/>
    <x v="6"/>
    <x v="9"/>
    <x v="9"/>
    <x v="3"/>
    <x v="2"/>
  </r>
  <r>
    <s v="AX19645"/>
    <s v="ENX2037"/>
    <s v="A115"/>
    <s v="EMP1022"/>
    <s v="C1773"/>
    <x v="783"/>
    <n v="2"/>
    <n v="880"/>
    <n v="634"/>
    <n v="1268"/>
    <n v="1760"/>
    <n v="492"/>
    <s v="Product 38"/>
    <x v="33"/>
    <s v="Walter Cook"/>
    <x v="723"/>
    <n v="7"/>
    <x v="6"/>
    <x v="9"/>
    <x v="9"/>
    <x v="3"/>
    <x v="2"/>
  </r>
  <r>
    <s v="AX19694"/>
    <s v="ENX2011"/>
    <s v="A163"/>
    <s v="EMP1029"/>
    <s v="C1601"/>
    <x v="786"/>
    <n v="3"/>
    <n v="530"/>
    <n v="435"/>
    <n v="1305"/>
    <n v="1590"/>
    <n v="285"/>
    <s v="Product 12"/>
    <x v="51"/>
    <s v="Howard Gardner"/>
    <x v="324"/>
    <n v="7"/>
    <x v="6"/>
    <x v="9"/>
    <x v="9"/>
    <x v="3"/>
    <x v="2"/>
  </r>
  <r>
    <s v="AX19761"/>
    <s v="ENX2012"/>
    <s v="A104"/>
    <s v="EMP1020"/>
    <s v="C1409"/>
    <x v="784"/>
    <n v="1"/>
    <n v="1353"/>
    <n v="947"/>
    <n v="947"/>
    <n v="1353"/>
    <n v="406"/>
    <s v="Product 13"/>
    <x v="50"/>
    <s v="Ryan Butler"/>
    <x v="44"/>
    <n v="7"/>
    <x v="6"/>
    <x v="9"/>
    <x v="9"/>
    <x v="3"/>
    <x v="2"/>
  </r>
  <r>
    <s v="AX19973"/>
    <s v="ENX2092"/>
    <s v="A151"/>
    <s v="EMP1012"/>
    <s v="C1799"/>
    <x v="783"/>
    <n v="1"/>
    <n v="1639"/>
    <n v="1295"/>
    <n v="1295"/>
    <n v="1639"/>
    <n v="344"/>
    <s v="Product 93"/>
    <x v="1"/>
    <s v="John Reyes"/>
    <x v="390"/>
    <n v="7"/>
    <x v="6"/>
    <x v="9"/>
    <x v="9"/>
    <x v="3"/>
    <x v="2"/>
  </r>
  <r>
    <s v="AX19983"/>
    <s v="ENX2029"/>
    <s v="A105"/>
    <s v="EMP1044"/>
    <s v="C1614"/>
    <x v="785"/>
    <n v="3"/>
    <n v="1848"/>
    <n v="1294"/>
    <n v="3882"/>
    <n v="5544"/>
    <n v="1662"/>
    <s v="Product 30"/>
    <x v="45"/>
    <s v="Martin Carr"/>
    <x v="11"/>
    <n v="7"/>
    <x v="6"/>
    <x v="9"/>
    <x v="9"/>
    <x v="3"/>
    <x v="2"/>
  </r>
  <r>
    <s v="AX20328"/>
    <s v="ENX2037"/>
    <s v="A151"/>
    <s v="EMP1008"/>
    <s v="C1233"/>
    <x v="785"/>
    <n v="3"/>
    <n v="880"/>
    <n v="634"/>
    <n v="1902"/>
    <n v="2640"/>
    <n v="738"/>
    <s v="Product 38"/>
    <x v="1"/>
    <s v="Carl Elliott"/>
    <x v="396"/>
    <n v="7"/>
    <x v="6"/>
    <x v="9"/>
    <x v="9"/>
    <x v="3"/>
    <x v="2"/>
  </r>
  <r>
    <s v="AX21786"/>
    <s v="ENX2058"/>
    <s v="A108"/>
    <s v="EMP1040"/>
    <s v="C1153"/>
    <x v="784"/>
    <n v="3"/>
    <n v="2257"/>
    <n v="1535"/>
    <n v="4605"/>
    <n v="6771"/>
    <n v="2166"/>
    <s v="Product 59"/>
    <x v="49"/>
    <s v="Patrick Ruiz"/>
    <x v="382"/>
    <n v="7"/>
    <x v="6"/>
    <x v="9"/>
    <x v="9"/>
    <x v="3"/>
    <x v="2"/>
  </r>
  <r>
    <s v="AX22324"/>
    <s v="ENX2064"/>
    <s v="A138"/>
    <s v="EMP1027"/>
    <s v="C1397"/>
    <x v="786"/>
    <n v="1"/>
    <n v="1414"/>
    <n v="962"/>
    <n v="962"/>
    <n v="1414"/>
    <n v="452"/>
    <s v="Product 65"/>
    <x v="37"/>
    <s v="Gary Rodriguez"/>
    <x v="560"/>
    <n v="7"/>
    <x v="6"/>
    <x v="9"/>
    <x v="9"/>
    <x v="3"/>
    <x v="2"/>
  </r>
  <r>
    <s v="AX22342"/>
    <s v="ENX2099"/>
    <s v="A133"/>
    <s v="EMP1029"/>
    <s v="C1632"/>
    <x v="786"/>
    <n v="2"/>
    <n v="1367"/>
    <n v="984"/>
    <n v="1968"/>
    <n v="2734"/>
    <n v="766"/>
    <s v="Product 100"/>
    <x v="46"/>
    <s v="Howard Gardner"/>
    <x v="311"/>
    <n v="7"/>
    <x v="6"/>
    <x v="9"/>
    <x v="9"/>
    <x v="3"/>
    <x v="2"/>
  </r>
  <r>
    <s v="AX22344"/>
    <s v="ENX2026"/>
    <s v="A105"/>
    <s v="EMP1043"/>
    <s v="C1490"/>
    <x v="785"/>
    <n v="1"/>
    <n v="947"/>
    <n v="786"/>
    <n v="786"/>
    <n v="947"/>
    <n v="161"/>
    <s v="Product 27"/>
    <x v="45"/>
    <s v="Joshua Taylor"/>
    <x v="61"/>
    <n v="7"/>
    <x v="6"/>
    <x v="9"/>
    <x v="9"/>
    <x v="3"/>
    <x v="2"/>
  </r>
  <r>
    <s v="AX22584"/>
    <s v="ENX2058"/>
    <s v="A119"/>
    <s v="EMP1034"/>
    <s v="C1095"/>
    <x v="786"/>
    <n v="2"/>
    <n v="2257"/>
    <n v="1535"/>
    <n v="3070"/>
    <n v="4514"/>
    <n v="1444"/>
    <s v="Product 59"/>
    <x v="16"/>
    <s v="Arthur Mccoy"/>
    <x v="240"/>
    <n v="7"/>
    <x v="6"/>
    <x v="9"/>
    <x v="9"/>
    <x v="3"/>
    <x v="2"/>
  </r>
  <r>
    <s v="AX22628"/>
    <s v="ENX2098"/>
    <s v="A141"/>
    <s v="EMP1009"/>
    <s v="C1782"/>
    <x v="786"/>
    <n v="2"/>
    <n v="1178"/>
    <n v="683"/>
    <n v="1366"/>
    <n v="2356"/>
    <n v="990"/>
    <s v="Product 99"/>
    <x v="23"/>
    <s v="Kenneth Fields"/>
    <x v="607"/>
    <n v="7"/>
    <x v="6"/>
    <x v="9"/>
    <x v="9"/>
    <x v="3"/>
    <x v="2"/>
  </r>
  <r>
    <s v="AX23100"/>
    <s v="ENX2020"/>
    <s v="A173"/>
    <s v="EMP1028"/>
    <s v="C1072"/>
    <x v="785"/>
    <n v="3"/>
    <n v="2005"/>
    <n v="1223"/>
    <n v="3669"/>
    <n v="6015"/>
    <n v="2346"/>
    <s v="Product 21"/>
    <x v="25"/>
    <s v="Howard Sims"/>
    <x v="529"/>
    <n v="7"/>
    <x v="6"/>
    <x v="9"/>
    <x v="9"/>
    <x v="3"/>
    <x v="2"/>
  </r>
  <r>
    <s v="AX23191"/>
    <s v="ENX2057"/>
    <s v="A119"/>
    <s v="EMP1016"/>
    <s v="C1736"/>
    <x v="783"/>
    <n v="3"/>
    <n v="181"/>
    <n v="130"/>
    <n v="390"/>
    <n v="543"/>
    <n v="153"/>
    <s v="Product 58"/>
    <x v="16"/>
    <s v="Henry Nelson"/>
    <x v="472"/>
    <n v="7"/>
    <x v="6"/>
    <x v="9"/>
    <x v="9"/>
    <x v="3"/>
    <x v="2"/>
  </r>
  <r>
    <s v="AX23738"/>
    <s v="ENX2017"/>
    <s v="A127"/>
    <s v="EMP1003"/>
    <s v="C1170"/>
    <x v="783"/>
    <n v="1"/>
    <n v="35"/>
    <n v="22"/>
    <n v="22"/>
    <n v="35"/>
    <n v="13"/>
    <s v="Product 18"/>
    <x v="69"/>
    <s v="Christopher Tucker"/>
    <x v="616"/>
    <n v="7"/>
    <x v="6"/>
    <x v="9"/>
    <x v="9"/>
    <x v="3"/>
    <x v="2"/>
  </r>
  <r>
    <s v="AX24445"/>
    <s v="ENX2095"/>
    <s v="A155"/>
    <s v="EMP1001"/>
    <s v="C1579"/>
    <x v="783"/>
    <n v="4"/>
    <n v="1743"/>
    <n v="872"/>
    <n v="3488"/>
    <n v="6972"/>
    <n v="3484"/>
    <s v="Product 96"/>
    <x v="53"/>
    <s v="Kevin Butler"/>
    <x v="422"/>
    <n v="7"/>
    <x v="6"/>
    <x v="9"/>
    <x v="9"/>
    <x v="3"/>
    <x v="2"/>
  </r>
  <r>
    <s v="AX24514"/>
    <s v="ENX2057"/>
    <s v="A101"/>
    <s v="EMP1026"/>
    <s v="C1774"/>
    <x v="786"/>
    <n v="3"/>
    <n v="181"/>
    <n v="130"/>
    <n v="390"/>
    <n v="543"/>
    <n v="153"/>
    <s v="Product 58"/>
    <x v="60"/>
    <s v="Martin Perry"/>
    <x v="232"/>
    <n v="7"/>
    <x v="6"/>
    <x v="9"/>
    <x v="9"/>
    <x v="3"/>
    <x v="2"/>
  </r>
  <r>
    <s v="AX10058"/>
    <s v="ENX2016"/>
    <s v="A107"/>
    <s v="EMP1027"/>
    <s v="C1526"/>
    <x v="787"/>
    <n v="3"/>
    <n v="1351"/>
    <n v="1108"/>
    <n v="3324"/>
    <n v="4053"/>
    <n v="729"/>
    <s v="Product 17"/>
    <x v="21"/>
    <s v="Gary Rodriguez"/>
    <x v="6"/>
    <n v="7"/>
    <x v="6"/>
    <x v="10"/>
    <x v="10"/>
    <x v="3"/>
    <x v="0"/>
  </r>
  <r>
    <s v="AX10446"/>
    <s v="ENX2042"/>
    <s v="A145"/>
    <s v="EMP1035"/>
    <s v="C1610"/>
    <x v="788"/>
    <n v="4"/>
    <n v="203"/>
    <n v="154"/>
    <n v="616"/>
    <n v="812"/>
    <n v="196"/>
    <s v="Product 43"/>
    <x v="35"/>
    <s v="Roger Ramos"/>
    <x v="362"/>
    <n v="7"/>
    <x v="6"/>
    <x v="10"/>
    <x v="10"/>
    <x v="3"/>
    <x v="0"/>
  </r>
  <r>
    <s v="AX11205"/>
    <s v="ENX2054"/>
    <s v="A172"/>
    <s v="EMP1015"/>
    <s v="C1719"/>
    <x v="789"/>
    <n v="2"/>
    <n v="127"/>
    <n v="79"/>
    <n v="158"/>
    <n v="254"/>
    <n v="96"/>
    <s v="Product 55"/>
    <x v="36"/>
    <s v="Justin Lynch"/>
    <x v="666"/>
    <n v="7"/>
    <x v="6"/>
    <x v="10"/>
    <x v="10"/>
    <x v="3"/>
    <x v="0"/>
  </r>
  <r>
    <s v="AX11424"/>
    <s v="ENX2087"/>
    <s v="A157"/>
    <s v="EMP1025"/>
    <s v="C1795"/>
    <x v="788"/>
    <n v="1"/>
    <n v="1022"/>
    <n v="818"/>
    <n v="818"/>
    <n v="1022"/>
    <n v="204"/>
    <s v="Product 88"/>
    <x v="7"/>
    <s v="Ernest Wagner"/>
    <x v="592"/>
    <n v="7"/>
    <x v="6"/>
    <x v="10"/>
    <x v="10"/>
    <x v="3"/>
    <x v="0"/>
  </r>
  <r>
    <s v="AX11985"/>
    <s v="ENX2018"/>
    <s v="A104"/>
    <s v="EMP1021"/>
    <s v="C1237"/>
    <x v="790"/>
    <n v="1"/>
    <n v="1972"/>
    <n v="1321"/>
    <n v="1321"/>
    <n v="1972"/>
    <n v="651"/>
    <s v="Product 19"/>
    <x v="50"/>
    <s v="Clarence Fox"/>
    <x v="484"/>
    <n v="7"/>
    <x v="6"/>
    <x v="10"/>
    <x v="10"/>
    <x v="3"/>
    <x v="0"/>
  </r>
  <r>
    <s v="AX12222"/>
    <s v="ENX2043"/>
    <s v="A126"/>
    <s v="EMP1026"/>
    <s v="C1397"/>
    <x v="790"/>
    <n v="3"/>
    <n v="545"/>
    <n v="425"/>
    <n v="1275"/>
    <n v="1635"/>
    <n v="360"/>
    <s v="Product 44"/>
    <x v="5"/>
    <s v="Martin Perry"/>
    <x v="560"/>
    <n v="7"/>
    <x v="6"/>
    <x v="10"/>
    <x v="10"/>
    <x v="3"/>
    <x v="0"/>
  </r>
  <r>
    <s v="AX12299"/>
    <s v="ENX2076"/>
    <s v="A142"/>
    <s v="EMP1015"/>
    <s v="C1520"/>
    <x v="791"/>
    <n v="1"/>
    <n v="1522"/>
    <n v="791"/>
    <n v="791"/>
    <n v="1522"/>
    <n v="731"/>
    <s v="Product 77"/>
    <x v="56"/>
    <s v="Justin Lynch"/>
    <x v="576"/>
    <n v="7"/>
    <x v="6"/>
    <x v="10"/>
    <x v="10"/>
    <x v="3"/>
    <x v="0"/>
  </r>
  <r>
    <s v="AX12685"/>
    <s v="ENX2015"/>
    <s v="A104"/>
    <s v="EMP1023"/>
    <s v="C1002"/>
    <x v="787"/>
    <n v="1"/>
    <n v="637"/>
    <n v="389"/>
    <n v="389"/>
    <n v="637"/>
    <n v="248"/>
    <s v="Product 16"/>
    <x v="50"/>
    <s v="Brian Davis"/>
    <x v="49"/>
    <n v="7"/>
    <x v="6"/>
    <x v="10"/>
    <x v="10"/>
    <x v="3"/>
    <x v="0"/>
  </r>
  <r>
    <s v="AX12904"/>
    <s v="ENX2063"/>
    <s v="A171"/>
    <s v="EMP1035"/>
    <s v="C1255"/>
    <x v="788"/>
    <n v="1"/>
    <n v="1708"/>
    <n v="871"/>
    <n v="871"/>
    <n v="1708"/>
    <n v="837"/>
    <s v="Product 64"/>
    <x v="0"/>
    <s v="Roger Ramos"/>
    <x v="111"/>
    <n v="7"/>
    <x v="6"/>
    <x v="10"/>
    <x v="10"/>
    <x v="3"/>
    <x v="0"/>
  </r>
  <r>
    <s v="AX13165"/>
    <s v="ENX2030"/>
    <s v="A171"/>
    <s v="EMP1001"/>
    <s v="C1763"/>
    <x v="791"/>
    <n v="1"/>
    <n v="1899"/>
    <n v="1044"/>
    <n v="1044"/>
    <n v="1899"/>
    <n v="855"/>
    <s v="Product 31"/>
    <x v="0"/>
    <s v="Kevin Butler"/>
    <x v="409"/>
    <n v="7"/>
    <x v="6"/>
    <x v="10"/>
    <x v="10"/>
    <x v="3"/>
    <x v="0"/>
  </r>
  <r>
    <s v="AX13245"/>
    <s v="ENX2057"/>
    <s v="A163"/>
    <s v="EMP1040"/>
    <s v="C1618"/>
    <x v="788"/>
    <n v="1"/>
    <n v="181"/>
    <n v="130"/>
    <n v="130"/>
    <n v="181"/>
    <n v="51"/>
    <s v="Product 58"/>
    <x v="51"/>
    <s v="Patrick Ruiz"/>
    <x v="292"/>
    <n v="7"/>
    <x v="6"/>
    <x v="10"/>
    <x v="10"/>
    <x v="3"/>
    <x v="0"/>
  </r>
  <r>
    <s v="AX13286"/>
    <s v="ENX2097"/>
    <s v="A110"/>
    <s v="EMP1038"/>
    <s v="C1224"/>
    <x v="791"/>
    <n v="1"/>
    <n v="1052"/>
    <n v="589"/>
    <n v="589"/>
    <n v="1052"/>
    <n v="463"/>
    <s v="Product 98"/>
    <x v="63"/>
    <s v="Scott Mason"/>
    <x v="492"/>
    <n v="7"/>
    <x v="6"/>
    <x v="10"/>
    <x v="10"/>
    <x v="3"/>
    <x v="0"/>
  </r>
  <r>
    <s v="AX13309"/>
    <s v="ENX2048"/>
    <s v="A120"/>
    <s v="EMP1019"/>
    <s v="C1266"/>
    <x v="790"/>
    <n v="1"/>
    <n v="502"/>
    <n v="296"/>
    <n v="296"/>
    <n v="502"/>
    <n v="206"/>
    <s v="Product 49"/>
    <x v="20"/>
    <s v="Roger Robertson"/>
    <x v="254"/>
    <n v="7"/>
    <x v="6"/>
    <x v="10"/>
    <x v="10"/>
    <x v="3"/>
    <x v="0"/>
  </r>
  <r>
    <s v="AX13725"/>
    <s v="ENX2008"/>
    <s v="A115"/>
    <s v="EMP1022"/>
    <s v="C1078"/>
    <x v="790"/>
    <n v="4"/>
    <n v="315"/>
    <n v="208"/>
    <n v="832"/>
    <n v="1260"/>
    <n v="428"/>
    <s v="Product 9"/>
    <x v="33"/>
    <s v="Walter Cook"/>
    <x v="565"/>
    <n v="7"/>
    <x v="6"/>
    <x v="10"/>
    <x v="10"/>
    <x v="3"/>
    <x v="0"/>
  </r>
  <r>
    <s v="AX13841"/>
    <s v="ENX2025"/>
    <s v="A107"/>
    <s v="EMP1000"/>
    <s v="C1154"/>
    <x v="791"/>
    <n v="4"/>
    <n v="667"/>
    <n v="387"/>
    <n v="1548"/>
    <n v="2668"/>
    <n v="1120"/>
    <s v="Product 26"/>
    <x v="21"/>
    <s v="Fred Robertson"/>
    <x v="243"/>
    <n v="7"/>
    <x v="6"/>
    <x v="10"/>
    <x v="10"/>
    <x v="3"/>
    <x v="0"/>
  </r>
  <r>
    <s v="AX13874"/>
    <s v="ENX2016"/>
    <s v="A154"/>
    <s v="EMP1029"/>
    <s v="C1725"/>
    <x v="791"/>
    <n v="1"/>
    <n v="1351"/>
    <n v="1108"/>
    <n v="1108"/>
    <n v="1351"/>
    <n v="243"/>
    <s v="Product 17"/>
    <x v="24"/>
    <s v="Howard Gardner"/>
    <x v="81"/>
    <n v="7"/>
    <x v="6"/>
    <x v="10"/>
    <x v="10"/>
    <x v="3"/>
    <x v="0"/>
  </r>
  <r>
    <s v="AX13979"/>
    <s v="ENX2096"/>
    <s v="A109"/>
    <s v="EMP1039"/>
    <s v="C1543"/>
    <x v="791"/>
    <n v="1"/>
    <n v="1587"/>
    <n v="1301"/>
    <n v="1301"/>
    <n v="1587"/>
    <n v="286"/>
    <s v="Product 97"/>
    <x v="57"/>
    <s v="Eugene Holmes"/>
    <x v="337"/>
    <n v="7"/>
    <x v="6"/>
    <x v="10"/>
    <x v="10"/>
    <x v="3"/>
    <x v="0"/>
  </r>
  <r>
    <s v="AX14321"/>
    <s v="ENX2003"/>
    <s v="A102"/>
    <s v="EMP1003"/>
    <s v="C1176"/>
    <x v="787"/>
    <n v="1"/>
    <n v="1783"/>
    <n v="1516"/>
    <n v="1516"/>
    <n v="1783"/>
    <n v="267"/>
    <s v="Product 4"/>
    <x v="44"/>
    <s v="Christopher Tucker"/>
    <x v="117"/>
    <n v="7"/>
    <x v="6"/>
    <x v="10"/>
    <x v="10"/>
    <x v="3"/>
    <x v="0"/>
  </r>
  <r>
    <s v="AX14390"/>
    <s v="ENX2004"/>
    <s v="A101"/>
    <s v="EMP1016"/>
    <s v="C1456"/>
    <x v="791"/>
    <n v="1"/>
    <n v="1278"/>
    <n v="665"/>
    <n v="665"/>
    <n v="1278"/>
    <n v="613"/>
    <s v="Product 5"/>
    <x v="60"/>
    <s v="Henry Nelson"/>
    <x v="366"/>
    <n v="7"/>
    <x v="6"/>
    <x v="10"/>
    <x v="10"/>
    <x v="3"/>
    <x v="0"/>
  </r>
  <r>
    <s v="AX14513"/>
    <s v="ENX2064"/>
    <s v="A135"/>
    <s v="EMP1037"/>
    <s v="C1483"/>
    <x v="791"/>
    <n v="4"/>
    <n v="1414"/>
    <n v="962"/>
    <n v="3848"/>
    <n v="5656"/>
    <n v="1808"/>
    <s v="Product 65"/>
    <x v="10"/>
    <s v="Carl Hall"/>
    <x v="255"/>
    <n v="7"/>
    <x v="6"/>
    <x v="10"/>
    <x v="10"/>
    <x v="3"/>
    <x v="0"/>
  </r>
  <r>
    <s v="AX14571"/>
    <s v="ENX2002"/>
    <s v="A152"/>
    <s v="EMP1034"/>
    <s v="C1372"/>
    <x v="787"/>
    <n v="1"/>
    <n v="847"/>
    <n v="534"/>
    <n v="534"/>
    <n v="847"/>
    <n v="313"/>
    <s v="Product 3"/>
    <x v="26"/>
    <s v="Arthur Mccoy"/>
    <x v="60"/>
    <n v="7"/>
    <x v="6"/>
    <x v="10"/>
    <x v="10"/>
    <x v="3"/>
    <x v="0"/>
  </r>
  <r>
    <s v="AX14814"/>
    <s v="ENX2070"/>
    <s v="A171"/>
    <s v="EMP1003"/>
    <s v="C1270"/>
    <x v="790"/>
    <n v="1"/>
    <n v="1671"/>
    <n v="1220"/>
    <n v="1220"/>
    <n v="1671"/>
    <n v="451"/>
    <s v="Product 71"/>
    <x v="0"/>
    <s v="Christopher Tucker"/>
    <x v="517"/>
    <n v="7"/>
    <x v="6"/>
    <x v="10"/>
    <x v="10"/>
    <x v="3"/>
    <x v="0"/>
  </r>
  <r>
    <s v="AX14849"/>
    <s v="ENX2013"/>
    <s v="A133"/>
    <s v="EMP1032"/>
    <s v="C1723"/>
    <x v="788"/>
    <n v="3"/>
    <n v="368"/>
    <n v="269"/>
    <n v="807"/>
    <n v="1104"/>
    <n v="297"/>
    <s v="Product 14"/>
    <x v="46"/>
    <s v="Larry Castillo"/>
    <x v="118"/>
    <n v="7"/>
    <x v="6"/>
    <x v="10"/>
    <x v="10"/>
    <x v="3"/>
    <x v="0"/>
  </r>
  <r>
    <s v="AX15045"/>
    <s v="ENX2009"/>
    <s v="A106"/>
    <s v="EMP1016"/>
    <s v="C1326"/>
    <x v="787"/>
    <n v="3"/>
    <n v="584"/>
    <n v="420"/>
    <n v="1260"/>
    <n v="1752"/>
    <n v="492"/>
    <s v="Product 10"/>
    <x v="11"/>
    <s v="Henry Nelson"/>
    <x v="98"/>
    <n v="7"/>
    <x v="6"/>
    <x v="10"/>
    <x v="10"/>
    <x v="3"/>
    <x v="0"/>
  </r>
  <r>
    <s v="AX15231"/>
    <s v="ENX2023"/>
    <s v="A168"/>
    <s v="EMP1018"/>
    <s v="C1744"/>
    <x v="787"/>
    <n v="3"/>
    <n v="818"/>
    <n v="450"/>
    <n v="1350"/>
    <n v="2454"/>
    <n v="1104"/>
    <s v="Product 24"/>
    <x v="40"/>
    <s v="Jimmy Young"/>
    <x v="500"/>
    <n v="7"/>
    <x v="6"/>
    <x v="10"/>
    <x v="10"/>
    <x v="3"/>
    <x v="0"/>
  </r>
  <r>
    <s v="AX15372"/>
    <s v="ENX2016"/>
    <s v="A138"/>
    <s v="EMP1027"/>
    <s v="C1186"/>
    <x v="788"/>
    <n v="3"/>
    <n v="1351"/>
    <n v="1108"/>
    <n v="3324"/>
    <n v="4053"/>
    <n v="729"/>
    <s v="Product 17"/>
    <x v="37"/>
    <s v="Gary Rodriguez"/>
    <x v="467"/>
    <n v="7"/>
    <x v="6"/>
    <x v="10"/>
    <x v="10"/>
    <x v="3"/>
    <x v="0"/>
  </r>
  <r>
    <s v="AX15595"/>
    <s v="ENX2070"/>
    <s v="A152"/>
    <s v="EMP1013"/>
    <s v="C1110"/>
    <x v="789"/>
    <n v="2"/>
    <n v="1671"/>
    <n v="1220"/>
    <n v="2440"/>
    <n v="3342"/>
    <n v="902"/>
    <s v="Product 71"/>
    <x v="26"/>
    <s v="Charles Harper"/>
    <x v="620"/>
    <n v="7"/>
    <x v="6"/>
    <x v="10"/>
    <x v="10"/>
    <x v="3"/>
    <x v="0"/>
  </r>
  <r>
    <s v="AX16006"/>
    <s v="ENX2008"/>
    <s v="A156"/>
    <s v="EMP1035"/>
    <s v="C1024"/>
    <x v="788"/>
    <n v="1"/>
    <n v="315"/>
    <n v="208"/>
    <n v="208"/>
    <n v="315"/>
    <n v="107"/>
    <s v="Product 9"/>
    <x v="14"/>
    <s v="Roger Ramos"/>
    <x v="599"/>
    <n v="7"/>
    <x v="6"/>
    <x v="10"/>
    <x v="10"/>
    <x v="3"/>
    <x v="0"/>
  </r>
  <r>
    <s v="AX16018"/>
    <s v="ENX2096"/>
    <s v="A131"/>
    <s v="EMP1007"/>
    <s v="C1346"/>
    <x v="791"/>
    <n v="1"/>
    <n v="1587"/>
    <n v="1301"/>
    <n v="1301"/>
    <n v="1587"/>
    <n v="286"/>
    <s v="Product 97"/>
    <x v="32"/>
    <s v="Jeremy Mendoza"/>
    <x v="340"/>
    <n v="7"/>
    <x v="6"/>
    <x v="10"/>
    <x v="10"/>
    <x v="3"/>
    <x v="0"/>
  </r>
  <r>
    <s v="AX16062"/>
    <s v="ENX2079"/>
    <s v="A127"/>
    <s v="EMP1039"/>
    <s v="C1597"/>
    <x v="787"/>
    <n v="3"/>
    <n v="1725"/>
    <n v="1363"/>
    <n v="4089"/>
    <n v="5175"/>
    <n v="1086"/>
    <s v="Product 80"/>
    <x v="69"/>
    <s v="Eugene Holmes"/>
    <x v="183"/>
    <n v="7"/>
    <x v="6"/>
    <x v="10"/>
    <x v="10"/>
    <x v="3"/>
    <x v="0"/>
  </r>
  <r>
    <s v="AX16092"/>
    <s v="ENX2005"/>
    <s v="A147"/>
    <s v="EMP1043"/>
    <s v="C1511"/>
    <x v="790"/>
    <n v="1"/>
    <n v="684"/>
    <n v="561"/>
    <n v="561"/>
    <n v="684"/>
    <n v="123"/>
    <s v="Product 6"/>
    <x v="42"/>
    <s v="Joshua Taylor"/>
    <x v="754"/>
    <n v="7"/>
    <x v="6"/>
    <x v="10"/>
    <x v="10"/>
    <x v="3"/>
    <x v="0"/>
  </r>
  <r>
    <s v="AX16333"/>
    <s v="ENX2032"/>
    <s v="A146"/>
    <s v="EMP1007"/>
    <s v="C1512"/>
    <x v="787"/>
    <n v="2"/>
    <n v="1967"/>
    <n v="1397"/>
    <n v="2794"/>
    <n v="3934"/>
    <n v="1140"/>
    <s v="Product 33"/>
    <x v="27"/>
    <s v="Jeremy Mendoza"/>
    <x v="671"/>
    <n v="7"/>
    <x v="6"/>
    <x v="10"/>
    <x v="10"/>
    <x v="3"/>
    <x v="0"/>
  </r>
  <r>
    <s v="AX16422"/>
    <s v="ENX2007"/>
    <s v="A103"/>
    <s v="EMP1010"/>
    <s v="C1495"/>
    <x v="788"/>
    <n v="1"/>
    <n v="1405"/>
    <n v="1054"/>
    <n v="1054"/>
    <n v="1405"/>
    <n v="351"/>
    <s v="Product 8"/>
    <x v="61"/>
    <s v="Joshua Cook"/>
    <x v="780"/>
    <n v="7"/>
    <x v="6"/>
    <x v="10"/>
    <x v="10"/>
    <x v="3"/>
    <x v="0"/>
  </r>
  <r>
    <s v="AX16631"/>
    <s v="ENX2092"/>
    <s v="A146"/>
    <s v="EMP1016"/>
    <s v="C1522"/>
    <x v="788"/>
    <n v="2"/>
    <n v="1639"/>
    <n v="1295"/>
    <n v="2590"/>
    <n v="3278"/>
    <n v="688"/>
    <s v="Product 93"/>
    <x v="27"/>
    <s v="Henry Nelson"/>
    <x v="121"/>
    <n v="7"/>
    <x v="6"/>
    <x v="10"/>
    <x v="10"/>
    <x v="3"/>
    <x v="0"/>
  </r>
  <r>
    <s v="AX16948"/>
    <s v="ENX2069"/>
    <s v="A118"/>
    <s v="EMP1041"/>
    <s v="C1197"/>
    <x v="791"/>
    <n v="1"/>
    <n v="378"/>
    <n v="291"/>
    <n v="291"/>
    <n v="378"/>
    <n v="87"/>
    <s v="Product 70"/>
    <x v="19"/>
    <s v="Joe Sims"/>
    <x v="718"/>
    <n v="7"/>
    <x v="6"/>
    <x v="10"/>
    <x v="10"/>
    <x v="3"/>
    <x v="0"/>
  </r>
  <r>
    <s v="AX17059"/>
    <s v="ENX2094"/>
    <s v="A101"/>
    <s v="EMP1015"/>
    <s v="C1317"/>
    <x v="789"/>
    <n v="2"/>
    <n v="771"/>
    <n v="648"/>
    <n v="1296"/>
    <n v="1542"/>
    <n v="246"/>
    <s v="Product 95"/>
    <x v="60"/>
    <s v="Justin Lynch"/>
    <x v="504"/>
    <n v="7"/>
    <x v="6"/>
    <x v="10"/>
    <x v="10"/>
    <x v="3"/>
    <x v="0"/>
  </r>
  <r>
    <s v="AX17739"/>
    <s v="ENX2062"/>
    <s v="A149"/>
    <s v="EMP1002"/>
    <s v="C1043"/>
    <x v="789"/>
    <n v="4"/>
    <n v="2464"/>
    <n v="1774"/>
    <n v="7096"/>
    <n v="9856"/>
    <n v="2760"/>
    <s v="Product 63"/>
    <x v="59"/>
    <s v="Andrew Bowman"/>
    <x v="546"/>
    <n v="7"/>
    <x v="6"/>
    <x v="10"/>
    <x v="10"/>
    <x v="3"/>
    <x v="0"/>
  </r>
  <r>
    <s v="AX17803"/>
    <s v="ENX2097"/>
    <s v="A148"/>
    <s v="EMP1037"/>
    <s v="C1622"/>
    <x v="788"/>
    <n v="1"/>
    <n v="1052"/>
    <n v="589"/>
    <n v="589"/>
    <n v="1052"/>
    <n v="463"/>
    <s v="Product 98"/>
    <x v="62"/>
    <s v="Carl Hall"/>
    <x v="548"/>
    <n v="7"/>
    <x v="6"/>
    <x v="10"/>
    <x v="10"/>
    <x v="3"/>
    <x v="0"/>
  </r>
  <r>
    <s v="AX17891"/>
    <s v="ENX2028"/>
    <s v="A127"/>
    <s v="EMP1023"/>
    <s v="C1658"/>
    <x v="790"/>
    <n v="1"/>
    <n v="2283"/>
    <n v="1484"/>
    <n v="1484"/>
    <n v="2283"/>
    <n v="799"/>
    <s v="Product 29"/>
    <x v="69"/>
    <s v="Brian Davis"/>
    <x v="612"/>
    <n v="7"/>
    <x v="6"/>
    <x v="10"/>
    <x v="10"/>
    <x v="3"/>
    <x v="0"/>
  </r>
  <r>
    <s v="AX18387"/>
    <s v="ENX2029"/>
    <s v="A109"/>
    <s v="EMP1038"/>
    <s v="C1661"/>
    <x v="789"/>
    <n v="2"/>
    <n v="1848"/>
    <n v="1294"/>
    <n v="2588"/>
    <n v="3696"/>
    <n v="1108"/>
    <s v="Product 30"/>
    <x v="57"/>
    <s v="Scott Mason"/>
    <x v="767"/>
    <n v="7"/>
    <x v="6"/>
    <x v="10"/>
    <x v="10"/>
    <x v="3"/>
    <x v="0"/>
  </r>
  <r>
    <s v="AX18400"/>
    <s v="ENX2051"/>
    <s v="A169"/>
    <s v="EMP1026"/>
    <s v="C1335"/>
    <x v="788"/>
    <n v="1"/>
    <n v="1077"/>
    <n v="732"/>
    <n v="732"/>
    <n v="1077"/>
    <n v="345"/>
    <s v="Product 52"/>
    <x v="17"/>
    <s v="Martin Perry"/>
    <x v="2"/>
    <n v="7"/>
    <x v="6"/>
    <x v="10"/>
    <x v="10"/>
    <x v="3"/>
    <x v="0"/>
  </r>
  <r>
    <s v="AX18418"/>
    <s v="ENX2035"/>
    <s v="A140"/>
    <s v="EMP1015"/>
    <s v="C1253"/>
    <x v="791"/>
    <n v="1"/>
    <n v="458"/>
    <n v="376"/>
    <n v="376"/>
    <n v="458"/>
    <n v="82"/>
    <s v="Product 36"/>
    <x v="18"/>
    <s v="Justin Lynch"/>
    <x v="209"/>
    <n v="7"/>
    <x v="6"/>
    <x v="10"/>
    <x v="10"/>
    <x v="3"/>
    <x v="0"/>
  </r>
  <r>
    <s v="AX18514"/>
    <s v="ENX2000"/>
    <s v="A133"/>
    <s v="EMP1011"/>
    <s v="C1459"/>
    <x v="788"/>
    <n v="4"/>
    <n v="2241"/>
    <n v="1367"/>
    <n v="5468"/>
    <n v="8964"/>
    <n v="3496"/>
    <s v="Product 1"/>
    <x v="46"/>
    <s v="Larry Marshall"/>
    <x v="330"/>
    <n v="7"/>
    <x v="6"/>
    <x v="10"/>
    <x v="10"/>
    <x v="3"/>
    <x v="0"/>
  </r>
  <r>
    <s v="AX18707"/>
    <s v="ENX2069"/>
    <s v="A149"/>
    <s v="EMP1015"/>
    <s v="C1379"/>
    <x v="789"/>
    <n v="1"/>
    <n v="378"/>
    <n v="291"/>
    <n v="291"/>
    <n v="378"/>
    <n v="87"/>
    <s v="Product 70"/>
    <x v="59"/>
    <s v="Justin Lynch"/>
    <x v="549"/>
    <n v="7"/>
    <x v="6"/>
    <x v="10"/>
    <x v="10"/>
    <x v="3"/>
    <x v="0"/>
  </r>
  <r>
    <s v="AX18773"/>
    <s v="ENX2047"/>
    <s v="A159"/>
    <s v="EMP1020"/>
    <s v="C1037"/>
    <x v="790"/>
    <n v="1"/>
    <n v="290"/>
    <n v="200"/>
    <n v="200"/>
    <n v="290"/>
    <n v="90"/>
    <s v="Product 48"/>
    <x v="13"/>
    <s v="Ryan Butler"/>
    <x v="779"/>
    <n v="7"/>
    <x v="6"/>
    <x v="10"/>
    <x v="10"/>
    <x v="3"/>
    <x v="0"/>
  </r>
  <r>
    <s v="AX19193"/>
    <s v="ENX2002"/>
    <s v="A144"/>
    <s v="EMP1034"/>
    <s v="C1797"/>
    <x v="791"/>
    <n v="1"/>
    <n v="847"/>
    <n v="534"/>
    <n v="534"/>
    <n v="847"/>
    <n v="313"/>
    <s v="Product 3"/>
    <x v="65"/>
    <s v="Arthur Mccoy"/>
    <x v="407"/>
    <n v="7"/>
    <x v="6"/>
    <x v="10"/>
    <x v="10"/>
    <x v="3"/>
    <x v="0"/>
  </r>
  <r>
    <s v="AX19239"/>
    <s v="ENX2052"/>
    <s v="A120"/>
    <s v="EMP1031"/>
    <s v="C1774"/>
    <x v="791"/>
    <n v="2"/>
    <n v="1526"/>
    <n v="1251"/>
    <n v="2502"/>
    <n v="3052"/>
    <n v="550"/>
    <s v="Product 53"/>
    <x v="20"/>
    <s v="Brian Thomas"/>
    <x v="232"/>
    <n v="7"/>
    <x v="6"/>
    <x v="10"/>
    <x v="10"/>
    <x v="3"/>
    <x v="0"/>
  </r>
  <r>
    <s v="AX19270"/>
    <s v="ENX2086"/>
    <s v="A119"/>
    <s v="EMP1019"/>
    <s v="C1600"/>
    <x v="787"/>
    <n v="1"/>
    <n v="123"/>
    <n v="84"/>
    <n v="84"/>
    <n v="123"/>
    <n v="39"/>
    <s v="Product 87"/>
    <x v="16"/>
    <s v="Roger Robertson"/>
    <x v="266"/>
    <n v="7"/>
    <x v="6"/>
    <x v="10"/>
    <x v="10"/>
    <x v="3"/>
    <x v="0"/>
  </r>
  <r>
    <s v="AX19479"/>
    <s v="ENX2091"/>
    <s v="A165"/>
    <s v="EMP1007"/>
    <s v="C1115"/>
    <x v="787"/>
    <n v="1"/>
    <n v="368"/>
    <n v="294"/>
    <n v="294"/>
    <n v="368"/>
    <n v="74"/>
    <s v="Product 92"/>
    <x v="55"/>
    <s v="Jeremy Mendoza"/>
    <x v="338"/>
    <n v="7"/>
    <x v="6"/>
    <x v="10"/>
    <x v="10"/>
    <x v="3"/>
    <x v="0"/>
  </r>
  <r>
    <s v="AX20379"/>
    <s v="ENX2003"/>
    <s v="A149"/>
    <s v="EMP1027"/>
    <s v="C1797"/>
    <x v="791"/>
    <n v="1"/>
    <n v="1783"/>
    <n v="1516"/>
    <n v="1516"/>
    <n v="1783"/>
    <n v="267"/>
    <s v="Product 4"/>
    <x v="59"/>
    <s v="Gary Rodriguez"/>
    <x v="407"/>
    <n v="7"/>
    <x v="6"/>
    <x v="10"/>
    <x v="10"/>
    <x v="3"/>
    <x v="0"/>
  </r>
  <r>
    <s v="AX20385"/>
    <s v="ENX2015"/>
    <s v="A138"/>
    <s v="EMP1038"/>
    <s v="C1512"/>
    <x v="789"/>
    <n v="1"/>
    <n v="637"/>
    <n v="389"/>
    <n v="389"/>
    <n v="637"/>
    <n v="248"/>
    <s v="Product 16"/>
    <x v="37"/>
    <s v="Scott Mason"/>
    <x v="671"/>
    <n v="7"/>
    <x v="6"/>
    <x v="10"/>
    <x v="10"/>
    <x v="3"/>
    <x v="0"/>
  </r>
  <r>
    <s v="AX20881"/>
    <s v="ENX2013"/>
    <s v="A103"/>
    <s v="EMP1037"/>
    <s v="C1319"/>
    <x v="790"/>
    <n v="4"/>
    <n v="368"/>
    <n v="269"/>
    <n v="1076"/>
    <n v="1472"/>
    <n v="396"/>
    <s v="Product 14"/>
    <x v="61"/>
    <s v="Carl Hall"/>
    <x v="464"/>
    <n v="7"/>
    <x v="6"/>
    <x v="10"/>
    <x v="10"/>
    <x v="3"/>
    <x v="0"/>
  </r>
  <r>
    <s v="AX20938"/>
    <s v="ENX2071"/>
    <s v="A115"/>
    <s v="EMP1014"/>
    <s v="C1353"/>
    <x v="790"/>
    <n v="1"/>
    <n v="136"/>
    <n v="72"/>
    <n v="72"/>
    <n v="136"/>
    <n v="64"/>
    <s v="Product 72"/>
    <x v="33"/>
    <s v="Ronald Reed"/>
    <x v="642"/>
    <n v="7"/>
    <x v="6"/>
    <x v="10"/>
    <x v="10"/>
    <x v="3"/>
    <x v="0"/>
  </r>
  <r>
    <s v="AX21125"/>
    <s v="ENX2032"/>
    <s v="A107"/>
    <s v="EMP1041"/>
    <s v="C1432"/>
    <x v="789"/>
    <n v="1"/>
    <n v="1967"/>
    <n v="1397"/>
    <n v="1397"/>
    <n v="1967"/>
    <n v="570"/>
    <s v="Product 33"/>
    <x v="21"/>
    <s v="Joe Sims"/>
    <x v="186"/>
    <n v="7"/>
    <x v="6"/>
    <x v="10"/>
    <x v="10"/>
    <x v="3"/>
    <x v="0"/>
  </r>
  <r>
    <s v="AX21286"/>
    <s v="ENX2052"/>
    <s v="A105"/>
    <s v="EMP1030"/>
    <s v="C1711"/>
    <x v="787"/>
    <n v="1"/>
    <n v="1526"/>
    <n v="1251"/>
    <n v="1251"/>
    <n v="1526"/>
    <n v="275"/>
    <s v="Product 53"/>
    <x v="45"/>
    <s v="Bobby Russell"/>
    <x v="66"/>
    <n v="7"/>
    <x v="6"/>
    <x v="10"/>
    <x v="10"/>
    <x v="3"/>
    <x v="0"/>
  </r>
  <r>
    <s v="AX21640"/>
    <s v="ENX2012"/>
    <s v="A153"/>
    <s v="EMP1028"/>
    <s v="C1600"/>
    <x v="791"/>
    <n v="2"/>
    <n v="1353"/>
    <n v="947"/>
    <n v="1894"/>
    <n v="2706"/>
    <n v="812"/>
    <s v="Product 13"/>
    <x v="8"/>
    <s v="Howard Sims"/>
    <x v="266"/>
    <n v="7"/>
    <x v="6"/>
    <x v="10"/>
    <x v="10"/>
    <x v="3"/>
    <x v="0"/>
  </r>
  <r>
    <s v="AX21847"/>
    <s v="ENX2019"/>
    <s v="A119"/>
    <s v="EMP1037"/>
    <s v="C1417"/>
    <x v="787"/>
    <n v="1"/>
    <n v="800"/>
    <n v="536"/>
    <n v="536"/>
    <n v="800"/>
    <n v="264"/>
    <s v="Product 20"/>
    <x v="16"/>
    <s v="Carl Hall"/>
    <x v="147"/>
    <n v="7"/>
    <x v="6"/>
    <x v="10"/>
    <x v="10"/>
    <x v="3"/>
    <x v="0"/>
  </r>
  <r>
    <s v="AX22030"/>
    <s v="ENX2022"/>
    <s v="A133"/>
    <s v="EMP1018"/>
    <s v="C1367"/>
    <x v="791"/>
    <n v="1"/>
    <n v="561"/>
    <n v="421"/>
    <n v="421"/>
    <n v="561"/>
    <n v="140"/>
    <s v="Product 23"/>
    <x v="46"/>
    <s v="Jimmy Young"/>
    <x v="490"/>
    <n v="7"/>
    <x v="6"/>
    <x v="10"/>
    <x v="10"/>
    <x v="3"/>
    <x v="0"/>
  </r>
  <r>
    <s v="AX22560"/>
    <s v="ENX2075"/>
    <s v="A164"/>
    <s v="EMP1038"/>
    <s v="C1784"/>
    <x v="787"/>
    <n v="1"/>
    <n v="400"/>
    <n v="208"/>
    <n v="208"/>
    <n v="400"/>
    <n v="192"/>
    <s v="Product 76"/>
    <x v="3"/>
    <s v="Scott Mason"/>
    <x v="397"/>
    <n v="7"/>
    <x v="6"/>
    <x v="10"/>
    <x v="10"/>
    <x v="3"/>
    <x v="0"/>
  </r>
  <r>
    <s v="AX22766"/>
    <s v="ENX2009"/>
    <s v="A150"/>
    <s v="EMP1015"/>
    <s v="C1462"/>
    <x v="789"/>
    <n v="4"/>
    <n v="584"/>
    <n v="420"/>
    <n v="1680"/>
    <n v="2336"/>
    <n v="656"/>
    <s v="Product 10"/>
    <x v="30"/>
    <s v="Justin Lynch"/>
    <x v="418"/>
    <n v="7"/>
    <x v="6"/>
    <x v="10"/>
    <x v="10"/>
    <x v="3"/>
    <x v="0"/>
  </r>
  <r>
    <s v="AX23577"/>
    <s v="ENX2061"/>
    <s v="A160"/>
    <s v="EMP1004"/>
    <s v="C1652"/>
    <x v="791"/>
    <n v="2"/>
    <n v="913"/>
    <n v="584"/>
    <n v="1168"/>
    <n v="1826"/>
    <n v="658"/>
    <s v="Product 62"/>
    <x v="9"/>
    <s v="Kenneth Bradley"/>
    <x v="737"/>
    <n v="7"/>
    <x v="6"/>
    <x v="10"/>
    <x v="10"/>
    <x v="3"/>
    <x v="0"/>
  </r>
  <r>
    <s v="AX23625"/>
    <s v="ENX2008"/>
    <s v="A131"/>
    <s v="EMP1018"/>
    <s v="C1106"/>
    <x v="787"/>
    <n v="3"/>
    <n v="315"/>
    <n v="208"/>
    <n v="624"/>
    <n v="945"/>
    <n v="321"/>
    <s v="Product 9"/>
    <x v="32"/>
    <s v="Jimmy Young"/>
    <x v="377"/>
    <n v="7"/>
    <x v="6"/>
    <x v="10"/>
    <x v="10"/>
    <x v="3"/>
    <x v="0"/>
  </r>
  <r>
    <s v="AX23758"/>
    <s v="ENX2100"/>
    <s v="A140"/>
    <s v="EMP1026"/>
    <s v="C1318"/>
    <x v="790"/>
    <n v="1"/>
    <n v="799"/>
    <n v="455"/>
    <n v="455"/>
    <n v="799"/>
    <n v="344"/>
    <s v="Product 101"/>
    <x v="18"/>
    <s v="Martin Perry"/>
    <x v="730"/>
    <n v="7"/>
    <x v="6"/>
    <x v="10"/>
    <x v="10"/>
    <x v="3"/>
    <x v="0"/>
  </r>
  <r>
    <s v="AX23996"/>
    <s v="ENX2093"/>
    <s v="A146"/>
    <s v="EMP1012"/>
    <s v="C1530"/>
    <x v="790"/>
    <n v="2"/>
    <n v="112"/>
    <n v="90"/>
    <n v="180"/>
    <n v="224"/>
    <n v="44"/>
    <s v="Product 94"/>
    <x v="27"/>
    <s v="John Reyes"/>
    <x v="224"/>
    <n v="7"/>
    <x v="6"/>
    <x v="10"/>
    <x v="10"/>
    <x v="3"/>
    <x v="0"/>
  </r>
  <r>
    <s v="AX24031"/>
    <s v="ENX2045"/>
    <s v="A136"/>
    <s v="EMP1032"/>
    <s v="C1300"/>
    <x v="791"/>
    <n v="1"/>
    <n v="556"/>
    <n v="395"/>
    <n v="395"/>
    <n v="556"/>
    <n v="161"/>
    <s v="Product 46"/>
    <x v="43"/>
    <s v="Larry Castillo"/>
    <x v="201"/>
    <n v="7"/>
    <x v="6"/>
    <x v="10"/>
    <x v="10"/>
    <x v="3"/>
    <x v="0"/>
  </r>
  <r>
    <s v="AX24660"/>
    <s v="ENX2076"/>
    <s v="A103"/>
    <s v="EMP1038"/>
    <s v="C1402"/>
    <x v="791"/>
    <n v="3"/>
    <n v="1522"/>
    <n v="791"/>
    <n v="2373"/>
    <n v="4566"/>
    <n v="2193"/>
    <s v="Product 77"/>
    <x v="61"/>
    <s v="Scott Mason"/>
    <x v="79"/>
    <n v="7"/>
    <x v="6"/>
    <x v="10"/>
    <x v="10"/>
    <x v="3"/>
    <x v="0"/>
  </r>
  <r>
    <s v="AX24695"/>
    <s v="ENX2016"/>
    <s v="A144"/>
    <s v="EMP1042"/>
    <s v="C1487"/>
    <x v="788"/>
    <n v="1"/>
    <n v="1351"/>
    <n v="1108"/>
    <n v="1108"/>
    <n v="1351"/>
    <n v="243"/>
    <s v="Product 17"/>
    <x v="65"/>
    <s v="Scott Clark"/>
    <x v="461"/>
    <n v="7"/>
    <x v="6"/>
    <x v="10"/>
    <x v="10"/>
    <x v="3"/>
    <x v="0"/>
  </r>
  <r>
    <s v="AX24699"/>
    <s v="ENX2089"/>
    <s v="A146"/>
    <s v="EMP1003"/>
    <s v="C1672"/>
    <x v="788"/>
    <n v="1"/>
    <n v="2294"/>
    <n v="1399"/>
    <n v="1399"/>
    <n v="2294"/>
    <n v="895"/>
    <s v="Product 90"/>
    <x v="27"/>
    <s v="Christopher Tucker"/>
    <x v="547"/>
    <n v="7"/>
    <x v="6"/>
    <x v="10"/>
    <x v="10"/>
    <x v="3"/>
    <x v="0"/>
  </r>
  <r>
    <s v="AX24765"/>
    <s v="ENX2024"/>
    <s v="A173"/>
    <s v="EMP1027"/>
    <s v="C1442"/>
    <x v="791"/>
    <n v="2"/>
    <n v="356"/>
    <n v="292"/>
    <n v="584"/>
    <n v="712"/>
    <n v="128"/>
    <s v="Product 25"/>
    <x v="25"/>
    <s v="Gary Rodriguez"/>
    <x v="299"/>
    <n v="7"/>
    <x v="6"/>
    <x v="10"/>
    <x v="10"/>
    <x v="3"/>
    <x v="0"/>
  </r>
  <r>
    <s v="AX24796"/>
    <s v="ENX2025"/>
    <s v="A143"/>
    <s v="EMP1044"/>
    <s v="C1581"/>
    <x v="787"/>
    <n v="1"/>
    <n v="667"/>
    <n v="387"/>
    <n v="387"/>
    <n v="667"/>
    <n v="280"/>
    <s v="Product 26"/>
    <x v="39"/>
    <s v="Martin Carr"/>
    <x v="510"/>
    <n v="7"/>
    <x v="6"/>
    <x v="10"/>
    <x v="10"/>
    <x v="3"/>
    <x v="0"/>
  </r>
  <r>
    <s v="AX24837"/>
    <s v="ENX2032"/>
    <s v="A110"/>
    <s v="EMP1032"/>
    <s v="C1551"/>
    <x v="788"/>
    <n v="3"/>
    <n v="1967"/>
    <n v="1397"/>
    <n v="4191"/>
    <n v="5901"/>
    <n v="1710"/>
    <s v="Product 33"/>
    <x v="63"/>
    <s v="Larry Castillo"/>
    <x v="596"/>
    <n v="7"/>
    <x v="6"/>
    <x v="10"/>
    <x v="10"/>
    <x v="3"/>
    <x v="0"/>
  </r>
  <r>
    <s v="AX24962"/>
    <s v="ENX2071"/>
    <s v="A125"/>
    <s v="EMP1031"/>
    <s v="C1625"/>
    <x v="789"/>
    <n v="1"/>
    <n v="136"/>
    <n v="72"/>
    <n v="72"/>
    <n v="136"/>
    <n v="64"/>
    <s v="Product 72"/>
    <x v="31"/>
    <s v="Brian Thomas"/>
    <x v="575"/>
    <n v="7"/>
    <x v="6"/>
    <x v="10"/>
    <x v="10"/>
    <x v="3"/>
    <x v="0"/>
  </r>
  <r>
    <s v="AX10756"/>
    <s v="ENX2013"/>
    <s v="A105"/>
    <s v="EMP1033"/>
    <s v="C1106"/>
    <x v="792"/>
    <n v="2"/>
    <n v="368"/>
    <n v="269"/>
    <n v="538"/>
    <n v="736"/>
    <n v="198"/>
    <s v="Product 14"/>
    <x v="45"/>
    <s v="Jerry Perry"/>
    <x v="377"/>
    <n v="7"/>
    <x v="6"/>
    <x v="10"/>
    <x v="10"/>
    <x v="3"/>
    <x v="2"/>
  </r>
  <r>
    <s v="AX11093"/>
    <s v="ENX2042"/>
    <s v="A130"/>
    <s v="EMP1016"/>
    <s v="C1324"/>
    <x v="792"/>
    <n v="1"/>
    <n v="203"/>
    <n v="154"/>
    <n v="154"/>
    <n v="203"/>
    <n v="49"/>
    <s v="Product 43"/>
    <x v="4"/>
    <s v="Henry Nelson"/>
    <x v="252"/>
    <n v="7"/>
    <x v="6"/>
    <x v="10"/>
    <x v="10"/>
    <x v="3"/>
    <x v="2"/>
  </r>
  <r>
    <s v="AX11376"/>
    <s v="ENX2077"/>
    <s v="A115"/>
    <s v="EMP1031"/>
    <s v="C1282"/>
    <x v="793"/>
    <n v="1"/>
    <n v="530"/>
    <n v="424"/>
    <n v="424"/>
    <n v="530"/>
    <n v="106"/>
    <s v="Product 78"/>
    <x v="33"/>
    <s v="Brian Thomas"/>
    <x v="520"/>
    <n v="7"/>
    <x v="6"/>
    <x v="10"/>
    <x v="10"/>
    <x v="3"/>
    <x v="2"/>
  </r>
  <r>
    <s v="AX11837"/>
    <s v="ENX2037"/>
    <s v="A157"/>
    <s v="EMP1031"/>
    <s v="C1654"/>
    <x v="794"/>
    <n v="1"/>
    <n v="880"/>
    <n v="634"/>
    <n v="634"/>
    <n v="880"/>
    <n v="246"/>
    <s v="Product 38"/>
    <x v="7"/>
    <s v="Brian Thomas"/>
    <x v="351"/>
    <n v="7"/>
    <x v="6"/>
    <x v="10"/>
    <x v="10"/>
    <x v="3"/>
    <x v="2"/>
  </r>
  <r>
    <s v="AX11865"/>
    <s v="ENX2064"/>
    <s v="A146"/>
    <s v="EMP1009"/>
    <s v="C1769"/>
    <x v="792"/>
    <n v="2"/>
    <n v="1414"/>
    <n v="962"/>
    <n v="1924"/>
    <n v="2828"/>
    <n v="904"/>
    <s v="Product 65"/>
    <x v="27"/>
    <s v="Kenneth Fields"/>
    <x v="269"/>
    <n v="7"/>
    <x v="6"/>
    <x v="10"/>
    <x v="10"/>
    <x v="3"/>
    <x v="2"/>
  </r>
  <r>
    <s v="AX12277"/>
    <s v="ENX2012"/>
    <s v="A138"/>
    <s v="EMP1036"/>
    <s v="C1752"/>
    <x v="794"/>
    <n v="2"/>
    <n v="1353"/>
    <n v="947"/>
    <n v="1894"/>
    <n v="2706"/>
    <n v="812"/>
    <s v="Product 13"/>
    <x v="37"/>
    <s v="Robert Reed"/>
    <x v="233"/>
    <n v="7"/>
    <x v="6"/>
    <x v="10"/>
    <x v="10"/>
    <x v="3"/>
    <x v="2"/>
  </r>
  <r>
    <s v="AX12641"/>
    <s v="ENX2000"/>
    <s v="A119"/>
    <s v="EMP1015"/>
    <s v="C1303"/>
    <x v="794"/>
    <n v="2"/>
    <n v="2241"/>
    <n v="1367"/>
    <n v="2734"/>
    <n v="4482"/>
    <n v="1748"/>
    <s v="Product 1"/>
    <x v="16"/>
    <s v="Justin Lynch"/>
    <x v="531"/>
    <n v="7"/>
    <x v="6"/>
    <x v="10"/>
    <x v="10"/>
    <x v="3"/>
    <x v="2"/>
  </r>
  <r>
    <s v="AX12646"/>
    <s v="ENX2082"/>
    <s v="A161"/>
    <s v="EMP1027"/>
    <s v="C1513"/>
    <x v="794"/>
    <n v="2"/>
    <n v="1103"/>
    <n v="838"/>
    <n v="1676"/>
    <n v="2206"/>
    <n v="530"/>
    <s v="Product 83"/>
    <x v="6"/>
    <s v="Gary Rodriguez"/>
    <x v="414"/>
    <n v="7"/>
    <x v="6"/>
    <x v="10"/>
    <x v="10"/>
    <x v="3"/>
    <x v="2"/>
  </r>
  <r>
    <s v="AX12733"/>
    <s v="ENX2081"/>
    <s v="A118"/>
    <s v="EMP1040"/>
    <s v="C1350"/>
    <x v="793"/>
    <n v="1"/>
    <n v="1566"/>
    <n v="1190"/>
    <n v="1190"/>
    <n v="1566"/>
    <n v="376"/>
    <s v="Product 82"/>
    <x v="19"/>
    <s v="Patrick Ruiz"/>
    <x v="625"/>
    <n v="7"/>
    <x v="6"/>
    <x v="10"/>
    <x v="10"/>
    <x v="3"/>
    <x v="2"/>
  </r>
  <r>
    <s v="AX12762"/>
    <s v="ENX2051"/>
    <s v="A155"/>
    <s v="EMP1010"/>
    <s v="C1621"/>
    <x v="792"/>
    <n v="2"/>
    <n v="1077"/>
    <n v="732"/>
    <n v="1464"/>
    <n v="2154"/>
    <n v="690"/>
    <s v="Product 52"/>
    <x v="53"/>
    <s v="Joshua Cook"/>
    <x v="159"/>
    <n v="7"/>
    <x v="6"/>
    <x v="10"/>
    <x v="10"/>
    <x v="3"/>
    <x v="2"/>
  </r>
  <r>
    <s v="AX13639"/>
    <s v="ENX2082"/>
    <s v="A132"/>
    <s v="EMP1040"/>
    <s v="C1531"/>
    <x v="793"/>
    <n v="1"/>
    <n v="1103"/>
    <n v="838"/>
    <n v="838"/>
    <n v="1103"/>
    <n v="265"/>
    <s v="Product 83"/>
    <x v="48"/>
    <s v="Patrick Ruiz"/>
    <x v="743"/>
    <n v="7"/>
    <x v="6"/>
    <x v="10"/>
    <x v="10"/>
    <x v="3"/>
    <x v="2"/>
  </r>
  <r>
    <s v="AX13888"/>
    <s v="ENX2088"/>
    <s v="A150"/>
    <s v="EMP1008"/>
    <s v="C1190"/>
    <x v="793"/>
    <n v="1"/>
    <n v="603"/>
    <n v="416"/>
    <n v="416"/>
    <n v="603"/>
    <n v="187"/>
    <s v="Product 89"/>
    <x v="30"/>
    <s v="Carl Elliott"/>
    <x v="1"/>
    <n v="7"/>
    <x v="6"/>
    <x v="10"/>
    <x v="10"/>
    <x v="3"/>
    <x v="2"/>
  </r>
  <r>
    <s v="AX14126"/>
    <s v="ENX2040"/>
    <s v="A131"/>
    <s v="EMP1005"/>
    <s v="C1426"/>
    <x v="792"/>
    <n v="1"/>
    <n v="1889"/>
    <n v="945"/>
    <n v="945"/>
    <n v="1889"/>
    <n v="944"/>
    <s v="Product 41"/>
    <x v="32"/>
    <s v="Ryan Welch"/>
    <x v="127"/>
    <n v="7"/>
    <x v="6"/>
    <x v="10"/>
    <x v="10"/>
    <x v="3"/>
    <x v="2"/>
  </r>
  <r>
    <s v="AX14265"/>
    <s v="ENX2046"/>
    <s v="A107"/>
    <s v="EMP1031"/>
    <s v="C1373"/>
    <x v="795"/>
    <n v="3"/>
    <n v="2410"/>
    <n v="1518"/>
    <n v="4554"/>
    <n v="7230"/>
    <n v="2676"/>
    <s v="Product 47"/>
    <x v="21"/>
    <s v="Brian Thomas"/>
    <x v="471"/>
    <n v="7"/>
    <x v="6"/>
    <x v="10"/>
    <x v="10"/>
    <x v="3"/>
    <x v="2"/>
  </r>
  <r>
    <s v="AX14431"/>
    <s v="ENX2028"/>
    <s v="A170"/>
    <s v="EMP1042"/>
    <s v="C1514"/>
    <x v="792"/>
    <n v="4"/>
    <n v="2283"/>
    <n v="1484"/>
    <n v="5936"/>
    <n v="9132"/>
    <n v="3196"/>
    <s v="Product 29"/>
    <x v="47"/>
    <s v="Scott Clark"/>
    <x v="307"/>
    <n v="7"/>
    <x v="6"/>
    <x v="10"/>
    <x v="10"/>
    <x v="3"/>
    <x v="2"/>
  </r>
  <r>
    <s v="AX14543"/>
    <s v="ENX2010"/>
    <s v="A144"/>
    <s v="EMP1014"/>
    <s v="C1490"/>
    <x v="793"/>
    <n v="3"/>
    <n v="1812"/>
    <n v="1305"/>
    <n v="3915"/>
    <n v="5436"/>
    <n v="1521"/>
    <s v="Product 11"/>
    <x v="65"/>
    <s v="Ronald Reed"/>
    <x v="61"/>
    <n v="7"/>
    <x v="6"/>
    <x v="10"/>
    <x v="10"/>
    <x v="3"/>
    <x v="2"/>
  </r>
  <r>
    <s v="AX14568"/>
    <s v="ENX2096"/>
    <s v="A158"/>
    <s v="EMP1003"/>
    <s v="C1623"/>
    <x v="793"/>
    <n v="3"/>
    <n v="1587"/>
    <n v="1301"/>
    <n v="3903"/>
    <n v="4761"/>
    <n v="858"/>
    <s v="Product 97"/>
    <x v="58"/>
    <s v="Christopher Tucker"/>
    <x v="282"/>
    <n v="7"/>
    <x v="6"/>
    <x v="10"/>
    <x v="10"/>
    <x v="3"/>
    <x v="2"/>
  </r>
  <r>
    <s v="AX14789"/>
    <s v="ENX2018"/>
    <s v="A161"/>
    <s v="EMP1027"/>
    <s v="C1104"/>
    <x v="792"/>
    <n v="2"/>
    <n v="1972"/>
    <n v="1321"/>
    <n v="2642"/>
    <n v="3944"/>
    <n v="1302"/>
    <s v="Product 19"/>
    <x v="6"/>
    <s v="Gary Rodriguez"/>
    <x v="367"/>
    <n v="7"/>
    <x v="6"/>
    <x v="10"/>
    <x v="10"/>
    <x v="3"/>
    <x v="2"/>
  </r>
  <r>
    <s v="AX14867"/>
    <s v="ENX2000"/>
    <s v="A121"/>
    <s v="EMP1013"/>
    <s v="C1040"/>
    <x v="794"/>
    <n v="1"/>
    <n v="2241"/>
    <n v="1367"/>
    <n v="1367"/>
    <n v="2241"/>
    <n v="874"/>
    <s v="Product 1"/>
    <x v="72"/>
    <s v="Charles Harper"/>
    <x v="221"/>
    <n v="7"/>
    <x v="6"/>
    <x v="10"/>
    <x v="10"/>
    <x v="3"/>
    <x v="2"/>
  </r>
  <r>
    <s v="AX15318"/>
    <s v="ENX2017"/>
    <s v="A169"/>
    <s v="EMP1021"/>
    <s v="C1782"/>
    <x v="793"/>
    <n v="1"/>
    <n v="35"/>
    <n v="22"/>
    <n v="22"/>
    <n v="35"/>
    <n v="13"/>
    <s v="Product 18"/>
    <x v="17"/>
    <s v="Clarence Fox"/>
    <x v="607"/>
    <n v="7"/>
    <x v="6"/>
    <x v="10"/>
    <x v="10"/>
    <x v="3"/>
    <x v="2"/>
  </r>
  <r>
    <s v="AX15328"/>
    <s v="ENX2078"/>
    <s v="A109"/>
    <s v="EMP1033"/>
    <s v="C1382"/>
    <x v="794"/>
    <n v="1"/>
    <n v="1798"/>
    <n v="971"/>
    <n v="971"/>
    <n v="1798"/>
    <n v="827"/>
    <s v="Product 79"/>
    <x v="57"/>
    <s v="Jerry Perry"/>
    <x v="334"/>
    <n v="7"/>
    <x v="6"/>
    <x v="10"/>
    <x v="10"/>
    <x v="3"/>
    <x v="2"/>
  </r>
  <r>
    <s v="AX15732"/>
    <s v="ENX2096"/>
    <s v="A162"/>
    <s v="EMP1014"/>
    <s v="C1724"/>
    <x v="795"/>
    <n v="1"/>
    <n v="1587"/>
    <n v="1301"/>
    <n v="1301"/>
    <n v="1587"/>
    <n v="286"/>
    <s v="Product 97"/>
    <x v="2"/>
    <s v="Ronald Reed"/>
    <x v="378"/>
    <n v="7"/>
    <x v="6"/>
    <x v="10"/>
    <x v="10"/>
    <x v="3"/>
    <x v="2"/>
  </r>
  <r>
    <s v="AX16229"/>
    <s v="ENX2086"/>
    <s v="A111"/>
    <s v="EMP1039"/>
    <s v="C1093"/>
    <x v="795"/>
    <n v="2"/>
    <n v="123"/>
    <n v="84"/>
    <n v="168"/>
    <n v="246"/>
    <n v="78"/>
    <s v="Product 87"/>
    <x v="54"/>
    <s v="Eugene Holmes"/>
    <x v="290"/>
    <n v="7"/>
    <x v="6"/>
    <x v="10"/>
    <x v="10"/>
    <x v="3"/>
    <x v="2"/>
  </r>
  <r>
    <s v="AX17295"/>
    <s v="ENX2054"/>
    <s v="A141"/>
    <s v="EMP1001"/>
    <s v="C1403"/>
    <x v="793"/>
    <n v="1"/>
    <n v="127"/>
    <n v="79"/>
    <n v="79"/>
    <n v="127"/>
    <n v="48"/>
    <s v="Product 55"/>
    <x v="23"/>
    <s v="Kevin Butler"/>
    <x v="134"/>
    <n v="7"/>
    <x v="6"/>
    <x v="10"/>
    <x v="10"/>
    <x v="3"/>
    <x v="2"/>
  </r>
  <r>
    <s v="AX17610"/>
    <s v="ENX2091"/>
    <s v="A158"/>
    <s v="EMP1036"/>
    <s v="C1623"/>
    <x v="794"/>
    <n v="3"/>
    <n v="368"/>
    <n v="294"/>
    <n v="882"/>
    <n v="1104"/>
    <n v="222"/>
    <s v="Product 92"/>
    <x v="58"/>
    <s v="Robert Reed"/>
    <x v="282"/>
    <n v="7"/>
    <x v="6"/>
    <x v="10"/>
    <x v="10"/>
    <x v="3"/>
    <x v="2"/>
  </r>
  <r>
    <s v="AX17825"/>
    <s v="ENX2085"/>
    <s v="A106"/>
    <s v="EMP1015"/>
    <s v="C1075"/>
    <x v="795"/>
    <n v="3"/>
    <n v="1862"/>
    <n v="1173"/>
    <n v="3519"/>
    <n v="5586"/>
    <n v="2067"/>
    <s v="Product 86"/>
    <x v="11"/>
    <s v="Justin Lynch"/>
    <x v="594"/>
    <n v="7"/>
    <x v="6"/>
    <x v="10"/>
    <x v="10"/>
    <x v="3"/>
    <x v="2"/>
  </r>
  <r>
    <s v="AX18396"/>
    <s v="ENX2042"/>
    <s v="A136"/>
    <s v="EMP1017"/>
    <s v="C1374"/>
    <x v="793"/>
    <n v="1"/>
    <n v="203"/>
    <n v="154"/>
    <n v="154"/>
    <n v="203"/>
    <n v="49"/>
    <s v="Product 43"/>
    <x v="43"/>
    <s v="Brian Hansen"/>
    <x v="189"/>
    <n v="7"/>
    <x v="6"/>
    <x v="10"/>
    <x v="10"/>
    <x v="3"/>
    <x v="2"/>
  </r>
  <r>
    <s v="AX18587"/>
    <s v="ENX2030"/>
    <s v="A109"/>
    <s v="EMP1031"/>
    <s v="C1783"/>
    <x v="792"/>
    <n v="1"/>
    <n v="1899"/>
    <n v="1044"/>
    <n v="1044"/>
    <n v="1899"/>
    <n v="855"/>
    <s v="Product 31"/>
    <x v="57"/>
    <s v="Brian Thomas"/>
    <x v="272"/>
    <n v="7"/>
    <x v="6"/>
    <x v="10"/>
    <x v="10"/>
    <x v="3"/>
    <x v="2"/>
  </r>
  <r>
    <s v="AX18628"/>
    <s v="ENX2046"/>
    <s v="A164"/>
    <s v="EMP1015"/>
    <s v="C1227"/>
    <x v="793"/>
    <n v="3"/>
    <n v="2410"/>
    <n v="1518"/>
    <n v="4554"/>
    <n v="7230"/>
    <n v="2676"/>
    <s v="Product 47"/>
    <x v="3"/>
    <s v="Justin Lynch"/>
    <x v="765"/>
    <n v="7"/>
    <x v="6"/>
    <x v="10"/>
    <x v="10"/>
    <x v="3"/>
    <x v="2"/>
  </r>
  <r>
    <s v="AX18907"/>
    <s v="ENX2063"/>
    <s v="A158"/>
    <s v="EMP1029"/>
    <s v="C1623"/>
    <x v="792"/>
    <n v="1"/>
    <n v="1708"/>
    <n v="871"/>
    <n v="871"/>
    <n v="1708"/>
    <n v="837"/>
    <s v="Product 64"/>
    <x v="58"/>
    <s v="Howard Gardner"/>
    <x v="282"/>
    <n v="7"/>
    <x v="6"/>
    <x v="10"/>
    <x v="10"/>
    <x v="3"/>
    <x v="2"/>
  </r>
  <r>
    <s v="AX19291"/>
    <s v="ENX2060"/>
    <s v="A160"/>
    <s v="EMP1040"/>
    <s v="C1665"/>
    <x v="792"/>
    <n v="1"/>
    <n v="1467"/>
    <n v="807"/>
    <n v="807"/>
    <n v="1467"/>
    <n v="660"/>
    <s v="Product 61"/>
    <x v="9"/>
    <s v="Patrick Ruiz"/>
    <x v="615"/>
    <n v="7"/>
    <x v="6"/>
    <x v="10"/>
    <x v="10"/>
    <x v="3"/>
    <x v="2"/>
  </r>
  <r>
    <s v="AX19306"/>
    <s v="ENX2071"/>
    <s v="A161"/>
    <s v="EMP1030"/>
    <s v="C1624"/>
    <x v="794"/>
    <n v="3"/>
    <n v="136"/>
    <n v="72"/>
    <n v="216"/>
    <n v="408"/>
    <n v="192"/>
    <s v="Product 72"/>
    <x v="6"/>
    <s v="Bobby Russell"/>
    <x v="339"/>
    <n v="7"/>
    <x v="6"/>
    <x v="10"/>
    <x v="10"/>
    <x v="3"/>
    <x v="2"/>
  </r>
  <r>
    <s v="AX19418"/>
    <s v="ENX2082"/>
    <s v="A167"/>
    <s v="EMP1036"/>
    <s v="C1082"/>
    <x v="792"/>
    <n v="4"/>
    <n v="1103"/>
    <n v="838"/>
    <n v="3352"/>
    <n v="4412"/>
    <n v="1060"/>
    <s v="Product 83"/>
    <x v="64"/>
    <s v="Robert Reed"/>
    <x v="145"/>
    <n v="7"/>
    <x v="6"/>
    <x v="10"/>
    <x v="10"/>
    <x v="3"/>
    <x v="2"/>
  </r>
  <r>
    <s v="AX19457"/>
    <s v="ENX2021"/>
    <s v="A149"/>
    <s v="EMP1001"/>
    <s v="C1563"/>
    <x v="792"/>
    <n v="2"/>
    <n v="217"/>
    <n v="171"/>
    <n v="342"/>
    <n v="434"/>
    <n v="92"/>
    <s v="Product 22"/>
    <x v="59"/>
    <s v="Kevin Butler"/>
    <x v="130"/>
    <n v="7"/>
    <x v="6"/>
    <x v="10"/>
    <x v="10"/>
    <x v="3"/>
    <x v="2"/>
  </r>
  <r>
    <s v="AX19903"/>
    <s v="ENX2085"/>
    <s v="A111"/>
    <s v="EMP1016"/>
    <s v="C1408"/>
    <x v="792"/>
    <n v="1"/>
    <n v="1862"/>
    <n v="1173"/>
    <n v="1173"/>
    <n v="1862"/>
    <n v="689"/>
    <s v="Product 86"/>
    <x v="54"/>
    <s v="Henry Nelson"/>
    <x v="647"/>
    <n v="7"/>
    <x v="6"/>
    <x v="10"/>
    <x v="10"/>
    <x v="3"/>
    <x v="2"/>
  </r>
  <r>
    <s v="AX20618"/>
    <s v="ENX2042"/>
    <s v="A116"/>
    <s v="EMP1041"/>
    <s v="C1576"/>
    <x v="793"/>
    <n v="1"/>
    <n v="203"/>
    <n v="154"/>
    <n v="154"/>
    <n v="203"/>
    <n v="49"/>
    <s v="Product 43"/>
    <x v="15"/>
    <s v="Joe Sims"/>
    <x v="398"/>
    <n v="7"/>
    <x v="6"/>
    <x v="10"/>
    <x v="10"/>
    <x v="3"/>
    <x v="2"/>
  </r>
  <r>
    <s v="AX21196"/>
    <s v="ENX2062"/>
    <s v="A107"/>
    <s v="EMP1038"/>
    <s v="C1325"/>
    <x v="795"/>
    <n v="4"/>
    <n v="2464"/>
    <n v="1774"/>
    <n v="7096"/>
    <n v="9856"/>
    <n v="2760"/>
    <s v="Product 63"/>
    <x v="21"/>
    <s v="Scott Mason"/>
    <x v="67"/>
    <n v="7"/>
    <x v="6"/>
    <x v="10"/>
    <x v="10"/>
    <x v="3"/>
    <x v="2"/>
  </r>
  <r>
    <s v="AX21456"/>
    <s v="ENX2042"/>
    <s v="A127"/>
    <s v="EMP1031"/>
    <s v="C1674"/>
    <x v="793"/>
    <n v="1"/>
    <n v="203"/>
    <n v="154"/>
    <n v="154"/>
    <n v="203"/>
    <n v="49"/>
    <s v="Product 43"/>
    <x v="69"/>
    <s v="Brian Thomas"/>
    <x v="774"/>
    <n v="7"/>
    <x v="6"/>
    <x v="10"/>
    <x v="10"/>
    <x v="3"/>
    <x v="2"/>
  </r>
  <r>
    <s v="AX21735"/>
    <s v="ENX2057"/>
    <s v="A108"/>
    <s v="EMP1016"/>
    <s v="C1473"/>
    <x v="792"/>
    <n v="1"/>
    <n v="181"/>
    <n v="130"/>
    <n v="130"/>
    <n v="181"/>
    <n v="51"/>
    <s v="Product 58"/>
    <x v="49"/>
    <s v="Henry Nelson"/>
    <x v="100"/>
    <n v="7"/>
    <x v="6"/>
    <x v="10"/>
    <x v="10"/>
    <x v="3"/>
    <x v="2"/>
  </r>
  <r>
    <s v="AX21902"/>
    <s v="ENX2075"/>
    <s v="A102"/>
    <s v="EMP1022"/>
    <s v="C1719"/>
    <x v="795"/>
    <n v="1"/>
    <n v="400"/>
    <n v="208"/>
    <n v="208"/>
    <n v="400"/>
    <n v="192"/>
    <s v="Product 76"/>
    <x v="44"/>
    <s v="Walter Cook"/>
    <x v="666"/>
    <n v="7"/>
    <x v="6"/>
    <x v="10"/>
    <x v="10"/>
    <x v="3"/>
    <x v="2"/>
  </r>
  <r>
    <s v="AX22093"/>
    <s v="ENX2091"/>
    <s v="A150"/>
    <s v="EMP1033"/>
    <s v="C1778"/>
    <x v="792"/>
    <n v="2"/>
    <n v="368"/>
    <n v="294"/>
    <n v="588"/>
    <n v="736"/>
    <n v="148"/>
    <s v="Product 92"/>
    <x v="30"/>
    <s v="Jerry Perry"/>
    <x v="420"/>
    <n v="7"/>
    <x v="6"/>
    <x v="10"/>
    <x v="10"/>
    <x v="3"/>
    <x v="2"/>
  </r>
  <r>
    <s v="AX22153"/>
    <s v="ENX2067"/>
    <s v="A154"/>
    <s v="EMP1018"/>
    <s v="C1094"/>
    <x v="792"/>
    <n v="1"/>
    <n v="1119"/>
    <n v="683"/>
    <n v="683"/>
    <n v="1119"/>
    <n v="436"/>
    <s v="Product 68"/>
    <x v="24"/>
    <s v="Jimmy Young"/>
    <x v="261"/>
    <n v="7"/>
    <x v="6"/>
    <x v="10"/>
    <x v="10"/>
    <x v="3"/>
    <x v="2"/>
  </r>
  <r>
    <s v="AX22470"/>
    <s v="ENX2054"/>
    <s v="A164"/>
    <s v="EMP1037"/>
    <s v="C1282"/>
    <x v="792"/>
    <n v="4"/>
    <n v="127"/>
    <n v="79"/>
    <n v="316"/>
    <n v="508"/>
    <n v="192"/>
    <s v="Product 55"/>
    <x v="3"/>
    <s v="Carl Hall"/>
    <x v="520"/>
    <n v="7"/>
    <x v="6"/>
    <x v="10"/>
    <x v="10"/>
    <x v="3"/>
    <x v="2"/>
  </r>
  <r>
    <s v="AX22918"/>
    <s v="ENX2040"/>
    <s v="A144"/>
    <s v="EMP1024"/>
    <s v="C1011"/>
    <x v="793"/>
    <n v="1"/>
    <n v="1889"/>
    <n v="945"/>
    <n v="945"/>
    <n v="1889"/>
    <n v="944"/>
    <s v="Product 41"/>
    <x v="65"/>
    <s v="Ernest Wheeler"/>
    <x v="275"/>
    <n v="7"/>
    <x v="6"/>
    <x v="10"/>
    <x v="10"/>
    <x v="3"/>
    <x v="2"/>
  </r>
  <r>
    <s v="AX23193"/>
    <s v="ENX2054"/>
    <s v="A102"/>
    <s v="EMP1040"/>
    <s v="C1256"/>
    <x v="794"/>
    <n v="2"/>
    <n v="127"/>
    <n v="79"/>
    <n v="158"/>
    <n v="254"/>
    <n v="96"/>
    <s v="Product 55"/>
    <x v="44"/>
    <s v="Patrick Ruiz"/>
    <x v="524"/>
    <n v="7"/>
    <x v="6"/>
    <x v="10"/>
    <x v="10"/>
    <x v="3"/>
    <x v="2"/>
  </r>
  <r>
    <s v="AX23903"/>
    <s v="ENX2027"/>
    <s v="A146"/>
    <s v="EMP1009"/>
    <s v="C1251"/>
    <x v="794"/>
    <n v="1"/>
    <n v="2497"/>
    <n v="1473"/>
    <n v="1473"/>
    <n v="2497"/>
    <n v="1024"/>
    <s v="Product 28"/>
    <x v="27"/>
    <s v="Kenneth Fields"/>
    <x v="199"/>
    <n v="7"/>
    <x v="6"/>
    <x v="10"/>
    <x v="10"/>
    <x v="3"/>
    <x v="2"/>
  </r>
  <r>
    <s v="AX24493"/>
    <s v="ENX2017"/>
    <s v="A131"/>
    <s v="EMP1029"/>
    <s v="C1373"/>
    <x v="792"/>
    <n v="1"/>
    <n v="35"/>
    <n v="22"/>
    <n v="22"/>
    <n v="35"/>
    <n v="13"/>
    <s v="Product 18"/>
    <x v="32"/>
    <s v="Howard Gardner"/>
    <x v="471"/>
    <n v="7"/>
    <x v="6"/>
    <x v="10"/>
    <x v="10"/>
    <x v="3"/>
    <x v="2"/>
  </r>
  <r>
    <s v="AX24496"/>
    <s v="ENX2071"/>
    <s v="A141"/>
    <s v="EMP1018"/>
    <s v="C1083"/>
    <x v="792"/>
    <n v="3"/>
    <n v="136"/>
    <n v="72"/>
    <n v="216"/>
    <n v="408"/>
    <n v="192"/>
    <s v="Product 72"/>
    <x v="23"/>
    <s v="Jimmy Young"/>
    <x v="550"/>
    <n v="7"/>
    <x v="6"/>
    <x v="10"/>
    <x v="10"/>
    <x v="3"/>
    <x v="2"/>
  </r>
  <r>
    <s v="AX10039"/>
    <s v="ENX2024"/>
    <s v="A134"/>
    <s v="EMP1023"/>
    <s v="C1448"/>
    <x v="796"/>
    <n v="1"/>
    <n v="356"/>
    <n v="292"/>
    <n v="292"/>
    <n v="356"/>
    <n v="64"/>
    <s v="Product 25"/>
    <x v="41"/>
    <s v="Brian Davis"/>
    <x v="716"/>
    <n v="7"/>
    <x v="6"/>
    <x v="11"/>
    <x v="11"/>
    <x v="3"/>
    <x v="0"/>
  </r>
  <r>
    <s v="AX10195"/>
    <s v="ENX2085"/>
    <s v="A156"/>
    <s v="EMP1025"/>
    <s v="C1694"/>
    <x v="797"/>
    <n v="4"/>
    <n v="1862"/>
    <n v="1173"/>
    <n v="4692"/>
    <n v="7448"/>
    <n v="2756"/>
    <s v="Product 86"/>
    <x v="14"/>
    <s v="Ernest Wagner"/>
    <x v="506"/>
    <n v="7"/>
    <x v="6"/>
    <x v="11"/>
    <x v="11"/>
    <x v="3"/>
    <x v="0"/>
  </r>
  <r>
    <s v="AX10371"/>
    <s v="ENX2099"/>
    <s v="A170"/>
    <s v="EMP1037"/>
    <s v="C1672"/>
    <x v="798"/>
    <n v="1"/>
    <n v="1367"/>
    <n v="984"/>
    <n v="984"/>
    <n v="1367"/>
    <n v="383"/>
    <s v="Product 100"/>
    <x v="47"/>
    <s v="Carl Hall"/>
    <x v="547"/>
    <n v="7"/>
    <x v="6"/>
    <x v="11"/>
    <x v="11"/>
    <x v="3"/>
    <x v="0"/>
  </r>
  <r>
    <s v="AX11066"/>
    <s v="ENX2085"/>
    <s v="A139"/>
    <s v="EMP1033"/>
    <s v="C1375"/>
    <x v="799"/>
    <n v="2"/>
    <n v="1862"/>
    <n v="1173"/>
    <n v="2346"/>
    <n v="3724"/>
    <n v="1378"/>
    <s v="Product 86"/>
    <x v="38"/>
    <s v="Jerry Perry"/>
    <x v="9"/>
    <n v="7"/>
    <x v="6"/>
    <x v="11"/>
    <x v="11"/>
    <x v="3"/>
    <x v="0"/>
  </r>
  <r>
    <s v="AX11819"/>
    <s v="ENX2074"/>
    <s v="A122"/>
    <s v="EMP1017"/>
    <s v="C1651"/>
    <x v="796"/>
    <n v="1"/>
    <n v="504"/>
    <n v="408"/>
    <n v="408"/>
    <n v="504"/>
    <n v="96"/>
    <s v="Product 75"/>
    <x v="71"/>
    <s v="Brian Hansen"/>
    <x v="660"/>
    <n v="7"/>
    <x v="6"/>
    <x v="11"/>
    <x v="11"/>
    <x v="3"/>
    <x v="0"/>
  </r>
  <r>
    <s v="AX11994"/>
    <s v="ENX2009"/>
    <s v="A172"/>
    <s v="EMP1026"/>
    <s v="C1768"/>
    <x v="797"/>
    <n v="2"/>
    <n v="584"/>
    <n v="420"/>
    <n v="840"/>
    <n v="1168"/>
    <n v="328"/>
    <s v="Product 10"/>
    <x v="36"/>
    <s v="Martin Perry"/>
    <x v="496"/>
    <n v="7"/>
    <x v="6"/>
    <x v="11"/>
    <x v="11"/>
    <x v="3"/>
    <x v="0"/>
  </r>
  <r>
    <s v="AX11999"/>
    <s v="ENX2092"/>
    <s v="A120"/>
    <s v="EMP1024"/>
    <s v="C1055"/>
    <x v="797"/>
    <n v="4"/>
    <n v="1639"/>
    <n v="1295"/>
    <n v="5180"/>
    <n v="6556"/>
    <n v="1376"/>
    <s v="Product 93"/>
    <x v="20"/>
    <s v="Ernest Wheeler"/>
    <x v="593"/>
    <n v="7"/>
    <x v="6"/>
    <x v="11"/>
    <x v="11"/>
    <x v="3"/>
    <x v="0"/>
  </r>
  <r>
    <s v="AX12059"/>
    <s v="ENX2047"/>
    <s v="A104"/>
    <s v="EMP1036"/>
    <s v="C1493"/>
    <x v="799"/>
    <n v="1"/>
    <n v="290"/>
    <n v="200"/>
    <n v="200"/>
    <n v="290"/>
    <n v="90"/>
    <s v="Product 48"/>
    <x v="50"/>
    <s v="Robert Reed"/>
    <x v="380"/>
    <n v="7"/>
    <x v="6"/>
    <x v="11"/>
    <x v="11"/>
    <x v="3"/>
    <x v="0"/>
  </r>
  <r>
    <s v="AX12676"/>
    <s v="ENX2082"/>
    <s v="A163"/>
    <s v="EMP1004"/>
    <s v="C1225"/>
    <x v="797"/>
    <n v="1"/>
    <n v="1103"/>
    <n v="838"/>
    <n v="838"/>
    <n v="1103"/>
    <n v="265"/>
    <s v="Product 83"/>
    <x v="51"/>
    <s v="Kenneth Bradley"/>
    <x v="588"/>
    <n v="7"/>
    <x v="6"/>
    <x v="11"/>
    <x v="11"/>
    <x v="3"/>
    <x v="0"/>
  </r>
  <r>
    <s v="AX12732"/>
    <s v="ENX2026"/>
    <s v="A139"/>
    <s v="EMP1026"/>
    <s v="C1153"/>
    <x v="799"/>
    <n v="1"/>
    <n v="947"/>
    <n v="786"/>
    <n v="786"/>
    <n v="947"/>
    <n v="161"/>
    <s v="Product 27"/>
    <x v="38"/>
    <s v="Martin Perry"/>
    <x v="382"/>
    <n v="7"/>
    <x v="6"/>
    <x v="11"/>
    <x v="11"/>
    <x v="3"/>
    <x v="0"/>
  </r>
  <r>
    <s v="AX13306"/>
    <s v="ENX2056"/>
    <s v="A133"/>
    <s v="EMP1022"/>
    <s v="C1473"/>
    <x v="798"/>
    <n v="1"/>
    <n v="1635"/>
    <n v="1046"/>
    <n v="1046"/>
    <n v="1635"/>
    <n v="589"/>
    <s v="Product 57"/>
    <x v="46"/>
    <s v="Walter Cook"/>
    <x v="100"/>
    <n v="7"/>
    <x v="6"/>
    <x v="11"/>
    <x v="11"/>
    <x v="3"/>
    <x v="0"/>
  </r>
  <r>
    <s v="AX13397"/>
    <s v="ENX2061"/>
    <s v="A105"/>
    <s v="EMP1021"/>
    <s v="C1016"/>
    <x v="798"/>
    <n v="3"/>
    <n v="913"/>
    <n v="584"/>
    <n v="1752"/>
    <n v="2739"/>
    <n v="987"/>
    <s v="Product 62"/>
    <x v="45"/>
    <s v="Clarence Fox"/>
    <x v="335"/>
    <n v="7"/>
    <x v="6"/>
    <x v="11"/>
    <x v="11"/>
    <x v="3"/>
    <x v="0"/>
  </r>
  <r>
    <s v="AX13859"/>
    <s v="ENX2089"/>
    <s v="A109"/>
    <s v="EMP1044"/>
    <s v="C1508"/>
    <x v="798"/>
    <n v="1"/>
    <n v="2294"/>
    <n v="1399"/>
    <n v="1399"/>
    <n v="2294"/>
    <n v="895"/>
    <s v="Product 90"/>
    <x v="57"/>
    <s v="Martin Carr"/>
    <x v="37"/>
    <n v="7"/>
    <x v="6"/>
    <x v="11"/>
    <x v="11"/>
    <x v="3"/>
    <x v="0"/>
  </r>
  <r>
    <s v="AX14500"/>
    <s v="ENX2050"/>
    <s v="A108"/>
    <s v="EMP1025"/>
    <s v="C1076"/>
    <x v="798"/>
    <n v="3"/>
    <n v="2391"/>
    <n v="1291"/>
    <n v="3873"/>
    <n v="7173"/>
    <n v="3300"/>
    <s v="Product 51"/>
    <x v="49"/>
    <s v="Ernest Wagner"/>
    <x v="772"/>
    <n v="7"/>
    <x v="6"/>
    <x v="11"/>
    <x v="11"/>
    <x v="3"/>
    <x v="0"/>
  </r>
  <r>
    <s v="AX14787"/>
    <s v="ENX2043"/>
    <s v="A101"/>
    <s v="EMP1030"/>
    <s v="C1405"/>
    <x v="796"/>
    <n v="1"/>
    <n v="545"/>
    <n v="425"/>
    <n v="425"/>
    <n v="545"/>
    <n v="120"/>
    <s v="Product 44"/>
    <x v="60"/>
    <s v="Bobby Russell"/>
    <x v="544"/>
    <n v="7"/>
    <x v="6"/>
    <x v="11"/>
    <x v="11"/>
    <x v="3"/>
    <x v="0"/>
  </r>
  <r>
    <s v="AX15362"/>
    <s v="ENX2040"/>
    <s v="A169"/>
    <s v="EMP1023"/>
    <s v="C1330"/>
    <x v="798"/>
    <n v="1"/>
    <n v="1889"/>
    <n v="945"/>
    <n v="945"/>
    <n v="1889"/>
    <n v="944"/>
    <s v="Product 41"/>
    <x v="17"/>
    <s v="Brian Davis"/>
    <x v="511"/>
    <n v="7"/>
    <x v="6"/>
    <x v="11"/>
    <x v="11"/>
    <x v="3"/>
    <x v="0"/>
  </r>
  <r>
    <s v="AX15639"/>
    <s v="ENX2000"/>
    <s v="A167"/>
    <s v="EMP1033"/>
    <s v="C1531"/>
    <x v="796"/>
    <n v="1"/>
    <n v="2241"/>
    <n v="1367"/>
    <n v="1367"/>
    <n v="2241"/>
    <n v="874"/>
    <s v="Product 1"/>
    <x v="64"/>
    <s v="Jerry Perry"/>
    <x v="743"/>
    <n v="7"/>
    <x v="6"/>
    <x v="11"/>
    <x v="11"/>
    <x v="3"/>
    <x v="0"/>
  </r>
  <r>
    <s v="AX15869"/>
    <s v="ENX2026"/>
    <s v="A150"/>
    <s v="EMP1037"/>
    <s v="C1182"/>
    <x v="799"/>
    <n v="4"/>
    <n v="947"/>
    <n v="786"/>
    <n v="3144"/>
    <n v="3788"/>
    <n v="644"/>
    <s v="Product 27"/>
    <x v="30"/>
    <s v="Carl Hall"/>
    <x v="759"/>
    <n v="7"/>
    <x v="6"/>
    <x v="11"/>
    <x v="11"/>
    <x v="3"/>
    <x v="0"/>
  </r>
  <r>
    <s v="AX15901"/>
    <s v="ENX2071"/>
    <s v="A128"/>
    <s v="EMP1011"/>
    <s v="C1245"/>
    <x v="797"/>
    <n v="2"/>
    <n v="136"/>
    <n v="72"/>
    <n v="144"/>
    <n v="272"/>
    <n v="128"/>
    <s v="Product 72"/>
    <x v="12"/>
    <s v="Larry Marshall"/>
    <x v="165"/>
    <n v="7"/>
    <x v="6"/>
    <x v="11"/>
    <x v="11"/>
    <x v="3"/>
    <x v="0"/>
  </r>
  <r>
    <s v="AX16111"/>
    <s v="ENX2093"/>
    <s v="A118"/>
    <s v="EMP1033"/>
    <s v="C1128"/>
    <x v="797"/>
    <n v="3"/>
    <n v="112"/>
    <n v="90"/>
    <n v="270"/>
    <n v="336"/>
    <n v="66"/>
    <s v="Product 94"/>
    <x v="19"/>
    <s v="Jerry Perry"/>
    <x v="553"/>
    <n v="7"/>
    <x v="6"/>
    <x v="11"/>
    <x v="11"/>
    <x v="3"/>
    <x v="0"/>
  </r>
  <r>
    <s v="AX16318"/>
    <s v="ENX2064"/>
    <s v="A102"/>
    <s v="EMP1017"/>
    <s v="C1791"/>
    <x v="799"/>
    <n v="2"/>
    <n v="1414"/>
    <n v="962"/>
    <n v="1924"/>
    <n v="2828"/>
    <n v="904"/>
    <s v="Product 65"/>
    <x v="44"/>
    <s v="Brian Hansen"/>
    <x v="193"/>
    <n v="7"/>
    <x v="6"/>
    <x v="11"/>
    <x v="11"/>
    <x v="3"/>
    <x v="0"/>
  </r>
  <r>
    <s v="AX16480"/>
    <s v="ENX2004"/>
    <s v="A160"/>
    <s v="EMP1030"/>
    <s v="C1310"/>
    <x v="796"/>
    <n v="4"/>
    <n v="1278"/>
    <n v="665"/>
    <n v="2660"/>
    <n v="5112"/>
    <n v="2452"/>
    <s v="Product 5"/>
    <x v="9"/>
    <s v="Bobby Russell"/>
    <x v="169"/>
    <n v="7"/>
    <x v="6"/>
    <x v="11"/>
    <x v="11"/>
    <x v="3"/>
    <x v="0"/>
  </r>
  <r>
    <s v="AX16799"/>
    <s v="ENX2010"/>
    <s v="A109"/>
    <s v="EMP1042"/>
    <s v="C1522"/>
    <x v="797"/>
    <n v="1"/>
    <n v="1812"/>
    <n v="1305"/>
    <n v="1305"/>
    <n v="1812"/>
    <n v="507"/>
    <s v="Product 11"/>
    <x v="57"/>
    <s v="Scott Clark"/>
    <x v="121"/>
    <n v="7"/>
    <x v="6"/>
    <x v="11"/>
    <x v="11"/>
    <x v="3"/>
    <x v="0"/>
  </r>
  <r>
    <s v="AX17116"/>
    <s v="ENX2027"/>
    <s v="A164"/>
    <s v="EMP1039"/>
    <s v="C1581"/>
    <x v="797"/>
    <n v="2"/>
    <n v="2497"/>
    <n v="1473"/>
    <n v="2946"/>
    <n v="4994"/>
    <n v="2048"/>
    <s v="Product 28"/>
    <x v="3"/>
    <s v="Eugene Holmes"/>
    <x v="510"/>
    <n v="7"/>
    <x v="6"/>
    <x v="11"/>
    <x v="11"/>
    <x v="3"/>
    <x v="0"/>
  </r>
  <r>
    <s v="AX17134"/>
    <s v="ENX2013"/>
    <s v="A132"/>
    <s v="EMP1018"/>
    <s v="C1324"/>
    <x v="797"/>
    <n v="1"/>
    <n v="368"/>
    <n v="269"/>
    <n v="269"/>
    <n v="368"/>
    <n v="99"/>
    <s v="Product 14"/>
    <x v="48"/>
    <s v="Jimmy Young"/>
    <x v="252"/>
    <n v="7"/>
    <x v="6"/>
    <x v="11"/>
    <x v="11"/>
    <x v="3"/>
    <x v="0"/>
  </r>
  <r>
    <s v="AX17417"/>
    <s v="ENX2089"/>
    <s v="A163"/>
    <s v="EMP1013"/>
    <s v="C1382"/>
    <x v="799"/>
    <n v="1"/>
    <n v="2294"/>
    <n v="1399"/>
    <n v="1399"/>
    <n v="2294"/>
    <n v="895"/>
    <s v="Product 90"/>
    <x v="51"/>
    <s v="Charles Harper"/>
    <x v="334"/>
    <n v="7"/>
    <x v="6"/>
    <x v="11"/>
    <x v="11"/>
    <x v="3"/>
    <x v="0"/>
  </r>
  <r>
    <s v="AX17468"/>
    <s v="ENX2023"/>
    <s v="A127"/>
    <s v="EMP1007"/>
    <s v="C1572"/>
    <x v="797"/>
    <n v="4"/>
    <n v="818"/>
    <n v="450"/>
    <n v="1800"/>
    <n v="3272"/>
    <n v="1472"/>
    <s v="Product 24"/>
    <x v="69"/>
    <s v="Jeremy Mendoza"/>
    <x v="717"/>
    <n v="7"/>
    <x v="6"/>
    <x v="11"/>
    <x v="11"/>
    <x v="3"/>
    <x v="0"/>
  </r>
  <r>
    <s v="AX17550"/>
    <s v="ENX2092"/>
    <s v="A113"/>
    <s v="EMP1021"/>
    <s v="C1386"/>
    <x v="796"/>
    <n v="1"/>
    <n v="1639"/>
    <n v="1295"/>
    <n v="1295"/>
    <n v="1639"/>
    <n v="344"/>
    <s v="Product 93"/>
    <x v="73"/>
    <s v="Clarence Fox"/>
    <x v="123"/>
    <n v="7"/>
    <x v="6"/>
    <x v="11"/>
    <x v="11"/>
    <x v="3"/>
    <x v="0"/>
  </r>
  <r>
    <s v="AX17986"/>
    <s v="ENX2016"/>
    <s v="A158"/>
    <s v="EMP1031"/>
    <s v="C1300"/>
    <x v="797"/>
    <n v="1"/>
    <n v="1351"/>
    <n v="1108"/>
    <n v="1108"/>
    <n v="1351"/>
    <n v="243"/>
    <s v="Product 17"/>
    <x v="58"/>
    <s v="Brian Thomas"/>
    <x v="201"/>
    <n v="7"/>
    <x v="6"/>
    <x v="11"/>
    <x v="11"/>
    <x v="3"/>
    <x v="0"/>
  </r>
  <r>
    <s v="AX18677"/>
    <s v="ENX2030"/>
    <s v="A138"/>
    <s v="EMP1025"/>
    <s v="C1745"/>
    <x v="798"/>
    <n v="1"/>
    <n v="1899"/>
    <n v="1044"/>
    <n v="1044"/>
    <n v="1899"/>
    <n v="855"/>
    <s v="Product 31"/>
    <x v="37"/>
    <s v="Ernest Wagner"/>
    <x v="784"/>
    <n v="7"/>
    <x v="6"/>
    <x v="11"/>
    <x v="11"/>
    <x v="3"/>
    <x v="0"/>
  </r>
  <r>
    <s v="AX19090"/>
    <s v="ENX2042"/>
    <s v="A107"/>
    <s v="EMP1018"/>
    <s v="C1663"/>
    <x v="799"/>
    <n v="4"/>
    <n v="203"/>
    <n v="154"/>
    <n v="616"/>
    <n v="812"/>
    <n v="196"/>
    <s v="Product 43"/>
    <x v="21"/>
    <s v="Jimmy Young"/>
    <x v="602"/>
    <n v="7"/>
    <x v="6"/>
    <x v="11"/>
    <x v="11"/>
    <x v="3"/>
    <x v="0"/>
  </r>
  <r>
    <s v="AX19266"/>
    <s v="ENX2007"/>
    <s v="A126"/>
    <s v="EMP1030"/>
    <s v="C1184"/>
    <x v="797"/>
    <n v="2"/>
    <n v="1405"/>
    <n v="1054"/>
    <n v="2108"/>
    <n v="2810"/>
    <n v="702"/>
    <s v="Product 8"/>
    <x v="5"/>
    <s v="Bobby Russell"/>
    <x v="707"/>
    <n v="7"/>
    <x v="6"/>
    <x v="11"/>
    <x v="11"/>
    <x v="3"/>
    <x v="0"/>
  </r>
  <r>
    <s v="AX19268"/>
    <s v="ENX2030"/>
    <s v="A119"/>
    <s v="EMP1012"/>
    <s v="C1340"/>
    <x v="799"/>
    <n v="1"/>
    <n v="1899"/>
    <n v="1044"/>
    <n v="1044"/>
    <n v="1899"/>
    <n v="855"/>
    <s v="Product 31"/>
    <x v="16"/>
    <s v="John Reyes"/>
    <x v="433"/>
    <n v="7"/>
    <x v="6"/>
    <x v="11"/>
    <x v="11"/>
    <x v="3"/>
    <x v="0"/>
  </r>
  <r>
    <s v="AX19368"/>
    <s v="ENX2060"/>
    <s v="A166"/>
    <s v="EMP1044"/>
    <s v="C1706"/>
    <x v="798"/>
    <n v="3"/>
    <n v="1467"/>
    <n v="807"/>
    <n v="2421"/>
    <n v="4401"/>
    <n v="1980"/>
    <s v="Product 61"/>
    <x v="70"/>
    <s v="Martin Carr"/>
    <x v="171"/>
    <n v="7"/>
    <x v="6"/>
    <x v="11"/>
    <x v="11"/>
    <x v="3"/>
    <x v="0"/>
  </r>
  <r>
    <s v="AX20677"/>
    <s v="ENX2064"/>
    <s v="A160"/>
    <s v="EMP1007"/>
    <s v="C1358"/>
    <x v="797"/>
    <n v="3"/>
    <n v="1414"/>
    <n v="962"/>
    <n v="2886"/>
    <n v="4242"/>
    <n v="1356"/>
    <s v="Product 65"/>
    <x v="9"/>
    <s v="Jeremy Mendoza"/>
    <x v="242"/>
    <n v="7"/>
    <x v="6"/>
    <x v="11"/>
    <x v="11"/>
    <x v="3"/>
    <x v="0"/>
  </r>
  <r>
    <s v="AX20902"/>
    <s v="ENX2030"/>
    <s v="A149"/>
    <s v="EMP1006"/>
    <s v="C1771"/>
    <x v="798"/>
    <n v="3"/>
    <n v="1899"/>
    <n v="1044"/>
    <n v="3132"/>
    <n v="5697"/>
    <n v="2565"/>
    <s v="Product 31"/>
    <x v="59"/>
    <s v="Sean Miller"/>
    <x v="34"/>
    <n v="7"/>
    <x v="6"/>
    <x v="11"/>
    <x v="11"/>
    <x v="3"/>
    <x v="0"/>
  </r>
  <r>
    <s v="AX20964"/>
    <s v="ENX2010"/>
    <s v="A109"/>
    <s v="EMP1034"/>
    <s v="C1578"/>
    <x v="797"/>
    <n v="1"/>
    <n v="1812"/>
    <n v="1305"/>
    <n v="1305"/>
    <n v="1812"/>
    <n v="507"/>
    <s v="Product 11"/>
    <x v="57"/>
    <s v="Arthur Mccoy"/>
    <x v="17"/>
    <n v="7"/>
    <x v="6"/>
    <x v="11"/>
    <x v="11"/>
    <x v="3"/>
    <x v="0"/>
  </r>
  <r>
    <s v="AX20973"/>
    <s v="ENX2073"/>
    <s v="A117"/>
    <s v="EMP1035"/>
    <s v="C1058"/>
    <x v="796"/>
    <n v="2"/>
    <n v="95"/>
    <n v="61"/>
    <n v="122"/>
    <n v="190"/>
    <n v="68"/>
    <s v="Product 74"/>
    <x v="29"/>
    <s v="Roger Ramos"/>
    <x v="611"/>
    <n v="7"/>
    <x v="6"/>
    <x v="11"/>
    <x v="11"/>
    <x v="3"/>
    <x v="0"/>
  </r>
  <r>
    <s v="AX21888"/>
    <s v="ENX2098"/>
    <s v="A136"/>
    <s v="EMP1016"/>
    <s v="C1221"/>
    <x v="797"/>
    <n v="1"/>
    <n v="1178"/>
    <n v="683"/>
    <n v="683"/>
    <n v="1178"/>
    <n v="495"/>
    <s v="Product 99"/>
    <x v="43"/>
    <s v="Henry Nelson"/>
    <x v="429"/>
    <n v="7"/>
    <x v="6"/>
    <x v="11"/>
    <x v="11"/>
    <x v="3"/>
    <x v="0"/>
  </r>
  <r>
    <s v="AX21931"/>
    <s v="ENX2012"/>
    <s v="A141"/>
    <s v="EMP1032"/>
    <s v="C1672"/>
    <x v="799"/>
    <n v="4"/>
    <n v="1353"/>
    <n v="947"/>
    <n v="3788"/>
    <n v="5412"/>
    <n v="1624"/>
    <s v="Product 13"/>
    <x v="23"/>
    <s v="Larry Castillo"/>
    <x v="547"/>
    <n v="7"/>
    <x v="6"/>
    <x v="11"/>
    <x v="11"/>
    <x v="3"/>
    <x v="0"/>
  </r>
  <r>
    <s v="AX22354"/>
    <s v="ENX2086"/>
    <s v="A135"/>
    <s v="EMP1025"/>
    <s v="C1176"/>
    <x v="798"/>
    <n v="1"/>
    <n v="123"/>
    <n v="84"/>
    <n v="84"/>
    <n v="123"/>
    <n v="39"/>
    <s v="Product 87"/>
    <x v="10"/>
    <s v="Ernest Wagner"/>
    <x v="117"/>
    <n v="7"/>
    <x v="6"/>
    <x v="11"/>
    <x v="11"/>
    <x v="3"/>
    <x v="0"/>
  </r>
  <r>
    <s v="AX22452"/>
    <s v="ENX2077"/>
    <s v="A112"/>
    <s v="EMP1010"/>
    <s v="C1256"/>
    <x v="798"/>
    <n v="2"/>
    <n v="530"/>
    <n v="424"/>
    <n v="848"/>
    <n v="1060"/>
    <n v="212"/>
    <s v="Product 78"/>
    <x v="66"/>
    <s v="Joshua Cook"/>
    <x v="524"/>
    <n v="7"/>
    <x v="6"/>
    <x v="11"/>
    <x v="11"/>
    <x v="3"/>
    <x v="0"/>
  </r>
  <r>
    <s v="AX22622"/>
    <s v="ENX2065"/>
    <s v="A153"/>
    <s v="EMP1014"/>
    <s v="C1699"/>
    <x v="799"/>
    <n v="1"/>
    <n v="2396"/>
    <n v="1965"/>
    <n v="1965"/>
    <n v="2396"/>
    <n v="431"/>
    <s v="Product 66"/>
    <x v="8"/>
    <s v="Ronald Reed"/>
    <x v="672"/>
    <n v="7"/>
    <x v="6"/>
    <x v="11"/>
    <x v="11"/>
    <x v="3"/>
    <x v="0"/>
  </r>
  <r>
    <s v="AX22647"/>
    <s v="ENX2073"/>
    <s v="A101"/>
    <s v="EMP1007"/>
    <s v="C1181"/>
    <x v="798"/>
    <n v="1"/>
    <n v="95"/>
    <n v="61"/>
    <n v="61"/>
    <n v="95"/>
    <n v="34"/>
    <s v="Product 74"/>
    <x v="60"/>
    <s v="Jeremy Mendoza"/>
    <x v="449"/>
    <n v="7"/>
    <x v="6"/>
    <x v="11"/>
    <x v="11"/>
    <x v="3"/>
    <x v="0"/>
  </r>
  <r>
    <s v="AX22703"/>
    <s v="ENX2003"/>
    <s v="A157"/>
    <s v="EMP1018"/>
    <s v="C1342"/>
    <x v="797"/>
    <n v="1"/>
    <n v="1783"/>
    <n v="1516"/>
    <n v="1516"/>
    <n v="1783"/>
    <n v="267"/>
    <s v="Product 4"/>
    <x v="7"/>
    <s v="Jimmy Young"/>
    <x v="62"/>
    <n v="7"/>
    <x v="6"/>
    <x v="11"/>
    <x v="11"/>
    <x v="3"/>
    <x v="0"/>
  </r>
  <r>
    <s v="AX22704"/>
    <s v="ENX2026"/>
    <s v="A105"/>
    <s v="EMP1022"/>
    <s v="C1691"/>
    <x v="797"/>
    <n v="3"/>
    <n v="947"/>
    <n v="786"/>
    <n v="2358"/>
    <n v="2841"/>
    <n v="483"/>
    <s v="Product 27"/>
    <x v="45"/>
    <s v="Walter Cook"/>
    <x v="157"/>
    <n v="7"/>
    <x v="6"/>
    <x v="11"/>
    <x v="11"/>
    <x v="3"/>
    <x v="0"/>
  </r>
  <r>
    <s v="AX22801"/>
    <s v="ENX2060"/>
    <s v="A103"/>
    <s v="EMP1014"/>
    <s v="C1355"/>
    <x v="797"/>
    <n v="3"/>
    <n v="1467"/>
    <n v="807"/>
    <n v="2421"/>
    <n v="4401"/>
    <n v="1980"/>
    <s v="Product 61"/>
    <x v="61"/>
    <s v="Ronald Reed"/>
    <x v="710"/>
    <n v="7"/>
    <x v="6"/>
    <x v="11"/>
    <x v="11"/>
    <x v="3"/>
    <x v="0"/>
  </r>
  <r>
    <s v="AX22908"/>
    <s v="ENX2023"/>
    <s v="A107"/>
    <s v="EMP1001"/>
    <s v="C1712"/>
    <x v="797"/>
    <n v="1"/>
    <n v="818"/>
    <n v="450"/>
    <n v="450"/>
    <n v="818"/>
    <n v="368"/>
    <s v="Product 24"/>
    <x v="21"/>
    <s v="Kevin Butler"/>
    <x v="21"/>
    <n v="7"/>
    <x v="6"/>
    <x v="11"/>
    <x v="11"/>
    <x v="3"/>
    <x v="0"/>
  </r>
  <r>
    <s v="AX23211"/>
    <s v="ENX2046"/>
    <s v="A142"/>
    <s v="EMP1039"/>
    <s v="C1047"/>
    <x v="797"/>
    <n v="1"/>
    <n v="2410"/>
    <n v="1518"/>
    <n v="1518"/>
    <n v="2410"/>
    <n v="892"/>
    <s v="Product 47"/>
    <x v="56"/>
    <s v="Eugene Holmes"/>
    <x v="486"/>
    <n v="7"/>
    <x v="6"/>
    <x v="11"/>
    <x v="11"/>
    <x v="3"/>
    <x v="0"/>
  </r>
  <r>
    <s v="AX23656"/>
    <s v="ENX2079"/>
    <s v="A162"/>
    <s v="EMP1012"/>
    <s v="C1472"/>
    <x v="796"/>
    <n v="2"/>
    <n v="1725"/>
    <n v="1363"/>
    <n v="2726"/>
    <n v="3450"/>
    <n v="724"/>
    <s v="Product 80"/>
    <x v="2"/>
    <s v="John Reyes"/>
    <x v="626"/>
    <n v="7"/>
    <x v="6"/>
    <x v="11"/>
    <x v="11"/>
    <x v="3"/>
    <x v="0"/>
  </r>
  <r>
    <s v="AX24367"/>
    <s v="ENX2089"/>
    <s v="A166"/>
    <s v="EMP1016"/>
    <s v="C1730"/>
    <x v="797"/>
    <n v="1"/>
    <n v="2294"/>
    <n v="1399"/>
    <n v="1399"/>
    <n v="2294"/>
    <n v="895"/>
    <s v="Product 90"/>
    <x v="70"/>
    <s v="Henry Nelson"/>
    <x v="777"/>
    <n v="7"/>
    <x v="6"/>
    <x v="11"/>
    <x v="11"/>
    <x v="3"/>
    <x v="0"/>
  </r>
  <r>
    <s v="AX24633"/>
    <s v="ENX2031"/>
    <s v="A104"/>
    <s v="EMP1011"/>
    <s v="C1622"/>
    <x v="798"/>
    <n v="2"/>
    <n v="1638"/>
    <n v="1261"/>
    <n v="2522"/>
    <n v="3276"/>
    <n v="754"/>
    <s v="Product 32"/>
    <x v="50"/>
    <s v="Larry Marshall"/>
    <x v="548"/>
    <n v="7"/>
    <x v="6"/>
    <x v="11"/>
    <x v="11"/>
    <x v="3"/>
    <x v="0"/>
  </r>
  <r>
    <s v="AX24938"/>
    <s v="ENX2065"/>
    <s v="A102"/>
    <s v="EMP1002"/>
    <s v="C1308"/>
    <x v="797"/>
    <n v="3"/>
    <n v="2396"/>
    <n v="1965"/>
    <n v="5895"/>
    <n v="7188"/>
    <n v="1293"/>
    <s v="Product 66"/>
    <x v="44"/>
    <s v="Andrew Bowman"/>
    <x v="226"/>
    <n v="7"/>
    <x v="6"/>
    <x v="11"/>
    <x v="11"/>
    <x v="3"/>
    <x v="0"/>
  </r>
  <r>
    <s v="AX10017"/>
    <s v="ENX2088"/>
    <s v="A163"/>
    <s v="EMP1032"/>
    <s v="C1619"/>
    <x v="800"/>
    <n v="1"/>
    <n v="603"/>
    <n v="416"/>
    <n v="416"/>
    <n v="603"/>
    <n v="187"/>
    <s v="Product 89"/>
    <x v="51"/>
    <s v="Larry Castillo"/>
    <x v="77"/>
    <n v="7"/>
    <x v="6"/>
    <x v="11"/>
    <x v="11"/>
    <x v="3"/>
    <x v="2"/>
  </r>
  <r>
    <s v="AX10160"/>
    <s v="ENX2032"/>
    <s v="A128"/>
    <s v="EMP1014"/>
    <s v="C1293"/>
    <x v="801"/>
    <n v="2"/>
    <n v="1967"/>
    <n v="1397"/>
    <n v="2794"/>
    <n v="3934"/>
    <n v="1140"/>
    <s v="Product 33"/>
    <x v="12"/>
    <s v="Ronald Reed"/>
    <x v="512"/>
    <n v="7"/>
    <x v="6"/>
    <x v="11"/>
    <x v="11"/>
    <x v="3"/>
    <x v="2"/>
  </r>
  <r>
    <s v="AX10205"/>
    <s v="ENX2042"/>
    <s v="A168"/>
    <s v="EMP1040"/>
    <s v="C1306"/>
    <x v="800"/>
    <n v="4"/>
    <n v="203"/>
    <n v="154"/>
    <n v="616"/>
    <n v="812"/>
    <n v="196"/>
    <s v="Product 43"/>
    <x v="40"/>
    <s v="Patrick Ruiz"/>
    <x v="692"/>
    <n v="7"/>
    <x v="6"/>
    <x v="11"/>
    <x v="11"/>
    <x v="3"/>
    <x v="2"/>
  </r>
  <r>
    <s v="AX10294"/>
    <s v="ENX2006"/>
    <s v="A121"/>
    <s v="EMP1012"/>
    <s v="C1443"/>
    <x v="802"/>
    <n v="4"/>
    <n v="1826"/>
    <n v="1443"/>
    <n v="5772"/>
    <n v="7304"/>
    <n v="1532"/>
    <s v="Product 7"/>
    <x v="72"/>
    <s v="John Reyes"/>
    <x v="683"/>
    <n v="7"/>
    <x v="6"/>
    <x v="11"/>
    <x v="11"/>
    <x v="3"/>
    <x v="2"/>
  </r>
  <r>
    <s v="AX10299"/>
    <s v="ENX2022"/>
    <s v="A143"/>
    <s v="EMP1022"/>
    <s v="C1304"/>
    <x v="802"/>
    <n v="2"/>
    <n v="561"/>
    <n v="421"/>
    <n v="842"/>
    <n v="1122"/>
    <n v="280"/>
    <s v="Product 23"/>
    <x v="39"/>
    <s v="Walter Cook"/>
    <x v="298"/>
    <n v="7"/>
    <x v="6"/>
    <x v="11"/>
    <x v="11"/>
    <x v="3"/>
    <x v="2"/>
  </r>
  <r>
    <s v="AX10933"/>
    <s v="ENX2006"/>
    <s v="A160"/>
    <s v="EMP1026"/>
    <s v="C1020"/>
    <x v="801"/>
    <n v="1"/>
    <n v="1826"/>
    <n v="1443"/>
    <n v="1443"/>
    <n v="1826"/>
    <n v="383"/>
    <s v="Product 7"/>
    <x v="9"/>
    <s v="Martin Perry"/>
    <x v="423"/>
    <n v="7"/>
    <x v="6"/>
    <x v="11"/>
    <x v="11"/>
    <x v="3"/>
    <x v="2"/>
  </r>
  <r>
    <s v="AX11417"/>
    <s v="ENX2010"/>
    <s v="A163"/>
    <s v="EMP1014"/>
    <s v="C1426"/>
    <x v="803"/>
    <n v="4"/>
    <n v="1812"/>
    <n v="1305"/>
    <n v="5220"/>
    <n v="7248"/>
    <n v="2028"/>
    <s v="Product 11"/>
    <x v="51"/>
    <s v="Ronald Reed"/>
    <x v="127"/>
    <n v="7"/>
    <x v="6"/>
    <x v="11"/>
    <x v="11"/>
    <x v="3"/>
    <x v="2"/>
  </r>
  <r>
    <s v="AX11747"/>
    <s v="ENX2011"/>
    <s v="A142"/>
    <s v="EMP1021"/>
    <s v="C1414"/>
    <x v="803"/>
    <n v="4"/>
    <n v="530"/>
    <n v="435"/>
    <n v="1740"/>
    <n v="2120"/>
    <n v="380"/>
    <s v="Product 12"/>
    <x v="56"/>
    <s v="Clarence Fox"/>
    <x v="140"/>
    <n v="7"/>
    <x v="6"/>
    <x v="11"/>
    <x v="11"/>
    <x v="3"/>
    <x v="2"/>
  </r>
  <r>
    <s v="AX11935"/>
    <s v="ENX2085"/>
    <s v="A139"/>
    <s v="EMP1004"/>
    <s v="C1186"/>
    <x v="802"/>
    <n v="3"/>
    <n v="1862"/>
    <n v="1173"/>
    <n v="3519"/>
    <n v="5586"/>
    <n v="2067"/>
    <s v="Product 86"/>
    <x v="38"/>
    <s v="Kenneth Bradley"/>
    <x v="467"/>
    <n v="7"/>
    <x v="6"/>
    <x v="11"/>
    <x v="11"/>
    <x v="3"/>
    <x v="2"/>
  </r>
  <r>
    <s v="AX12176"/>
    <s v="ENX2059"/>
    <s v="A113"/>
    <s v="EMP1042"/>
    <s v="C1026"/>
    <x v="801"/>
    <n v="1"/>
    <n v="1494"/>
    <n v="971"/>
    <n v="971"/>
    <n v="1494"/>
    <n v="523"/>
    <s v="Product 60"/>
    <x v="73"/>
    <s v="Scott Clark"/>
    <x v="410"/>
    <n v="7"/>
    <x v="6"/>
    <x v="11"/>
    <x v="11"/>
    <x v="3"/>
    <x v="2"/>
  </r>
  <r>
    <s v="AX12470"/>
    <s v="ENX2096"/>
    <s v="A152"/>
    <s v="EMP1022"/>
    <s v="C1370"/>
    <x v="802"/>
    <n v="1"/>
    <n v="1587"/>
    <n v="1301"/>
    <n v="1301"/>
    <n v="1587"/>
    <n v="286"/>
    <s v="Product 97"/>
    <x v="26"/>
    <s v="Walter Cook"/>
    <x v="341"/>
    <n v="7"/>
    <x v="6"/>
    <x v="11"/>
    <x v="11"/>
    <x v="3"/>
    <x v="2"/>
  </r>
  <r>
    <s v="AX12631"/>
    <s v="ENX2066"/>
    <s v="A100"/>
    <s v="EMP1012"/>
    <s v="C1397"/>
    <x v="803"/>
    <n v="1"/>
    <n v="2091"/>
    <n v="1485"/>
    <n v="1485"/>
    <n v="2091"/>
    <n v="606"/>
    <s v="Product 67"/>
    <x v="52"/>
    <s v="John Reyes"/>
    <x v="560"/>
    <n v="7"/>
    <x v="6"/>
    <x v="11"/>
    <x v="11"/>
    <x v="3"/>
    <x v="2"/>
  </r>
  <r>
    <s v="AX12949"/>
    <s v="ENX2067"/>
    <s v="A130"/>
    <s v="EMP1034"/>
    <s v="C1798"/>
    <x v="804"/>
    <n v="3"/>
    <n v="1119"/>
    <n v="683"/>
    <n v="2049"/>
    <n v="3357"/>
    <n v="1308"/>
    <s v="Product 68"/>
    <x v="4"/>
    <s v="Arthur Mccoy"/>
    <x v="608"/>
    <n v="7"/>
    <x v="6"/>
    <x v="11"/>
    <x v="11"/>
    <x v="3"/>
    <x v="2"/>
  </r>
  <r>
    <s v="AX12997"/>
    <s v="ENX2023"/>
    <s v="A119"/>
    <s v="EMP1037"/>
    <s v="C1505"/>
    <x v="801"/>
    <n v="2"/>
    <n v="818"/>
    <n v="450"/>
    <n v="900"/>
    <n v="1636"/>
    <n v="736"/>
    <s v="Product 24"/>
    <x v="16"/>
    <s v="Carl Hall"/>
    <x v="632"/>
    <n v="7"/>
    <x v="6"/>
    <x v="11"/>
    <x v="11"/>
    <x v="3"/>
    <x v="2"/>
  </r>
  <r>
    <s v="AX13176"/>
    <s v="ENX2087"/>
    <s v="A149"/>
    <s v="EMP1017"/>
    <s v="C1169"/>
    <x v="802"/>
    <n v="1"/>
    <n v="1022"/>
    <n v="818"/>
    <n v="818"/>
    <n v="1022"/>
    <n v="204"/>
    <s v="Product 88"/>
    <x v="59"/>
    <s v="Brian Hansen"/>
    <x v="293"/>
    <n v="7"/>
    <x v="6"/>
    <x v="11"/>
    <x v="11"/>
    <x v="3"/>
    <x v="2"/>
  </r>
  <r>
    <s v="AX13402"/>
    <s v="ENX2014"/>
    <s v="A101"/>
    <s v="EMP1037"/>
    <s v="C1150"/>
    <x v="804"/>
    <n v="1"/>
    <n v="1809"/>
    <n v="1067"/>
    <n v="1067"/>
    <n v="1809"/>
    <n v="742"/>
    <s v="Product 15"/>
    <x v="60"/>
    <s v="Carl Hall"/>
    <x v="456"/>
    <n v="7"/>
    <x v="6"/>
    <x v="11"/>
    <x v="11"/>
    <x v="3"/>
    <x v="2"/>
  </r>
  <r>
    <s v="AX13749"/>
    <s v="ENX2076"/>
    <s v="A137"/>
    <s v="EMP1027"/>
    <s v="C1797"/>
    <x v="803"/>
    <n v="1"/>
    <n v="1522"/>
    <n v="791"/>
    <n v="791"/>
    <n v="1522"/>
    <n v="731"/>
    <s v="Product 77"/>
    <x v="68"/>
    <s v="Gary Rodriguez"/>
    <x v="407"/>
    <n v="7"/>
    <x v="6"/>
    <x v="11"/>
    <x v="11"/>
    <x v="3"/>
    <x v="2"/>
  </r>
  <r>
    <s v="AX13958"/>
    <s v="ENX2046"/>
    <s v="A129"/>
    <s v="EMP1005"/>
    <s v="C1112"/>
    <x v="804"/>
    <n v="1"/>
    <n v="2410"/>
    <n v="1518"/>
    <n v="1518"/>
    <n v="2410"/>
    <n v="892"/>
    <s v="Product 47"/>
    <x v="22"/>
    <s v="Ryan Welch"/>
    <x v="590"/>
    <n v="7"/>
    <x v="6"/>
    <x v="11"/>
    <x v="11"/>
    <x v="3"/>
    <x v="2"/>
  </r>
  <r>
    <s v="AX14031"/>
    <s v="ENX2070"/>
    <s v="A117"/>
    <s v="EMP1000"/>
    <s v="C1198"/>
    <x v="804"/>
    <n v="1"/>
    <n v="1671"/>
    <n v="1220"/>
    <n v="1220"/>
    <n v="1671"/>
    <n v="451"/>
    <s v="Product 71"/>
    <x v="29"/>
    <s v="Fred Robertson"/>
    <x v="42"/>
    <n v="7"/>
    <x v="6"/>
    <x v="11"/>
    <x v="11"/>
    <x v="3"/>
    <x v="2"/>
  </r>
  <r>
    <s v="AX14033"/>
    <s v="ENX2057"/>
    <s v="A105"/>
    <s v="EMP1006"/>
    <s v="C1025"/>
    <x v="802"/>
    <n v="2"/>
    <n v="181"/>
    <n v="130"/>
    <n v="260"/>
    <n v="362"/>
    <n v="102"/>
    <s v="Product 58"/>
    <x v="45"/>
    <s v="Sean Miller"/>
    <x v="350"/>
    <n v="7"/>
    <x v="6"/>
    <x v="11"/>
    <x v="11"/>
    <x v="3"/>
    <x v="2"/>
  </r>
  <r>
    <s v="AX14078"/>
    <s v="ENX2018"/>
    <s v="A169"/>
    <s v="EMP1004"/>
    <s v="C1440"/>
    <x v="800"/>
    <n v="1"/>
    <n v="1972"/>
    <n v="1321"/>
    <n v="1321"/>
    <n v="1972"/>
    <n v="651"/>
    <s v="Product 19"/>
    <x v="17"/>
    <s v="Kenneth Bradley"/>
    <x v="52"/>
    <n v="7"/>
    <x v="6"/>
    <x v="11"/>
    <x v="11"/>
    <x v="3"/>
    <x v="2"/>
  </r>
  <r>
    <s v="AX14242"/>
    <s v="ENX2016"/>
    <s v="A100"/>
    <s v="EMP1038"/>
    <s v="C1217"/>
    <x v="801"/>
    <n v="1"/>
    <n v="1351"/>
    <n v="1108"/>
    <n v="1108"/>
    <n v="1351"/>
    <n v="243"/>
    <s v="Product 17"/>
    <x v="52"/>
    <s v="Scott Mason"/>
    <x v="619"/>
    <n v="7"/>
    <x v="6"/>
    <x v="11"/>
    <x v="11"/>
    <x v="3"/>
    <x v="2"/>
  </r>
  <r>
    <s v="AX14251"/>
    <s v="ENX2064"/>
    <s v="A135"/>
    <s v="EMP1015"/>
    <s v="C1479"/>
    <x v="803"/>
    <n v="1"/>
    <n v="1414"/>
    <n v="962"/>
    <n v="962"/>
    <n v="1414"/>
    <n v="452"/>
    <s v="Product 65"/>
    <x v="10"/>
    <s v="Justin Lynch"/>
    <x v="385"/>
    <n v="7"/>
    <x v="6"/>
    <x v="11"/>
    <x v="11"/>
    <x v="3"/>
    <x v="2"/>
  </r>
  <r>
    <s v="AX14419"/>
    <s v="ENX2096"/>
    <s v="A144"/>
    <s v="EMP1027"/>
    <s v="C1491"/>
    <x v="801"/>
    <n v="2"/>
    <n v="1587"/>
    <n v="1301"/>
    <n v="2602"/>
    <n v="3174"/>
    <n v="572"/>
    <s v="Product 97"/>
    <x v="65"/>
    <s v="Gary Rodriguez"/>
    <x v="277"/>
    <n v="7"/>
    <x v="6"/>
    <x v="11"/>
    <x v="11"/>
    <x v="3"/>
    <x v="2"/>
  </r>
  <r>
    <s v="AX14720"/>
    <s v="ENX2019"/>
    <s v="A172"/>
    <s v="EMP1022"/>
    <s v="C1755"/>
    <x v="801"/>
    <n v="3"/>
    <n v="800"/>
    <n v="536"/>
    <n v="1608"/>
    <n v="2400"/>
    <n v="792"/>
    <s v="Product 20"/>
    <x v="36"/>
    <s v="Walter Cook"/>
    <x v="178"/>
    <n v="7"/>
    <x v="6"/>
    <x v="11"/>
    <x v="11"/>
    <x v="3"/>
    <x v="2"/>
  </r>
  <r>
    <s v="AX14725"/>
    <s v="ENX2054"/>
    <s v="A101"/>
    <s v="EMP1004"/>
    <s v="C1226"/>
    <x v="800"/>
    <n v="4"/>
    <n v="127"/>
    <n v="79"/>
    <n v="316"/>
    <n v="508"/>
    <n v="192"/>
    <s v="Product 55"/>
    <x v="60"/>
    <s v="Kenneth Bradley"/>
    <x v="598"/>
    <n v="7"/>
    <x v="6"/>
    <x v="11"/>
    <x v="11"/>
    <x v="3"/>
    <x v="2"/>
  </r>
  <r>
    <s v="AX15092"/>
    <s v="ENX2023"/>
    <s v="A111"/>
    <s v="EMP1026"/>
    <s v="C1214"/>
    <x v="802"/>
    <n v="1"/>
    <n v="818"/>
    <n v="450"/>
    <n v="450"/>
    <n v="818"/>
    <n v="368"/>
    <s v="Product 24"/>
    <x v="54"/>
    <s v="Martin Perry"/>
    <x v="262"/>
    <n v="7"/>
    <x v="6"/>
    <x v="11"/>
    <x v="11"/>
    <x v="3"/>
    <x v="2"/>
  </r>
  <r>
    <s v="AX15234"/>
    <s v="ENX2099"/>
    <s v="A107"/>
    <s v="EMP1022"/>
    <s v="C1358"/>
    <x v="802"/>
    <n v="1"/>
    <n v="1367"/>
    <n v="984"/>
    <n v="984"/>
    <n v="1367"/>
    <n v="383"/>
    <s v="Product 100"/>
    <x v="21"/>
    <s v="Walter Cook"/>
    <x v="242"/>
    <n v="7"/>
    <x v="6"/>
    <x v="11"/>
    <x v="11"/>
    <x v="3"/>
    <x v="2"/>
  </r>
  <r>
    <s v="AX15262"/>
    <s v="ENX2071"/>
    <s v="A106"/>
    <s v="EMP1028"/>
    <s v="C1680"/>
    <x v="801"/>
    <n v="1"/>
    <n v="136"/>
    <n v="72"/>
    <n v="72"/>
    <n v="136"/>
    <n v="64"/>
    <s v="Product 72"/>
    <x v="11"/>
    <s v="Howard Sims"/>
    <x v="797"/>
    <n v="7"/>
    <x v="6"/>
    <x v="11"/>
    <x v="11"/>
    <x v="3"/>
    <x v="2"/>
  </r>
  <r>
    <s v="AX15280"/>
    <s v="ENX2077"/>
    <s v="A162"/>
    <s v="EMP1016"/>
    <s v="C1747"/>
    <x v="804"/>
    <n v="1"/>
    <n v="530"/>
    <n v="424"/>
    <n v="424"/>
    <n v="530"/>
    <n v="106"/>
    <s v="Product 78"/>
    <x v="2"/>
    <s v="Henry Nelson"/>
    <x v="392"/>
    <n v="7"/>
    <x v="6"/>
    <x v="11"/>
    <x v="11"/>
    <x v="3"/>
    <x v="2"/>
  </r>
  <r>
    <s v="AX15361"/>
    <s v="ENX2090"/>
    <s v="A146"/>
    <s v="EMP1007"/>
    <s v="C1149"/>
    <x v="804"/>
    <n v="4"/>
    <n v="1338"/>
    <n v="682"/>
    <n v="2728"/>
    <n v="5352"/>
    <n v="2624"/>
    <s v="Product 91"/>
    <x v="27"/>
    <s v="Jeremy Mendoza"/>
    <x v="514"/>
    <n v="7"/>
    <x v="6"/>
    <x v="11"/>
    <x v="11"/>
    <x v="3"/>
    <x v="2"/>
  </r>
  <r>
    <s v="AX15475"/>
    <s v="ENX2031"/>
    <s v="A138"/>
    <s v="EMP1036"/>
    <s v="C1762"/>
    <x v="802"/>
    <n v="4"/>
    <n v="1638"/>
    <n v="1261"/>
    <n v="5044"/>
    <n v="6552"/>
    <n v="1508"/>
    <s v="Product 32"/>
    <x v="37"/>
    <s v="Robert Reed"/>
    <x v="164"/>
    <n v="7"/>
    <x v="6"/>
    <x v="11"/>
    <x v="11"/>
    <x v="3"/>
    <x v="2"/>
  </r>
  <r>
    <s v="AX15684"/>
    <s v="ENX2097"/>
    <s v="A154"/>
    <s v="EMP1022"/>
    <s v="C1364"/>
    <x v="802"/>
    <n v="3"/>
    <n v="1052"/>
    <n v="589"/>
    <n v="1767"/>
    <n v="3156"/>
    <n v="1389"/>
    <s v="Product 98"/>
    <x v="24"/>
    <s v="Walter Cook"/>
    <x v="477"/>
    <n v="7"/>
    <x v="6"/>
    <x v="11"/>
    <x v="11"/>
    <x v="3"/>
    <x v="2"/>
  </r>
  <r>
    <s v="AX16212"/>
    <s v="ENX2077"/>
    <s v="A172"/>
    <s v="EMP1014"/>
    <s v="C1790"/>
    <x v="804"/>
    <n v="4"/>
    <n v="530"/>
    <n v="424"/>
    <n v="1696"/>
    <n v="2120"/>
    <n v="424"/>
    <s v="Product 78"/>
    <x v="36"/>
    <s v="Ronald Reed"/>
    <x v="428"/>
    <n v="7"/>
    <x v="6"/>
    <x v="11"/>
    <x v="11"/>
    <x v="3"/>
    <x v="2"/>
  </r>
  <r>
    <s v="AX16370"/>
    <s v="ENX2006"/>
    <s v="A100"/>
    <s v="EMP1039"/>
    <s v="C1455"/>
    <x v="803"/>
    <n v="1"/>
    <n v="1826"/>
    <n v="1443"/>
    <n v="1443"/>
    <n v="1826"/>
    <n v="383"/>
    <s v="Product 7"/>
    <x v="52"/>
    <s v="Eugene Holmes"/>
    <x v="47"/>
    <n v="7"/>
    <x v="6"/>
    <x v="11"/>
    <x v="11"/>
    <x v="3"/>
    <x v="2"/>
  </r>
  <r>
    <s v="AX16828"/>
    <s v="ENX2073"/>
    <s v="A161"/>
    <s v="EMP1035"/>
    <s v="C1108"/>
    <x v="804"/>
    <n v="1"/>
    <n v="95"/>
    <n v="61"/>
    <n v="61"/>
    <n v="95"/>
    <n v="34"/>
    <s v="Product 74"/>
    <x v="6"/>
    <s v="Roger Ramos"/>
    <x v="656"/>
    <n v="7"/>
    <x v="6"/>
    <x v="11"/>
    <x v="11"/>
    <x v="3"/>
    <x v="2"/>
  </r>
  <r>
    <s v="AX16952"/>
    <s v="ENX2045"/>
    <s v="A127"/>
    <s v="EMP1018"/>
    <s v="C1213"/>
    <x v="802"/>
    <n v="3"/>
    <n v="556"/>
    <n v="395"/>
    <n v="1185"/>
    <n v="1668"/>
    <n v="483"/>
    <s v="Product 46"/>
    <x v="69"/>
    <s v="Jimmy Young"/>
    <x v="487"/>
    <n v="7"/>
    <x v="6"/>
    <x v="11"/>
    <x v="11"/>
    <x v="3"/>
    <x v="2"/>
  </r>
  <r>
    <s v="AX16973"/>
    <s v="ENX2067"/>
    <s v="A126"/>
    <s v="EMP1023"/>
    <s v="C1718"/>
    <x v="800"/>
    <n v="2"/>
    <n v="1119"/>
    <n v="683"/>
    <n v="1366"/>
    <n v="2238"/>
    <n v="872"/>
    <s v="Product 68"/>
    <x v="5"/>
    <s v="Brian Davis"/>
    <x v="14"/>
    <n v="7"/>
    <x v="6"/>
    <x v="11"/>
    <x v="11"/>
    <x v="3"/>
    <x v="2"/>
  </r>
  <r>
    <s v="AX16999"/>
    <s v="ENX2000"/>
    <s v="A152"/>
    <s v="EMP1016"/>
    <s v="C1494"/>
    <x v="802"/>
    <n v="4"/>
    <n v="2241"/>
    <n v="1367"/>
    <n v="5468"/>
    <n v="8964"/>
    <n v="3496"/>
    <s v="Product 1"/>
    <x v="26"/>
    <s v="Henry Nelson"/>
    <x v="698"/>
    <n v="7"/>
    <x v="6"/>
    <x v="11"/>
    <x v="11"/>
    <x v="3"/>
    <x v="2"/>
  </r>
  <r>
    <s v="AX17459"/>
    <s v="ENX2014"/>
    <s v="A127"/>
    <s v="EMP1006"/>
    <s v="C1252"/>
    <x v="802"/>
    <n v="3"/>
    <n v="1809"/>
    <n v="1067"/>
    <n v="3201"/>
    <n v="5427"/>
    <n v="2226"/>
    <s v="Product 15"/>
    <x v="69"/>
    <s v="Sean Miller"/>
    <x v="358"/>
    <n v="7"/>
    <x v="6"/>
    <x v="11"/>
    <x v="11"/>
    <x v="3"/>
    <x v="2"/>
  </r>
  <r>
    <s v="AX17680"/>
    <s v="ENX2031"/>
    <s v="A167"/>
    <s v="EMP1022"/>
    <s v="C1284"/>
    <x v="802"/>
    <n v="1"/>
    <n v="1638"/>
    <n v="1261"/>
    <n v="1261"/>
    <n v="1638"/>
    <n v="377"/>
    <s v="Product 32"/>
    <x v="64"/>
    <s v="Walter Cook"/>
    <x v="713"/>
    <n v="7"/>
    <x v="6"/>
    <x v="11"/>
    <x v="11"/>
    <x v="3"/>
    <x v="2"/>
  </r>
  <r>
    <s v="AX17939"/>
    <s v="ENX2072"/>
    <s v="A159"/>
    <s v="EMP1031"/>
    <s v="C1767"/>
    <x v="801"/>
    <n v="2"/>
    <n v="1887"/>
    <n v="1378"/>
    <n v="2756"/>
    <n v="3774"/>
    <n v="1018"/>
    <s v="Product 73"/>
    <x v="13"/>
    <s v="Brian Thomas"/>
    <x v="4"/>
    <n v="7"/>
    <x v="6"/>
    <x v="11"/>
    <x v="11"/>
    <x v="3"/>
    <x v="2"/>
  </r>
  <r>
    <s v="AX18236"/>
    <s v="ENX2070"/>
    <s v="A128"/>
    <s v="EMP1000"/>
    <s v="C1313"/>
    <x v="802"/>
    <n v="1"/>
    <n v="1671"/>
    <n v="1220"/>
    <n v="1220"/>
    <n v="1671"/>
    <n v="451"/>
    <s v="Product 71"/>
    <x v="12"/>
    <s v="Fred Robertson"/>
    <x v="728"/>
    <n v="7"/>
    <x v="6"/>
    <x v="11"/>
    <x v="11"/>
    <x v="3"/>
    <x v="2"/>
  </r>
  <r>
    <s v="AX18304"/>
    <s v="ENX2043"/>
    <s v="A125"/>
    <s v="EMP1034"/>
    <s v="C1363"/>
    <x v="804"/>
    <n v="3"/>
    <n v="545"/>
    <n v="425"/>
    <n v="1275"/>
    <n v="1635"/>
    <n v="360"/>
    <s v="Product 44"/>
    <x v="31"/>
    <s v="Arthur Mccoy"/>
    <x v="505"/>
    <n v="7"/>
    <x v="6"/>
    <x v="11"/>
    <x v="11"/>
    <x v="3"/>
    <x v="2"/>
  </r>
  <r>
    <s v="AX18379"/>
    <s v="ENX2029"/>
    <s v="A137"/>
    <s v="EMP1009"/>
    <s v="C1211"/>
    <x v="803"/>
    <n v="3"/>
    <n v="1848"/>
    <n v="1294"/>
    <n v="3882"/>
    <n v="5544"/>
    <n v="1662"/>
    <s v="Product 30"/>
    <x v="68"/>
    <s v="Kenneth Fields"/>
    <x v="137"/>
    <n v="7"/>
    <x v="6"/>
    <x v="11"/>
    <x v="11"/>
    <x v="3"/>
    <x v="2"/>
  </r>
  <r>
    <s v="AX18878"/>
    <s v="ENX2054"/>
    <s v="A166"/>
    <s v="EMP1042"/>
    <s v="C1262"/>
    <x v="802"/>
    <n v="2"/>
    <n v="127"/>
    <n v="79"/>
    <n v="158"/>
    <n v="254"/>
    <n v="96"/>
    <s v="Product 55"/>
    <x v="70"/>
    <s v="Scott Clark"/>
    <x v="363"/>
    <n v="7"/>
    <x v="6"/>
    <x v="11"/>
    <x v="11"/>
    <x v="3"/>
    <x v="2"/>
  </r>
  <r>
    <s v="AX18935"/>
    <s v="ENX2080"/>
    <s v="A126"/>
    <s v="EMP1039"/>
    <s v="C1378"/>
    <x v="801"/>
    <n v="4"/>
    <n v="2353"/>
    <n v="1788"/>
    <n v="7152"/>
    <n v="9412"/>
    <n v="2260"/>
    <s v="Product 81"/>
    <x v="5"/>
    <s v="Eugene Holmes"/>
    <x v="787"/>
    <n v="7"/>
    <x v="6"/>
    <x v="11"/>
    <x v="11"/>
    <x v="3"/>
    <x v="2"/>
  </r>
  <r>
    <s v="AX18937"/>
    <s v="ENX2053"/>
    <s v="A109"/>
    <s v="EMP1028"/>
    <s v="C1052"/>
    <x v="801"/>
    <n v="2"/>
    <n v="596"/>
    <n v="358"/>
    <n v="716"/>
    <n v="1192"/>
    <n v="476"/>
    <s v="Product 54"/>
    <x v="57"/>
    <s v="Howard Sims"/>
    <x v="638"/>
    <n v="7"/>
    <x v="6"/>
    <x v="11"/>
    <x v="11"/>
    <x v="3"/>
    <x v="2"/>
  </r>
  <r>
    <s v="AX18940"/>
    <s v="ENX2056"/>
    <s v="A173"/>
    <s v="EMP1023"/>
    <s v="C1756"/>
    <x v="803"/>
    <n v="1"/>
    <n v="1635"/>
    <n v="1046"/>
    <n v="1046"/>
    <n v="1635"/>
    <n v="589"/>
    <s v="Product 57"/>
    <x v="25"/>
    <s v="Brian Davis"/>
    <x v="371"/>
    <n v="7"/>
    <x v="6"/>
    <x v="11"/>
    <x v="11"/>
    <x v="3"/>
    <x v="2"/>
  </r>
  <r>
    <s v="AX19680"/>
    <s v="ENX2064"/>
    <s v="A110"/>
    <s v="EMP1019"/>
    <s v="C1438"/>
    <x v="801"/>
    <n v="1"/>
    <n v="1414"/>
    <n v="962"/>
    <n v="962"/>
    <n v="1414"/>
    <n v="452"/>
    <s v="Product 65"/>
    <x v="63"/>
    <s v="Roger Robertson"/>
    <x v="670"/>
    <n v="7"/>
    <x v="6"/>
    <x v="11"/>
    <x v="11"/>
    <x v="3"/>
    <x v="2"/>
  </r>
  <r>
    <s v="AX19698"/>
    <s v="ENX2051"/>
    <s v="A168"/>
    <s v="EMP1016"/>
    <s v="C1509"/>
    <x v="801"/>
    <n v="3"/>
    <n v="1077"/>
    <n v="732"/>
    <n v="2196"/>
    <n v="3231"/>
    <n v="1035"/>
    <s v="Product 52"/>
    <x v="40"/>
    <s v="Henry Nelson"/>
    <x v="442"/>
    <n v="7"/>
    <x v="6"/>
    <x v="11"/>
    <x v="11"/>
    <x v="3"/>
    <x v="2"/>
  </r>
  <r>
    <s v="AX19923"/>
    <s v="ENX2085"/>
    <s v="A100"/>
    <s v="EMP1011"/>
    <s v="C1180"/>
    <x v="802"/>
    <n v="1"/>
    <n v="1862"/>
    <n v="1173"/>
    <n v="1173"/>
    <n v="1862"/>
    <n v="689"/>
    <s v="Product 86"/>
    <x v="52"/>
    <s v="Larry Marshall"/>
    <x v="212"/>
    <n v="7"/>
    <x v="6"/>
    <x v="11"/>
    <x v="11"/>
    <x v="3"/>
    <x v="2"/>
  </r>
  <r>
    <s v="AX20126"/>
    <s v="ENX2073"/>
    <s v="A152"/>
    <s v="EMP1005"/>
    <s v="C1117"/>
    <x v="801"/>
    <n v="1"/>
    <n v="95"/>
    <n v="61"/>
    <n v="61"/>
    <n v="95"/>
    <n v="34"/>
    <s v="Product 74"/>
    <x v="26"/>
    <s v="Ryan Welch"/>
    <x v="519"/>
    <n v="7"/>
    <x v="6"/>
    <x v="11"/>
    <x v="11"/>
    <x v="3"/>
    <x v="2"/>
  </r>
  <r>
    <s v="AX20499"/>
    <s v="ENX2061"/>
    <s v="A173"/>
    <s v="EMP1007"/>
    <s v="C1412"/>
    <x v="801"/>
    <n v="3"/>
    <n v="913"/>
    <n v="584"/>
    <n v="1752"/>
    <n v="2739"/>
    <n v="987"/>
    <s v="Product 62"/>
    <x v="25"/>
    <s v="Jeremy Mendoza"/>
    <x v="460"/>
    <n v="7"/>
    <x v="6"/>
    <x v="11"/>
    <x v="11"/>
    <x v="3"/>
    <x v="2"/>
  </r>
  <r>
    <s v="AX20792"/>
    <s v="ENX2080"/>
    <s v="A116"/>
    <s v="EMP1038"/>
    <s v="C1251"/>
    <x v="801"/>
    <n v="3"/>
    <n v="2353"/>
    <n v="1788"/>
    <n v="5364"/>
    <n v="7059"/>
    <n v="1695"/>
    <s v="Product 81"/>
    <x v="15"/>
    <s v="Scott Mason"/>
    <x v="199"/>
    <n v="7"/>
    <x v="6"/>
    <x v="11"/>
    <x v="11"/>
    <x v="3"/>
    <x v="2"/>
  </r>
  <r>
    <s v="AX21342"/>
    <s v="ENX2033"/>
    <s v="A104"/>
    <s v="EMP1014"/>
    <s v="C1024"/>
    <x v="802"/>
    <n v="3"/>
    <n v="2182"/>
    <n v="1200"/>
    <n v="3600"/>
    <n v="6546"/>
    <n v="2946"/>
    <s v="Product 34"/>
    <x v="50"/>
    <s v="Ronald Reed"/>
    <x v="599"/>
    <n v="7"/>
    <x v="6"/>
    <x v="11"/>
    <x v="11"/>
    <x v="3"/>
    <x v="2"/>
  </r>
  <r>
    <s v="AX21481"/>
    <s v="ENX2081"/>
    <s v="A163"/>
    <s v="EMP1016"/>
    <s v="C1760"/>
    <x v="803"/>
    <n v="4"/>
    <n v="1566"/>
    <n v="1190"/>
    <n v="4760"/>
    <n v="6264"/>
    <n v="1504"/>
    <s v="Product 82"/>
    <x v="51"/>
    <s v="Henry Nelson"/>
    <x v="502"/>
    <n v="7"/>
    <x v="6"/>
    <x v="11"/>
    <x v="11"/>
    <x v="3"/>
    <x v="2"/>
  </r>
  <r>
    <s v="AX21695"/>
    <s v="ENX2060"/>
    <s v="A159"/>
    <s v="EMP1009"/>
    <s v="C1410"/>
    <x v="802"/>
    <n v="1"/>
    <n v="1467"/>
    <n v="807"/>
    <n v="807"/>
    <n v="1467"/>
    <n v="660"/>
    <s v="Product 61"/>
    <x v="13"/>
    <s v="Kenneth Fields"/>
    <x v="112"/>
    <n v="7"/>
    <x v="6"/>
    <x v="11"/>
    <x v="11"/>
    <x v="3"/>
    <x v="2"/>
  </r>
  <r>
    <s v="AX21839"/>
    <s v="ENX2019"/>
    <s v="A156"/>
    <s v="EMP1024"/>
    <s v="C1487"/>
    <x v="803"/>
    <n v="1"/>
    <n v="800"/>
    <n v="536"/>
    <n v="536"/>
    <n v="800"/>
    <n v="264"/>
    <s v="Product 20"/>
    <x v="14"/>
    <s v="Ernest Wheeler"/>
    <x v="461"/>
    <n v="7"/>
    <x v="6"/>
    <x v="11"/>
    <x v="11"/>
    <x v="3"/>
    <x v="2"/>
  </r>
  <r>
    <s v="AX22068"/>
    <s v="ENX2050"/>
    <s v="A106"/>
    <s v="EMP1035"/>
    <s v="C1277"/>
    <x v="802"/>
    <n v="1"/>
    <n v="2391"/>
    <n v="1291"/>
    <n v="1291"/>
    <n v="2391"/>
    <n v="1100"/>
    <s v="Product 51"/>
    <x v="11"/>
    <s v="Roger Ramos"/>
    <x v="151"/>
    <n v="7"/>
    <x v="6"/>
    <x v="11"/>
    <x v="11"/>
    <x v="3"/>
    <x v="2"/>
  </r>
  <r>
    <s v="AX22082"/>
    <s v="ENX2077"/>
    <s v="A156"/>
    <s v="EMP1029"/>
    <s v="C1310"/>
    <x v="801"/>
    <n v="1"/>
    <n v="530"/>
    <n v="424"/>
    <n v="424"/>
    <n v="530"/>
    <n v="106"/>
    <s v="Product 78"/>
    <x v="14"/>
    <s v="Howard Gardner"/>
    <x v="169"/>
    <n v="7"/>
    <x v="6"/>
    <x v="11"/>
    <x v="11"/>
    <x v="3"/>
    <x v="2"/>
  </r>
  <r>
    <s v="AX22106"/>
    <s v="ENX2017"/>
    <s v="A121"/>
    <s v="EMP1003"/>
    <s v="C1651"/>
    <x v="802"/>
    <n v="2"/>
    <n v="35"/>
    <n v="22"/>
    <n v="44"/>
    <n v="70"/>
    <n v="26"/>
    <s v="Product 18"/>
    <x v="72"/>
    <s v="Christopher Tucker"/>
    <x v="660"/>
    <n v="7"/>
    <x v="6"/>
    <x v="11"/>
    <x v="11"/>
    <x v="3"/>
    <x v="2"/>
  </r>
  <r>
    <s v="AX22806"/>
    <s v="ENX2024"/>
    <s v="A133"/>
    <s v="EMP1020"/>
    <s v="C1299"/>
    <x v="801"/>
    <n v="2"/>
    <n v="356"/>
    <n v="292"/>
    <n v="584"/>
    <n v="712"/>
    <n v="128"/>
    <s v="Product 25"/>
    <x v="46"/>
    <s v="Ryan Butler"/>
    <x v="655"/>
    <n v="7"/>
    <x v="6"/>
    <x v="11"/>
    <x v="11"/>
    <x v="3"/>
    <x v="2"/>
  </r>
  <r>
    <s v="AX22818"/>
    <s v="ENX2034"/>
    <s v="A157"/>
    <s v="EMP1039"/>
    <s v="C1305"/>
    <x v="801"/>
    <n v="1"/>
    <n v="871"/>
    <n v="540"/>
    <n v="540"/>
    <n v="871"/>
    <n v="331"/>
    <s v="Product 35"/>
    <x v="7"/>
    <s v="Eugene Holmes"/>
    <x v="344"/>
    <n v="7"/>
    <x v="6"/>
    <x v="11"/>
    <x v="11"/>
    <x v="3"/>
    <x v="2"/>
  </r>
  <r>
    <s v="AX22882"/>
    <s v="ENX2052"/>
    <s v="A151"/>
    <s v="EMP1043"/>
    <s v="C1414"/>
    <x v="804"/>
    <n v="4"/>
    <n v="1526"/>
    <n v="1251"/>
    <n v="5004"/>
    <n v="6104"/>
    <n v="1100"/>
    <s v="Product 53"/>
    <x v="1"/>
    <s v="Joshua Taylor"/>
    <x v="140"/>
    <n v="7"/>
    <x v="6"/>
    <x v="11"/>
    <x v="11"/>
    <x v="3"/>
    <x v="2"/>
  </r>
  <r>
    <s v="AX23118"/>
    <s v="ENX2043"/>
    <s v="A135"/>
    <s v="EMP1034"/>
    <s v="C1164"/>
    <x v="802"/>
    <n v="1"/>
    <n v="545"/>
    <n v="425"/>
    <n v="425"/>
    <n v="545"/>
    <n v="120"/>
    <s v="Product 44"/>
    <x v="10"/>
    <s v="Arthur Mccoy"/>
    <x v="149"/>
    <n v="7"/>
    <x v="6"/>
    <x v="11"/>
    <x v="11"/>
    <x v="3"/>
    <x v="2"/>
  </r>
  <r>
    <s v="AX24010"/>
    <s v="ENX2023"/>
    <s v="A112"/>
    <s v="EMP1021"/>
    <s v="C1171"/>
    <x v="802"/>
    <n v="1"/>
    <n v="818"/>
    <n v="450"/>
    <n v="450"/>
    <n v="818"/>
    <n v="368"/>
    <s v="Product 24"/>
    <x v="66"/>
    <s v="Clarence Fox"/>
    <x v="150"/>
    <n v="7"/>
    <x v="6"/>
    <x v="11"/>
    <x v="11"/>
    <x v="3"/>
    <x v="2"/>
  </r>
  <r>
    <s v="AX24019"/>
    <s v="ENX2006"/>
    <s v="A126"/>
    <s v="EMP1017"/>
    <s v="C1564"/>
    <x v="801"/>
    <n v="1"/>
    <n v="1826"/>
    <n v="1443"/>
    <n v="1443"/>
    <n v="1826"/>
    <n v="383"/>
    <s v="Product 7"/>
    <x v="5"/>
    <s v="Brian Hansen"/>
    <x v="302"/>
    <n v="7"/>
    <x v="6"/>
    <x v="11"/>
    <x v="11"/>
    <x v="3"/>
    <x v="2"/>
  </r>
  <r>
    <s v="AX24321"/>
    <s v="ENX2016"/>
    <s v="A149"/>
    <s v="EMP1003"/>
    <s v="C1310"/>
    <x v="800"/>
    <n v="1"/>
    <n v="1351"/>
    <n v="1108"/>
    <n v="1108"/>
    <n v="1351"/>
    <n v="243"/>
    <s v="Product 17"/>
    <x v="59"/>
    <s v="Christopher Tucker"/>
    <x v="169"/>
    <n v="7"/>
    <x v="6"/>
    <x v="11"/>
    <x v="11"/>
    <x v="3"/>
    <x v="2"/>
  </r>
  <r>
    <s v="AX24377"/>
    <s v="ENX2004"/>
    <s v="A131"/>
    <s v="EMP1027"/>
    <s v="C1763"/>
    <x v="804"/>
    <n v="3"/>
    <n v="1278"/>
    <n v="665"/>
    <n v="1995"/>
    <n v="3834"/>
    <n v="1839"/>
    <s v="Product 5"/>
    <x v="32"/>
    <s v="Gary Rodriguez"/>
    <x v="409"/>
    <n v="7"/>
    <x v="6"/>
    <x v="11"/>
    <x v="11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A3:A15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numFmtId="164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 defaultSubtota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1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4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H3:J15" firstHeaderRow="0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numFmtId="1" outline="0" showAll="0" defaultSubtotal="0"/>
    <pivotField compact="0" outline="0" showAll="0"/>
  </pivotFields>
  <rowFields count="1">
    <field x="1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name=" Revenue" fld="10" showDataAs="percentDiff" baseField="19" baseItem="0" numFmtId="10"/>
    <dataField name=" Revenue2" fld="10" baseField="0" baseItem="0" numFmtId="166"/>
  </dataFields>
  <formats count="1">
    <format dxfId="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15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AP3:AU6" firstHeaderRow="0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 defaultSubtotal="0"/>
    <pivotField axis="axisRow" compact="0" outline="0" showAll="0">
      <items count="4">
        <item x="2"/>
        <item x="0"/>
        <item x="1"/>
        <item t="default"/>
      </items>
    </pivotField>
  </pivotFields>
  <rowFields count="1">
    <field x="21"/>
  </rowFields>
  <rowItems count="3">
    <i>
      <x/>
    </i>
    <i>
      <x v="1"/>
    </i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COGS" fld="9" baseField="0" baseItem="0" numFmtId="166"/>
    <dataField name=" Revenue" fld="10" baseField="0" baseItem="0" numFmtId="166"/>
    <dataField name=" Profit" fld="11" baseField="0" baseItem="0"/>
    <dataField name=" Quantity" fld="6" baseField="0" baseItem="0" numFmtId="3"/>
    <dataField name="Transaction" fld="4" subtotal="count" baseField="21" baseItem="0" numFmtId="3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7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K3:M7" firstHeaderRow="0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806">
        <item x="123"/>
        <item x="242"/>
        <item x="358"/>
        <item x="471"/>
        <item x="586"/>
        <item x="702"/>
        <item x="10"/>
        <item x="124"/>
        <item x="243"/>
        <item x="357"/>
        <item x="472"/>
        <item x="584"/>
        <item x="699"/>
        <item x="8"/>
        <item x="125"/>
        <item x="240"/>
        <item x="356"/>
        <item x="470"/>
        <item x="585"/>
        <item x="701"/>
        <item x="9"/>
        <item x="127"/>
        <item x="239"/>
        <item x="354"/>
        <item x="473"/>
        <item x="587"/>
        <item x="700"/>
        <item x="11"/>
        <item x="126"/>
        <item x="241"/>
        <item x="355"/>
        <item x="485"/>
        <item x="597"/>
        <item x="713"/>
        <item x="22"/>
        <item x="136"/>
        <item x="254"/>
        <item x="367"/>
        <item x="483"/>
        <item x="598"/>
        <item x="712"/>
        <item x="20"/>
        <item x="138"/>
        <item x="253"/>
        <item x="369"/>
        <item x="482"/>
        <item x="600"/>
        <item x="714"/>
        <item x="21"/>
        <item x="137"/>
        <item x="255"/>
        <item x="370"/>
        <item x="484"/>
        <item x="599"/>
        <item x="711"/>
        <item x="23"/>
        <item x="139"/>
        <item x="252"/>
        <item x="368"/>
        <item x="495"/>
        <item x="610"/>
        <item x="726"/>
        <item x="34"/>
        <item x="149"/>
        <item x="262"/>
        <item x="379"/>
        <item x="493"/>
        <item x="607"/>
        <item x="723"/>
        <item x="33"/>
        <item x="147"/>
        <item x="265"/>
        <item x="378"/>
        <item x="494"/>
        <item x="611"/>
        <item x="724"/>
        <item x="32"/>
        <item x="150"/>
        <item x="263"/>
        <item x="380"/>
        <item x="496"/>
        <item x="609"/>
        <item x="722"/>
        <item x="35"/>
        <item x="148"/>
        <item x="264"/>
        <item x="377"/>
        <item x="492"/>
        <item x="608"/>
        <item x="725"/>
        <item x="41"/>
        <item x="159"/>
        <item x="271"/>
        <item x="387"/>
        <item x="504"/>
        <item x="619"/>
        <item x="732"/>
        <item x="40"/>
        <item x="157"/>
        <item x="274"/>
        <item x="388"/>
        <item x="503"/>
        <item x="616"/>
        <item x="734"/>
        <item x="43"/>
        <item x="158"/>
        <item x="272"/>
        <item x="386"/>
        <item x="501"/>
        <item x="618"/>
        <item x="731"/>
        <item x="44"/>
        <item x="155"/>
        <item x="273"/>
        <item x="389"/>
        <item x="502"/>
        <item x="617"/>
        <item x="733"/>
        <item x="42"/>
        <item x="156"/>
        <item x="279"/>
        <item x="397"/>
        <item x="512"/>
        <item x="628"/>
        <item x="742"/>
        <item x="52"/>
        <item x="166"/>
        <item x="283"/>
        <item x="398"/>
        <item x="510"/>
        <item x="627"/>
        <item x="743"/>
        <item x="50"/>
        <item x="165"/>
        <item x="282"/>
        <item x="395"/>
        <item x="514"/>
        <item x="626"/>
        <item x="741"/>
        <item x="51"/>
        <item x="167"/>
        <item x="280"/>
        <item x="396"/>
        <item x="513"/>
        <item x="625"/>
        <item x="740"/>
        <item x="49"/>
        <item x="164"/>
        <item x="281"/>
        <item x="394"/>
        <item x="511"/>
        <item x="635"/>
        <item x="748"/>
        <item x="59"/>
        <item x="173"/>
        <item x="289"/>
        <item x="406"/>
        <item x="519"/>
        <item x="636"/>
        <item x="749"/>
        <item x="61"/>
        <item x="175"/>
        <item x="291"/>
        <item x="404"/>
        <item x="520"/>
        <item x="637"/>
        <item x="750"/>
        <item x="60"/>
        <item x="176"/>
        <item x="290"/>
        <item x="405"/>
        <item x="521"/>
        <item x="633"/>
        <item x="751"/>
        <item x="58"/>
        <item x="174"/>
        <item x="288"/>
        <item x="403"/>
        <item x="522"/>
        <item x="634"/>
        <item x="752"/>
        <item x="70"/>
        <item x="185"/>
        <item x="300"/>
        <item x="412"/>
        <item x="530"/>
        <item x="643"/>
        <item x="760"/>
        <item x="66"/>
        <item x="184"/>
        <item x="301"/>
        <item x="413"/>
        <item x="531"/>
        <item x="645"/>
        <item x="759"/>
        <item x="69"/>
        <item x="182"/>
        <item x="297"/>
        <item x="415"/>
        <item x="528"/>
        <item x="642"/>
        <item x="758"/>
        <item x="67"/>
        <item x="181"/>
        <item x="299"/>
        <item x="414"/>
        <item x="529"/>
        <item x="644"/>
        <item x="757"/>
        <item x="68"/>
        <item x="183"/>
        <item x="298"/>
        <item x="420"/>
        <item x="540"/>
        <item x="654"/>
        <item x="769"/>
        <item x="79"/>
        <item x="191"/>
        <item x="306"/>
        <item x="422"/>
        <item x="539"/>
        <item x="651"/>
        <item x="768"/>
        <item x="78"/>
        <item x="190"/>
        <item x="309"/>
        <item x="424"/>
        <item x="536"/>
        <item x="653"/>
        <item x="766"/>
        <item x="77"/>
        <item x="192"/>
        <item x="307"/>
        <item x="421"/>
        <item x="538"/>
        <item x="655"/>
        <item x="767"/>
        <item x="76"/>
        <item x="193"/>
        <item x="308"/>
        <item x="423"/>
        <item x="537"/>
        <item x="652"/>
        <item x="778"/>
        <item x="88"/>
        <item x="199"/>
        <item x="316"/>
        <item x="429"/>
        <item x="548"/>
        <item x="663"/>
        <item x="777"/>
        <item x="86"/>
        <item x="202"/>
        <item x="315"/>
        <item x="430"/>
        <item x="547"/>
        <item x="660"/>
        <item x="774"/>
        <item x="85"/>
        <item x="200"/>
        <item x="318"/>
        <item x="432"/>
        <item x="545"/>
        <item x="661"/>
        <item x="776"/>
        <item x="84"/>
        <item x="201"/>
        <item x="317"/>
        <item x="431"/>
        <item x="546"/>
        <item x="662"/>
        <item x="775"/>
        <item x="87"/>
        <item x="211"/>
        <item x="323"/>
        <item x="438"/>
        <item x="556"/>
        <item x="670"/>
        <item x="784"/>
        <item x="95"/>
        <item x="208"/>
        <item x="326"/>
        <item x="442"/>
        <item x="554"/>
        <item x="669"/>
        <item x="786"/>
        <item x="93"/>
        <item x="210"/>
        <item x="324"/>
        <item x="439"/>
        <item x="557"/>
        <item x="671"/>
        <item x="785"/>
        <item x="94"/>
        <item x="207"/>
        <item x="327"/>
        <item x="440"/>
        <item x="555"/>
        <item x="672"/>
        <item x="783"/>
        <item x="96"/>
        <item x="209"/>
        <item x="325"/>
        <item x="441"/>
        <item x="564"/>
        <item x="681"/>
        <item x="794"/>
        <item x="104"/>
        <item x="219"/>
        <item x="333"/>
        <item x="450"/>
        <item x="566"/>
        <item x="680"/>
        <item x="792"/>
        <item x="102"/>
        <item x="216"/>
        <item x="335"/>
        <item x="449"/>
        <item x="562"/>
        <item x="678"/>
        <item x="795"/>
        <item x="103"/>
        <item x="218"/>
        <item x="332"/>
        <item x="448"/>
        <item x="565"/>
        <item x="679"/>
        <item x="793"/>
        <item x="105"/>
        <item x="217"/>
        <item x="334"/>
        <item x="447"/>
        <item x="563"/>
        <item x="677"/>
        <item x="803"/>
        <item x="110"/>
        <item x="227"/>
        <item x="341"/>
        <item x="457"/>
        <item x="574"/>
        <item x="686"/>
        <item x="800"/>
        <item x="114"/>
        <item x="228"/>
        <item x="342"/>
        <item x="458"/>
        <item x="573"/>
        <item x="687"/>
        <item x="801"/>
        <item x="113"/>
        <item x="225"/>
        <item x="344"/>
        <item x="456"/>
        <item x="572"/>
        <item x="689"/>
        <item x="804"/>
        <item x="112"/>
        <item x="229"/>
        <item x="343"/>
        <item x="459"/>
        <item x="571"/>
        <item x="688"/>
        <item x="802"/>
        <item x="111"/>
        <item x="226"/>
        <item x="230"/>
        <item x="347"/>
        <item x="460"/>
        <item x="575"/>
        <item x="693"/>
        <item x="2"/>
        <item x="117"/>
        <item x="233"/>
        <item x="348"/>
        <item x="462"/>
        <item x="576"/>
        <item x="692"/>
        <item x="1"/>
        <item x="116"/>
        <item x="234"/>
        <item x="346"/>
        <item x="461"/>
        <item x="577"/>
        <item x="691"/>
        <item x="3"/>
        <item x="118"/>
        <item x="232"/>
        <item x="349"/>
        <item x="463"/>
        <item x="578"/>
        <item x="690"/>
        <item x="0"/>
        <item x="115"/>
        <item x="231"/>
        <item x="345"/>
        <item x="464"/>
        <item x="590"/>
        <item x="705"/>
        <item x="14"/>
        <item x="129"/>
        <item x="245"/>
        <item x="362"/>
        <item x="477"/>
        <item x="591"/>
        <item x="704"/>
        <item x="13"/>
        <item x="130"/>
        <item x="246"/>
        <item x="359"/>
        <item x="475"/>
        <item x="588"/>
        <item x="703"/>
        <item x="15"/>
        <item x="128"/>
        <item x="247"/>
        <item x="360"/>
        <item x="474"/>
        <item x="592"/>
        <item x="706"/>
        <item x="12"/>
        <item x="131"/>
        <item x="244"/>
        <item x="361"/>
        <item x="476"/>
        <item x="589"/>
        <item x="719"/>
        <item x="27"/>
        <item x="140"/>
        <item x="256"/>
        <item x="372"/>
        <item x="487"/>
        <item x="603"/>
        <item x="718"/>
        <item x="25"/>
        <item x="141"/>
        <item x="259"/>
        <item x="374"/>
        <item x="488"/>
        <item x="601"/>
        <item x="715"/>
        <item x="26"/>
        <item x="143"/>
        <item x="257"/>
        <item x="373"/>
        <item x="489"/>
        <item x="604"/>
        <item x="717"/>
        <item x="24"/>
        <item x="144"/>
        <item x="258"/>
        <item x="371"/>
        <item x="486"/>
        <item x="602"/>
        <item x="716"/>
        <item x="28"/>
        <item x="142"/>
        <item x="270"/>
        <item x="385"/>
        <item x="499"/>
        <item x="614"/>
        <item x="728"/>
        <item x="39"/>
        <item x="154"/>
        <item x="267"/>
        <item x="381"/>
        <item x="500"/>
        <item x="612"/>
        <item x="730"/>
        <item x="37"/>
        <item x="151"/>
        <item x="269"/>
        <item x="384"/>
        <item x="498"/>
        <item x="613"/>
        <item x="727"/>
        <item x="36"/>
        <item x="153"/>
        <item x="268"/>
        <item x="382"/>
        <item x="497"/>
        <item x="615"/>
        <item x="729"/>
        <item x="38"/>
        <item x="152"/>
        <item x="266"/>
        <item x="383"/>
        <item x="506"/>
        <item x="622"/>
        <item x="735"/>
        <item x="45"/>
        <item x="162"/>
        <item x="278"/>
        <item x="392"/>
        <item x="505"/>
        <item x="620"/>
        <item x="739"/>
        <item x="48"/>
        <item x="163"/>
        <item x="276"/>
        <item x="390"/>
        <item x="509"/>
        <item x="623"/>
        <item x="738"/>
        <item x="47"/>
        <item x="160"/>
        <item x="277"/>
        <item x="393"/>
        <item x="507"/>
        <item x="621"/>
        <item x="737"/>
        <item x="46"/>
        <item x="161"/>
        <item x="275"/>
        <item x="391"/>
        <item x="508"/>
        <item x="624"/>
        <item x="736"/>
        <item x="57"/>
        <item x="169"/>
        <item x="287"/>
        <item x="402"/>
        <item x="517"/>
        <item x="630"/>
        <item x="747"/>
        <item x="54"/>
        <item x="172"/>
        <item x="286"/>
        <item x="399"/>
        <item x="518"/>
        <item x="629"/>
        <item x="744"/>
        <item x="53"/>
        <item x="171"/>
        <item x="285"/>
        <item x="400"/>
        <item x="515"/>
        <item x="632"/>
        <item x="746"/>
        <item x="56"/>
        <item x="168"/>
        <item x="284"/>
        <item x="401"/>
        <item x="516"/>
        <item x="631"/>
        <item x="745"/>
        <item x="55"/>
        <item x="170"/>
        <item x="294"/>
        <item x="410"/>
        <item x="527"/>
        <item x="639"/>
        <item x="754"/>
        <item x="62"/>
        <item x="177"/>
        <item x="295"/>
        <item x="407"/>
        <item x="523"/>
        <item x="641"/>
        <item x="756"/>
        <item x="64"/>
        <item x="180"/>
        <item x="292"/>
        <item x="411"/>
        <item x="524"/>
        <item x="638"/>
        <item x="755"/>
        <item x="63"/>
        <item x="179"/>
        <item x="293"/>
        <item x="409"/>
        <item x="525"/>
        <item x="640"/>
        <item x="753"/>
        <item x="65"/>
        <item x="178"/>
        <item x="296"/>
        <item x="408"/>
        <item x="526"/>
        <item x="649"/>
        <item x="761"/>
        <item x="74"/>
        <item x="188"/>
        <item x="305"/>
        <item x="419"/>
        <item x="532"/>
        <item x="646"/>
        <item x="762"/>
        <item x="75"/>
        <item x="189"/>
        <item x="304"/>
        <item x="416"/>
        <item x="535"/>
        <item x="647"/>
        <item x="763"/>
        <item x="71"/>
        <item x="186"/>
        <item x="303"/>
        <item x="418"/>
        <item x="533"/>
        <item x="650"/>
        <item x="765"/>
        <item x="73"/>
        <item x="187"/>
        <item x="302"/>
        <item x="417"/>
        <item x="534"/>
        <item x="648"/>
        <item x="764"/>
        <item x="72"/>
        <item x="194"/>
        <item x="311"/>
        <item x="428"/>
        <item x="542"/>
        <item x="656"/>
        <item x="771"/>
        <item x="83"/>
        <item x="197"/>
        <item x="314"/>
        <item x="427"/>
        <item x="541"/>
        <item x="657"/>
        <item x="773"/>
        <item x="81"/>
        <item x="196"/>
        <item x="312"/>
        <item x="426"/>
        <item x="544"/>
        <item x="658"/>
        <item x="772"/>
        <item x="80"/>
        <item x="198"/>
        <item x="313"/>
        <item x="425"/>
        <item x="543"/>
        <item x="659"/>
        <item x="770"/>
        <item x="82"/>
        <item x="195"/>
        <item x="310"/>
        <item x="437"/>
        <item x="552"/>
        <item x="668"/>
        <item x="781"/>
        <item x="91"/>
        <item x="204"/>
        <item x="320"/>
        <item x="435"/>
        <item x="553"/>
        <item x="665"/>
        <item x="780"/>
        <item x="90"/>
        <item x="206"/>
        <item x="319"/>
        <item x="436"/>
        <item x="550"/>
        <item x="664"/>
        <item x="779"/>
        <item x="92"/>
        <item x="205"/>
        <item x="322"/>
        <item x="434"/>
        <item x="551"/>
        <item x="667"/>
        <item x="782"/>
        <item x="89"/>
        <item x="203"/>
        <item x="321"/>
        <item x="433"/>
        <item x="549"/>
        <item x="666"/>
        <item x="788"/>
        <item x="100"/>
        <item x="215"/>
        <item x="329"/>
        <item x="443"/>
        <item x="558"/>
        <item x="674"/>
        <item x="789"/>
        <item x="97"/>
        <item x="214"/>
        <item x="330"/>
        <item x="444"/>
        <item x="559"/>
        <item x="673"/>
        <item x="790"/>
        <item x="101"/>
        <item x="212"/>
        <item x="328"/>
        <item x="446"/>
        <item x="561"/>
        <item x="675"/>
        <item x="787"/>
        <item x="98"/>
        <item x="213"/>
        <item x="331"/>
        <item x="445"/>
        <item x="560"/>
        <item x="676"/>
        <item x="791"/>
        <item x="99"/>
        <item x="223"/>
        <item x="337"/>
        <item x="455"/>
        <item x="570"/>
        <item x="682"/>
        <item x="797"/>
        <item x="108"/>
        <item x="222"/>
        <item x="338"/>
        <item x="451"/>
        <item x="567"/>
        <item x="685"/>
        <item x="796"/>
        <item x="107"/>
        <item x="224"/>
        <item x="340"/>
        <item x="454"/>
        <item x="568"/>
        <item x="683"/>
        <item x="799"/>
        <item x="106"/>
        <item x="220"/>
        <item x="339"/>
        <item x="452"/>
        <item x="569"/>
        <item x="684"/>
        <item x="798"/>
        <item x="109"/>
        <item x="221"/>
        <item x="336"/>
        <item x="453"/>
        <item x="467"/>
        <item x="583"/>
        <item x="695"/>
        <item x="6"/>
        <item x="119"/>
        <item x="235"/>
        <item x="352"/>
        <item x="469"/>
        <item x="581"/>
        <item x="698"/>
        <item x="5"/>
        <item x="122"/>
        <item x="238"/>
        <item x="350"/>
        <item x="466"/>
        <item x="579"/>
        <item x="694"/>
        <item x="4"/>
        <item x="121"/>
        <item x="237"/>
        <item x="351"/>
        <item x="465"/>
        <item x="582"/>
        <item x="696"/>
        <item x="7"/>
        <item x="120"/>
        <item x="236"/>
        <item x="353"/>
        <item x="468"/>
        <item x="580"/>
        <item x="697"/>
        <item x="17"/>
        <item x="134"/>
        <item x="249"/>
        <item x="365"/>
        <item x="479"/>
        <item x="594"/>
        <item x="710"/>
        <item x="16"/>
        <item x="133"/>
        <item x="251"/>
        <item x="366"/>
        <item x="480"/>
        <item x="596"/>
        <item x="707"/>
        <item x="19"/>
        <item x="135"/>
        <item x="250"/>
        <item x="363"/>
        <item x="478"/>
        <item x="593"/>
        <item x="709"/>
        <item x="18"/>
        <item x="132"/>
        <item x="248"/>
        <item x="364"/>
        <item x="481"/>
        <item x="595"/>
        <item x="708"/>
        <item x="31"/>
        <item x="145"/>
        <item x="260"/>
        <item x="376"/>
        <item x="490"/>
        <item x="606"/>
        <item x="721"/>
        <item x="29"/>
        <item x="146"/>
        <item x="261"/>
        <item x="375"/>
        <item x="491"/>
        <item x="605"/>
        <item x="720"/>
        <item x="3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/>
    <pivotField compact="0" outline="0" showAll="0"/>
    <pivotField axis="axisRow" compact="0" numFmtId="1" outline="0" showAll="0" defaultSubtotal="0">
      <items count="4">
        <item x="0"/>
        <item x="1"/>
        <item x="2"/>
        <item x="3"/>
      </items>
    </pivotField>
    <pivotField compact="0" outline="0" showAll="0">
      <items count="4">
        <item x="2"/>
        <item x="0"/>
        <item x="1"/>
        <item t="default"/>
      </items>
    </pivotField>
  </pivotFields>
  <rowFields count="1">
    <field x="20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 Revenue" fld="10" baseField="0" baseItem="0" numFmtId="166"/>
    <dataField name=" Revenue2" fld="10" showDataAs="percentOfTotal" baseField="0" baseItem="0" numFmtId="165"/>
  </dataFields>
  <formats count="2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14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 chartFormat="3">
  <location ref="AH3:AI808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numFmtId="167" outline="0" showAll="0">
      <items count="806">
        <item x="123"/>
        <item x="242"/>
        <item x="358"/>
        <item x="471"/>
        <item x="586"/>
        <item x="702"/>
        <item x="10"/>
        <item x="124"/>
        <item x="243"/>
        <item x="357"/>
        <item x="472"/>
        <item x="584"/>
        <item x="699"/>
        <item x="8"/>
        <item x="125"/>
        <item x="240"/>
        <item x="356"/>
        <item x="470"/>
        <item x="585"/>
        <item x="701"/>
        <item x="9"/>
        <item x="127"/>
        <item x="239"/>
        <item x="354"/>
        <item x="473"/>
        <item x="587"/>
        <item x="700"/>
        <item x="11"/>
        <item x="126"/>
        <item x="241"/>
        <item x="355"/>
        <item x="485"/>
        <item x="597"/>
        <item x="713"/>
        <item x="22"/>
        <item x="136"/>
        <item x="254"/>
        <item x="367"/>
        <item x="483"/>
        <item x="598"/>
        <item x="712"/>
        <item x="20"/>
        <item x="138"/>
        <item x="253"/>
        <item x="369"/>
        <item x="482"/>
        <item x="600"/>
        <item x="714"/>
        <item x="21"/>
        <item x="137"/>
        <item x="255"/>
        <item x="370"/>
        <item x="484"/>
        <item x="599"/>
        <item x="711"/>
        <item x="23"/>
        <item x="139"/>
        <item x="252"/>
        <item x="368"/>
        <item x="495"/>
        <item x="610"/>
        <item x="726"/>
        <item x="34"/>
        <item x="149"/>
        <item x="262"/>
        <item x="379"/>
        <item x="493"/>
        <item x="607"/>
        <item x="723"/>
        <item x="33"/>
        <item x="147"/>
        <item x="265"/>
        <item x="378"/>
        <item x="494"/>
        <item x="611"/>
        <item x="724"/>
        <item x="32"/>
        <item x="150"/>
        <item x="263"/>
        <item x="380"/>
        <item x="496"/>
        <item x="609"/>
        <item x="722"/>
        <item x="35"/>
        <item x="148"/>
        <item x="264"/>
        <item x="377"/>
        <item x="492"/>
        <item x="608"/>
        <item x="725"/>
        <item x="41"/>
        <item x="159"/>
        <item x="271"/>
        <item x="387"/>
        <item x="504"/>
        <item x="619"/>
        <item x="732"/>
        <item x="40"/>
        <item x="157"/>
        <item x="274"/>
        <item x="388"/>
        <item x="503"/>
        <item x="616"/>
        <item x="734"/>
        <item x="43"/>
        <item x="158"/>
        <item x="272"/>
        <item x="386"/>
        <item x="501"/>
        <item x="618"/>
        <item x="731"/>
        <item x="44"/>
        <item x="155"/>
        <item x="273"/>
        <item x="389"/>
        <item x="502"/>
        <item x="617"/>
        <item x="733"/>
        <item x="42"/>
        <item x="156"/>
        <item x="279"/>
        <item x="397"/>
        <item x="512"/>
        <item x="628"/>
        <item x="742"/>
        <item x="52"/>
        <item x="166"/>
        <item x="283"/>
        <item x="398"/>
        <item x="510"/>
        <item x="627"/>
        <item x="743"/>
        <item x="50"/>
        <item x="165"/>
        <item x="282"/>
        <item x="395"/>
        <item x="514"/>
        <item x="626"/>
        <item x="741"/>
        <item x="51"/>
        <item x="167"/>
        <item x="280"/>
        <item x="396"/>
        <item x="513"/>
        <item x="625"/>
        <item x="740"/>
        <item x="49"/>
        <item x="164"/>
        <item x="281"/>
        <item x="394"/>
        <item x="511"/>
        <item x="635"/>
        <item x="748"/>
        <item x="59"/>
        <item x="173"/>
        <item x="289"/>
        <item x="406"/>
        <item x="519"/>
        <item x="636"/>
        <item x="749"/>
        <item x="61"/>
        <item x="175"/>
        <item x="291"/>
        <item x="404"/>
        <item x="520"/>
        <item x="637"/>
        <item x="750"/>
        <item x="60"/>
        <item x="176"/>
        <item x="290"/>
        <item x="405"/>
        <item x="521"/>
        <item x="633"/>
        <item x="751"/>
        <item x="58"/>
        <item x="174"/>
        <item x="288"/>
        <item x="403"/>
        <item x="522"/>
        <item x="634"/>
        <item x="752"/>
        <item x="70"/>
        <item x="185"/>
        <item x="300"/>
        <item x="412"/>
        <item x="530"/>
        <item x="643"/>
        <item x="760"/>
        <item x="66"/>
        <item x="184"/>
        <item x="301"/>
        <item x="413"/>
        <item x="531"/>
        <item x="645"/>
        <item x="759"/>
        <item x="69"/>
        <item x="182"/>
        <item x="297"/>
        <item x="415"/>
        <item x="528"/>
        <item x="642"/>
        <item x="758"/>
        <item x="67"/>
        <item x="181"/>
        <item x="299"/>
        <item x="414"/>
        <item x="529"/>
        <item x="644"/>
        <item x="757"/>
        <item x="68"/>
        <item x="183"/>
        <item x="298"/>
        <item x="420"/>
        <item x="540"/>
        <item x="654"/>
        <item x="769"/>
        <item x="79"/>
        <item x="191"/>
        <item x="306"/>
        <item x="422"/>
        <item x="539"/>
        <item x="651"/>
        <item x="768"/>
        <item x="78"/>
        <item x="190"/>
        <item x="309"/>
        <item x="424"/>
        <item x="536"/>
        <item x="653"/>
        <item x="766"/>
        <item x="77"/>
        <item x="192"/>
        <item x="307"/>
        <item x="421"/>
        <item x="538"/>
        <item x="655"/>
        <item x="767"/>
        <item x="76"/>
        <item x="193"/>
        <item x="308"/>
        <item x="423"/>
        <item x="537"/>
        <item x="652"/>
        <item x="778"/>
        <item x="88"/>
        <item x="199"/>
        <item x="316"/>
        <item x="429"/>
        <item x="548"/>
        <item x="663"/>
        <item x="777"/>
        <item x="86"/>
        <item x="202"/>
        <item x="315"/>
        <item x="430"/>
        <item x="547"/>
        <item x="660"/>
        <item x="774"/>
        <item x="85"/>
        <item x="200"/>
        <item x="318"/>
        <item x="432"/>
        <item x="545"/>
        <item x="661"/>
        <item x="776"/>
        <item x="84"/>
        <item x="201"/>
        <item x="317"/>
        <item x="431"/>
        <item x="546"/>
        <item x="662"/>
        <item x="775"/>
        <item x="87"/>
        <item x="211"/>
        <item x="323"/>
        <item x="438"/>
        <item x="556"/>
        <item x="670"/>
        <item x="784"/>
        <item x="95"/>
        <item x="208"/>
        <item x="326"/>
        <item x="442"/>
        <item x="554"/>
        <item x="669"/>
        <item x="786"/>
        <item x="93"/>
        <item x="210"/>
        <item x="324"/>
        <item x="439"/>
        <item x="557"/>
        <item x="671"/>
        <item x="785"/>
        <item x="94"/>
        <item x="207"/>
        <item x="327"/>
        <item x="440"/>
        <item x="555"/>
        <item x="672"/>
        <item x="783"/>
        <item x="96"/>
        <item x="209"/>
        <item x="325"/>
        <item x="441"/>
        <item x="564"/>
        <item x="681"/>
        <item x="794"/>
        <item x="104"/>
        <item x="219"/>
        <item x="333"/>
        <item x="450"/>
        <item x="566"/>
        <item x="680"/>
        <item x="792"/>
        <item x="102"/>
        <item x="216"/>
        <item x="335"/>
        <item x="449"/>
        <item x="562"/>
        <item x="678"/>
        <item x="795"/>
        <item x="103"/>
        <item x="218"/>
        <item x="332"/>
        <item x="448"/>
        <item x="565"/>
        <item x="679"/>
        <item x="793"/>
        <item x="105"/>
        <item x="217"/>
        <item x="334"/>
        <item x="447"/>
        <item x="563"/>
        <item x="677"/>
        <item x="803"/>
        <item x="110"/>
        <item x="227"/>
        <item x="341"/>
        <item x="457"/>
        <item x="574"/>
        <item x="686"/>
        <item x="800"/>
        <item x="114"/>
        <item x="228"/>
        <item x="342"/>
        <item x="458"/>
        <item x="573"/>
        <item x="687"/>
        <item x="801"/>
        <item x="113"/>
        <item x="225"/>
        <item x="344"/>
        <item x="456"/>
        <item x="572"/>
        <item x="689"/>
        <item x="804"/>
        <item x="112"/>
        <item x="229"/>
        <item x="343"/>
        <item x="459"/>
        <item x="571"/>
        <item x="688"/>
        <item x="802"/>
        <item x="111"/>
        <item x="226"/>
        <item x="230"/>
        <item x="347"/>
        <item x="460"/>
        <item x="575"/>
        <item x="693"/>
        <item x="2"/>
        <item x="117"/>
        <item x="233"/>
        <item x="348"/>
        <item x="462"/>
        <item x="576"/>
        <item x="692"/>
        <item x="1"/>
        <item x="116"/>
        <item x="234"/>
        <item x="346"/>
        <item x="461"/>
        <item x="577"/>
        <item x="691"/>
        <item x="3"/>
        <item x="118"/>
        <item x="232"/>
        <item x="349"/>
        <item x="463"/>
        <item x="578"/>
        <item x="690"/>
        <item x="0"/>
        <item x="115"/>
        <item x="231"/>
        <item x="345"/>
        <item x="464"/>
        <item x="590"/>
        <item x="705"/>
        <item x="14"/>
        <item x="129"/>
        <item x="245"/>
        <item x="362"/>
        <item x="477"/>
        <item x="591"/>
        <item x="704"/>
        <item x="13"/>
        <item x="130"/>
        <item x="246"/>
        <item x="359"/>
        <item x="475"/>
        <item x="588"/>
        <item x="703"/>
        <item x="15"/>
        <item x="128"/>
        <item x="247"/>
        <item x="360"/>
        <item x="474"/>
        <item x="592"/>
        <item x="706"/>
        <item x="12"/>
        <item x="131"/>
        <item x="244"/>
        <item x="361"/>
        <item x="476"/>
        <item x="589"/>
        <item x="719"/>
        <item x="27"/>
        <item x="140"/>
        <item x="256"/>
        <item x="372"/>
        <item x="487"/>
        <item x="603"/>
        <item x="718"/>
        <item x="25"/>
        <item x="141"/>
        <item x="259"/>
        <item x="374"/>
        <item x="488"/>
        <item x="601"/>
        <item x="715"/>
        <item x="26"/>
        <item x="143"/>
        <item x="257"/>
        <item x="373"/>
        <item x="489"/>
        <item x="604"/>
        <item x="717"/>
        <item x="24"/>
        <item x="144"/>
        <item x="258"/>
        <item x="371"/>
        <item x="486"/>
        <item x="602"/>
        <item x="716"/>
        <item x="28"/>
        <item x="142"/>
        <item x="270"/>
        <item x="385"/>
        <item x="499"/>
        <item x="614"/>
        <item x="728"/>
        <item x="39"/>
        <item x="154"/>
        <item x="267"/>
        <item x="381"/>
        <item x="500"/>
        <item x="612"/>
        <item x="730"/>
        <item x="37"/>
        <item x="151"/>
        <item x="269"/>
        <item x="384"/>
        <item x="498"/>
        <item x="613"/>
        <item x="727"/>
        <item x="36"/>
        <item x="153"/>
        <item x="268"/>
        <item x="382"/>
        <item x="497"/>
        <item x="615"/>
        <item x="729"/>
        <item x="38"/>
        <item x="152"/>
        <item x="266"/>
        <item x="383"/>
        <item x="506"/>
        <item x="622"/>
        <item x="735"/>
        <item x="45"/>
        <item x="162"/>
        <item x="278"/>
        <item x="392"/>
        <item x="505"/>
        <item x="620"/>
        <item x="739"/>
        <item x="48"/>
        <item x="163"/>
        <item x="276"/>
        <item x="390"/>
        <item x="509"/>
        <item x="623"/>
        <item x="738"/>
        <item x="47"/>
        <item x="160"/>
        <item x="277"/>
        <item x="393"/>
        <item x="507"/>
        <item x="621"/>
        <item x="737"/>
        <item x="46"/>
        <item x="161"/>
        <item x="275"/>
        <item x="391"/>
        <item x="508"/>
        <item x="624"/>
        <item x="736"/>
        <item x="57"/>
        <item x="169"/>
        <item x="287"/>
        <item x="402"/>
        <item x="517"/>
        <item x="630"/>
        <item x="747"/>
        <item x="54"/>
        <item x="172"/>
        <item x="286"/>
        <item x="399"/>
        <item x="518"/>
        <item x="629"/>
        <item x="744"/>
        <item x="53"/>
        <item x="171"/>
        <item x="285"/>
        <item x="400"/>
        <item x="515"/>
        <item x="632"/>
        <item x="746"/>
        <item x="56"/>
        <item x="168"/>
        <item x="284"/>
        <item x="401"/>
        <item x="516"/>
        <item x="631"/>
        <item x="745"/>
        <item x="55"/>
        <item x="170"/>
        <item x="294"/>
        <item x="410"/>
        <item x="527"/>
        <item x="639"/>
        <item x="754"/>
        <item x="62"/>
        <item x="177"/>
        <item x="295"/>
        <item x="407"/>
        <item x="523"/>
        <item x="641"/>
        <item x="756"/>
        <item x="64"/>
        <item x="180"/>
        <item x="292"/>
        <item x="411"/>
        <item x="524"/>
        <item x="638"/>
        <item x="755"/>
        <item x="63"/>
        <item x="179"/>
        <item x="293"/>
        <item x="409"/>
        <item x="525"/>
        <item x="640"/>
        <item x="753"/>
        <item x="65"/>
        <item x="178"/>
        <item x="296"/>
        <item x="408"/>
        <item x="526"/>
        <item x="649"/>
        <item x="761"/>
        <item x="74"/>
        <item x="188"/>
        <item x="305"/>
        <item x="419"/>
        <item x="532"/>
        <item x="646"/>
        <item x="762"/>
        <item x="75"/>
        <item x="189"/>
        <item x="304"/>
        <item x="416"/>
        <item x="535"/>
        <item x="647"/>
        <item x="763"/>
        <item x="71"/>
        <item x="186"/>
        <item x="303"/>
        <item x="418"/>
        <item x="533"/>
        <item x="650"/>
        <item x="765"/>
        <item x="73"/>
        <item x="187"/>
        <item x="302"/>
        <item x="417"/>
        <item x="534"/>
        <item x="648"/>
        <item x="764"/>
        <item x="72"/>
        <item x="194"/>
        <item x="311"/>
        <item x="428"/>
        <item x="542"/>
        <item x="656"/>
        <item x="771"/>
        <item x="83"/>
        <item x="197"/>
        <item x="314"/>
        <item x="427"/>
        <item x="541"/>
        <item x="657"/>
        <item x="773"/>
        <item x="81"/>
        <item x="196"/>
        <item x="312"/>
        <item x="426"/>
        <item x="544"/>
        <item x="658"/>
        <item x="772"/>
        <item x="80"/>
        <item x="198"/>
        <item x="313"/>
        <item x="425"/>
        <item x="543"/>
        <item x="659"/>
        <item x="770"/>
        <item x="82"/>
        <item x="195"/>
        <item x="310"/>
        <item x="437"/>
        <item x="552"/>
        <item x="668"/>
        <item x="781"/>
        <item x="91"/>
        <item x="204"/>
        <item x="320"/>
        <item x="435"/>
        <item x="553"/>
        <item x="665"/>
        <item x="780"/>
        <item x="90"/>
        <item x="206"/>
        <item x="319"/>
        <item x="436"/>
        <item x="550"/>
        <item x="664"/>
        <item x="779"/>
        <item x="92"/>
        <item x="205"/>
        <item x="322"/>
        <item x="434"/>
        <item x="551"/>
        <item x="667"/>
        <item x="782"/>
        <item x="89"/>
        <item x="203"/>
        <item x="321"/>
        <item x="433"/>
        <item x="549"/>
        <item x="666"/>
        <item x="788"/>
        <item x="100"/>
        <item x="215"/>
        <item x="329"/>
        <item x="443"/>
        <item x="558"/>
        <item x="674"/>
        <item x="789"/>
        <item x="97"/>
        <item x="214"/>
        <item x="330"/>
        <item x="444"/>
        <item x="559"/>
        <item x="673"/>
        <item x="790"/>
        <item x="101"/>
        <item x="212"/>
        <item x="328"/>
        <item x="446"/>
        <item x="561"/>
        <item x="675"/>
        <item x="787"/>
        <item x="98"/>
        <item x="213"/>
        <item x="331"/>
        <item x="445"/>
        <item x="560"/>
        <item x="676"/>
        <item x="791"/>
        <item x="99"/>
        <item x="223"/>
        <item x="337"/>
        <item x="455"/>
        <item x="570"/>
        <item x="682"/>
        <item x="797"/>
        <item x="108"/>
        <item x="222"/>
        <item x="338"/>
        <item x="451"/>
        <item x="567"/>
        <item x="685"/>
        <item x="796"/>
        <item x="107"/>
        <item x="224"/>
        <item x="340"/>
        <item x="454"/>
        <item x="568"/>
        <item x="683"/>
        <item x="799"/>
        <item x="106"/>
        <item x="220"/>
        <item x="339"/>
        <item x="452"/>
        <item x="569"/>
        <item x="684"/>
        <item x="798"/>
        <item x="109"/>
        <item x="221"/>
        <item x="336"/>
        <item x="453"/>
        <item x="467"/>
        <item x="583"/>
        <item x="695"/>
        <item x="6"/>
        <item x="119"/>
        <item x="235"/>
        <item x="352"/>
        <item x="469"/>
        <item x="581"/>
        <item x="698"/>
        <item x="5"/>
        <item x="122"/>
        <item x="238"/>
        <item x="350"/>
        <item x="466"/>
        <item x="579"/>
        <item x="694"/>
        <item x="4"/>
        <item x="121"/>
        <item x="237"/>
        <item x="351"/>
        <item x="465"/>
        <item x="582"/>
        <item x="696"/>
        <item x="7"/>
        <item x="120"/>
        <item x="236"/>
        <item x="353"/>
        <item x="468"/>
        <item x="580"/>
        <item x="697"/>
        <item x="17"/>
        <item x="134"/>
        <item x="249"/>
        <item x="365"/>
        <item x="479"/>
        <item x="594"/>
        <item x="710"/>
        <item x="16"/>
        <item x="133"/>
        <item x="251"/>
        <item x="366"/>
        <item x="480"/>
        <item x="596"/>
        <item x="707"/>
        <item x="19"/>
        <item x="135"/>
        <item x="250"/>
        <item x="363"/>
        <item x="478"/>
        <item x="593"/>
        <item x="709"/>
        <item x="18"/>
        <item x="132"/>
        <item x="248"/>
        <item x="364"/>
        <item x="481"/>
        <item x="595"/>
        <item x="708"/>
        <item x="31"/>
        <item x="145"/>
        <item x="260"/>
        <item x="376"/>
        <item x="490"/>
        <item x="606"/>
        <item x="721"/>
        <item x="29"/>
        <item x="146"/>
        <item x="261"/>
        <item x="375"/>
        <item x="491"/>
        <item x="605"/>
        <item x="720"/>
        <item x="3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5"/>
  </rowFields>
  <rowItems count="80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</rowItems>
  <colItems count="1">
    <i/>
  </colItems>
  <dataFields count="1">
    <dataField name="Сумма по полю Profit" fld="11" baseField="0" baseItem="0"/>
  </dataFields>
  <formats count="1">
    <format dxfId="4">
      <pivotArea outline="0" collapsedLevelsAreSubtotals="1" fieldPosition="0">
        <references count="1">
          <reference field="5" count="1" selected="0">
            <x v="0"/>
          </reference>
        </references>
      </pivotArea>
    </format>
  </format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9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T3:U804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>
      <items count="802">
        <item x="34"/>
        <item x="471"/>
        <item x="593"/>
        <item x="740"/>
        <item x="393"/>
        <item x="73"/>
        <item x="111"/>
        <item x="79"/>
        <item x="774"/>
        <item x="39"/>
        <item x="728"/>
        <item x="799"/>
        <item x="700"/>
        <item x="538"/>
        <item x="544"/>
        <item x="234"/>
        <item x="597"/>
        <item x="590"/>
        <item x="130"/>
        <item x="63"/>
        <item x="501"/>
        <item x="639"/>
        <item x="92"/>
        <item x="421"/>
        <item x="230"/>
        <item x="351"/>
        <item x="252"/>
        <item x="308"/>
        <item x="531"/>
        <item x="748"/>
        <item x="123"/>
        <item x="643"/>
        <item x="195"/>
        <item x="793"/>
        <item x="139"/>
        <item x="392"/>
        <item x="257"/>
        <item x="310"/>
        <item x="534"/>
        <item x="74"/>
        <item x="618"/>
        <item x="380"/>
        <item x="103"/>
        <item x="203"/>
        <item x="610"/>
        <item x="388"/>
        <item x="436"/>
        <item x="545"/>
        <item x="409"/>
        <item x="418"/>
        <item x="273"/>
        <item x="381"/>
        <item x="687"/>
        <item x="459"/>
        <item x="422"/>
        <item x="797"/>
        <item x="126"/>
        <item x="693"/>
        <item x="128"/>
        <item x="375"/>
        <item x="456"/>
        <item x="41"/>
        <item x="326"/>
        <item x="324"/>
        <item x="617"/>
        <item x="250"/>
        <item x="666"/>
        <item x="709"/>
        <item x="579"/>
        <item x="481"/>
        <item x="149"/>
        <item x="317"/>
        <item x="207"/>
        <item x="402"/>
        <item x="14"/>
        <item x="569"/>
        <item x="681"/>
        <item x="511"/>
        <item x="164"/>
        <item x="447"/>
        <item x="211"/>
        <item x="763"/>
        <item x="360"/>
        <item x="561"/>
        <item x="411"/>
        <item x="588"/>
        <item x="659"/>
        <item x="698"/>
        <item x="742"/>
        <item x="202"/>
        <item x="407"/>
        <item x="794"/>
        <item x="458"/>
        <item x="205"/>
        <item x="526"/>
        <item x="24"/>
        <item x="210"/>
        <item x="758"/>
        <item x="2"/>
        <item x="743"/>
        <item x="556"/>
        <item x="21"/>
        <item x="491"/>
        <item x="338"/>
        <item x="680"/>
        <item x="530"/>
        <item x="355"/>
        <item x="337"/>
        <item x="268"/>
        <item x="242"/>
        <item x="405"/>
        <item x="267"/>
        <item x="472"/>
        <item x="730"/>
        <item x="738"/>
        <item x="185"/>
        <item x="529"/>
        <item x="448"/>
        <item x="641"/>
        <item x="13"/>
        <item x="585"/>
        <item x="399"/>
        <item x="518"/>
        <item x="301"/>
        <item x="201"/>
        <item x="764"/>
        <item x="439"/>
        <item x="704"/>
        <item x="647"/>
        <item x="479"/>
        <item x="364"/>
        <item x="603"/>
        <item x="684"/>
        <item x="800"/>
        <item x="517"/>
        <item x="384"/>
        <item x="677"/>
        <item x="107"/>
        <item x="606"/>
        <item x="425"/>
        <item x="786"/>
        <item x="236"/>
        <item x="110"/>
        <item x="524"/>
        <item x="292"/>
        <item x="401"/>
        <item x="682"/>
        <item x="330"/>
        <item x="410"/>
        <item x="7"/>
        <item x="547"/>
        <item x="789"/>
        <item x="673"/>
        <item x="16"/>
        <item x="389"/>
        <item x="555"/>
        <item x="453"/>
        <item x="629"/>
        <item x="348"/>
        <item x="209"/>
        <item x="535"/>
        <item x="705"/>
        <item x="11"/>
        <item x="467"/>
        <item x="358"/>
        <item x="367"/>
        <item x="43"/>
        <item x="307"/>
        <item x="370"/>
        <item x="452"/>
        <item x="159"/>
        <item x="298"/>
        <item x="656"/>
        <item x="181"/>
        <item x="189"/>
        <item x="415"/>
        <item x="216"/>
        <item x="654"/>
        <item x="354"/>
        <item x="131"/>
        <item x="187"/>
        <item x="733"/>
        <item x="287"/>
        <item x="523"/>
        <item x="635"/>
        <item x="502"/>
        <item x="163"/>
        <item x="638"/>
        <item x="726"/>
        <item x="312"/>
        <item x="602"/>
        <item x="265"/>
        <item x="533"/>
        <item x="494"/>
        <item x="505"/>
        <item x="249"/>
        <item x="387"/>
        <item x="4"/>
        <item x="651"/>
        <item x="89"/>
        <item x="688"/>
        <item x="186"/>
        <item x="391"/>
        <item x="227"/>
        <item x="611"/>
        <item x="652"/>
        <item x="276"/>
        <item x="759"/>
        <item x="676"/>
        <item x="361"/>
        <item x="116"/>
        <item x="444"/>
        <item x="658"/>
        <item x="781"/>
        <item x="332"/>
        <item x="445"/>
        <item x="125"/>
        <item x="714"/>
        <item x="75"/>
        <item x="772"/>
        <item x="475"/>
        <item x="745"/>
        <item x="168"/>
        <item x="359"/>
        <item x="594"/>
        <item x="707"/>
        <item x="217"/>
        <item x="492"/>
        <item x="285"/>
        <item x="720"/>
        <item x="385"/>
        <item x="735"/>
        <item x="59"/>
        <item x="323"/>
        <item x="172"/>
        <item x="413"/>
        <item x="315"/>
        <item x="37"/>
        <item x="390"/>
        <item x="42"/>
        <item x="483"/>
        <item x="30"/>
        <item x="54"/>
        <item x="463"/>
        <item x="237"/>
        <item x="28"/>
        <item x="574"/>
        <item x="81"/>
        <item x="319"/>
        <item x="261"/>
        <item x="286"/>
        <item x="428"/>
        <item x="595"/>
        <item x="624"/>
        <item x="792"/>
        <item x="165"/>
        <item x="706"/>
        <item x="692"/>
        <item x="214"/>
        <item x="282"/>
        <item x="488"/>
        <item x="566"/>
        <item x="22"/>
        <item x="85"/>
        <item x="578"/>
        <item x="9"/>
        <item x="508"/>
        <item x="784"/>
        <item x="798"/>
        <item x="382"/>
        <item x="94"/>
        <item x="64"/>
        <item x="400"/>
        <item x="721"/>
        <item x="106"/>
        <item x="93"/>
        <item x="240"/>
        <item x="670"/>
        <item x="124"/>
        <item x="625"/>
        <item x="174"/>
        <item x="244"/>
        <item x="278"/>
        <item x="540"/>
        <item x="520"/>
        <item x="403"/>
        <item x="572"/>
        <item x="3"/>
        <item x="482"/>
        <item x="644"/>
        <item x="104"/>
        <item x="514"/>
        <item x="708"/>
        <item x="243"/>
        <item x="134"/>
        <item x="449"/>
        <item x="254"/>
        <item x="440"/>
        <item x="499"/>
        <item x="559"/>
        <item x="129"/>
        <item x="169"/>
        <item x="736"/>
        <item x="613"/>
        <item x="761"/>
        <item x="133"/>
        <item x="344"/>
        <item x="264"/>
        <item x="140"/>
        <item x="371"/>
        <item x="40"/>
        <item x="215"/>
        <item x="72"/>
        <item x="17"/>
        <item x="212"/>
        <item x="642"/>
        <item x="620"/>
        <item x="100"/>
        <item x="197"/>
        <item x="50"/>
        <item x="395"/>
        <item x="245"/>
        <item x="151"/>
        <item x="622"/>
        <item x="776"/>
        <item x="335"/>
        <item x="460"/>
        <item x="178"/>
        <item x="48"/>
        <item x="200"/>
        <item x="121"/>
        <item x="383"/>
        <item x="61"/>
        <item x="293"/>
        <item x="342"/>
        <item x="26"/>
        <item x="563"/>
        <item x="521"/>
        <item x="747"/>
        <item x="80"/>
        <item x="600"/>
        <item x="716"/>
        <item x="10"/>
        <item x="612"/>
        <item x="182"/>
        <item x="683"/>
        <item x="669"/>
        <item x="290"/>
        <item x="509"/>
        <item x="18"/>
        <item x="84"/>
        <item x="188"/>
        <item x="416"/>
        <item x="184"/>
        <item x="304"/>
        <item x="83"/>
        <item x="427"/>
        <item x="224"/>
        <item x="350"/>
        <item x="560"/>
        <item x="247"/>
        <item x="66"/>
        <item x="432"/>
        <item x="406"/>
        <item x="363"/>
        <item x="279"/>
        <item x="466"/>
        <item x="86"/>
        <item x="57"/>
        <item x="88"/>
        <item x="113"/>
        <item x="768"/>
        <item x="510"/>
        <item x="280"/>
        <item x="653"/>
        <item x="576"/>
        <item x="580"/>
        <item x="473"/>
        <item x="655"/>
        <item x="570"/>
        <item x="608"/>
        <item x="193"/>
        <item x="760"/>
        <item x="87"/>
        <item x="767"/>
        <item x="233"/>
        <item x="235"/>
        <item x="246"/>
        <item x="366"/>
        <item x="331"/>
        <item x="260"/>
        <item x="744"/>
        <item x="645"/>
        <item x="146"/>
        <item x="732"/>
        <item x="294"/>
        <item x="532"/>
        <item x="329"/>
        <item x="430"/>
        <item x="52"/>
        <item x="180"/>
        <item x="357"/>
        <item x="552"/>
        <item x="650"/>
        <item x="461"/>
        <item x="270"/>
        <item x="196"/>
        <item x="102"/>
        <item x="426"/>
        <item x="171"/>
        <item x="646"/>
        <item x="251"/>
        <item x="649"/>
        <item x="664"/>
        <item x="70"/>
        <item x="751"/>
        <item x="119"/>
        <item x="58"/>
        <item x="283"/>
        <item x="313"/>
        <item x="262"/>
        <item x="615"/>
        <item x="435"/>
        <item x="548"/>
        <item x="711"/>
        <item x="135"/>
        <item x="226"/>
        <item x="378"/>
        <item x="737"/>
        <item x="525"/>
        <item x="663"/>
        <item x="20"/>
        <item x="515"/>
        <item x="474"/>
        <item x="150"/>
        <item x="339"/>
        <item x="782"/>
        <item x="175"/>
        <item x="412"/>
        <item x="571"/>
        <item x="345"/>
        <item x="717"/>
        <item x="266"/>
        <item x="429"/>
        <item x="614"/>
        <item x="101"/>
        <item x="582"/>
        <item x="696"/>
        <item x="788"/>
        <item x="206"/>
        <item x="584"/>
        <item x="15"/>
        <item x="341"/>
        <item x="589"/>
        <item x="731"/>
        <item x="314"/>
        <item x="6"/>
        <item x="599"/>
        <item x="160"/>
        <item x="769"/>
        <item x="144"/>
        <item x="749"/>
        <item x="281"/>
        <item x="343"/>
        <item x="734"/>
        <item x="177"/>
        <item x="232"/>
        <item x="386"/>
        <item x="356"/>
        <item x="727"/>
        <item x="191"/>
        <item x="12"/>
        <item x="69"/>
        <item x="773"/>
        <item x="469"/>
        <item x="607"/>
        <item x="476"/>
        <item x="660"/>
        <item x="408"/>
        <item x="775"/>
        <item x="694"/>
        <item x="462"/>
        <item x="31"/>
        <item x="787"/>
        <item x="604"/>
        <item x="78"/>
        <item x="114"/>
        <item x="634"/>
        <item x="143"/>
        <item x="562"/>
        <item x="284"/>
        <item x="686"/>
        <item x="699"/>
        <item x="362"/>
        <item x="219"/>
        <item x="299"/>
        <item x="785"/>
        <item x="183"/>
        <item x="318"/>
        <item x="396"/>
        <item x="557"/>
        <item x="289"/>
        <item x="497"/>
        <item x="274"/>
        <item x="662"/>
        <item x="621"/>
        <item x="791"/>
        <item x="333"/>
        <item x="198"/>
        <item x="49"/>
        <item x="504"/>
        <item x="636"/>
        <item x="609"/>
        <item x="220"/>
        <item x="568"/>
        <item x="722"/>
        <item x="153"/>
        <item x="373"/>
        <item x="697"/>
        <item x="98"/>
        <item x="0"/>
        <item x="637"/>
        <item x="465"/>
        <item x="628"/>
        <item x="668"/>
        <item x="443"/>
        <item x="455"/>
        <item x="507"/>
        <item x="702"/>
        <item x="19"/>
        <item x="56"/>
        <item x="565"/>
        <item x="672"/>
        <item x="592"/>
        <item x="713"/>
        <item x="353"/>
        <item x="241"/>
        <item x="29"/>
        <item x="567"/>
        <item x="577"/>
        <item x="148"/>
        <item x="239"/>
        <item x="303"/>
        <item x="122"/>
        <item x="275"/>
        <item x="288"/>
        <item x="1"/>
        <item x="674"/>
        <item x="539"/>
        <item x="32"/>
        <item x="486"/>
        <item x="630"/>
        <item x="516"/>
        <item x="498"/>
        <item x="780"/>
        <item x="208"/>
        <item x="118"/>
        <item x="96"/>
        <item x="173"/>
        <item x="256"/>
        <item x="346"/>
        <item x="729"/>
        <item x="423"/>
        <item x="783"/>
        <item x="790"/>
        <item x="300"/>
        <item x="755"/>
        <item x="65"/>
        <item x="616"/>
        <item x="97"/>
        <item x="71"/>
        <item x="156"/>
        <item x="419"/>
        <item x="68"/>
        <item x="60"/>
        <item x="167"/>
        <item x="347"/>
        <item x="132"/>
        <item x="190"/>
        <item x="451"/>
        <item x="155"/>
        <item x="296"/>
        <item x="753"/>
        <item x="591"/>
        <item x="5"/>
        <item x="38"/>
        <item x="166"/>
        <item x="291"/>
        <item x="583"/>
        <item x="248"/>
        <item x="349"/>
        <item x="25"/>
        <item x="598"/>
        <item x="648"/>
        <item x="53"/>
        <item x="437"/>
        <item x="397"/>
        <item x="631"/>
        <item x="605"/>
        <item x="309"/>
        <item x="45"/>
        <item x="334"/>
        <item x="272"/>
        <item x="302"/>
        <item x="414"/>
        <item x="327"/>
        <item x="478"/>
        <item x="551"/>
        <item x="431"/>
        <item x="27"/>
        <item x="450"/>
        <item x="145"/>
        <item x="336"/>
        <item x="765"/>
        <item x="703"/>
        <item x="490"/>
        <item x="586"/>
        <item x="679"/>
        <item x="105"/>
        <item x="438"/>
        <item x="550"/>
        <item x="573"/>
        <item x="554"/>
        <item x="795"/>
        <item x="157"/>
        <item x="120"/>
        <item x="321"/>
        <item x="495"/>
        <item x="542"/>
        <item x="512"/>
        <item x="779"/>
        <item x="724"/>
        <item x="441"/>
        <item x="537"/>
        <item x="322"/>
        <item x="433"/>
        <item x="199"/>
        <item x="328"/>
        <item x="661"/>
        <item x="8"/>
        <item x="665"/>
        <item x="485"/>
        <item x="376"/>
        <item x="527"/>
        <item x="750"/>
        <item x="506"/>
        <item x="76"/>
        <item x="623"/>
        <item x="99"/>
        <item x="468"/>
        <item x="719"/>
        <item x="549"/>
        <item x="553"/>
        <item x="152"/>
        <item x="340"/>
        <item x="325"/>
        <item x="489"/>
        <item x="543"/>
        <item x="320"/>
        <item x="162"/>
        <item x="204"/>
        <item x="770"/>
        <item x="558"/>
        <item x="695"/>
        <item x="369"/>
        <item x="522"/>
        <item x="372"/>
        <item x="546"/>
        <item x="771"/>
        <item x="690"/>
        <item x="51"/>
        <item x="225"/>
        <item x="756"/>
        <item x="766"/>
        <item x="142"/>
        <item x="229"/>
        <item x="691"/>
        <item x="62"/>
        <item x="417"/>
        <item x="619"/>
        <item x="712"/>
        <item x="91"/>
        <item x="258"/>
        <item x="194"/>
        <item x="675"/>
        <item x="519"/>
        <item x="454"/>
        <item x="223"/>
        <item x="739"/>
        <item x="723"/>
        <item x="176"/>
        <item x="601"/>
        <item x="457"/>
        <item x="218"/>
        <item x="581"/>
        <item x="138"/>
        <item x="35"/>
        <item x="470"/>
        <item x="671"/>
        <item x="213"/>
        <item x="741"/>
        <item x="82"/>
        <item x="147"/>
        <item x="305"/>
        <item x="221"/>
        <item x="23"/>
        <item x="179"/>
        <item x="496"/>
        <item x="112"/>
        <item x="424"/>
        <item x="528"/>
        <item x="398"/>
        <item x="587"/>
        <item x="564"/>
        <item x="161"/>
        <item x="503"/>
        <item x="115"/>
        <item x="434"/>
        <item x="778"/>
        <item x="446"/>
        <item x="231"/>
        <item x="394"/>
        <item x="44"/>
        <item x="127"/>
        <item x="541"/>
        <item x="90"/>
        <item x="253"/>
        <item x="701"/>
        <item x="477"/>
        <item x="192"/>
        <item x="377"/>
        <item x="263"/>
        <item x="420"/>
        <item x="154"/>
        <item x="484"/>
        <item x="442"/>
        <item x="640"/>
        <item x="109"/>
        <item x="575"/>
        <item x="316"/>
        <item x="480"/>
        <item x="633"/>
        <item x="222"/>
        <item x="33"/>
        <item x="352"/>
        <item x="374"/>
        <item x="500"/>
        <item x="297"/>
        <item x="277"/>
        <item x="754"/>
        <item x="368"/>
        <item x="306"/>
        <item x="108"/>
        <item x="47"/>
        <item x="77"/>
        <item x="55"/>
        <item x="95"/>
        <item x="117"/>
        <item x="689"/>
        <item x="718"/>
        <item x="36"/>
        <item x="746"/>
        <item x="493"/>
        <item x="295"/>
        <item x="710"/>
        <item x="762"/>
        <item x="796"/>
        <item x="657"/>
        <item x="725"/>
        <item x="752"/>
        <item x="141"/>
        <item x="596"/>
        <item x="464"/>
        <item x="626"/>
        <item x="259"/>
        <item x="158"/>
        <item x="228"/>
        <item x="627"/>
        <item x="137"/>
        <item x="487"/>
        <item x="269"/>
        <item x="632"/>
        <item x="513"/>
        <item x="67"/>
        <item x="715"/>
        <item x="536"/>
        <item x="365"/>
        <item x="271"/>
        <item x="46"/>
        <item x="379"/>
        <item x="678"/>
        <item x="170"/>
        <item x="136"/>
        <item x="777"/>
        <item x="238"/>
        <item x="757"/>
        <item x="667"/>
        <item x="685"/>
        <item x="311"/>
        <item x="255"/>
        <item x="404"/>
        <item t="default"/>
      </items>
    </pivotField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15"/>
  </rowFields>
  <rowItems count="8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</rowItems>
  <colItems count="1">
    <i/>
  </colItems>
  <dataFields count="1">
    <dataField name=" Revenue" fld="10" baseField="0" baseItem="0" numFmtId="166"/>
  </dataFields>
  <formats count="1">
    <format dxfId="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AB3:AC77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axis="axisRow" compact="0" outline="0" showAll="0">
      <items count="75">
        <item x="52"/>
        <item x="60"/>
        <item x="44"/>
        <item x="61"/>
        <item x="50"/>
        <item x="45"/>
        <item x="11"/>
        <item x="21"/>
        <item x="49"/>
        <item x="57"/>
        <item x="63"/>
        <item x="54"/>
        <item x="66"/>
        <item x="73"/>
        <item x="28"/>
        <item x="15"/>
        <item x="33"/>
        <item x="29"/>
        <item x="19"/>
        <item x="16"/>
        <item x="20"/>
        <item x="72"/>
        <item x="71"/>
        <item x="34"/>
        <item x="67"/>
        <item x="31"/>
        <item x="5"/>
        <item x="69"/>
        <item x="12"/>
        <item x="22"/>
        <item x="4"/>
        <item x="32"/>
        <item x="48"/>
        <item x="46"/>
        <item x="41"/>
        <item x="10"/>
        <item x="43"/>
        <item x="68"/>
        <item x="37"/>
        <item x="38"/>
        <item x="18"/>
        <item x="23"/>
        <item x="56"/>
        <item x="39"/>
        <item x="65"/>
        <item x="35"/>
        <item x="27"/>
        <item x="42"/>
        <item x="62"/>
        <item x="59"/>
        <item x="30"/>
        <item x="1"/>
        <item x="26"/>
        <item x="8"/>
        <item x="24"/>
        <item x="53"/>
        <item x="14"/>
        <item x="7"/>
        <item x="58"/>
        <item x="13"/>
        <item x="9"/>
        <item x="6"/>
        <item x="2"/>
        <item x="51"/>
        <item x="3"/>
        <item x="55"/>
        <item x="70"/>
        <item x="64"/>
        <item x="40"/>
        <item x="17"/>
        <item x="47"/>
        <item x="0"/>
        <item x="36"/>
        <item x="25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13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</rowItems>
  <colItems count="1">
    <i/>
  </colItems>
  <dataFields count="1">
    <dataField name=" Revenue" fld="10" baseField="0" baseItem="0" numFmtId="166"/>
  </dataFields>
  <formats count="1"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8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 chartFormat="3">
  <location ref="P3:Q8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measureFilter="1">
      <items count="802">
        <item x="34"/>
        <item x="471"/>
        <item x="593"/>
        <item x="740"/>
        <item x="393"/>
        <item x="73"/>
        <item x="111"/>
        <item x="79"/>
        <item x="774"/>
        <item x="39"/>
        <item x="728"/>
        <item x="799"/>
        <item x="700"/>
        <item x="538"/>
        <item x="544"/>
        <item x="234"/>
        <item x="597"/>
        <item x="590"/>
        <item x="130"/>
        <item x="63"/>
        <item x="501"/>
        <item x="639"/>
        <item x="92"/>
        <item x="421"/>
        <item x="230"/>
        <item x="351"/>
        <item x="252"/>
        <item x="308"/>
        <item x="531"/>
        <item x="748"/>
        <item x="123"/>
        <item x="643"/>
        <item x="195"/>
        <item x="793"/>
        <item x="139"/>
        <item x="392"/>
        <item x="257"/>
        <item x="310"/>
        <item x="534"/>
        <item x="74"/>
        <item x="618"/>
        <item x="380"/>
        <item x="103"/>
        <item x="203"/>
        <item x="610"/>
        <item x="388"/>
        <item x="436"/>
        <item x="545"/>
        <item x="409"/>
        <item x="418"/>
        <item x="273"/>
        <item x="381"/>
        <item x="687"/>
        <item x="459"/>
        <item x="422"/>
        <item x="797"/>
        <item x="126"/>
        <item x="693"/>
        <item x="128"/>
        <item x="375"/>
        <item x="456"/>
        <item x="41"/>
        <item x="326"/>
        <item x="324"/>
        <item x="617"/>
        <item x="250"/>
        <item x="666"/>
        <item x="709"/>
        <item x="579"/>
        <item x="481"/>
        <item x="149"/>
        <item x="317"/>
        <item x="207"/>
        <item x="402"/>
        <item x="14"/>
        <item x="569"/>
        <item x="681"/>
        <item x="511"/>
        <item x="164"/>
        <item x="447"/>
        <item x="211"/>
        <item x="763"/>
        <item x="360"/>
        <item x="561"/>
        <item x="411"/>
        <item x="588"/>
        <item x="659"/>
        <item x="698"/>
        <item x="742"/>
        <item x="202"/>
        <item x="407"/>
        <item x="794"/>
        <item x="458"/>
        <item x="205"/>
        <item x="526"/>
        <item x="24"/>
        <item x="210"/>
        <item x="758"/>
        <item x="2"/>
        <item x="743"/>
        <item x="556"/>
        <item x="21"/>
        <item x="491"/>
        <item x="338"/>
        <item x="680"/>
        <item x="530"/>
        <item x="355"/>
        <item x="337"/>
        <item x="268"/>
        <item x="242"/>
        <item x="405"/>
        <item x="267"/>
        <item x="472"/>
        <item x="730"/>
        <item x="738"/>
        <item x="185"/>
        <item x="529"/>
        <item x="448"/>
        <item x="641"/>
        <item x="13"/>
        <item x="585"/>
        <item x="399"/>
        <item x="518"/>
        <item x="301"/>
        <item x="201"/>
        <item x="764"/>
        <item x="439"/>
        <item x="704"/>
        <item x="647"/>
        <item x="479"/>
        <item x="364"/>
        <item x="603"/>
        <item x="684"/>
        <item x="800"/>
        <item x="517"/>
        <item x="384"/>
        <item x="677"/>
        <item x="107"/>
        <item x="606"/>
        <item x="425"/>
        <item x="786"/>
        <item x="236"/>
        <item x="110"/>
        <item x="524"/>
        <item x="292"/>
        <item x="401"/>
        <item x="682"/>
        <item x="330"/>
        <item x="410"/>
        <item x="7"/>
        <item x="547"/>
        <item x="789"/>
        <item x="673"/>
        <item x="16"/>
        <item x="389"/>
        <item x="555"/>
        <item x="453"/>
        <item x="629"/>
        <item x="348"/>
        <item x="209"/>
        <item x="535"/>
        <item x="705"/>
        <item x="11"/>
        <item x="467"/>
        <item x="358"/>
        <item x="367"/>
        <item x="43"/>
        <item x="307"/>
        <item x="370"/>
        <item x="452"/>
        <item x="159"/>
        <item x="298"/>
        <item x="656"/>
        <item x="181"/>
        <item x="189"/>
        <item x="415"/>
        <item x="216"/>
        <item x="654"/>
        <item x="354"/>
        <item x="131"/>
        <item x="187"/>
        <item x="733"/>
        <item x="287"/>
        <item x="523"/>
        <item x="635"/>
        <item x="502"/>
        <item x="163"/>
        <item x="638"/>
        <item x="726"/>
        <item x="312"/>
        <item x="602"/>
        <item x="265"/>
        <item x="533"/>
        <item x="494"/>
        <item x="505"/>
        <item x="249"/>
        <item x="387"/>
        <item x="4"/>
        <item x="651"/>
        <item x="89"/>
        <item x="688"/>
        <item x="186"/>
        <item x="391"/>
        <item x="227"/>
        <item x="611"/>
        <item x="652"/>
        <item x="276"/>
        <item x="759"/>
        <item x="676"/>
        <item x="361"/>
        <item x="116"/>
        <item x="444"/>
        <item x="658"/>
        <item x="781"/>
        <item x="332"/>
        <item x="445"/>
        <item x="125"/>
        <item x="714"/>
        <item x="75"/>
        <item x="772"/>
        <item x="475"/>
        <item x="745"/>
        <item x="168"/>
        <item x="359"/>
        <item x="594"/>
        <item x="707"/>
        <item x="217"/>
        <item x="492"/>
        <item x="285"/>
        <item x="720"/>
        <item x="385"/>
        <item x="735"/>
        <item x="59"/>
        <item x="323"/>
        <item x="172"/>
        <item x="413"/>
        <item x="315"/>
        <item x="37"/>
        <item x="390"/>
        <item x="42"/>
        <item x="483"/>
        <item x="30"/>
        <item x="54"/>
        <item x="463"/>
        <item x="237"/>
        <item x="28"/>
        <item x="574"/>
        <item x="81"/>
        <item x="319"/>
        <item x="261"/>
        <item x="286"/>
        <item x="428"/>
        <item x="595"/>
        <item x="624"/>
        <item x="792"/>
        <item x="165"/>
        <item x="706"/>
        <item x="692"/>
        <item x="214"/>
        <item x="282"/>
        <item x="488"/>
        <item x="566"/>
        <item x="22"/>
        <item x="85"/>
        <item x="578"/>
        <item x="9"/>
        <item x="508"/>
        <item x="784"/>
        <item x="798"/>
        <item x="382"/>
        <item x="94"/>
        <item x="64"/>
        <item x="400"/>
        <item x="721"/>
        <item x="106"/>
        <item x="93"/>
        <item x="240"/>
        <item x="670"/>
        <item x="124"/>
        <item x="625"/>
        <item x="174"/>
        <item x="244"/>
        <item x="278"/>
        <item x="540"/>
        <item x="520"/>
        <item x="403"/>
        <item x="572"/>
        <item x="3"/>
        <item x="482"/>
        <item x="644"/>
        <item x="104"/>
        <item x="514"/>
        <item x="708"/>
        <item x="243"/>
        <item x="134"/>
        <item x="449"/>
        <item x="254"/>
        <item x="440"/>
        <item x="499"/>
        <item x="559"/>
        <item x="129"/>
        <item x="169"/>
        <item x="736"/>
        <item x="613"/>
        <item x="761"/>
        <item x="133"/>
        <item x="344"/>
        <item x="264"/>
        <item x="140"/>
        <item x="371"/>
        <item x="40"/>
        <item x="215"/>
        <item x="72"/>
        <item x="17"/>
        <item x="212"/>
        <item x="642"/>
        <item x="620"/>
        <item x="100"/>
        <item x="197"/>
        <item x="50"/>
        <item x="395"/>
        <item x="245"/>
        <item x="151"/>
        <item x="622"/>
        <item x="776"/>
        <item x="335"/>
        <item x="460"/>
        <item x="178"/>
        <item x="48"/>
        <item x="200"/>
        <item x="121"/>
        <item x="383"/>
        <item x="61"/>
        <item x="293"/>
        <item x="342"/>
        <item x="26"/>
        <item x="563"/>
        <item x="521"/>
        <item x="747"/>
        <item x="80"/>
        <item x="600"/>
        <item x="716"/>
        <item x="10"/>
        <item x="612"/>
        <item x="182"/>
        <item x="683"/>
        <item x="669"/>
        <item x="290"/>
        <item x="509"/>
        <item x="18"/>
        <item x="84"/>
        <item x="188"/>
        <item x="416"/>
        <item x="184"/>
        <item x="304"/>
        <item x="83"/>
        <item x="427"/>
        <item x="224"/>
        <item x="350"/>
        <item x="560"/>
        <item x="247"/>
        <item x="66"/>
        <item x="432"/>
        <item x="406"/>
        <item x="363"/>
        <item x="279"/>
        <item x="466"/>
        <item x="86"/>
        <item x="57"/>
        <item x="88"/>
        <item x="113"/>
        <item x="768"/>
        <item x="510"/>
        <item x="280"/>
        <item x="653"/>
        <item x="576"/>
        <item x="580"/>
        <item x="473"/>
        <item x="655"/>
        <item x="570"/>
        <item x="608"/>
        <item x="193"/>
        <item x="760"/>
        <item x="87"/>
        <item x="767"/>
        <item x="233"/>
        <item x="235"/>
        <item x="246"/>
        <item x="366"/>
        <item x="331"/>
        <item x="260"/>
        <item x="744"/>
        <item x="645"/>
        <item x="146"/>
        <item x="732"/>
        <item x="294"/>
        <item x="532"/>
        <item x="329"/>
        <item x="430"/>
        <item x="52"/>
        <item x="180"/>
        <item x="357"/>
        <item x="552"/>
        <item x="650"/>
        <item x="461"/>
        <item x="270"/>
        <item x="196"/>
        <item x="102"/>
        <item x="426"/>
        <item x="171"/>
        <item x="646"/>
        <item x="251"/>
        <item x="649"/>
        <item x="664"/>
        <item x="70"/>
        <item x="751"/>
        <item x="119"/>
        <item x="58"/>
        <item x="283"/>
        <item x="313"/>
        <item x="262"/>
        <item x="615"/>
        <item x="435"/>
        <item x="548"/>
        <item x="711"/>
        <item x="135"/>
        <item x="226"/>
        <item x="378"/>
        <item x="737"/>
        <item x="525"/>
        <item x="663"/>
        <item x="20"/>
        <item x="515"/>
        <item x="474"/>
        <item x="150"/>
        <item x="339"/>
        <item x="782"/>
        <item x="175"/>
        <item x="412"/>
        <item x="571"/>
        <item x="345"/>
        <item x="717"/>
        <item x="266"/>
        <item x="429"/>
        <item x="614"/>
        <item x="101"/>
        <item x="582"/>
        <item x="696"/>
        <item x="788"/>
        <item x="206"/>
        <item x="584"/>
        <item x="15"/>
        <item x="341"/>
        <item x="589"/>
        <item x="731"/>
        <item x="314"/>
        <item x="6"/>
        <item x="599"/>
        <item x="160"/>
        <item x="769"/>
        <item x="144"/>
        <item x="749"/>
        <item x="281"/>
        <item x="343"/>
        <item x="734"/>
        <item x="177"/>
        <item x="232"/>
        <item x="386"/>
        <item x="356"/>
        <item x="727"/>
        <item x="191"/>
        <item x="12"/>
        <item x="69"/>
        <item x="773"/>
        <item x="469"/>
        <item x="607"/>
        <item x="476"/>
        <item x="660"/>
        <item x="408"/>
        <item x="775"/>
        <item x="694"/>
        <item x="462"/>
        <item x="31"/>
        <item x="787"/>
        <item x="604"/>
        <item x="78"/>
        <item x="114"/>
        <item x="634"/>
        <item x="143"/>
        <item x="562"/>
        <item x="284"/>
        <item x="686"/>
        <item x="699"/>
        <item x="362"/>
        <item x="219"/>
        <item x="299"/>
        <item x="785"/>
        <item x="183"/>
        <item x="318"/>
        <item x="396"/>
        <item x="557"/>
        <item x="289"/>
        <item x="497"/>
        <item x="274"/>
        <item x="662"/>
        <item x="621"/>
        <item x="791"/>
        <item x="333"/>
        <item x="198"/>
        <item x="49"/>
        <item x="504"/>
        <item x="636"/>
        <item x="609"/>
        <item x="220"/>
        <item x="568"/>
        <item x="722"/>
        <item x="153"/>
        <item x="373"/>
        <item x="697"/>
        <item x="98"/>
        <item x="0"/>
        <item x="637"/>
        <item x="465"/>
        <item x="628"/>
        <item x="668"/>
        <item x="443"/>
        <item x="455"/>
        <item x="507"/>
        <item x="702"/>
        <item x="19"/>
        <item x="56"/>
        <item x="565"/>
        <item x="672"/>
        <item x="592"/>
        <item x="713"/>
        <item x="353"/>
        <item x="241"/>
        <item x="29"/>
        <item x="567"/>
        <item x="577"/>
        <item x="148"/>
        <item x="239"/>
        <item x="303"/>
        <item x="122"/>
        <item x="275"/>
        <item x="288"/>
        <item x="1"/>
        <item x="674"/>
        <item x="539"/>
        <item x="32"/>
        <item x="486"/>
        <item x="630"/>
        <item x="516"/>
        <item x="498"/>
        <item x="780"/>
        <item x="208"/>
        <item x="118"/>
        <item x="96"/>
        <item x="173"/>
        <item x="256"/>
        <item x="346"/>
        <item x="729"/>
        <item x="423"/>
        <item x="783"/>
        <item x="790"/>
        <item x="300"/>
        <item x="755"/>
        <item x="65"/>
        <item x="616"/>
        <item x="97"/>
        <item x="71"/>
        <item x="156"/>
        <item x="419"/>
        <item x="68"/>
        <item x="60"/>
        <item x="167"/>
        <item x="347"/>
        <item x="132"/>
        <item x="190"/>
        <item x="451"/>
        <item x="155"/>
        <item x="296"/>
        <item x="753"/>
        <item x="591"/>
        <item x="5"/>
        <item x="38"/>
        <item x="166"/>
        <item x="291"/>
        <item x="583"/>
        <item x="248"/>
        <item x="349"/>
        <item x="25"/>
        <item x="598"/>
        <item x="648"/>
        <item x="53"/>
        <item x="437"/>
        <item x="397"/>
        <item x="631"/>
        <item x="605"/>
        <item x="309"/>
        <item x="45"/>
        <item x="334"/>
        <item x="272"/>
        <item x="302"/>
        <item x="414"/>
        <item x="327"/>
        <item x="478"/>
        <item x="551"/>
        <item x="431"/>
        <item x="27"/>
        <item x="450"/>
        <item x="145"/>
        <item x="336"/>
        <item x="765"/>
        <item x="703"/>
        <item x="490"/>
        <item x="586"/>
        <item x="679"/>
        <item x="105"/>
        <item x="438"/>
        <item x="550"/>
        <item x="573"/>
        <item x="554"/>
        <item x="795"/>
        <item x="157"/>
        <item x="120"/>
        <item x="321"/>
        <item x="495"/>
        <item x="542"/>
        <item x="512"/>
        <item x="779"/>
        <item x="724"/>
        <item x="441"/>
        <item x="537"/>
        <item x="322"/>
        <item x="433"/>
        <item x="199"/>
        <item x="328"/>
        <item x="661"/>
        <item x="8"/>
        <item x="665"/>
        <item x="485"/>
        <item x="376"/>
        <item x="527"/>
        <item x="750"/>
        <item x="506"/>
        <item x="76"/>
        <item x="623"/>
        <item x="99"/>
        <item x="468"/>
        <item x="719"/>
        <item x="549"/>
        <item x="553"/>
        <item x="152"/>
        <item x="340"/>
        <item x="325"/>
        <item x="489"/>
        <item x="543"/>
        <item x="320"/>
        <item x="162"/>
        <item x="204"/>
        <item x="770"/>
        <item x="558"/>
        <item x="695"/>
        <item x="369"/>
        <item x="522"/>
        <item x="372"/>
        <item x="546"/>
        <item x="771"/>
        <item x="690"/>
        <item x="51"/>
        <item x="225"/>
        <item x="756"/>
        <item x="766"/>
        <item x="142"/>
        <item x="229"/>
        <item x="691"/>
        <item x="62"/>
        <item x="417"/>
        <item x="619"/>
        <item x="712"/>
        <item x="91"/>
        <item x="258"/>
        <item x="194"/>
        <item x="675"/>
        <item x="519"/>
        <item x="454"/>
        <item x="223"/>
        <item x="739"/>
        <item x="723"/>
        <item x="176"/>
        <item x="601"/>
        <item x="457"/>
        <item x="218"/>
        <item x="581"/>
        <item x="138"/>
        <item x="35"/>
        <item x="470"/>
        <item x="671"/>
        <item x="213"/>
        <item x="741"/>
        <item x="82"/>
        <item x="147"/>
        <item x="305"/>
        <item x="221"/>
        <item x="23"/>
        <item x="179"/>
        <item x="496"/>
        <item x="112"/>
        <item x="424"/>
        <item x="528"/>
        <item x="398"/>
        <item x="587"/>
        <item x="564"/>
        <item x="161"/>
        <item x="503"/>
        <item x="115"/>
        <item x="434"/>
        <item x="778"/>
        <item x="446"/>
        <item x="231"/>
        <item x="394"/>
        <item x="44"/>
        <item x="127"/>
        <item x="541"/>
        <item x="90"/>
        <item x="253"/>
        <item x="701"/>
        <item x="477"/>
        <item x="192"/>
        <item x="377"/>
        <item x="263"/>
        <item x="420"/>
        <item x="154"/>
        <item x="484"/>
        <item x="442"/>
        <item x="640"/>
        <item x="109"/>
        <item x="575"/>
        <item x="316"/>
        <item x="480"/>
        <item x="633"/>
        <item x="222"/>
        <item x="33"/>
        <item x="352"/>
        <item x="374"/>
        <item x="500"/>
        <item x="297"/>
        <item x="277"/>
        <item x="754"/>
        <item x="368"/>
        <item x="306"/>
        <item x="108"/>
        <item x="47"/>
        <item x="77"/>
        <item x="55"/>
        <item x="95"/>
        <item x="117"/>
        <item x="689"/>
        <item x="718"/>
        <item x="36"/>
        <item x="746"/>
        <item x="493"/>
        <item x="295"/>
        <item x="710"/>
        <item x="762"/>
        <item x="796"/>
        <item x="657"/>
        <item x="725"/>
        <item x="752"/>
        <item x="141"/>
        <item x="596"/>
        <item x="464"/>
        <item x="626"/>
        <item x="259"/>
        <item x="158"/>
        <item x="228"/>
        <item x="627"/>
        <item x="137"/>
        <item x="487"/>
        <item x="269"/>
        <item x="632"/>
        <item x="513"/>
        <item x="67"/>
        <item x="715"/>
        <item x="536"/>
        <item x="365"/>
        <item x="271"/>
        <item x="46"/>
        <item x="379"/>
        <item x="678"/>
        <item x="170"/>
        <item x="136"/>
        <item x="777"/>
        <item x="238"/>
        <item x="757"/>
        <item x="667"/>
        <item x="685"/>
        <item x="311"/>
        <item x="255"/>
        <item x="404"/>
        <item t="default"/>
      </items>
    </pivotField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15"/>
  </rowFields>
  <rowItems count="5">
    <i>
      <x v="101"/>
    </i>
    <i>
      <x v="171"/>
    </i>
    <i>
      <x v="174"/>
    </i>
    <i>
      <x v="206"/>
    </i>
    <i>
      <x v="640"/>
    </i>
  </rowItems>
  <colItems count="1">
    <i/>
  </colItems>
  <dataFields count="1">
    <dataField name=" Revenue" fld="10" baseField="0" baseItem="0" numFmtId="166"/>
  </dataFields>
  <formats count="1"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>
  <location ref="AZ3:BE7" firstHeaderRow="0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axis="axisRow" compact="0" numFmtId="1" outline="0" showAll="0" defaultSubtotal="0">
      <items count="4">
        <item x="0"/>
        <item x="1"/>
        <item x="2"/>
        <item x="3"/>
      </items>
    </pivotField>
    <pivotField compact="0" outline="0" showAll="0">
      <items count="4">
        <item x="2"/>
        <item x="0"/>
        <item x="1"/>
        <item t="default"/>
      </items>
    </pivotField>
  </pivotFields>
  <rowFields count="1">
    <field x="20"/>
  </rowFields>
  <rowItems count="4">
    <i>
      <x/>
    </i>
    <i>
      <x v="1"/>
    </i>
    <i>
      <x v="2"/>
    </i>
    <i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COGS" fld="9" baseField="0" baseItem="0" numFmtId="166"/>
    <dataField name=" Revenue" fld="10" baseField="0" baseItem="0" numFmtId="166"/>
    <dataField name=" Profit" fld="11" baseField="0" baseItem="0" numFmtId="166"/>
    <dataField name=" Quantity" fld="6" baseField="0" baseItem="0" numFmtId="3"/>
    <dataField name="Transaction" fld="4" subtotal="count" baseField="21" baseItem="0" numFmtId="3"/>
  </dataFields>
  <formats count="3">
    <format dxfId="1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Сводная таблица6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multipleFieldFilters="0">
  <location ref="H3:H78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>
      <items count="75">
        <item x="52"/>
        <item x="60"/>
        <item x="44"/>
        <item x="61"/>
        <item x="50"/>
        <item x="45"/>
        <item x="11"/>
        <item x="21"/>
        <item x="49"/>
        <item x="57"/>
        <item x="63"/>
        <item x="54"/>
        <item x="66"/>
        <item x="73"/>
        <item x="28"/>
        <item x="15"/>
        <item x="33"/>
        <item x="29"/>
        <item x="19"/>
        <item x="16"/>
        <item x="20"/>
        <item x="72"/>
        <item x="71"/>
        <item x="34"/>
        <item x="67"/>
        <item x="31"/>
        <item x="5"/>
        <item x="69"/>
        <item x="12"/>
        <item x="22"/>
        <item x="4"/>
        <item x="32"/>
        <item x="48"/>
        <item x="46"/>
        <item x="41"/>
        <item x="10"/>
        <item x="43"/>
        <item x="68"/>
        <item x="37"/>
        <item x="38"/>
        <item x="18"/>
        <item x="23"/>
        <item x="56"/>
        <item x="39"/>
        <item x="65"/>
        <item x="35"/>
        <item x="27"/>
        <item x="42"/>
        <item x="62"/>
        <item x="59"/>
        <item x="30"/>
        <item x="1"/>
        <item x="26"/>
        <item x="8"/>
        <item x="24"/>
        <item x="53"/>
        <item x="14"/>
        <item x="7"/>
        <item x="58"/>
        <item x="13"/>
        <item x="9"/>
        <item x="6"/>
        <item x="2"/>
        <item x="51"/>
        <item x="3"/>
        <item x="55"/>
        <item x="70"/>
        <item x="64"/>
        <item x="40"/>
        <item x="17"/>
        <item x="47"/>
        <item x="0"/>
        <item x="36"/>
        <item x="2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 defaultSubtotal="0"/>
    <pivotField compact="0" outline="0" showAll="0"/>
  </pivotFields>
  <rowFields count="1">
    <field x="13"/>
  </rowFields>
  <rowItems count="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Сводная таблица5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E4" firstHeaderRow="0" firstDataRow="1" firstDataCol="0"/>
  <pivotFields count="22"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dataField="1" showAll="0" defaultSubtotal="0"/>
    <pivotField showAll="0"/>
    <pivotField showAll="0"/>
    <pivotField showAll="0"/>
    <pivotField showAll="0"/>
    <pivotField showAll="0"/>
    <pivotField showAll="0">
      <items count="8">
        <item x="4"/>
        <item x="0"/>
        <item x="5"/>
        <item x="6"/>
        <item x="3"/>
        <item x="1"/>
        <item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showAll="0">
      <items count="4">
        <item x="2"/>
        <item x="0"/>
        <item x="1"/>
        <item t="default"/>
      </items>
    </pivotField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Profit" fld="11" baseField="0" baseItem="0" numFmtId="166"/>
    <dataField name=" Revenue" fld="10" baseField="0" baseItem="0" numFmtId="166"/>
    <dataField name=" COGS" fld="9" baseField="0" baseItem="0" numFmtId="166"/>
    <dataField name=" Quantity" fld="6" baseField="0" baseItem="0" numFmtId="3"/>
    <dataField name="Trans" fld="4" subtotal="count" baseField="0" baseItem="4" numFmtId="3"/>
  </dataFields>
  <formats count="3">
    <format dxfId="1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2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Сводная таблица2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 chartFormat="3">
  <location ref="X3:Y6" firstHeaderRow="1" firstDataRow="1" firstDataCol="1"/>
  <pivotFields count="22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/>
    <pivotField axis="axisRow" compact="0" outline="0" showAll="0" measureFilter="1">
      <items count="75">
        <item x="52"/>
        <item x="60"/>
        <item x="44"/>
        <item x="61"/>
        <item x="50"/>
        <item x="45"/>
        <item x="11"/>
        <item x="21"/>
        <item x="49"/>
        <item x="57"/>
        <item x="63"/>
        <item x="54"/>
        <item x="66"/>
        <item x="73"/>
        <item x="28"/>
        <item x="15"/>
        <item x="33"/>
        <item x="29"/>
        <item x="19"/>
        <item x="16"/>
        <item x="20"/>
        <item x="72"/>
        <item x="71"/>
        <item x="34"/>
        <item x="67"/>
        <item x="31"/>
        <item x="5"/>
        <item x="69"/>
        <item x="12"/>
        <item x="22"/>
        <item x="4"/>
        <item x="32"/>
        <item x="48"/>
        <item x="46"/>
        <item x="41"/>
        <item x="10"/>
        <item x="43"/>
        <item x="68"/>
        <item x="37"/>
        <item x="38"/>
        <item x="18"/>
        <item x="23"/>
        <item x="56"/>
        <item x="39"/>
        <item x="65"/>
        <item x="35"/>
        <item x="27"/>
        <item x="42"/>
        <item x="62"/>
        <item x="59"/>
        <item x="30"/>
        <item x="1"/>
        <item x="26"/>
        <item x="8"/>
        <item x="24"/>
        <item x="53"/>
        <item x="14"/>
        <item x="7"/>
        <item x="58"/>
        <item x="13"/>
        <item x="9"/>
        <item x="6"/>
        <item x="2"/>
        <item x="51"/>
        <item x="3"/>
        <item x="55"/>
        <item x="70"/>
        <item x="64"/>
        <item x="40"/>
        <item x="17"/>
        <item x="47"/>
        <item x="0"/>
        <item x="36"/>
        <item x="25"/>
        <item t="default"/>
      </items>
    </pivotField>
    <pivotField compact="0" outline="0" showAll="0"/>
    <pivotField compact="0" outline="0" showAll="0" measureFilter="1"/>
    <pivotField compact="0" outline="0" showAll="0"/>
    <pivotField compact="0" outline="0" showAll="0">
      <items count="8">
        <item h="1" x="4"/>
        <item h="1" x="0"/>
        <item h="1" x="5"/>
        <item h="1" x="6"/>
        <item h="1" x="3"/>
        <item h="1" x="1"/>
        <item x="2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numFmtId="1" outline="0" showAll="0" defaultSubtotal="0"/>
    <pivotField compact="0" outline="0" showAll="0">
      <items count="4">
        <item x="2"/>
        <item x="0"/>
        <item x="1"/>
        <item t="default"/>
      </items>
    </pivotField>
  </pivotFields>
  <rowFields count="1">
    <field x="13"/>
  </rowFields>
  <rowItems count="3">
    <i>
      <x v="46"/>
    </i>
    <i>
      <x v="49"/>
    </i>
    <i>
      <x v="70"/>
    </i>
  </rowItems>
  <colItems count="1">
    <i/>
  </colItems>
  <dataFields count="1">
    <dataField name=" Revenue" fld="10" baseField="0" baseItem="0" numFmtId="166"/>
  </dataFields>
  <formats count="1"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5" type="count" evalOrder="-1" id="1" iMeasureFld="0">
      <autoFilter ref="A1">
        <filterColumn colId="0">
          <top10 val="5" filterVal="5"/>
        </filterColumn>
      </autoFilter>
    </filter>
    <filter fld="13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year" sourceName="year">
  <pivotTables>
    <pivotTable tabId="11" name="Сводная таблица1"/>
    <pivotTable tabId="13" name="Сводная таблица7"/>
    <pivotTable tabId="13" name="Сводная таблица8"/>
    <pivotTable tabId="13" name="Сводная таблица9"/>
    <pivotTable tabId="13" name="Сводная таблица1"/>
    <pivotTable tabId="13" name="Сводная таблица2"/>
    <pivotTable tabId="13" name="Сводная таблица14"/>
    <pivotTable tabId="13" name="Сводная таблица5"/>
    <pivotTable tabId="13" name="Сводная таблица3"/>
  </pivotTables>
  <data>
    <tabular pivotCacheId="1">
      <items count="3">
        <i x="2" s="1"/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onth" sourceName="month">
  <pivotTables>
    <pivotTable tabId="11" name="Сводная таблица1"/>
    <pivotTable tabId="13" name="Сводная таблица8"/>
    <pivotTable tabId="13" name="Сводная таблица9"/>
    <pivotTable tabId="13" name="Сводная таблица1"/>
    <pivotTable tabId="13" name="Сводная таблица2"/>
    <pivotTable tabId="13" name="Сводная таблица14"/>
    <pivotTable tabId="13" name="Сводная таблица5"/>
  </pivotTables>
  <data>
    <tabular pivotCacheId="1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year" cache="Срез_year" caption="year" columnCount="3" showCaption="0" style="SlicerStyleLight1 2" rowHeight="234950"/>
  <slicer name="month" cache="Срез_month" caption="month" columnCount="4" showCaption="0" style="SlicerStyleLight1 2" rowHeight="234950"/>
</slicer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xml"/><Relationship Id="rId3" Type="http://schemas.openxmlformats.org/officeDocument/2006/relationships/pivotTable" Target="../pivotTables/pivotTable5.xml"/><Relationship Id="rId7" Type="http://schemas.openxmlformats.org/officeDocument/2006/relationships/pivotTable" Target="../pivotTables/pivotTable9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7.xml"/><Relationship Id="rId10" Type="http://schemas.openxmlformats.org/officeDocument/2006/relationships/pivotTable" Target="../pivotTables/pivotTable12.xml"/><Relationship Id="rId4" Type="http://schemas.openxmlformats.org/officeDocument/2006/relationships/pivotTable" Target="../pivotTables/pivotTable6.xml"/><Relationship Id="rId9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AD0F8A"/>
    <pageSetUpPr fitToPage="1"/>
  </sheetPr>
  <dimension ref="A1"/>
  <sheetViews>
    <sheetView showGridLines="0" showRowColHeaders="0" tabSelected="1" topLeftCell="A10" zoomScale="98" zoomScaleNormal="98" workbookViewId="0">
      <selection activeCell="B3" sqref="B3"/>
    </sheetView>
  </sheetViews>
  <sheetFormatPr defaultRowHeight="14.4" x14ac:dyDescent="0.3"/>
  <cols>
    <col min="1" max="16384" width="8.88671875" style="1"/>
  </cols>
  <sheetData/>
  <sheetProtection algorithmName="SHA-512" hashValue="E0KN6tTzGhGHSOCEjs+ihT1vgdG2+xM5SjGzb0PHwKXsdNaUPn3SlUavqsNHISqpPVfYRomkxoPXR0j1vV4XlQ==" saltValue="7AEbO++QQzhqDZnAWlOSBg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paperSize="9" scale="70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17</xdr:col>
                    <xdr:colOff>411480</xdr:colOff>
                    <xdr:row>11</xdr:row>
                    <xdr:rowOff>83820</xdr:rowOff>
                  </from>
                  <to>
                    <xdr:col>19</xdr:col>
                    <xdr:colOff>342900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T25"/>
  <sheetViews>
    <sheetView zoomScale="90" zoomScaleNormal="90" workbookViewId="0">
      <selection activeCell="F31" sqref="F31"/>
    </sheetView>
  </sheetViews>
  <sheetFormatPr defaultRowHeight="14.4" x14ac:dyDescent="0.3"/>
  <cols>
    <col min="1" max="1" width="9.33203125" customWidth="1"/>
    <col min="2" max="2" width="9.21875" customWidth="1"/>
    <col min="6" max="6" width="10" bestFit="1" customWidth="1"/>
    <col min="8" max="8" width="10.21875" customWidth="1"/>
    <col min="9" max="9" width="9.33203125" bestFit="1" customWidth="1"/>
    <col min="10" max="10" width="11" bestFit="1" customWidth="1"/>
    <col min="12" max="13" width="10.5546875" bestFit="1" customWidth="1"/>
    <col min="14" max="14" width="9.77734375" bestFit="1" customWidth="1"/>
    <col min="16" max="16" width="11" bestFit="1" customWidth="1"/>
    <col min="18" max="18" width="13.77734375" bestFit="1" customWidth="1"/>
    <col min="20" max="20" width="12.88671875" bestFit="1" customWidth="1"/>
  </cols>
  <sheetData>
    <row r="3" spans="1:20" x14ac:dyDescent="0.3">
      <c r="A3" s="2" t="s">
        <v>4</v>
      </c>
      <c r="H3" s="2" t="s">
        <v>617</v>
      </c>
      <c r="I3" t="s">
        <v>630</v>
      </c>
      <c r="J3" t="s">
        <v>631</v>
      </c>
      <c r="L3" s="7" t="s">
        <v>632</v>
      </c>
      <c r="M3" s="7" t="s">
        <v>633</v>
      </c>
      <c r="N3" s="7" t="s">
        <v>634</v>
      </c>
      <c r="O3" s="7" t="s">
        <v>635</v>
      </c>
      <c r="P3" s="7" t="s">
        <v>1</v>
      </c>
      <c r="R3" s="7" t="s">
        <v>636</v>
      </c>
      <c r="T3" t="str">
        <f>Month</f>
        <v>January</v>
      </c>
    </row>
    <row r="4" spans="1:20" x14ac:dyDescent="0.3">
      <c r="A4">
        <v>1</v>
      </c>
      <c r="C4" s="3" t="s">
        <v>615</v>
      </c>
      <c r="E4">
        <v>1</v>
      </c>
      <c r="F4" t="s">
        <v>603</v>
      </c>
      <c r="H4" t="s">
        <v>618</v>
      </c>
      <c r="I4" s="4"/>
      <c r="J4" s="6">
        <v>2869155</v>
      </c>
      <c r="L4">
        <v>2</v>
      </c>
      <c r="M4">
        <v>1</v>
      </c>
      <c r="N4" t="str">
        <f t="shared" ref="N4:N15" si="0">F4</f>
        <v>January</v>
      </c>
      <c r="O4" s="5">
        <f>I4</f>
        <v>0</v>
      </c>
      <c r="P4" s="6">
        <f>J4</f>
        <v>2869155</v>
      </c>
      <c r="R4" t="s">
        <v>640</v>
      </c>
      <c r="T4" s="5">
        <f>IFERROR(VLOOKUP(Sellected_month,M4:P15,3,0), "No value")</f>
        <v>0</v>
      </c>
    </row>
    <row r="5" spans="1:20" x14ac:dyDescent="0.3">
      <c r="A5">
        <v>2</v>
      </c>
      <c r="C5" t="str">
        <f>IFERROR(VLOOKUP($A4,$E$4:$F$15,2,0), "Unavailable")</f>
        <v>January</v>
      </c>
      <c r="E5">
        <v>2</v>
      </c>
      <c r="F5" t="s">
        <v>605</v>
      </c>
      <c r="H5" t="s">
        <v>619</v>
      </c>
      <c r="I5" s="4">
        <v>3.7254871207724922E-3</v>
      </c>
      <c r="J5" s="6">
        <v>2879844</v>
      </c>
      <c r="L5">
        <v>3</v>
      </c>
      <c r="M5">
        <v>2</v>
      </c>
      <c r="N5" t="str">
        <f t="shared" si="0"/>
        <v>Febuary</v>
      </c>
      <c r="O5" s="5">
        <f t="shared" ref="O5:O14" si="1">I5</f>
        <v>3.7254871207724922E-3</v>
      </c>
      <c r="P5" s="6">
        <f t="shared" ref="P5:P15" si="2">J5</f>
        <v>2879844</v>
      </c>
      <c r="R5" t="s">
        <v>1</v>
      </c>
      <c r="T5" s="6">
        <f>IFERROR(VLOOKUP(Sellected_month,M4:P15,4,0), "No value")</f>
        <v>2869155</v>
      </c>
    </row>
    <row r="6" spans="1:20" x14ac:dyDescent="0.3">
      <c r="A6">
        <v>3</v>
      </c>
      <c r="E6">
        <v>3</v>
      </c>
      <c r="F6" t="s">
        <v>604</v>
      </c>
      <c r="H6" t="s">
        <v>620</v>
      </c>
      <c r="I6" s="4">
        <v>-0.15350094365762743</v>
      </c>
      <c r="J6" s="6">
        <v>2428737</v>
      </c>
      <c r="L6">
        <v>4</v>
      </c>
      <c r="M6">
        <v>3</v>
      </c>
      <c r="N6" t="str">
        <f t="shared" si="0"/>
        <v>March</v>
      </c>
      <c r="O6" s="5">
        <f t="shared" si="1"/>
        <v>-0.15350094365762743</v>
      </c>
      <c r="P6" s="6">
        <f t="shared" si="2"/>
        <v>2428737</v>
      </c>
    </row>
    <row r="7" spans="1:20" x14ac:dyDescent="0.3">
      <c r="A7">
        <v>4</v>
      </c>
      <c r="C7" s="3" t="s">
        <v>616</v>
      </c>
      <c r="E7">
        <v>4</v>
      </c>
      <c r="F7" t="s">
        <v>606</v>
      </c>
      <c r="H7" t="s">
        <v>621</v>
      </c>
      <c r="I7" s="4">
        <v>-0.32416756850013334</v>
      </c>
      <c r="J7" s="6">
        <v>1939068</v>
      </c>
      <c r="L7">
        <v>5</v>
      </c>
      <c r="M7">
        <v>4</v>
      </c>
      <c r="N7" t="str">
        <f t="shared" si="0"/>
        <v>April</v>
      </c>
      <c r="O7" s="5">
        <f t="shared" si="1"/>
        <v>-0.32416756850013334</v>
      </c>
      <c r="P7" s="6">
        <f t="shared" si="2"/>
        <v>1939068</v>
      </c>
      <c r="R7" s="7" t="s">
        <v>637</v>
      </c>
      <c r="T7" t="str">
        <f>IFERROR(VLOOKUP(A4,L3:P15,3,0), "No value")</f>
        <v>No value</v>
      </c>
    </row>
    <row r="8" spans="1:20" x14ac:dyDescent="0.3">
      <c r="A8">
        <v>5</v>
      </c>
      <c r="C8" t="str">
        <f>IF(COUNTA(A4:A15)&gt;1, "Select month",C5)</f>
        <v>Select month</v>
      </c>
      <c r="E8">
        <v>5</v>
      </c>
      <c r="F8" t="s">
        <v>614</v>
      </c>
      <c r="H8" t="s">
        <v>622</v>
      </c>
      <c r="I8" s="4">
        <v>-0.34571886147663683</v>
      </c>
      <c r="J8" s="6">
        <v>1877234</v>
      </c>
      <c r="L8">
        <v>6</v>
      </c>
      <c r="M8">
        <v>5</v>
      </c>
      <c r="N8" t="str">
        <f t="shared" si="0"/>
        <v>Mау</v>
      </c>
      <c r="O8" s="5">
        <f t="shared" si="1"/>
        <v>-0.34571886147663683</v>
      </c>
      <c r="P8" s="6">
        <f t="shared" si="2"/>
        <v>1877234</v>
      </c>
      <c r="R8" t="s">
        <v>1</v>
      </c>
      <c r="T8" s="6" t="str">
        <f>IFERROR(VLOOKUP(T7,N4:P15,3,0), "No value")</f>
        <v>No value</v>
      </c>
    </row>
    <row r="9" spans="1:20" x14ac:dyDescent="0.3">
      <c r="A9">
        <v>6</v>
      </c>
      <c r="E9">
        <v>6</v>
      </c>
      <c r="F9" t="s">
        <v>607</v>
      </c>
      <c r="H9" t="s">
        <v>623</v>
      </c>
      <c r="I9" s="4">
        <v>-0.27957708802765974</v>
      </c>
      <c r="J9" s="6">
        <v>2067005</v>
      </c>
      <c r="L9">
        <v>7</v>
      </c>
      <c r="M9">
        <v>6</v>
      </c>
      <c r="N9" t="str">
        <f t="shared" si="0"/>
        <v>June</v>
      </c>
      <c r="O9" s="5">
        <f t="shared" si="1"/>
        <v>-0.27957708802765974</v>
      </c>
      <c r="P9" s="6">
        <f t="shared" si="2"/>
        <v>2067005</v>
      </c>
    </row>
    <row r="10" spans="1:20" x14ac:dyDescent="0.3">
      <c r="A10">
        <v>7</v>
      </c>
      <c r="E10">
        <v>7</v>
      </c>
      <c r="F10" t="s">
        <v>608</v>
      </c>
      <c r="H10" t="s">
        <v>624</v>
      </c>
      <c r="I10" s="4">
        <v>-0.3616207559368525</v>
      </c>
      <c r="J10" s="6">
        <v>1831609</v>
      </c>
      <c r="L10">
        <v>8</v>
      </c>
      <c r="M10">
        <v>7</v>
      </c>
      <c r="N10" t="str">
        <f t="shared" si="0"/>
        <v>July</v>
      </c>
      <c r="O10" s="5">
        <f t="shared" si="1"/>
        <v>-0.3616207559368525</v>
      </c>
      <c r="P10" s="6">
        <f t="shared" si="2"/>
        <v>1831609</v>
      </c>
      <c r="R10" s="7" t="s">
        <v>638</v>
      </c>
      <c r="T10" s="6" t="str">
        <f>IFERROR(T5-T8, "No value")</f>
        <v>No value</v>
      </c>
    </row>
    <row r="11" spans="1:20" x14ac:dyDescent="0.3">
      <c r="A11">
        <v>8</v>
      </c>
      <c r="E11">
        <v>8</v>
      </c>
      <c r="F11" t="s">
        <v>609</v>
      </c>
      <c r="H11" t="s">
        <v>625</v>
      </c>
      <c r="I11" s="4">
        <v>-0.36902746627491367</v>
      </c>
      <c r="J11" s="6">
        <v>1810358</v>
      </c>
      <c r="L11">
        <v>9</v>
      </c>
      <c r="M11">
        <v>8</v>
      </c>
      <c r="N11" t="str">
        <f t="shared" si="0"/>
        <v>August</v>
      </c>
      <c r="O11" s="5">
        <f t="shared" si="1"/>
        <v>-0.36902746627491367</v>
      </c>
      <c r="P11" s="6">
        <f t="shared" si="2"/>
        <v>1810358</v>
      </c>
    </row>
    <row r="12" spans="1:20" x14ac:dyDescent="0.3">
      <c r="A12">
        <v>9</v>
      </c>
      <c r="E12">
        <v>9</v>
      </c>
      <c r="F12" t="s">
        <v>610</v>
      </c>
      <c r="H12" t="s">
        <v>626</v>
      </c>
      <c r="I12" s="4">
        <v>-0.31920826863658464</v>
      </c>
      <c r="J12" s="6">
        <v>1953297</v>
      </c>
      <c r="L12">
        <v>10</v>
      </c>
      <c r="M12">
        <v>9</v>
      </c>
      <c r="N12" t="str">
        <f t="shared" si="0"/>
        <v>September</v>
      </c>
      <c r="O12" s="5">
        <f t="shared" si="1"/>
        <v>-0.31920826863658464</v>
      </c>
      <c r="P12" s="6">
        <f t="shared" si="2"/>
        <v>1953297</v>
      </c>
      <c r="R12" s="8" t="s">
        <v>639</v>
      </c>
    </row>
    <row r="13" spans="1:20" x14ac:dyDescent="0.3">
      <c r="A13">
        <v>10</v>
      </c>
      <c r="E13">
        <v>10</v>
      </c>
      <c r="F13" t="s">
        <v>611</v>
      </c>
      <c r="H13" t="s">
        <v>627</v>
      </c>
      <c r="I13" s="4">
        <v>-0.33823617057983973</v>
      </c>
      <c r="J13" s="6">
        <v>1898703</v>
      </c>
      <c r="L13">
        <v>11</v>
      </c>
      <c r="M13">
        <v>10</v>
      </c>
      <c r="N13" t="str">
        <f t="shared" si="0"/>
        <v>October</v>
      </c>
      <c r="O13" s="5">
        <f t="shared" si="1"/>
        <v>-0.33823617057983973</v>
      </c>
      <c r="P13" s="6">
        <f t="shared" si="2"/>
        <v>1898703</v>
      </c>
    </row>
    <row r="14" spans="1:20" x14ac:dyDescent="0.3">
      <c r="A14">
        <v>11</v>
      </c>
      <c r="E14">
        <v>11</v>
      </c>
      <c r="F14" t="s">
        <v>612</v>
      </c>
      <c r="H14" t="s">
        <v>628</v>
      </c>
      <c r="I14" s="4">
        <v>-0.28402717873380839</v>
      </c>
      <c r="J14" s="6">
        <v>2054237</v>
      </c>
      <c r="L14">
        <v>12</v>
      </c>
      <c r="M14">
        <v>11</v>
      </c>
      <c r="N14" t="str">
        <f t="shared" si="0"/>
        <v>November</v>
      </c>
      <c r="O14" s="5">
        <f t="shared" si="1"/>
        <v>-0.28402717873380839</v>
      </c>
      <c r="P14" s="6">
        <f t="shared" si="2"/>
        <v>2054237</v>
      </c>
      <c r="R14" t="str">
        <f>IF(T7="No value", "Comparing "&amp;T3&amp;" to "&amp;T3, " Comparing "&amp;T3&amp; " to "&amp;T7)</f>
        <v>Comparing January to January</v>
      </c>
    </row>
    <row r="15" spans="1:20" x14ac:dyDescent="0.3">
      <c r="A15">
        <v>12</v>
      </c>
      <c r="E15">
        <v>12</v>
      </c>
      <c r="F15" t="s">
        <v>613</v>
      </c>
      <c r="H15" t="s">
        <v>629</v>
      </c>
      <c r="I15" s="4">
        <v>-0.2848200951151123</v>
      </c>
      <c r="J15" s="6">
        <v>2051962</v>
      </c>
      <c r="M15">
        <v>12</v>
      </c>
      <c r="N15" t="str">
        <f t="shared" si="0"/>
        <v>December</v>
      </c>
      <c r="O15" s="5">
        <f>I15</f>
        <v>-0.2848200951151123</v>
      </c>
      <c r="P15" s="6">
        <f t="shared" si="2"/>
        <v>2051962</v>
      </c>
    </row>
    <row r="16" spans="1:20" x14ac:dyDescent="0.3">
      <c r="R16" t="str">
        <f>IF(T4&gt;=0%, "Revenue went up in "&amp;T3&amp; " compared to "&amp;T7&amp; " sales ", "Revenue went down in "&amp;T3&amp; " compared to "&amp;T7&amp; " sales ")</f>
        <v xml:space="preserve">Revenue went up in January compared to No value sales </v>
      </c>
    </row>
    <row r="18" spans="18:18" x14ac:dyDescent="0.3">
      <c r="R18" t="str">
        <f>IF(T7="No value", "JANUARY revenue is 100%, select next MONTH to compare", R16)</f>
        <v>JANUARY revenue is 100%, select next MONTH to compare</v>
      </c>
    </row>
    <row r="21" spans="18:18" x14ac:dyDescent="0.3">
      <c r="R21" t="s">
        <v>653</v>
      </c>
    </row>
    <row r="22" spans="18:18" x14ac:dyDescent="0.3">
      <c r="R22" s="6">
        <f>IF(T7="No value", 0, T8)</f>
        <v>0</v>
      </c>
    </row>
    <row r="25" spans="18:18" x14ac:dyDescent="0.3">
      <c r="R25" s="6">
        <f>IF(T7="No value", 0, T10)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E811"/>
  <sheetViews>
    <sheetView topLeftCell="AO1" workbookViewId="0">
      <selection activeCell="AR28" sqref="AR28"/>
    </sheetView>
  </sheetViews>
  <sheetFormatPr defaultRowHeight="14.4" x14ac:dyDescent="0.3"/>
  <cols>
    <col min="1" max="1" width="9.88671875" customWidth="1"/>
    <col min="2" max="3" width="10.88671875" customWidth="1"/>
    <col min="4" max="4" width="8.77734375" customWidth="1"/>
    <col min="5" max="5" width="6.44140625" customWidth="1"/>
    <col min="8" max="8" width="24" bestFit="1" customWidth="1"/>
    <col min="9" max="10" width="10.88671875" bestFit="1" customWidth="1"/>
    <col min="11" max="11" width="9.6640625" customWidth="1"/>
    <col min="12" max="12" width="9.88671875" customWidth="1"/>
    <col min="13" max="13" width="9.77734375" customWidth="1"/>
    <col min="14" max="14" width="9.77734375" bestFit="1" customWidth="1"/>
    <col min="16" max="16" width="16.88671875" customWidth="1"/>
    <col min="17" max="17" width="8.77734375" bestFit="1" customWidth="1"/>
    <col min="20" max="20" width="19.33203125" customWidth="1"/>
    <col min="21" max="21" width="8.77734375" bestFit="1" customWidth="1"/>
    <col min="24" max="24" width="9.109375" customWidth="1"/>
    <col min="25" max="25" width="8.77734375" bestFit="1" customWidth="1"/>
    <col min="28" max="28" width="24" customWidth="1"/>
    <col min="29" max="30" width="8.77734375" customWidth="1"/>
    <col min="34" max="34" width="15.33203125" customWidth="1"/>
    <col min="35" max="35" width="20.21875" customWidth="1"/>
    <col min="37" max="37" width="17.5546875" customWidth="1"/>
    <col min="42" max="42" width="6.88671875" customWidth="1"/>
    <col min="43" max="43" width="9.88671875" bestFit="1" customWidth="1"/>
    <col min="44" max="44" width="10.88671875" bestFit="1" customWidth="1"/>
    <col min="45" max="45" width="8" customWidth="1"/>
    <col min="46" max="46" width="8.77734375" customWidth="1"/>
    <col min="47" max="47" width="10.77734375" customWidth="1"/>
    <col min="52" max="52" width="9.6640625" customWidth="1"/>
    <col min="53" max="55" width="9.88671875" customWidth="1"/>
    <col min="56" max="56" width="8.77734375" customWidth="1"/>
    <col min="57" max="57" width="10.77734375" customWidth="1"/>
  </cols>
  <sheetData>
    <row r="1" spans="1:57" x14ac:dyDescent="0.3">
      <c r="P1" s="10">
        <f>P2/T2</f>
        <v>1.3033797433316568E-2</v>
      </c>
      <c r="X1" s="10">
        <f>X2/AB2</f>
        <v>5.1673714983576965E-2</v>
      </c>
    </row>
    <row r="2" spans="1:57" x14ac:dyDescent="0.3">
      <c r="P2" s="6">
        <f>SUM(Q4:Q8)</f>
        <v>334463</v>
      </c>
      <c r="T2" s="6">
        <f>SUM(U:U)</f>
        <v>25661209</v>
      </c>
      <c r="X2" s="6">
        <f>SUM(Y4:Y8)</f>
        <v>1326010</v>
      </c>
      <c r="AB2" s="6">
        <f>SUM(AC:AC)</f>
        <v>25661209</v>
      </c>
    </row>
    <row r="3" spans="1:57" x14ac:dyDescent="0.3">
      <c r="A3" t="s">
        <v>649</v>
      </c>
      <c r="B3" t="s">
        <v>630</v>
      </c>
      <c r="C3" t="s">
        <v>641</v>
      </c>
      <c r="D3" t="s">
        <v>642</v>
      </c>
      <c r="E3" t="s">
        <v>643</v>
      </c>
      <c r="F3" t="s">
        <v>644</v>
      </c>
      <c r="H3" s="2" t="s">
        <v>2</v>
      </c>
      <c r="K3" s="2" t="s">
        <v>650</v>
      </c>
      <c r="L3" t="s">
        <v>630</v>
      </c>
      <c r="M3" t="s">
        <v>631</v>
      </c>
      <c r="P3" s="2" t="s">
        <v>3</v>
      </c>
      <c r="Q3" t="s">
        <v>630</v>
      </c>
      <c r="T3" s="2" t="s">
        <v>3</v>
      </c>
      <c r="U3" t="s">
        <v>630</v>
      </c>
      <c r="X3" s="2" t="s">
        <v>2</v>
      </c>
      <c r="Y3" t="s">
        <v>630</v>
      </c>
      <c r="AB3" s="2" t="s">
        <v>2</v>
      </c>
      <c r="AC3" t="s">
        <v>630</v>
      </c>
      <c r="AH3" s="2" t="s">
        <v>0</v>
      </c>
      <c r="AI3" t="s">
        <v>648</v>
      </c>
      <c r="AK3" t="s">
        <v>645</v>
      </c>
      <c r="AL3" t="s">
        <v>646</v>
      </c>
      <c r="AP3" s="2" t="s">
        <v>5</v>
      </c>
      <c r="AQ3" t="s">
        <v>641</v>
      </c>
      <c r="AR3" t="s">
        <v>630</v>
      </c>
      <c r="AS3" t="s">
        <v>649</v>
      </c>
      <c r="AT3" t="s">
        <v>642</v>
      </c>
      <c r="AU3" t="s">
        <v>647</v>
      </c>
      <c r="AZ3" s="2" t="s">
        <v>650</v>
      </c>
      <c r="BA3" t="s">
        <v>641</v>
      </c>
      <c r="BB3" t="s">
        <v>630</v>
      </c>
      <c r="BC3" t="s">
        <v>649</v>
      </c>
      <c r="BD3" t="s">
        <v>642</v>
      </c>
      <c r="BE3" t="s">
        <v>647</v>
      </c>
    </row>
    <row r="4" spans="1:57" x14ac:dyDescent="0.3">
      <c r="A4" s="6">
        <v>8343893</v>
      </c>
      <c r="B4" s="6">
        <v>25661209</v>
      </c>
      <c r="C4" s="6">
        <v>17317316</v>
      </c>
      <c r="D4" s="9">
        <v>21078</v>
      </c>
      <c r="E4" s="9">
        <v>10889</v>
      </c>
      <c r="F4">
        <f>COUNTA(H:H)-1</f>
        <v>75</v>
      </c>
      <c r="H4" t="s">
        <v>6</v>
      </c>
      <c r="K4" s="12">
        <v>1</v>
      </c>
      <c r="L4" s="6">
        <v>8177736</v>
      </c>
      <c r="M4" s="5">
        <v>0.31868085404705598</v>
      </c>
      <c r="P4" t="s">
        <v>543</v>
      </c>
      <c r="Q4" s="6">
        <v>66242</v>
      </c>
      <c r="T4" t="s">
        <v>656</v>
      </c>
      <c r="U4" s="6">
        <v>26846</v>
      </c>
      <c r="X4" t="s">
        <v>52</v>
      </c>
      <c r="Y4" s="6">
        <v>465604</v>
      </c>
      <c r="AB4" t="s">
        <v>6</v>
      </c>
      <c r="AC4" s="6">
        <v>291286</v>
      </c>
      <c r="AH4" s="13">
        <v>43466</v>
      </c>
      <c r="AI4" s="6">
        <v>8104</v>
      </c>
      <c r="AP4">
        <v>2019</v>
      </c>
      <c r="AQ4" s="6">
        <v>7885283</v>
      </c>
      <c r="AR4" s="6">
        <v>11690763</v>
      </c>
      <c r="AS4" s="11">
        <v>3805480</v>
      </c>
      <c r="AT4" s="9">
        <v>9650</v>
      </c>
      <c r="AU4" s="9">
        <v>4980</v>
      </c>
      <c r="AZ4" s="12">
        <v>1</v>
      </c>
      <c r="BA4" s="6">
        <v>5522734</v>
      </c>
      <c r="BB4" s="6">
        <v>8177736</v>
      </c>
      <c r="BC4" s="6">
        <v>2655002</v>
      </c>
      <c r="BD4" s="9">
        <v>6728</v>
      </c>
      <c r="BE4" s="9">
        <v>3465</v>
      </c>
    </row>
    <row r="5" spans="1:57" x14ac:dyDescent="0.3">
      <c r="H5" t="s">
        <v>7</v>
      </c>
      <c r="K5" s="12">
        <v>2</v>
      </c>
      <c r="L5" s="6">
        <v>5883307</v>
      </c>
      <c r="M5" s="5">
        <v>0.22926850406775456</v>
      </c>
      <c r="P5" t="s">
        <v>273</v>
      </c>
      <c r="Q5" s="6">
        <v>65506</v>
      </c>
      <c r="T5" t="s">
        <v>317</v>
      </c>
      <c r="U5" s="6">
        <v>32099</v>
      </c>
      <c r="X5" t="s">
        <v>55</v>
      </c>
      <c r="Y5" s="6">
        <v>436995</v>
      </c>
      <c r="AB5" t="s">
        <v>7</v>
      </c>
      <c r="AC5" s="6">
        <v>277347</v>
      </c>
      <c r="AH5" s="13">
        <v>43467</v>
      </c>
      <c r="AI5" s="11">
        <v>10677</v>
      </c>
      <c r="AK5" s="6">
        <f>LARGE(AI4:AI808,1)</f>
        <v>28954</v>
      </c>
      <c r="AL5" s="13">
        <f>INDEX(AH4:AH808,MATCH(AK5,AI4:AI808,0))</f>
        <v>43941</v>
      </c>
      <c r="AP5">
        <v>2020</v>
      </c>
      <c r="AQ5" s="6">
        <v>7808940</v>
      </c>
      <c r="AR5" s="6">
        <v>11565545</v>
      </c>
      <c r="AS5" s="11">
        <v>3756605</v>
      </c>
      <c r="AT5" s="9">
        <v>9528</v>
      </c>
      <c r="AU5" s="9">
        <v>4909</v>
      </c>
      <c r="AZ5" s="12">
        <v>2</v>
      </c>
      <c r="BA5" s="6">
        <v>3948985</v>
      </c>
      <c r="BB5" s="6">
        <v>5883307</v>
      </c>
      <c r="BC5" s="6">
        <v>1934322</v>
      </c>
      <c r="BD5" s="9">
        <v>4760</v>
      </c>
      <c r="BE5" s="9">
        <v>2477</v>
      </c>
    </row>
    <row r="6" spans="1:57" x14ac:dyDescent="0.3">
      <c r="H6" t="s">
        <v>8</v>
      </c>
      <c r="K6" s="12">
        <v>3</v>
      </c>
      <c r="L6" s="6">
        <v>5595264</v>
      </c>
      <c r="M6" s="5">
        <v>0.21804366271285192</v>
      </c>
      <c r="P6" t="s">
        <v>318</v>
      </c>
      <c r="Q6" s="6">
        <v>69689</v>
      </c>
      <c r="T6" t="s">
        <v>119</v>
      </c>
      <c r="U6" s="6">
        <v>22123</v>
      </c>
      <c r="X6" t="s">
        <v>76</v>
      </c>
      <c r="Y6" s="6">
        <v>423411</v>
      </c>
      <c r="AB6" t="s">
        <v>8</v>
      </c>
      <c r="AC6" s="6">
        <v>378992</v>
      </c>
      <c r="AH6" s="13">
        <v>43468</v>
      </c>
      <c r="AI6" s="11">
        <v>11684</v>
      </c>
      <c r="AP6">
        <v>2021</v>
      </c>
      <c r="AQ6" s="6">
        <v>1623093</v>
      </c>
      <c r="AR6" s="6">
        <v>2404901</v>
      </c>
      <c r="AS6" s="11">
        <v>781808</v>
      </c>
      <c r="AT6" s="9">
        <v>1900</v>
      </c>
      <c r="AU6" s="9">
        <v>1000</v>
      </c>
      <c r="AZ6" s="12">
        <v>3</v>
      </c>
      <c r="BA6" s="6">
        <v>3792241</v>
      </c>
      <c r="BB6" s="6">
        <v>5595264</v>
      </c>
      <c r="BC6" s="6">
        <v>1803023</v>
      </c>
      <c r="BD6" s="9">
        <v>4650</v>
      </c>
      <c r="BE6" s="9">
        <v>2447</v>
      </c>
    </row>
    <row r="7" spans="1:57" x14ac:dyDescent="0.3">
      <c r="H7" t="s">
        <v>9</v>
      </c>
      <c r="K7" s="12">
        <v>4</v>
      </c>
      <c r="L7" s="6">
        <v>6004902</v>
      </c>
      <c r="M7" s="5">
        <v>0.23400697917233751</v>
      </c>
      <c r="P7" t="s">
        <v>557</v>
      </c>
      <c r="Q7" s="6">
        <v>65202</v>
      </c>
      <c r="T7" t="s">
        <v>184</v>
      </c>
      <c r="U7" s="6">
        <v>18038</v>
      </c>
      <c r="AB7" t="s">
        <v>9</v>
      </c>
      <c r="AC7" s="6">
        <v>303987</v>
      </c>
      <c r="AH7" s="13">
        <v>43469</v>
      </c>
      <c r="AI7" s="11">
        <v>7087</v>
      </c>
      <c r="AK7" t="str">
        <f>"Profit "&amp;TEXT(AK5,"$0 00")</f>
        <v>Profit $28 954</v>
      </c>
      <c r="AP7" t="s">
        <v>652</v>
      </c>
      <c r="AZ7" s="12">
        <v>4</v>
      </c>
      <c r="BA7" s="6">
        <v>4053356</v>
      </c>
      <c r="BB7" s="6">
        <v>6004902</v>
      </c>
      <c r="BC7" s="6">
        <v>1951546</v>
      </c>
      <c r="BD7" s="9">
        <v>4940</v>
      </c>
      <c r="BE7" s="9">
        <v>2500</v>
      </c>
    </row>
    <row r="8" spans="1:57" x14ac:dyDescent="0.3">
      <c r="H8" t="s">
        <v>10</v>
      </c>
      <c r="P8" t="s">
        <v>237</v>
      </c>
      <c r="Q8" s="6">
        <v>67824</v>
      </c>
      <c r="T8" t="s">
        <v>562</v>
      </c>
      <c r="U8" s="6">
        <v>28716</v>
      </c>
      <c r="AB8" t="s">
        <v>10</v>
      </c>
      <c r="AC8" s="6">
        <v>377701</v>
      </c>
      <c r="AH8" s="13">
        <v>43470</v>
      </c>
      <c r="AI8" s="11">
        <v>9230</v>
      </c>
    </row>
    <row r="9" spans="1:57" x14ac:dyDescent="0.3">
      <c r="C9" t="s">
        <v>647</v>
      </c>
      <c r="H9" t="s">
        <v>11</v>
      </c>
      <c r="T9" t="s">
        <v>504</v>
      </c>
      <c r="U9" s="6">
        <v>17891</v>
      </c>
      <c r="AB9" t="s">
        <v>11</v>
      </c>
      <c r="AC9" s="6">
        <v>341514</v>
      </c>
      <c r="AH9" s="13">
        <v>43471</v>
      </c>
      <c r="AI9" s="11">
        <v>7945</v>
      </c>
    </row>
    <row r="10" spans="1:57" x14ac:dyDescent="0.3">
      <c r="C10" t="s">
        <v>651</v>
      </c>
      <c r="H10" t="s">
        <v>12</v>
      </c>
      <c r="T10" t="s">
        <v>240</v>
      </c>
      <c r="U10" s="6">
        <v>27996</v>
      </c>
      <c r="X10" t="str">
        <f>X3</f>
        <v>City</v>
      </c>
      <c r="Y10" t="str">
        <f>Y3</f>
        <v xml:space="preserve"> Revenue</v>
      </c>
      <c r="AB10" t="s">
        <v>12</v>
      </c>
      <c r="AC10" s="6">
        <v>351971</v>
      </c>
      <c r="AH10" s="13">
        <v>43472</v>
      </c>
      <c r="AI10" s="11">
        <v>4286</v>
      </c>
    </row>
    <row r="11" spans="1:57" x14ac:dyDescent="0.3">
      <c r="H11" t="s">
        <v>13</v>
      </c>
      <c r="T11" t="s">
        <v>335</v>
      </c>
      <c r="U11" s="6">
        <v>38158</v>
      </c>
      <c r="X11" t="str">
        <f t="shared" ref="X11:Y11" si="0">X4</f>
        <v>Rialto</v>
      </c>
      <c r="Y11" s="6">
        <f t="shared" si="0"/>
        <v>465604</v>
      </c>
      <c r="AB11" t="s">
        <v>13</v>
      </c>
      <c r="AC11" s="6">
        <v>323801</v>
      </c>
      <c r="AH11" s="13">
        <v>43473</v>
      </c>
      <c r="AI11" s="11">
        <v>4579</v>
      </c>
      <c r="AR11" s="14">
        <v>1</v>
      </c>
      <c r="BB11" s="14">
        <f>AR11</f>
        <v>1</v>
      </c>
    </row>
    <row r="12" spans="1:57" x14ac:dyDescent="0.3">
      <c r="H12" t="s">
        <v>14</v>
      </c>
      <c r="T12" t="s">
        <v>519</v>
      </c>
      <c r="U12" s="6">
        <v>32187</v>
      </c>
      <c r="X12" t="str">
        <f t="shared" ref="X12:Y12" si="1">X5</f>
        <v>Roseville</v>
      </c>
      <c r="Y12" s="6">
        <f t="shared" si="1"/>
        <v>436995</v>
      </c>
      <c r="AB12" t="s">
        <v>14</v>
      </c>
      <c r="AC12" s="6">
        <v>395430</v>
      </c>
      <c r="AH12" s="13">
        <v>43474</v>
      </c>
      <c r="AI12" s="11">
        <v>9204</v>
      </c>
      <c r="AR12" t="str">
        <f t="array" ref="AR12:AR16">TRANSPOSE(AQ3:AU3)</f>
        <v xml:space="preserve"> COGS</v>
      </c>
      <c r="AT12" t="str">
        <f>AP3</f>
        <v>year</v>
      </c>
      <c r="AU12" t="str">
        <f>INDEX(AR12:AR16,AR11)</f>
        <v xml:space="preserve"> COGS</v>
      </c>
      <c r="BB12" t="str">
        <f t="array" ref="BB12:BB16">TRANSPOSE(BA3:BE3)</f>
        <v xml:space="preserve"> COGS</v>
      </c>
      <c r="BC12" t="str">
        <f>AZ3</f>
        <v>Quarter</v>
      </c>
      <c r="BD12" t="str">
        <f>INDEX(BB12:BB16,BB11)</f>
        <v xml:space="preserve"> COGS</v>
      </c>
      <c r="BE12" t="s">
        <v>635</v>
      </c>
    </row>
    <row r="13" spans="1:57" x14ac:dyDescent="0.3">
      <c r="H13" t="s">
        <v>15</v>
      </c>
      <c r="T13" t="s">
        <v>459</v>
      </c>
      <c r="U13" s="6">
        <v>48930</v>
      </c>
      <c r="X13" t="str">
        <f t="shared" ref="X13:Y13" si="2">X6</f>
        <v>Victorville</v>
      </c>
      <c r="Y13" s="6">
        <f t="shared" si="2"/>
        <v>423411</v>
      </c>
      <c r="AB13" t="s">
        <v>15</v>
      </c>
      <c r="AC13" s="6">
        <v>356545</v>
      </c>
      <c r="AH13" s="13">
        <v>43475</v>
      </c>
      <c r="AI13" s="11">
        <v>7384</v>
      </c>
      <c r="AR13" t="str">
        <v xml:space="preserve"> Revenue</v>
      </c>
      <c r="AT13">
        <f>AP4</f>
        <v>2019</v>
      </c>
      <c r="AU13" s="15">
        <f ca="1">OFFSET(AP4,0,$AR$11)</f>
        <v>7885283</v>
      </c>
      <c r="BB13" t="str">
        <v xml:space="preserve"> Revenue</v>
      </c>
      <c r="BC13">
        <f>AZ4</f>
        <v>1</v>
      </c>
      <c r="BD13" s="6">
        <f ca="1">OFFSET(AZ4,0,$BB$11)</f>
        <v>5522734</v>
      </c>
      <c r="BE13" s="10">
        <f ca="1">BD13/$BD$17</f>
        <v>0.31891397027114365</v>
      </c>
    </row>
    <row r="14" spans="1:57" x14ac:dyDescent="0.3">
      <c r="H14" t="s">
        <v>16</v>
      </c>
      <c r="T14" t="s">
        <v>279</v>
      </c>
      <c r="U14" s="6">
        <v>34143</v>
      </c>
      <c r="AB14" t="s">
        <v>16</v>
      </c>
      <c r="AC14" s="6">
        <v>277626</v>
      </c>
      <c r="AH14" s="13">
        <v>43476</v>
      </c>
      <c r="AI14" s="11">
        <v>19377</v>
      </c>
      <c r="AR14" t="str">
        <v xml:space="preserve"> Profit</v>
      </c>
      <c r="AT14">
        <f>AP5</f>
        <v>2020</v>
      </c>
      <c r="AU14" s="15">
        <f ca="1">OFFSET(AP5,0,$AR$11)</f>
        <v>7808940</v>
      </c>
      <c r="BB14" t="str">
        <v xml:space="preserve"> Profit</v>
      </c>
      <c r="BC14">
        <f>AZ5</f>
        <v>2</v>
      </c>
      <c r="BD14" s="6">
        <f ca="1">OFFSET(AZ5,0,$BB$11)</f>
        <v>3948985</v>
      </c>
      <c r="BE14" s="10">
        <f ca="1">BD14/$BD$17</f>
        <v>0.22803678121944532</v>
      </c>
    </row>
    <row r="15" spans="1:57" x14ac:dyDescent="0.3">
      <c r="H15" t="s">
        <v>17</v>
      </c>
      <c r="T15" t="s">
        <v>96</v>
      </c>
      <c r="U15" s="6">
        <v>18793</v>
      </c>
      <c r="AB15" t="s">
        <v>17</v>
      </c>
      <c r="AC15" s="6">
        <v>326519</v>
      </c>
      <c r="AH15" s="13">
        <v>43477</v>
      </c>
      <c r="AI15" s="11">
        <v>17277</v>
      </c>
      <c r="AR15" t="str">
        <v xml:space="preserve"> Quantity</v>
      </c>
      <c r="AT15">
        <f>AP6</f>
        <v>2021</v>
      </c>
      <c r="AU15" s="15">
        <f ca="1">OFFSET(AP6,0,$AR$11)</f>
        <v>1623093</v>
      </c>
      <c r="BB15" t="str">
        <v xml:space="preserve"> Quantity</v>
      </c>
      <c r="BC15">
        <f>AZ6</f>
        <v>3</v>
      </c>
      <c r="BD15" s="6">
        <f ca="1">OFFSET(AZ6,0,$BB$11)</f>
        <v>3792241</v>
      </c>
      <c r="BE15" s="10">
        <f ca="1">BD15/$BD$17</f>
        <v>0.21898549405693121</v>
      </c>
    </row>
    <row r="16" spans="1:57" x14ac:dyDescent="0.3">
      <c r="H16" t="s">
        <v>18</v>
      </c>
      <c r="T16" t="s">
        <v>472</v>
      </c>
      <c r="U16" s="6">
        <v>21762</v>
      </c>
      <c r="AB16" t="s">
        <v>18</v>
      </c>
      <c r="AC16" s="6">
        <v>348291</v>
      </c>
      <c r="AH16" s="13">
        <v>43478</v>
      </c>
      <c r="AI16" s="11">
        <v>7076</v>
      </c>
      <c r="AR16" t="str">
        <v>Transaction</v>
      </c>
      <c r="BB16" t="str">
        <v>Transaction</v>
      </c>
      <c r="BC16">
        <f>AZ7</f>
        <v>4</v>
      </c>
      <c r="BD16" s="6">
        <f ca="1">OFFSET(AZ7,0,$BB$11)</f>
        <v>4053356</v>
      </c>
      <c r="BE16" s="10">
        <f ca="1">BD16/$BD$17</f>
        <v>0.23406375445247982</v>
      </c>
    </row>
    <row r="17" spans="8:57" x14ac:dyDescent="0.3">
      <c r="H17" t="s">
        <v>19</v>
      </c>
      <c r="T17" t="s">
        <v>657</v>
      </c>
      <c r="U17" s="6">
        <v>50294</v>
      </c>
      <c r="AB17" t="s">
        <v>19</v>
      </c>
      <c r="AC17" s="6">
        <v>368531</v>
      </c>
      <c r="AH17" s="13">
        <v>43479</v>
      </c>
      <c r="AI17" s="11">
        <v>20987</v>
      </c>
      <c r="BD17" s="16">
        <f ca="1">SUM(BD13:BD16)</f>
        <v>17317316</v>
      </c>
      <c r="BE17" s="17"/>
    </row>
    <row r="18" spans="8:57" x14ac:dyDescent="0.3">
      <c r="H18" t="s">
        <v>20</v>
      </c>
      <c r="T18" t="s">
        <v>338</v>
      </c>
      <c r="U18" s="6">
        <v>31402</v>
      </c>
      <c r="AB18" t="s">
        <v>20</v>
      </c>
      <c r="AC18" s="6">
        <v>353690</v>
      </c>
      <c r="AH18" s="13">
        <v>43480</v>
      </c>
      <c r="AI18" s="11">
        <v>8896</v>
      </c>
      <c r="AT18" t="str">
        <f>"Showing Total "&amp;AU12</f>
        <v>Showing Total  COGS</v>
      </c>
    </row>
    <row r="19" spans="8:57" x14ac:dyDescent="0.3">
      <c r="H19" t="s">
        <v>22</v>
      </c>
      <c r="T19" t="s">
        <v>371</v>
      </c>
      <c r="U19" s="6">
        <v>27727</v>
      </c>
      <c r="AB19" t="s">
        <v>22</v>
      </c>
      <c r="AC19" s="6">
        <v>419590</v>
      </c>
      <c r="AH19" s="13">
        <v>43481</v>
      </c>
      <c r="AI19" s="11">
        <v>23158</v>
      </c>
      <c r="BC19" t="str">
        <f>"Quarterly "&amp;BD12</f>
        <v>Quarterly  COGS</v>
      </c>
    </row>
    <row r="20" spans="8:57" x14ac:dyDescent="0.3">
      <c r="H20" t="s">
        <v>21</v>
      </c>
      <c r="T20" t="s">
        <v>658</v>
      </c>
      <c r="U20" s="6">
        <v>30997</v>
      </c>
      <c r="AB20" t="s">
        <v>21</v>
      </c>
      <c r="AC20" s="6">
        <v>337138</v>
      </c>
      <c r="AH20" s="13">
        <v>43482</v>
      </c>
      <c r="AI20" s="11">
        <v>3327</v>
      </c>
    </row>
    <row r="21" spans="8:57" x14ac:dyDescent="0.3">
      <c r="H21" t="s">
        <v>23</v>
      </c>
      <c r="T21" t="s">
        <v>153</v>
      </c>
      <c r="U21" s="6">
        <v>45066</v>
      </c>
      <c r="AB21" t="s">
        <v>23</v>
      </c>
      <c r="AC21" s="6">
        <v>412448</v>
      </c>
      <c r="AH21" s="13">
        <v>43483</v>
      </c>
      <c r="AI21" s="11">
        <v>18291</v>
      </c>
    </row>
    <row r="22" spans="8:57" x14ac:dyDescent="0.3">
      <c r="H22" t="s">
        <v>24</v>
      </c>
      <c r="T22" t="s">
        <v>440</v>
      </c>
      <c r="U22" s="6">
        <v>39779</v>
      </c>
      <c r="AB22" t="s">
        <v>24</v>
      </c>
      <c r="AC22" s="6">
        <v>322996</v>
      </c>
      <c r="AH22" s="13">
        <v>43484</v>
      </c>
      <c r="AI22" s="11">
        <v>6331</v>
      </c>
    </row>
    <row r="23" spans="8:57" x14ac:dyDescent="0.3">
      <c r="H23" t="s">
        <v>25</v>
      </c>
      <c r="T23" t="s">
        <v>913</v>
      </c>
      <c r="U23" s="6">
        <v>18411</v>
      </c>
      <c r="AB23" t="s">
        <v>25</v>
      </c>
      <c r="AC23" s="6">
        <v>410252</v>
      </c>
      <c r="AH23" s="13">
        <v>43485</v>
      </c>
      <c r="AI23" s="11">
        <v>13256</v>
      </c>
    </row>
    <row r="24" spans="8:57" x14ac:dyDescent="0.3">
      <c r="H24" t="s">
        <v>26</v>
      </c>
      <c r="T24" t="s">
        <v>659</v>
      </c>
      <c r="U24" s="6">
        <v>18967</v>
      </c>
      <c r="AB24" t="s">
        <v>26</v>
      </c>
      <c r="AC24" s="6">
        <v>372502</v>
      </c>
      <c r="AH24" s="13">
        <v>43486</v>
      </c>
      <c r="AI24" s="11">
        <v>9406</v>
      </c>
    </row>
    <row r="25" spans="8:57" x14ac:dyDescent="0.3">
      <c r="H25" t="s">
        <v>27</v>
      </c>
      <c r="T25" t="s">
        <v>660</v>
      </c>
      <c r="U25" s="6">
        <v>26129</v>
      </c>
      <c r="AB25" t="s">
        <v>27</v>
      </c>
      <c r="AC25" s="6">
        <v>298762</v>
      </c>
      <c r="AH25" s="13">
        <v>43487</v>
      </c>
      <c r="AI25" s="11">
        <v>9617</v>
      </c>
    </row>
    <row r="26" spans="8:57" x14ac:dyDescent="0.3">
      <c r="H26" t="s">
        <v>28</v>
      </c>
      <c r="T26" t="s">
        <v>661</v>
      </c>
      <c r="U26" s="6">
        <v>36911</v>
      </c>
      <c r="AB26" t="s">
        <v>28</v>
      </c>
      <c r="AC26" s="6">
        <v>326467</v>
      </c>
      <c r="AH26" s="13">
        <v>43488</v>
      </c>
      <c r="AI26" s="11">
        <v>12558</v>
      </c>
    </row>
    <row r="27" spans="8:57" x14ac:dyDescent="0.3">
      <c r="H27" t="s">
        <v>29</v>
      </c>
      <c r="T27" t="s">
        <v>280</v>
      </c>
      <c r="U27" s="6">
        <v>51804</v>
      </c>
      <c r="AB27" t="s">
        <v>29</v>
      </c>
      <c r="AC27" s="6">
        <v>297574</v>
      </c>
      <c r="AH27" s="13">
        <v>43489</v>
      </c>
      <c r="AI27" s="11">
        <v>12203</v>
      </c>
    </row>
    <row r="28" spans="8:57" x14ac:dyDescent="0.3">
      <c r="H28" t="s">
        <v>30</v>
      </c>
      <c r="T28" t="s">
        <v>369</v>
      </c>
      <c r="U28" s="6">
        <v>39137</v>
      </c>
      <c r="AB28" t="s">
        <v>30</v>
      </c>
      <c r="AC28" s="6">
        <v>349118</v>
      </c>
      <c r="AH28" s="13">
        <v>43490</v>
      </c>
      <c r="AI28" s="11">
        <v>5494</v>
      </c>
    </row>
    <row r="29" spans="8:57" x14ac:dyDescent="0.3">
      <c r="H29" t="s">
        <v>31</v>
      </c>
      <c r="T29" t="s">
        <v>503</v>
      </c>
      <c r="U29" s="6">
        <v>44752</v>
      </c>
      <c r="AB29" t="s">
        <v>31</v>
      </c>
      <c r="AC29" s="6">
        <v>388947</v>
      </c>
      <c r="AH29" s="13">
        <v>43491</v>
      </c>
      <c r="AI29" s="11">
        <v>9778</v>
      </c>
    </row>
    <row r="30" spans="8:57" x14ac:dyDescent="0.3">
      <c r="H30" t="s">
        <v>32</v>
      </c>
      <c r="T30" t="s">
        <v>286</v>
      </c>
      <c r="U30" s="6">
        <v>52058</v>
      </c>
      <c r="AB30" t="s">
        <v>32</v>
      </c>
      <c r="AC30" s="6">
        <v>393630</v>
      </c>
      <c r="AH30" s="13">
        <v>43492</v>
      </c>
      <c r="AI30" s="11">
        <v>14100</v>
      </c>
    </row>
    <row r="31" spans="8:57" x14ac:dyDescent="0.3">
      <c r="H31" t="s">
        <v>33</v>
      </c>
      <c r="T31" t="s">
        <v>263</v>
      </c>
      <c r="U31" s="6">
        <v>24043</v>
      </c>
      <c r="AB31" t="s">
        <v>33</v>
      </c>
      <c r="AC31" s="6">
        <v>325282</v>
      </c>
      <c r="AH31" s="13">
        <v>43493</v>
      </c>
      <c r="AI31" s="11">
        <v>12715</v>
      </c>
    </row>
    <row r="32" spans="8:57" x14ac:dyDescent="0.3">
      <c r="H32" t="s">
        <v>34</v>
      </c>
      <c r="T32" t="s">
        <v>662</v>
      </c>
      <c r="U32" s="6">
        <v>52423</v>
      </c>
      <c r="AB32" t="s">
        <v>34</v>
      </c>
      <c r="AC32" s="6">
        <v>357535</v>
      </c>
      <c r="AH32" s="13">
        <v>43494</v>
      </c>
      <c r="AI32" s="11">
        <v>10312</v>
      </c>
    </row>
    <row r="33" spans="8:35" x14ac:dyDescent="0.3">
      <c r="H33" t="s">
        <v>35</v>
      </c>
      <c r="T33" t="s">
        <v>527</v>
      </c>
      <c r="U33" s="6">
        <v>44945</v>
      </c>
      <c r="AB33" t="s">
        <v>35</v>
      </c>
      <c r="AC33" s="6">
        <v>361994</v>
      </c>
      <c r="AH33" s="13">
        <v>43495</v>
      </c>
      <c r="AI33" s="11">
        <v>7761</v>
      </c>
    </row>
    <row r="34" spans="8:35" x14ac:dyDescent="0.3">
      <c r="H34" t="s">
        <v>36</v>
      </c>
      <c r="T34" t="s">
        <v>326</v>
      </c>
      <c r="U34" s="6">
        <v>35470</v>
      </c>
      <c r="AB34" t="s">
        <v>36</v>
      </c>
      <c r="AC34" s="6">
        <v>351707</v>
      </c>
      <c r="AH34" s="13">
        <v>43496</v>
      </c>
      <c r="AI34" s="11">
        <v>9637</v>
      </c>
    </row>
    <row r="35" spans="8:35" x14ac:dyDescent="0.3">
      <c r="H35" t="s">
        <v>37</v>
      </c>
      <c r="T35" t="s">
        <v>579</v>
      </c>
      <c r="U35" s="6">
        <v>33240</v>
      </c>
      <c r="AB35" t="s">
        <v>37</v>
      </c>
      <c r="AC35" s="6">
        <v>302084</v>
      </c>
      <c r="AH35" s="13">
        <v>43497</v>
      </c>
      <c r="AI35" s="11">
        <v>13206</v>
      </c>
    </row>
    <row r="36" spans="8:35" x14ac:dyDescent="0.3">
      <c r="H36" t="s">
        <v>38</v>
      </c>
      <c r="T36" t="s">
        <v>663</v>
      </c>
      <c r="U36" s="6">
        <v>46671</v>
      </c>
      <c r="AB36" t="s">
        <v>38</v>
      </c>
      <c r="AC36" s="6">
        <v>381526</v>
      </c>
      <c r="AH36" s="13">
        <v>43498</v>
      </c>
      <c r="AI36" s="11">
        <v>16192</v>
      </c>
    </row>
    <row r="37" spans="8:35" x14ac:dyDescent="0.3">
      <c r="H37" t="s">
        <v>39</v>
      </c>
      <c r="T37" t="s">
        <v>186</v>
      </c>
      <c r="U37" s="6">
        <v>35545</v>
      </c>
      <c r="AB37" t="s">
        <v>39</v>
      </c>
      <c r="AC37" s="6">
        <v>396427</v>
      </c>
      <c r="AH37" s="13">
        <v>43499</v>
      </c>
      <c r="AI37" s="11">
        <v>9088</v>
      </c>
    </row>
    <row r="38" spans="8:35" x14ac:dyDescent="0.3">
      <c r="H38" t="s">
        <v>40</v>
      </c>
      <c r="T38" t="s">
        <v>664</v>
      </c>
      <c r="U38" s="6">
        <v>14383</v>
      </c>
      <c r="AB38" t="s">
        <v>40</v>
      </c>
      <c r="AC38" s="6">
        <v>356750</v>
      </c>
      <c r="AH38" s="13">
        <v>43500</v>
      </c>
      <c r="AI38" s="11">
        <v>7558</v>
      </c>
    </row>
    <row r="39" spans="8:35" x14ac:dyDescent="0.3">
      <c r="H39" t="s">
        <v>41</v>
      </c>
      <c r="T39" t="s">
        <v>560</v>
      </c>
      <c r="U39" s="6">
        <v>25420</v>
      </c>
      <c r="AB39" t="s">
        <v>41</v>
      </c>
      <c r="AC39" s="6">
        <v>303004</v>
      </c>
      <c r="AH39" s="13">
        <v>43501</v>
      </c>
      <c r="AI39" s="11">
        <v>16302</v>
      </c>
    </row>
    <row r="40" spans="8:35" x14ac:dyDescent="0.3">
      <c r="H40" t="s">
        <v>42</v>
      </c>
      <c r="T40" t="s">
        <v>665</v>
      </c>
      <c r="U40" s="6">
        <v>53815</v>
      </c>
      <c r="AB40" t="s">
        <v>42</v>
      </c>
      <c r="AC40" s="6">
        <v>290004</v>
      </c>
      <c r="AH40" s="13">
        <v>43502</v>
      </c>
      <c r="AI40" s="11">
        <v>8445</v>
      </c>
    </row>
    <row r="41" spans="8:35" x14ac:dyDescent="0.3">
      <c r="H41" t="s">
        <v>43</v>
      </c>
      <c r="T41" t="s">
        <v>840</v>
      </c>
      <c r="U41" s="6">
        <v>31918</v>
      </c>
      <c r="AB41" t="s">
        <v>43</v>
      </c>
      <c r="AC41" s="6">
        <v>398961</v>
      </c>
      <c r="AH41" s="13">
        <v>43503</v>
      </c>
      <c r="AI41" s="11">
        <v>6190</v>
      </c>
    </row>
    <row r="42" spans="8:35" x14ac:dyDescent="0.3">
      <c r="H42" t="s">
        <v>44</v>
      </c>
      <c r="T42" t="s">
        <v>666</v>
      </c>
      <c r="U42" s="6">
        <v>16527</v>
      </c>
      <c r="AB42" t="s">
        <v>44</v>
      </c>
      <c r="AC42" s="6">
        <v>365176</v>
      </c>
      <c r="AH42" s="13">
        <v>43504</v>
      </c>
      <c r="AI42" s="11">
        <v>16412</v>
      </c>
    </row>
    <row r="43" spans="8:35" x14ac:dyDescent="0.3">
      <c r="H43" t="s">
        <v>45</v>
      </c>
      <c r="T43" t="s">
        <v>421</v>
      </c>
      <c r="U43" s="6">
        <v>34635</v>
      </c>
      <c r="AB43" t="s">
        <v>45</v>
      </c>
      <c r="AC43" s="6">
        <v>322233</v>
      </c>
      <c r="AH43" s="13">
        <v>43505</v>
      </c>
      <c r="AI43" s="11">
        <v>6163</v>
      </c>
    </row>
    <row r="44" spans="8:35" x14ac:dyDescent="0.3">
      <c r="H44" t="s">
        <v>46</v>
      </c>
      <c r="T44" t="s">
        <v>573</v>
      </c>
      <c r="U44" s="6">
        <v>28823</v>
      </c>
      <c r="AB44" t="s">
        <v>46</v>
      </c>
      <c r="AC44" s="6">
        <v>312599</v>
      </c>
      <c r="AH44" s="13">
        <v>43506</v>
      </c>
      <c r="AI44" s="11">
        <v>7434</v>
      </c>
    </row>
    <row r="45" spans="8:35" x14ac:dyDescent="0.3">
      <c r="H45" t="s">
        <v>47</v>
      </c>
      <c r="T45" t="s">
        <v>396</v>
      </c>
      <c r="U45" s="6">
        <v>23815</v>
      </c>
      <c r="AB45" t="s">
        <v>47</v>
      </c>
      <c r="AC45" s="6">
        <v>319179</v>
      </c>
      <c r="AH45" s="13">
        <v>43507</v>
      </c>
      <c r="AI45" s="11">
        <v>12042</v>
      </c>
    </row>
    <row r="46" spans="8:35" x14ac:dyDescent="0.3">
      <c r="H46" t="s">
        <v>48</v>
      </c>
      <c r="T46" t="s">
        <v>420</v>
      </c>
      <c r="U46" s="6">
        <v>40179</v>
      </c>
      <c r="AB46" t="s">
        <v>48</v>
      </c>
      <c r="AC46" s="6">
        <v>346627</v>
      </c>
      <c r="AH46" s="13">
        <v>43508</v>
      </c>
      <c r="AI46" s="11">
        <v>5264</v>
      </c>
    </row>
    <row r="47" spans="8:35" x14ac:dyDescent="0.3">
      <c r="H47" t="s">
        <v>49</v>
      </c>
      <c r="T47" t="s">
        <v>667</v>
      </c>
      <c r="U47" s="6">
        <v>41127</v>
      </c>
      <c r="AB47" t="s">
        <v>49</v>
      </c>
      <c r="AC47" s="6">
        <v>308787</v>
      </c>
      <c r="AH47" s="13">
        <v>43509</v>
      </c>
      <c r="AI47" s="11">
        <v>16019</v>
      </c>
    </row>
    <row r="48" spans="8:35" x14ac:dyDescent="0.3">
      <c r="H48" t="s">
        <v>50</v>
      </c>
      <c r="T48" t="s">
        <v>668</v>
      </c>
      <c r="U48" s="6">
        <v>41846</v>
      </c>
      <c r="AB48" t="s">
        <v>50</v>
      </c>
      <c r="AC48" s="6">
        <v>348709</v>
      </c>
      <c r="AH48" s="13">
        <v>43510</v>
      </c>
      <c r="AI48" s="11">
        <v>7352</v>
      </c>
    </row>
    <row r="49" spans="8:35" x14ac:dyDescent="0.3">
      <c r="H49" t="s">
        <v>51</v>
      </c>
      <c r="T49" t="s">
        <v>281</v>
      </c>
      <c r="U49" s="6">
        <v>20602</v>
      </c>
      <c r="AB49" t="s">
        <v>51</v>
      </c>
      <c r="AC49" s="6">
        <v>392812</v>
      </c>
      <c r="AH49" s="13">
        <v>43511</v>
      </c>
      <c r="AI49" s="11">
        <v>20527</v>
      </c>
    </row>
    <row r="50" spans="8:35" x14ac:dyDescent="0.3">
      <c r="H50" t="s">
        <v>52</v>
      </c>
      <c r="T50" t="s">
        <v>533</v>
      </c>
      <c r="U50" s="6">
        <v>30869</v>
      </c>
      <c r="AB50" t="s">
        <v>52</v>
      </c>
      <c r="AC50" s="6">
        <v>465604</v>
      </c>
      <c r="AH50" s="13">
        <v>43512</v>
      </c>
      <c r="AI50" s="11">
        <v>9866</v>
      </c>
    </row>
    <row r="51" spans="8:35" x14ac:dyDescent="0.3">
      <c r="H51" t="s">
        <v>53</v>
      </c>
      <c r="T51" t="s">
        <v>669</v>
      </c>
      <c r="U51" s="6">
        <v>35960</v>
      </c>
      <c r="AB51" t="s">
        <v>53</v>
      </c>
      <c r="AC51" s="6">
        <v>319152</v>
      </c>
      <c r="AH51" s="13">
        <v>43513</v>
      </c>
      <c r="AI51" s="11">
        <v>10363</v>
      </c>
    </row>
    <row r="52" spans="8:35" x14ac:dyDescent="0.3">
      <c r="H52" t="s">
        <v>54</v>
      </c>
      <c r="T52" t="s">
        <v>574</v>
      </c>
      <c r="U52" s="6">
        <v>30305</v>
      </c>
      <c r="AB52" t="s">
        <v>54</v>
      </c>
      <c r="AC52" s="6">
        <v>328014</v>
      </c>
      <c r="AH52" s="13">
        <v>43514</v>
      </c>
      <c r="AI52" s="11">
        <v>18507</v>
      </c>
    </row>
    <row r="53" spans="8:35" x14ac:dyDescent="0.3">
      <c r="H53" t="s">
        <v>55</v>
      </c>
      <c r="T53" t="s">
        <v>376</v>
      </c>
      <c r="U53" s="6">
        <v>22721</v>
      </c>
      <c r="AB53" t="s">
        <v>55</v>
      </c>
      <c r="AC53" s="6">
        <v>436995</v>
      </c>
      <c r="AH53" s="13">
        <v>43515</v>
      </c>
      <c r="AI53" s="11">
        <v>16499</v>
      </c>
    </row>
    <row r="54" spans="8:35" x14ac:dyDescent="0.3">
      <c r="H54" t="s">
        <v>56</v>
      </c>
      <c r="T54" t="s">
        <v>841</v>
      </c>
      <c r="U54" s="6">
        <v>31696</v>
      </c>
      <c r="AB54" t="s">
        <v>56</v>
      </c>
      <c r="AC54" s="6">
        <v>340987</v>
      </c>
      <c r="AH54" s="13">
        <v>43516</v>
      </c>
      <c r="AI54" s="11">
        <v>10856</v>
      </c>
    </row>
    <row r="55" spans="8:35" x14ac:dyDescent="0.3">
      <c r="H55" t="s">
        <v>57</v>
      </c>
      <c r="T55" t="s">
        <v>235</v>
      </c>
      <c r="U55" s="6">
        <v>48087</v>
      </c>
      <c r="AB55" t="s">
        <v>57</v>
      </c>
      <c r="AC55" s="6">
        <v>357838</v>
      </c>
      <c r="AH55" s="13">
        <v>43517</v>
      </c>
      <c r="AI55" s="11">
        <v>12589</v>
      </c>
    </row>
    <row r="56" spans="8:35" x14ac:dyDescent="0.3">
      <c r="H56" t="s">
        <v>58</v>
      </c>
      <c r="T56" t="s">
        <v>914</v>
      </c>
      <c r="U56" s="6">
        <v>18031</v>
      </c>
      <c r="AB56" t="s">
        <v>58</v>
      </c>
      <c r="AC56" s="6">
        <v>391955</v>
      </c>
      <c r="AH56" s="13">
        <v>43518</v>
      </c>
      <c r="AI56" s="11">
        <v>13262</v>
      </c>
    </row>
    <row r="57" spans="8:35" x14ac:dyDescent="0.3">
      <c r="H57" t="s">
        <v>59</v>
      </c>
      <c r="T57" t="s">
        <v>107</v>
      </c>
      <c r="U57" s="6">
        <v>31017</v>
      </c>
      <c r="AB57" t="s">
        <v>59</v>
      </c>
      <c r="AC57" s="6">
        <v>292285</v>
      </c>
      <c r="AH57" s="13">
        <v>43519</v>
      </c>
      <c r="AI57" s="11">
        <v>10452</v>
      </c>
    </row>
    <row r="58" spans="8:35" x14ac:dyDescent="0.3">
      <c r="H58" t="s">
        <v>60</v>
      </c>
      <c r="T58" t="s">
        <v>451</v>
      </c>
      <c r="U58" s="6">
        <v>47706</v>
      </c>
      <c r="AB58" t="s">
        <v>60</v>
      </c>
      <c r="AC58" s="6">
        <v>330146</v>
      </c>
      <c r="AH58" s="13">
        <v>43520</v>
      </c>
      <c r="AI58" s="11">
        <v>15857</v>
      </c>
    </row>
    <row r="59" spans="8:35" x14ac:dyDescent="0.3">
      <c r="H59" t="s">
        <v>61</v>
      </c>
      <c r="T59" t="s">
        <v>524</v>
      </c>
      <c r="U59" s="6">
        <v>11129</v>
      </c>
      <c r="AB59" t="s">
        <v>61</v>
      </c>
      <c r="AC59" s="6">
        <v>283790</v>
      </c>
      <c r="AH59" s="13">
        <v>43521</v>
      </c>
      <c r="AI59" s="11">
        <v>13004</v>
      </c>
    </row>
    <row r="60" spans="8:35" x14ac:dyDescent="0.3">
      <c r="H60" t="s">
        <v>62</v>
      </c>
      <c r="T60" t="s">
        <v>315</v>
      </c>
      <c r="U60" s="6">
        <v>33451</v>
      </c>
      <c r="AB60" t="s">
        <v>62</v>
      </c>
      <c r="AC60" s="6">
        <v>399591</v>
      </c>
      <c r="AH60" s="13">
        <v>43522</v>
      </c>
      <c r="AI60" s="11">
        <v>7082</v>
      </c>
    </row>
    <row r="61" spans="8:35" x14ac:dyDescent="0.3">
      <c r="H61" t="s">
        <v>63</v>
      </c>
      <c r="T61" t="s">
        <v>559</v>
      </c>
      <c r="U61" s="6">
        <v>28732</v>
      </c>
      <c r="AB61" t="s">
        <v>63</v>
      </c>
      <c r="AC61" s="6">
        <v>334032</v>
      </c>
      <c r="AH61" s="13">
        <v>43523</v>
      </c>
      <c r="AI61" s="11">
        <v>7662</v>
      </c>
    </row>
    <row r="62" spans="8:35" x14ac:dyDescent="0.3">
      <c r="H62" t="s">
        <v>64</v>
      </c>
      <c r="T62" t="s">
        <v>495</v>
      </c>
      <c r="U62" s="6">
        <v>42107</v>
      </c>
      <c r="AB62" t="s">
        <v>64</v>
      </c>
      <c r="AC62" s="6">
        <v>342246</v>
      </c>
      <c r="AH62" s="13">
        <v>43524</v>
      </c>
      <c r="AI62" s="11">
        <v>4985</v>
      </c>
    </row>
    <row r="63" spans="8:35" x14ac:dyDescent="0.3">
      <c r="H63" t="s">
        <v>65</v>
      </c>
      <c r="T63" t="s">
        <v>416</v>
      </c>
      <c r="U63" s="6">
        <v>17776</v>
      </c>
      <c r="AB63" t="s">
        <v>65</v>
      </c>
      <c r="AC63" s="6">
        <v>300086</v>
      </c>
      <c r="AH63" s="13">
        <v>43525</v>
      </c>
      <c r="AI63" s="11">
        <v>13366</v>
      </c>
    </row>
    <row r="64" spans="8:35" x14ac:dyDescent="0.3">
      <c r="H64" t="s">
        <v>66</v>
      </c>
      <c r="T64" t="s">
        <v>670</v>
      </c>
      <c r="U64" s="6">
        <v>32639</v>
      </c>
      <c r="AB64" t="s">
        <v>66</v>
      </c>
      <c r="AC64" s="6">
        <v>351676</v>
      </c>
      <c r="AH64" s="13">
        <v>43526</v>
      </c>
      <c r="AI64" s="11">
        <v>4132</v>
      </c>
    </row>
    <row r="65" spans="8:35" x14ac:dyDescent="0.3">
      <c r="H65" t="s">
        <v>67</v>
      </c>
      <c r="T65" t="s">
        <v>842</v>
      </c>
      <c r="U65" s="6">
        <v>13400</v>
      </c>
      <c r="AB65" t="s">
        <v>67</v>
      </c>
      <c r="AC65" s="6">
        <v>348792</v>
      </c>
      <c r="AH65" s="13">
        <v>43527</v>
      </c>
      <c r="AI65" s="11">
        <v>4065</v>
      </c>
    </row>
    <row r="66" spans="8:35" x14ac:dyDescent="0.3">
      <c r="H66" t="s">
        <v>68</v>
      </c>
      <c r="T66" t="s">
        <v>671</v>
      </c>
      <c r="U66" s="6">
        <v>53041</v>
      </c>
      <c r="AB66" t="s">
        <v>68</v>
      </c>
      <c r="AC66" s="6">
        <v>309501</v>
      </c>
      <c r="AH66" s="13">
        <v>43528</v>
      </c>
      <c r="AI66" s="11">
        <v>11600</v>
      </c>
    </row>
    <row r="67" spans="8:35" x14ac:dyDescent="0.3">
      <c r="H67" t="s">
        <v>69</v>
      </c>
      <c r="T67" t="s">
        <v>469</v>
      </c>
      <c r="U67" s="6">
        <v>36875</v>
      </c>
      <c r="AB67" t="s">
        <v>69</v>
      </c>
      <c r="AC67" s="6">
        <v>318503</v>
      </c>
      <c r="AH67" s="13">
        <v>43529</v>
      </c>
      <c r="AI67" s="11">
        <v>7087</v>
      </c>
    </row>
    <row r="68" spans="8:35" x14ac:dyDescent="0.3">
      <c r="H68" t="s">
        <v>70</v>
      </c>
      <c r="T68" t="s">
        <v>452</v>
      </c>
      <c r="U68" s="6">
        <v>30524</v>
      </c>
      <c r="AB68" t="s">
        <v>70</v>
      </c>
      <c r="AC68" s="6">
        <v>342571</v>
      </c>
      <c r="AH68" s="13">
        <v>43530</v>
      </c>
      <c r="AI68" s="11">
        <v>8205</v>
      </c>
    </row>
    <row r="69" spans="8:35" x14ac:dyDescent="0.3">
      <c r="H69" t="s">
        <v>71</v>
      </c>
      <c r="T69" t="s">
        <v>473</v>
      </c>
      <c r="U69" s="6">
        <v>57373</v>
      </c>
      <c r="AB69" t="s">
        <v>71</v>
      </c>
      <c r="AC69" s="6">
        <v>290033</v>
      </c>
      <c r="AH69" s="13">
        <v>43531</v>
      </c>
      <c r="AI69" s="11">
        <v>8638</v>
      </c>
    </row>
    <row r="70" spans="8:35" x14ac:dyDescent="0.3">
      <c r="H70" t="s">
        <v>72</v>
      </c>
      <c r="T70" t="s">
        <v>672</v>
      </c>
      <c r="U70" s="6">
        <v>43008</v>
      </c>
      <c r="AB70" t="s">
        <v>72</v>
      </c>
      <c r="AC70" s="6">
        <v>376310</v>
      </c>
      <c r="AH70" s="13">
        <v>43532</v>
      </c>
      <c r="AI70" s="11">
        <v>17031</v>
      </c>
    </row>
    <row r="71" spans="8:35" x14ac:dyDescent="0.3">
      <c r="H71" t="s">
        <v>73</v>
      </c>
      <c r="T71" t="s">
        <v>238</v>
      </c>
      <c r="U71" s="6">
        <v>18423</v>
      </c>
      <c r="AB71" t="s">
        <v>73</v>
      </c>
      <c r="AC71" s="6">
        <v>320564</v>
      </c>
      <c r="AH71" s="13">
        <v>43533</v>
      </c>
      <c r="AI71" s="11">
        <v>6267</v>
      </c>
    </row>
    <row r="72" spans="8:35" x14ac:dyDescent="0.3">
      <c r="H72" t="s">
        <v>74</v>
      </c>
      <c r="T72" t="s">
        <v>541</v>
      </c>
      <c r="U72" s="6">
        <v>44922</v>
      </c>
      <c r="AB72" t="s">
        <v>74</v>
      </c>
      <c r="AC72" s="6">
        <v>374166</v>
      </c>
      <c r="AH72" s="13">
        <v>43534</v>
      </c>
      <c r="AI72" s="11">
        <v>10083</v>
      </c>
    </row>
    <row r="73" spans="8:35" x14ac:dyDescent="0.3">
      <c r="H73" t="s">
        <v>75</v>
      </c>
      <c r="T73" t="s">
        <v>190</v>
      </c>
      <c r="U73" s="6">
        <v>21341</v>
      </c>
      <c r="AB73" t="s">
        <v>75</v>
      </c>
      <c r="AC73" s="6">
        <v>338167</v>
      </c>
      <c r="AH73" s="13">
        <v>43535</v>
      </c>
      <c r="AI73" s="11">
        <v>5336</v>
      </c>
    </row>
    <row r="74" spans="8:35" x14ac:dyDescent="0.3">
      <c r="H74" t="s">
        <v>76</v>
      </c>
      <c r="T74" t="s">
        <v>187</v>
      </c>
      <c r="U74" s="6">
        <v>36657</v>
      </c>
      <c r="AB74" t="s">
        <v>76</v>
      </c>
      <c r="AC74" s="6">
        <v>423411</v>
      </c>
      <c r="AH74" s="13">
        <v>43536</v>
      </c>
      <c r="AI74" s="11">
        <v>16662</v>
      </c>
    </row>
    <row r="75" spans="8:35" x14ac:dyDescent="0.3">
      <c r="H75" t="s">
        <v>77</v>
      </c>
      <c r="T75" t="s">
        <v>544</v>
      </c>
      <c r="U75" s="6">
        <v>38795</v>
      </c>
      <c r="AB75" t="s">
        <v>77</v>
      </c>
      <c r="AC75" s="6">
        <v>311654</v>
      </c>
      <c r="AH75" s="13">
        <v>43537</v>
      </c>
      <c r="AI75" s="11">
        <v>12628</v>
      </c>
    </row>
    <row r="76" spans="8:35" x14ac:dyDescent="0.3">
      <c r="H76" t="s">
        <v>78</v>
      </c>
      <c r="T76" t="s">
        <v>384</v>
      </c>
      <c r="U76" s="6">
        <v>40297</v>
      </c>
      <c r="AB76" t="s">
        <v>78</v>
      </c>
      <c r="AC76" s="6">
        <v>302685</v>
      </c>
      <c r="AH76" s="13">
        <v>43538</v>
      </c>
      <c r="AI76" s="11">
        <v>11340</v>
      </c>
    </row>
    <row r="77" spans="8:35" x14ac:dyDescent="0.3">
      <c r="H77" t="s">
        <v>79</v>
      </c>
      <c r="T77" t="s">
        <v>94</v>
      </c>
      <c r="U77" s="6">
        <v>42404</v>
      </c>
      <c r="AB77" t="s">
        <v>79</v>
      </c>
      <c r="AC77" s="6">
        <v>386404</v>
      </c>
      <c r="AH77" s="13">
        <v>43539</v>
      </c>
      <c r="AI77" s="11">
        <v>16183</v>
      </c>
    </row>
    <row r="78" spans="8:35" x14ac:dyDescent="0.3">
      <c r="H78" t="s">
        <v>602</v>
      </c>
      <c r="T78" t="s">
        <v>843</v>
      </c>
      <c r="U78" s="6">
        <v>16091</v>
      </c>
      <c r="AH78" s="13">
        <v>43540</v>
      </c>
      <c r="AI78" s="11">
        <v>11650</v>
      </c>
    </row>
    <row r="79" spans="8:35" x14ac:dyDescent="0.3">
      <c r="T79" t="s">
        <v>673</v>
      </c>
      <c r="U79" s="6">
        <v>30282</v>
      </c>
      <c r="AH79" s="13">
        <v>43541</v>
      </c>
      <c r="AI79" s="11">
        <v>9859</v>
      </c>
    </row>
    <row r="80" spans="8:35" x14ac:dyDescent="0.3">
      <c r="T80" t="s">
        <v>160</v>
      </c>
      <c r="U80" s="6">
        <v>21280</v>
      </c>
      <c r="AH80" s="13">
        <v>43542</v>
      </c>
      <c r="AI80" s="11">
        <v>10564</v>
      </c>
    </row>
    <row r="81" spans="20:35" x14ac:dyDescent="0.3">
      <c r="T81" t="s">
        <v>291</v>
      </c>
      <c r="U81" s="6">
        <v>42179</v>
      </c>
      <c r="AH81" s="13">
        <v>43543</v>
      </c>
      <c r="AI81" s="11">
        <v>6194</v>
      </c>
    </row>
    <row r="82" spans="20:35" x14ac:dyDescent="0.3">
      <c r="T82" t="s">
        <v>844</v>
      </c>
      <c r="U82" s="6">
        <v>36592</v>
      </c>
      <c r="AH82" s="13">
        <v>43544</v>
      </c>
      <c r="AI82" s="11">
        <v>9450</v>
      </c>
    </row>
    <row r="83" spans="20:35" x14ac:dyDescent="0.3">
      <c r="T83" t="s">
        <v>515</v>
      </c>
      <c r="U83" s="6">
        <v>15146</v>
      </c>
      <c r="AH83" s="13">
        <v>43545</v>
      </c>
      <c r="AI83" s="11">
        <v>18040</v>
      </c>
    </row>
    <row r="84" spans="20:35" x14ac:dyDescent="0.3">
      <c r="T84" t="s">
        <v>474</v>
      </c>
      <c r="U84" s="6">
        <v>27477</v>
      </c>
      <c r="AH84" s="13">
        <v>43546</v>
      </c>
      <c r="AI84" s="11">
        <v>5086</v>
      </c>
    </row>
    <row r="85" spans="20:35" x14ac:dyDescent="0.3">
      <c r="T85" t="s">
        <v>393</v>
      </c>
      <c r="U85" s="6">
        <v>28275</v>
      </c>
      <c r="AH85" s="13">
        <v>43547</v>
      </c>
      <c r="AI85" s="11">
        <v>8560</v>
      </c>
    </row>
    <row r="86" spans="20:35" x14ac:dyDescent="0.3">
      <c r="T86" t="s">
        <v>415</v>
      </c>
      <c r="U86" s="6">
        <v>32867</v>
      </c>
      <c r="AH86" s="13">
        <v>43548</v>
      </c>
      <c r="AI86" s="11">
        <v>10314</v>
      </c>
    </row>
    <row r="87" spans="20:35" x14ac:dyDescent="0.3">
      <c r="T87" t="s">
        <v>172</v>
      </c>
      <c r="U87" s="6">
        <v>13330</v>
      </c>
      <c r="AH87" s="13">
        <v>43549</v>
      </c>
      <c r="AI87" s="11">
        <v>7325</v>
      </c>
    </row>
    <row r="88" spans="20:35" x14ac:dyDescent="0.3">
      <c r="T88" t="s">
        <v>597</v>
      </c>
      <c r="U88" s="6">
        <v>46310</v>
      </c>
      <c r="AH88" s="13">
        <v>43550</v>
      </c>
      <c r="AI88" s="11">
        <v>12019</v>
      </c>
    </row>
    <row r="89" spans="20:35" x14ac:dyDescent="0.3">
      <c r="T89" t="s">
        <v>222</v>
      </c>
      <c r="U89" s="6">
        <v>31027</v>
      </c>
      <c r="AH89" s="13">
        <v>43551</v>
      </c>
      <c r="AI89" s="11">
        <v>8321</v>
      </c>
    </row>
    <row r="90" spans="20:35" x14ac:dyDescent="0.3">
      <c r="T90" t="s">
        <v>487</v>
      </c>
      <c r="U90" s="6">
        <v>26366</v>
      </c>
      <c r="AH90" s="13">
        <v>43552</v>
      </c>
      <c r="AI90" s="11">
        <v>10272</v>
      </c>
    </row>
    <row r="91" spans="20:35" x14ac:dyDescent="0.3">
      <c r="T91" t="s">
        <v>397</v>
      </c>
      <c r="U91" s="6">
        <v>37757</v>
      </c>
      <c r="AH91" s="13">
        <v>43553</v>
      </c>
      <c r="AI91" s="11">
        <v>5193</v>
      </c>
    </row>
    <row r="92" spans="20:35" x14ac:dyDescent="0.3">
      <c r="T92" t="s">
        <v>567</v>
      </c>
      <c r="U92" s="6">
        <v>23242</v>
      </c>
      <c r="AH92" s="13">
        <v>43554</v>
      </c>
      <c r="AI92" s="11">
        <v>12310</v>
      </c>
    </row>
    <row r="93" spans="20:35" x14ac:dyDescent="0.3">
      <c r="T93" t="s">
        <v>674</v>
      </c>
      <c r="U93" s="6">
        <v>23588</v>
      </c>
      <c r="AH93" s="13">
        <v>43555</v>
      </c>
      <c r="AI93" s="11">
        <v>2337</v>
      </c>
    </row>
    <row r="94" spans="20:35" x14ac:dyDescent="0.3">
      <c r="T94" t="s">
        <v>599</v>
      </c>
      <c r="U94" s="6">
        <v>22769</v>
      </c>
      <c r="AH94" s="13">
        <v>43556</v>
      </c>
      <c r="AI94" s="11">
        <v>7978</v>
      </c>
    </row>
    <row r="95" spans="20:35" x14ac:dyDescent="0.3">
      <c r="T95" t="s">
        <v>675</v>
      </c>
      <c r="U95" s="6">
        <v>24677</v>
      </c>
      <c r="AH95" s="13">
        <v>43557</v>
      </c>
      <c r="AI95" s="11">
        <v>5954</v>
      </c>
    </row>
    <row r="96" spans="20:35" x14ac:dyDescent="0.3">
      <c r="T96" t="s">
        <v>87</v>
      </c>
      <c r="U96" s="6">
        <v>37026</v>
      </c>
      <c r="AH96" s="13">
        <v>43558</v>
      </c>
      <c r="AI96" s="11">
        <v>11396</v>
      </c>
    </row>
    <row r="97" spans="20:35" x14ac:dyDescent="0.3">
      <c r="T97" t="s">
        <v>313</v>
      </c>
      <c r="U97" s="6">
        <v>54284</v>
      </c>
      <c r="AH97" s="13">
        <v>43559</v>
      </c>
      <c r="AI97" s="11">
        <v>7672</v>
      </c>
    </row>
    <row r="98" spans="20:35" x14ac:dyDescent="0.3">
      <c r="T98" t="s">
        <v>249</v>
      </c>
      <c r="U98" s="6">
        <v>21952</v>
      </c>
      <c r="AH98" s="13">
        <v>43560</v>
      </c>
      <c r="AI98" s="11">
        <v>9078</v>
      </c>
    </row>
    <row r="99" spans="20:35" x14ac:dyDescent="0.3">
      <c r="T99" t="s">
        <v>546</v>
      </c>
      <c r="U99" s="6">
        <v>39504</v>
      </c>
      <c r="AH99" s="13">
        <v>43561</v>
      </c>
      <c r="AI99" s="11">
        <v>9158</v>
      </c>
    </row>
    <row r="100" spans="20:35" x14ac:dyDescent="0.3">
      <c r="T100" t="s">
        <v>258</v>
      </c>
      <c r="U100" s="6">
        <v>29945</v>
      </c>
      <c r="AH100" s="13">
        <v>43562</v>
      </c>
      <c r="AI100" s="11">
        <v>10158</v>
      </c>
    </row>
    <row r="101" spans="20:35" x14ac:dyDescent="0.3">
      <c r="T101" t="s">
        <v>578</v>
      </c>
      <c r="U101" s="6">
        <v>27230</v>
      </c>
      <c r="AH101" s="13">
        <v>43563</v>
      </c>
      <c r="AI101" s="11">
        <v>13853</v>
      </c>
    </row>
    <row r="102" spans="20:35" x14ac:dyDescent="0.3">
      <c r="T102" t="s">
        <v>293</v>
      </c>
      <c r="U102" s="6">
        <v>51679</v>
      </c>
      <c r="AH102" s="13">
        <v>43564</v>
      </c>
      <c r="AI102" s="11">
        <v>6553</v>
      </c>
    </row>
    <row r="103" spans="20:35" x14ac:dyDescent="0.3">
      <c r="T103" t="s">
        <v>419</v>
      </c>
      <c r="U103" s="6">
        <v>39227</v>
      </c>
      <c r="AH103" s="13">
        <v>43565</v>
      </c>
      <c r="AI103" s="11">
        <v>5893</v>
      </c>
    </row>
    <row r="104" spans="20:35" x14ac:dyDescent="0.3">
      <c r="T104" t="s">
        <v>467</v>
      </c>
      <c r="U104" s="6">
        <v>29181</v>
      </c>
      <c r="AH104" s="13">
        <v>43566</v>
      </c>
      <c r="AI104" s="11">
        <v>9803</v>
      </c>
    </row>
    <row r="105" spans="20:35" x14ac:dyDescent="0.3">
      <c r="T105" t="s">
        <v>543</v>
      </c>
      <c r="U105" s="6">
        <v>66242</v>
      </c>
      <c r="AH105" s="13">
        <v>43567</v>
      </c>
      <c r="AI105" s="11">
        <v>4506</v>
      </c>
    </row>
    <row r="106" spans="20:35" x14ac:dyDescent="0.3">
      <c r="T106" t="s">
        <v>253</v>
      </c>
      <c r="U106" s="6">
        <v>28745</v>
      </c>
      <c r="AH106" s="13">
        <v>43568</v>
      </c>
      <c r="AI106" s="11">
        <v>6882</v>
      </c>
    </row>
    <row r="107" spans="20:35" x14ac:dyDescent="0.3">
      <c r="T107" t="s">
        <v>156</v>
      </c>
      <c r="U107" s="6">
        <v>44775</v>
      </c>
      <c r="AH107" s="13">
        <v>43569</v>
      </c>
      <c r="AI107" s="11">
        <v>10119</v>
      </c>
    </row>
    <row r="108" spans="20:35" x14ac:dyDescent="0.3">
      <c r="T108" t="s">
        <v>332</v>
      </c>
      <c r="U108" s="6">
        <v>24288</v>
      </c>
      <c r="AH108" s="13">
        <v>43570</v>
      </c>
      <c r="AI108" s="11">
        <v>10041</v>
      </c>
    </row>
    <row r="109" spans="20:35" x14ac:dyDescent="0.3">
      <c r="T109" t="s">
        <v>225</v>
      </c>
      <c r="U109" s="6">
        <v>28883</v>
      </c>
      <c r="AH109" s="13">
        <v>43571</v>
      </c>
      <c r="AI109" s="11">
        <v>14128</v>
      </c>
    </row>
    <row r="110" spans="20:35" x14ac:dyDescent="0.3">
      <c r="T110" t="s">
        <v>571</v>
      </c>
      <c r="U110" s="6">
        <v>29037</v>
      </c>
      <c r="AH110" s="13">
        <v>43572</v>
      </c>
      <c r="AI110" s="11">
        <v>11813</v>
      </c>
    </row>
    <row r="111" spans="20:35" x14ac:dyDescent="0.3">
      <c r="T111" t="s">
        <v>427</v>
      </c>
      <c r="U111" s="6">
        <v>62305</v>
      </c>
      <c r="AH111" s="13">
        <v>43573</v>
      </c>
      <c r="AI111" s="11">
        <v>13229</v>
      </c>
    </row>
    <row r="112" spans="20:35" x14ac:dyDescent="0.3">
      <c r="T112" t="s">
        <v>676</v>
      </c>
      <c r="U112" s="6">
        <v>33768</v>
      </c>
      <c r="AH112" s="13">
        <v>43574</v>
      </c>
      <c r="AI112" s="11">
        <v>6978</v>
      </c>
    </row>
    <row r="113" spans="20:35" x14ac:dyDescent="0.3">
      <c r="T113" t="s">
        <v>310</v>
      </c>
      <c r="U113" s="6">
        <v>26340</v>
      </c>
      <c r="AH113" s="13">
        <v>43575</v>
      </c>
      <c r="AI113" s="11">
        <v>6942</v>
      </c>
    </row>
    <row r="114" spans="20:35" x14ac:dyDescent="0.3">
      <c r="T114" t="s">
        <v>155</v>
      </c>
      <c r="U114" s="6">
        <v>30280</v>
      </c>
      <c r="AH114" s="13">
        <v>43576</v>
      </c>
      <c r="AI114" s="11">
        <v>17758</v>
      </c>
    </row>
    <row r="115" spans="20:35" x14ac:dyDescent="0.3">
      <c r="T115" t="s">
        <v>140</v>
      </c>
      <c r="U115" s="6">
        <v>29441</v>
      </c>
      <c r="AH115" s="13">
        <v>43577</v>
      </c>
      <c r="AI115" s="11">
        <v>10533</v>
      </c>
    </row>
    <row r="116" spans="20:35" x14ac:dyDescent="0.3">
      <c r="T116" t="s">
        <v>845</v>
      </c>
      <c r="U116" s="6">
        <v>50647</v>
      </c>
      <c r="AH116" s="13">
        <v>43578</v>
      </c>
      <c r="AI116" s="11">
        <v>11441</v>
      </c>
    </row>
    <row r="117" spans="20:35" x14ac:dyDescent="0.3">
      <c r="T117" t="s">
        <v>282</v>
      </c>
      <c r="U117" s="6">
        <v>51305</v>
      </c>
      <c r="AH117" s="13">
        <v>43579</v>
      </c>
      <c r="AI117" s="11">
        <v>8891</v>
      </c>
    </row>
    <row r="118" spans="20:35" x14ac:dyDescent="0.3">
      <c r="T118" t="s">
        <v>89</v>
      </c>
      <c r="U118" s="6">
        <v>28884</v>
      </c>
      <c r="AH118" s="13">
        <v>43580</v>
      </c>
      <c r="AI118" s="11">
        <v>15462</v>
      </c>
    </row>
    <row r="119" spans="20:35" x14ac:dyDescent="0.3">
      <c r="T119" t="s">
        <v>677</v>
      </c>
      <c r="U119" s="6">
        <v>37851</v>
      </c>
      <c r="AH119" s="13">
        <v>43581</v>
      </c>
      <c r="AI119" s="11">
        <v>12042</v>
      </c>
    </row>
    <row r="120" spans="20:35" x14ac:dyDescent="0.3">
      <c r="T120" t="s">
        <v>678</v>
      </c>
      <c r="U120" s="6">
        <v>49494</v>
      </c>
      <c r="AH120" s="13">
        <v>43582</v>
      </c>
      <c r="AI120" s="11">
        <v>15228</v>
      </c>
    </row>
    <row r="121" spans="20:35" x14ac:dyDescent="0.3">
      <c r="T121" t="s">
        <v>654</v>
      </c>
      <c r="U121" s="6">
        <v>41510</v>
      </c>
      <c r="AH121" s="13">
        <v>43583</v>
      </c>
      <c r="AI121" s="11">
        <v>14172</v>
      </c>
    </row>
    <row r="122" spans="20:35" x14ac:dyDescent="0.3">
      <c r="T122" t="s">
        <v>522</v>
      </c>
      <c r="U122" s="6">
        <v>39082</v>
      </c>
      <c r="AH122" s="13">
        <v>43584</v>
      </c>
      <c r="AI122" s="11">
        <v>16363</v>
      </c>
    </row>
    <row r="123" spans="20:35" x14ac:dyDescent="0.3">
      <c r="T123" t="s">
        <v>370</v>
      </c>
      <c r="U123" s="6">
        <v>35779</v>
      </c>
      <c r="AH123" s="13">
        <v>43585</v>
      </c>
      <c r="AI123" s="11">
        <v>3870</v>
      </c>
    </row>
    <row r="124" spans="20:35" x14ac:dyDescent="0.3">
      <c r="T124" t="s">
        <v>679</v>
      </c>
      <c r="U124" s="6">
        <v>21290</v>
      </c>
      <c r="AH124" s="13">
        <v>43586</v>
      </c>
      <c r="AI124" s="11">
        <v>16319</v>
      </c>
    </row>
    <row r="125" spans="20:35" x14ac:dyDescent="0.3">
      <c r="T125" t="s">
        <v>88</v>
      </c>
      <c r="U125" s="6">
        <v>39249</v>
      </c>
      <c r="AH125" s="13">
        <v>43587</v>
      </c>
      <c r="AI125" s="11">
        <v>17442</v>
      </c>
    </row>
    <row r="126" spans="20:35" x14ac:dyDescent="0.3">
      <c r="T126" t="s">
        <v>680</v>
      </c>
      <c r="U126" s="6">
        <v>29513</v>
      </c>
      <c r="AH126" s="13">
        <v>43588</v>
      </c>
      <c r="AI126" s="11">
        <v>12206</v>
      </c>
    </row>
    <row r="127" spans="20:35" x14ac:dyDescent="0.3">
      <c r="T127" t="s">
        <v>219</v>
      </c>
      <c r="U127" s="6">
        <v>32911</v>
      </c>
      <c r="AH127" s="13">
        <v>43589</v>
      </c>
      <c r="AI127" s="11">
        <v>12525</v>
      </c>
    </row>
    <row r="128" spans="20:35" x14ac:dyDescent="0.3">
      <c r="T128" t="s">
        <v>915</v>
      </c>
      <c r="U128" s="6">
        <v>35127</v>
      </c>
      <c r="AH128" s="13">
        <v>43590</v>
      </c>
      <c r="AI128" s="11">
        <v>12398</v>
      </c>
    </row>
    <row r="129" spans="20:35" x14ac:dyDescent="0.3">
      <c r="T129" t="s">
        <v>388</v>
      </c>
      <c r="U129" s="6">
        <v>22350</v>
      </c>
      <c r="AH129" s="13">
        <v>43591</v>
      </c>
      <c r="AI129" s="11">
        <v>5744</v>
      </c>
    </row>
    <row r="130" spans="20:35" x14ac:dyDescent="0.3">
      <c r="T130" t="s">
        <v>592</v>
      </c>
      <c r="U130" s="6">
        <v>32255</v>
      </c>
      <c r="AH130" s="13">
        <v>43592</v>
      </c>
      <c r="AI130" s="11">
        <v>8658</v>
      </c>
    </row>
    <row r="131" spans="20:35" x14ac:dyDescent="0.3">
      <c r="T131" t="s">
        <v>846</v>
      </c>
      <c r="U131" s="6">
        <v>38241</v>
      </c>
      <c r="AH131" s="13">
        <v>43593</v>
      </c>
      <c r="AI131" s="11">
        <v>15883</v>
      </c>
    </row>
    <row r="132" spans="20:35" x14ac:dyDescent="0.3">
      <c r="T132" t="s">
        <v>681</v>
      </c>
      <c r="U132" s="6">
        <v>37277</v>
      </c>
      <c r="AH132" s="13">
        <v>43594</v>
      </c>
      <c r="AI132" s="11">
        <v>6938</v>
      </c>
    </row>
    <row r="133" spans="20:35" x14ac:dyDescent="0.3">
      <c r="T133" t="s">
        <v>682</v>
      </c>
      <c r="U133" s="6">
        <v>29562</v>
      </c>
      <c r="AH133" s="13">
        <v>43595</v>
      </c>
      <c r="AI133" s="11">
        <v>14778</v>
      </c>
    </row>
    <row r="134" spans="20:35" x14ac:dyDescent="0.3">
      <c r="T134" t="s">
        <v>401</v>
      </c>
      <c r="U134" s="6">
        <v>33258</v>
      </c>
      <c r="AH134" s="13">
        <v>43596</v>
      </c>
      <c r="AI134" s="11">
        <v>14215</v>
      </c>
    </row>
    <row r="135" spans="20:35" x14ac:dyDescent="0.3">
      <c r="T135" t="s">
        <v>122</v>
      </c>
      <c r="U135" s="6">
        <v>12355</v>
      </c>
      <c r="AH135" s="13">
        <v>43597</v>
      </c>
      <c r="AI135" s="11">
        <v>10750</v>
      </c>
    </row>
    <row r="136" spans="20:35" x14ac:dyDescent="0.3">
      <c r="T136" t="s">
        <v>114</v>
      </c>
      <c r="U136" s="6">
        <v>21287</v>
      </c>
      <c r="AH136" s="13">
        <v>43598</v>
      </c>
      <c r="AI136" s="11">
        <v>5114</v>
      </c>
    </row>
    <row r="137" spans="20:35" x14ac:dyDescent="0.3">
      <c r="T137" t="s">
        <v>847</v>
      </c>
      <c r="U137" s="6">
        <v>14348</v>
      </c>
      <c r="AH137" s="13">
        <v>43599</v>
      </c>
      <c r="AI137" s="11">
        <v>4548</v>
      </c>
    </row>
    <row r="138" spans="20:35" x14ac:dyDescent="0.3">
      <c r="T138" t="s">
        <v>251</v>
      </c>
      <c r="U138" s="6">
        <v>42410</v>
      </c>
      <c r="AH138" s="13">
        <v>43600</v>
      </c>
      <c r="AI138" s="11">
        <v>6576</v>
      </c>
    </row>
    <row r="139" spans="20:35" x14ac:dyDescent="0.3">
      <c r="T139" t="s">
        <v>423</v>
      </c>
      <c r="U139" s="6">
        <v>47308</v>
      </c>
      <c r="AH139" s="13">
        <v>43601</v>
      </c>
      <c r="AI139" s="11">
        <v>9097</v>
      </c>
    </row>
    <row r="140" spans="20:35" x14ac:dyDescent="0.3">
      <c r="T140" t="s">
        <v>596</v>
      </c>
      <c r="U140" s="6">
        <v>48718</v>
      </c>
      <c r="AH140" s="13">
        <v>43602</v>
      </c>
      <c r="AI140" s="11">
        <v>8365</v>
      </c>
    </row>
    <row r="141" spans="20:35" x14ac:dyDescent="0.3">
      <c r="T141" t="s">
        <v>590</v>
      </c>
      <c r="U141" s="6">
        <v>39161</v>
      </c>
      <c r="AH141" s="13">
        <v>43603</v>
      </c>
      <c r="AI141" s="11">
        <v>15924</v>
      </c>
    </row>
    <row r="142" spans="20:35" x14ac:dyDescent="0.3">
      <c r="T142" t="s">
        <v>916</v>
      </c>
      <c r="U142" s="6">
        <v>31554</v>
      </c>
      <c r="AH142" s="13">
        <v>43604</v>
      </c>
      <c r="AI142" s="11">
        <v>13452</v>
      </c>
    </row>
    <row r="143" spans="20:35" x14ac:dyDescent="0.3">
      <c r="T143" t="s">
        <v>170</v>
      </c>
      <c r="U143" s="6">
        <v>28489</v>
      </c>
      <c r="AH143" s="13">
        <v>43605</v>
      </c>
      <c r="AI143" s="11">
        <v>11993</v>
      </c>
    </row>
    <row r="144" spans="20:35" x14ac:dyDescent="0.3">
      <c r="T144" t="s">
        <v>218</v>
      </c>
      <c r="U144" s="6">
        <v>14165</v>
      </c>
      <c r="AH144" s="13">
        <v>43606</v>
      </c>
      <c r="AI144" s="11">
        <v>4683</v>
      </c>
    </row>
    <row r="145" spans="20:35" x14ac:dyDescent="0.3">
      <c r="T145" t="s">
        <v>303</v>
      </c>
      <c r="U145" s="6">
        <v>22512</v>
      </c>
      <c r="AH145" s="13">
        <v>43607</v>
      </c>
      <c r="AI145" s="11">
        <v>8170</v>
      </c>
    </row>
    <row r="146" spans="20:35" x14ac:dyDescent="0.3">
      <c r="T146" t="s">
        <v>145</v>
      </c>
      <c r="U146" s="6">
        <v>29743</v>
      </c>
      <c r="AH146" s="13">
        <v>43608</v>
      </c>
      <c r="AI146" s="11">
        <v>7736</v>
      </c>
    </row>
    <row r="147" spans="20:35" x14ac:dyDescent="0.3">
      <c r="T147" t="s">
        <v>683</v>
      </c>
      <c r="U147" s="6">
        <v>29061</v>
      </c>
      <c r="AH147" s="13">
        <v>43609</v>
      </c>
      <c r="AI147" s="11">
        <v>6000</v>
      </c>
    </row>
    <row r="148" spans="20:35" x14ac:dyDescent="0.3">
      <c r="T148" t="s">
        <v>684</v>
      </c>
      <c r="U148" s="6">
        <v>19914</v>
      </c>
      <c r="AH148" s="13">
        <v>43610</v>
      </c>
      <c r="AI148" s="11">
        <v>17403</v>
      </c>
    </row>
    <row r="149" spans="20:35" x14ac:dyDescent="0.3">
      <c r="T149" t="s">
        <v>295</v>
      </c>
      <c r="U149" s="6">
        <v>30448</v>
      </c>
      <c r="AH149" s="13">
        <v>43611</v>
      </c>
      <c r="AI149" s="11">
        <v>8079</v>
      </c>
    </row>
    <row r="150" spans="20:35" x14ac:dyDescent="0.3">
      <c r="T150" t="s">
        <v>584</v>
      </c>
      <c r="U150" s="6">
        <v>28723</v>
      </c>
      <c r="AH150" s="13">
        <v>43612</v>
      </c>
      <c r="AI150" s="11">
        <v>13951</v>
      </c>
    </row>
    <row r="151" spans="20:35" x14ac:dyDescent="0.3">
      <c r="T151" t="s">
        <v>374</v>
      </c>
      <c r="U151" s="6">
        <v>31113</v>
      </c>
      <c r="AH151" s="13">
        <v>43613</v>
      </c>
      <c r="AI151" s="11">
        <v>10088</v>
      </c>
    </row>
    <row r="152" spans="20:35" x14ac:dyDescent="0.3">
      <c r="T152" t="s">
        <v>99</v>
      </c>
      <c r="U152" s="6">
        <v>22311</v>
      </c>
      <c r="AH152" s="13">
        <v>43614</v>
      </c>
      <c r="AI152" s="11">
        <v>6732</v>
      </c>
    </row>
    <row r="153" spans="20:35" x14ac:dyDescent="0.3">
      <c r="T153" t="s">
        <v>685</v>
      </c>
      <c r="U153" s="6">
        <v>17297</v>
      </c>
      <c r="AH153" s="13">
        <v>43615</v>
      </c>
      <c r="AI153" s="11">
        <v>15304</v>
      </c>
    </row>
    <row r="154" spans="20:35" x14ac:dyDescent="0.3">
      <c r="T154" t="s">
        <v>848</v>
      </c>
      <c r="U154" s="6">
        <v>24820</v>
      </c>
      <c r="AH154" s="13">
        <v>43616</v>
      </c>
      <c r="AI154" s="11">
        <v>9265</v>
      </c>
    </row>
    <row r="155" spans="20:35" x14ac:dyDescent="0.3">
      <c r="T155" t="s">
        <v>917</v>
      </c>
      <c r="U155" s="6">
        <v>39547</v>
      </c>
      <c r="AH155" s="13">
        <v>43617</v>
      </c>
      <c r="AI155" s="11">
        <v>8708</v>
      </c>
    </row>
    <row r="156" spans="20:35" x14ac:dyDescent="0.3">
      <c r="T156" t="s">
        <v>686</v>
      </c>
      <c r="U156" s="6">
        <v>23887</v>
      </c>
      <c r="AH156" s="13">
        <v>43618</v>
      </c>
      <c r="AI156" s="11">
        <v>16217</v>
      </c>
    </row>
    <row r="157" spans="20:35" x14ac:dyDescent="0.3">
      <c r="T157" t="s">
        <v>267</v>
      </c>
      <c r="U157" s="6">
        <v>35554</v>
      </c>
      <c r="AH157" s="13">
        <v>43619</v>
      </c>
      <c r="AI157" s="11">
        <v>14912</v>
      </c>
    </row>
    <row r="158" spans="20:35" x14ac:dyDescent="0.3">
      <c r="T158" t="s">
        <v>528</v>
      </c>
      <c r="U158" s="6">
        <v>36712</v>
      </c>
      <c r="AH158" s="13">
        <v>43620</v>
      </c>
      <c r="AI158" s="11">
        <v>16902</v>
      </c>
    </row>
    <row r="159" spans="20:35" x14ac:dyDescent="0.3">
      <c r="T159" t="s">
        <v>529</v>
      </c>
      <c r="U159" s="6">
        <v>40032</v>
      </c>
      <c r="AH159" s="13">
        <v>43621</v>
      </c>
      <c r="AI159" s="11">
        <v>13400</v>
      </c>
    </row>
    <row r="160" spans="20:35" x14ac:dyDescent="0.3">
      <c r="T160" t="s">
        <v>520</v>
      </c>
      <c r="U160" s="6">
        <v>48711</v>
      </c>
      <c r="AH160" s="13">
        <v>43622</v>
      </c>
      <c r="AI160" s="11">
        <v>10058</v>
      </c>
    </row>
    <row r="161" spans="20:35" x14ac:dyDescent="0.3">
      <c r="T161" t="s">
        <v>213</v>
      </c>
      <c r="U161" s="6">
        <v>38212</v>
      </c>
      <c r="AH161" s="13">
        <v>43623</v>
      </c>
      <c r="AI161" s="11">
        <v>5517</v>
      </c>
    </row>
    <row r="162" spans="20:35" x14ac:dyDescent="0.3">
      <c r="T162" t="s">
        <v>248</v>
      </c>
      <c r="U162" s="6">
        <v>42321</v>
      </c>
      <c r="AH162" s="13">
        <v>43624</v>
      </c>
      <c r="AI162" s="11">
        <v>10621</v>
      </c>
    </row>
    <row r="163" spans="20:35" x14ac:dyDescent="0.3">
      <c r="T163" t="s">
        <v>687</v>
      </c>
      <c r="U163" s="6">
        <v>17069</v>
      </c>
      <c r="AH163" s="13">
        <v>43625</v>
      </c>
      <c r="AI163" s="11">
        <v>8307</v>
      </c>
    </row>
    <row r="164" spans="20:35" x14ac:dyDescent="0.3">
      <c r="T164" t="s">
        <v>377</v>
      </c>
      <c r="U164" s="6">
        <v>42659</v>
      </c>
      <c r="AH164" s="13">
        <v>43626</v>
      </c>
      <c r="AI164" s="11">
        <v>5580</v>
      </c>
    </row>
    <row r="165" spans="20:35" x14ac:dyDescent="0.3">
      <c r="T165" t="s">
        <v>918</v>
      </c>
      <c r="U165" s="6">
        <v>24160</v>
      </c>
      <c r="AH165" s="13">
        <v>43627</v>
      </c>
      <c r="AI165" s="11">
        <v>5924</v>
      </c>
    </row>
    <row r="166" spans="20:35" x14ac:dyDescent="0.3">
      <c r="T166" t="s">
        <v>688</v>
      </c>
      <c r="U166" s="6">
        <v>40859</v>
      </c>
      <c r="AH166" s="13">
        <v>43628</v>
      </c>
      <c r="AI166" s="11">
        <v>8235</v>
      </c>
    </row>
    <row r="167" spans="20:35" x14ac:dyDescent="0.3">
      <c r="T167" t="s">
        <v>912</v>
      </c>
      <c r="U167" s="6">
        <v>61062</v>
      </c>
      <c r="AH167" s="13">
        <v>43629</v>
      </c>
      <c r="AI167" s="11">
        <v>17780</v>
      </c>
    </row>
    <row r="168" spans="20:35" x14ac:dyDescent="0.3">
      <c r="T168" t="s">
        <v>239</v>
      </c>
      <c r="U168" s="6">
        <v>52282</v>
      </c>
      <c r="AH168" s="13">
        <v>43630</v>
      </c>
      <c r="AI168" s="11">
        <v>14115</v>
      </c>
    </row>
    <row r="169" spans="20:35" x14ac:dyDescent="0.3">
      <c r="T169" t="s">
        <v>149</v>
      </c>
      <c r="U169" s="6">
        <v>30328</v>
      </c>
      <c r="AH169" s="13">
        <v>43631</v>
      </c>
      <c r="AI169" s="11">
        <v>9658</v>
      </c>
    </row>
    <row r="170" spans="20:35" x14ac:dyDescent="0.3">
      <c r="T170" t="s">
        <v>437</v>
      </c>
      <c r="U170" s="6">
        <v>20563</v>
      </c>
      <c r="AH170" s="13">
        <v>43632</v>
      </c>
      <c r="AI170" s="11">
        <v>15052</v>
      </c>
    </row>
    <row r="171" spans="20:35" x14ac:dyDescent="0.3">
      <c r="T171" t="s">
        <v>689</v>
      </c>
      <c r="U171" s="6">
        <v>45672</v>
      </c>
      <c r="AH171" s="13">
        <v>43633</v>
      </c>
      <c r="AI171" s="11">
        <v>9252</v>
      </c>
    </row>
    <row r="172" spans="20:35" x14ac:dyDescent="0.3">
      <c r="T172" t="s">
        <v>133</v>
      </c>
      <c r="U172" s="6">
        <v>54187</v>
      </c>
      <c r="AH172" s="13">
        <v>43634</v>
      </c>
      <c r="AI172" s="11">
        <v>7641</v>
      </c>
    </row>
    <row r="173" spans="20:35" x14ac:dyDescent="0.3">
      <c r="T173" t="s">
        <v>919</v>
      </c>
      <c r="U173" s="6">
        <v>23326</v>
      </c>
      <c r="AH173" s="13">
        <v>43635</v>
      </c>
      <c r="AI173" s="11">
        <v>6363</v>
      </c>
    </row>
    <row r="174" spans="20:35" x14ac:dyDescent="0.3">
      <c r="T174" t="s">
        <v>479</v>
      </c>
      <c r="U174" s="6">
        <v>45581</v>
      </c>
      <c r="AH174" s="13">
        <v>43636</v>
      </c>
      <c r="AI174" s="11">
        <v>24038</v>
      </c>
    </row>
    <row r="175" spans="20:35" x14ac:dyDescent="0.3">
      <c r="T175" t="s">
        <v>273</v>
      </c>
      <c r="U175" s="6">
        <v>65506</v>
      </c>
      <c r="AH175" s="13">
        <v>43637</v>
      </c>
      <c r="AI175" s="11">
        <v>6471</v>
      </c>
    </row>
    <row r="176" spans="20:35" x14ac:dyDescent="0.3">
      <c r="T176" t="s">
        <v>849</v>
      </c>
      <c r="U176" s="6">
        <v>8517</v>
      </c>
      <c r="AH176" s="13">
        <v>43638</v>
      </c>
      <c r="AI176" s="11">
        <v>12836</v>
      </c>
    </row>
    <row r="177" spans="20:35" x14ac:dyDescent="0.3">
      <c r="T177" t="s">
        <v>850</v>
      </c>
      <c r="U177" s="6">
        <v>27398</v>
      </c>
      <c r="AH177" s="13">
        <v>43639</v>
      </c>
      <c r="AI177" s="11">
        <v>7332</v>
      </c>
    </row>
    <row r="178" spans="20:35" x14ac:dyDescent="0.3">
      <c r="T178" t="s">
        <v>318</v>
      </c>
      <c r="U178" s="6">
        <v>69689</v>
      </c>
      <c r="AH178" s="13">
        <v>43640</v>
      </c>
      <c r="AI178" s="11">
        <v>17105</v>
      </c>
    </row>
    <row r="179" spans="20:35" x14ac:dyDescent="0.3">
      <c r="T179" t="s">
        <v>185</v>
      </c>
      <c r="U179" s="6">
        <v>43360</v>
      </c>
      <c r="AH179" s="13">
        <v>43641</v>
      </c>
      <c r="AI179" s="11">
        <v>10576</v>
      </c>
    </row>
    <row r="180" spans="20:35" x14ac:dyDescent="0.3">
      <c r="T180" t="s">
        <v>260</v>
      </c>
      <c r="U180" s="6">
        <v>45735</v>
      </c>
      <c r="AH180" s="13">
        <v>43642</v>
      </c>
      <c r="AI180" s="11">
        <v>24266</v>
      </c>
    </row>
    <row r="181" spans="20:35" x14ac:dyDescent="0.3">
      <c r="T181" t="s">
        <v>210</v>
      </c>
      <c r="U181" s="6">
        <v>36252</v>
      </c>
      <c r="AH181" s="13">
        <v>43643</v>
      </c>
      <c r="AI181" s="11">
        <v>10789</v>
      </c>
    </row>
    <row r="182" spans="20:35" x14ac:dyDescent="0.3">
      <c r="T182" t="s">
        <v>904</v>
      </c>
      <c r="U182" s="6">
        <v>26529</v>
      </c>
      <c r="AH182" s="13">
        <v>43644</v>
      </c>
      <c r="AI182" s="11">
        <v>13108</v>
      </c>
    </row>
    <row r="183" spans="20:35" x14ac:dyDescent="0.3">
      <c r="T183" t="s">
        <v>690</v>
      </c>
      <c r="U183" s="6">
        <v>56178</v>
      </c>
      <c r="AH183" s="13">
        <v>43645</v>
      </c>
      <c r="AI183" s="11">
        <v>5885</v>
      </c>
    </row>
    <row r="184" spans="20:35" x14ac:dyDescent="0.3">
      <c r="T184" t="s">
        <v>502</v>
      </c>
      <c r="U184" s="6">
        <v>48531</v>
      </c>
      <c r="AH184" s="13">
        <v>43646</v>
      </c>
      <c r="AI184" s="11">
        <v>5863</v>
      </c>
    </row>
    <row r="185" spans="20:35" x14ac:dyDescent="0.3">
      <c r="T185" t="s">
        <v>189</v>
      </c>
      <c r="U185" s="6">
        <v>19955</v>
      </c>
      <c r="AH185" s="13">
        <v>43647</v>
      </c>
      <c r="AI185" s="11">
        <v>7042</v>
      </c>
    </row>
    <row r="186" spans="20:35" x14ac:dyDescent="0.3">
      <c r="T186" t="s">
        <v>241</v>
      </c>
      <c r="U186" s="6">
        <v>33088</v>
      </c>
      <c r="AH186" s="13">
        <v>43648</v>
      </c>
      <c r="AI186" s="11">
        <v>8644</v>
      </c>
    </row>
    <row r="187" spans="20:35" x14ac:dyDescent="0.3">
      <c r="T187" t="s">
        <v>325</v>
      </c>
      <c r="U187" s="6">
        <v>25006</v>
      </c>
      <c r="AH187" s="13">
        <v>43649</v>
      </c>
      <c r="AI187" s="11">
        <v>3232</v>
      </c>
    </row>
    <row r="188" spans="20:35" x14ac:dyDescent="0.3">
      <c r="T188" t="s">
        <v>121</v>
      </c>
      <c r="U188" s="6">
        <v>25210</v>
      </c>
      <c r="AH188" s="13">
        <v>43650</v>
      </c>
      <c r="AI188" s="11">
        <v>7888</v>
      </c>
    </row>
    <row r="189" spans="20:35" x14ac:dyDescent="0.3">
      <c r="T189" t="s">
        <v>572</v>
      </c>
      <c r="U189" s="6">
        <v>34360</v>
      </c>
      <c r="AH189" s="13">
        <v>43651</v>
      </c>
      <c r="AI189" s="11">
        <v>12803</v>
      </c>
    </row>
    <row r="190" spans="20:35" x14ac:dyDescent="0.3">
      <c r="T190" t="s">
        <v>349</v>
      </c>
      <c r="U190" s="6">
        <v>49787</v>
      </c>
      <c r="AH190" s="13">
        <v>43652</v>
      </c>
      <c r="AI190" s="11">
        <v>11099</v>
      </c>
    </row>
    <row r="191" spans="20:35" x14ac:dyDescent="0.3">
      <c r="T191" t="s">
        <v>116</v>
      </c>
      <c r="U191" s="6">
        <v>37375</v>
      </c>
      <c r="AH191" s="13">
        <v>43653</v>
      </c>
      <c r="AI191" s="11">
        <v>6611</v>
      </c>
    </row>
    <row r="192" spans="20:35" x14ac:dyDescent="0.3">
      <c r="T192" t="s">
        <v>851</v>
      </c>
      <c r="U192" s="6">
        <v>15864</v>
      </c>
      <c r="AH192" s="13">
        <v>43654</v>
      </c>
      <c r="AI192" s="11">
        <v>15317</v>
      </c>
    </row>
    <row r="193" spans="20:35" x14ac:dyDescent="0.3">
      <c r="T193" t="s">
        <v>439</v>
      </c>
      <c r="U193" s="6">
        <v>26469</v>
      </c>
      <c r="AH193" s="13">
        <v>43655</v>
      </c>
      <c r="AI193" s="11">
        <v>7911</v>
      </c>
    </row>
    <row r="194" spans="20:35" x14ac:dyDescent="0.3">
      <c r="T194" t="s">
        <v>511</v>
      </c>
      <c r="U194" s="6">
        <v>32782</v>
      </c>
      <c r="AH194" s="13">
        <v>43656</v>
      </c>
      <c r="AI194" s="11">
        <v>7223</v>
      </c>
    </row>
    <row r="195" spans="20:35" x14ac:dyDescent="0.3">
      <c r="T195" t="s">
        <v>382</v>
      </c>
      <c r="U195" s="6">
        <v>21731</v>
      </c>
      <c r="AH195" s="13">
        <v>43657</v>
      </c>
      <c r="AI195" s="11">
        <v>13712</v>
      </c>
    </row>
    <row r="196" spans="20:35" x14ac:dyDescent="0.3">
      <c r="T196" t="s">
        <v>395</v>
      </c>
      <c r="U196" s="6">
        <v>17375</v>
      </c>
      <c r="AH196" s="13">
        <v>43658</v>
      </c>
      <c r="AI196" s="11">
        <v>8884</v>
      </c>
    </row>
    <row r="197" spans="20:35" x14ac:dyDescent="0.3">
      <c r="T197" t="s">
        <v>83</v>
      </c>
      <c r="U197" s="6">
        <v>52692</v>
      </c>
      <c r="AH197" s="13">
        <v>43659</v>
      </c>
      <c r="AI197" s="11">
        <v>11156</v>
      </c>
    </row>
    <row r="198" spans="20:35" x14ac:dyDescent="0.3">
      <c r="T198" t="s">
        <v>691</v>
      </c>
      <c r="U198" s="6">
        <v>20715</v>
      </c>
      <c r="AH198" s="13">
        <v>43660</v>
      </c>
      <c r="AI198" s="11">
        <v>7045</v>
      </c>
    </row>
    <row r="199" spans="20:35" x14ac:dyDescent="0.3">
      <c r="T199" t="s">
        <v>692</v>
      </c>
      <c r="U199" s="6">
        <v>59575</v>
      </c>
      <c r="AH199" s="13">
        <v>43661</v>
      </c>
      <c r="AI199" s="11">
        <v>10267</v>
      </c>
    </row>
    <row r="200" spans="20:35" x14ac:dyDescent="0.3">
      <c r="T200" t="s">
        <v>400</v>
      </c>
      <c r="U200" s="6">
        <v>26286</v>
      </c>
      <c r="AH200" s="13">
        <v>43662</v>
      </c>
      <c r="AI200" s="11">
        <v>12908</v>
      </c>
    </row>
    <row r="201" spans="20:35" x14ac:dyDescent="0.3">
      <c r="T201" t="s">
        <v>576</v>
      </c>
      <c r="U201" s="6">
        <v>33947</v>
      </c>
      <c r="AH201" s="13">
        <v>43663</v>
      </c>
      <c r="AI201" s="11">
        <v>5613</v>
      </c>
    </row>
    <row r="202" spans="20:35" x14ac:dyDescent="0.3">
      <c r="T202" t="s">
        <v>356</v>
      </c>
      <c r="U202" s="6">
        <v>27966</v>
      </c>
      <c r="AH202" s="13">
        <v>43664</v>
      </c>
      <c r="AI202" s="11">
        <v>6884</v>
      </c>
    </row>
    <row r="203" spans="20:35" x14ac:dyDescent="0.3">
      <c r="T203" t="s">
        <v>905</v>
      </c>
      <c r="U203" s="6">
        <v>25167</v>
      </c>
      <c r="AH203" s="13">
        <v>43665</v>
      </c>
      <c r="AI203" s="11">
        <v>8531</v>
      </c>
    </row>
    <row r="204" spans="20:35" x14ac:dyDescent="0.3">
      <c r="T204" t="s">
        <v>920</v>
      </c>
      <c r="U204" s="6">
        <v>14765</v>
      </c>
      <c r="AH204" s="13">
        <v>43666</v>
      </c>
      <c r="AI204" s="11">
        <v>6997</v>
      </c>
    </row>
    <row r="205" spans="20:35" x14ac:dyDescent="0.3">
      <c r="T205" t="s">
        <v>359</v>
      </c>
      <c r="U205" s="6">
        <v>21413</v>
      </c>
      <c r="AH205" s="13">
        <v>43667</v>
      </c>
      <c r="AI205" s="11">
        <v>3823</v>
      </c>
    </row>
    <row r="206" spans="20:35" x14ac:dyDescent="0.3">
      <c r="T206" t="s">
        <v>112</v>
      </c>
      <c r="U206" s="6">
        <v>37501</v>
      </c>
      <c r="AH206" s="13">
        <v>43668</v>
      </c>
      <c r="AI206" s="11">
        <v>12323</v>
      </c>
    </row>
    <row r="207" spans="20:35" x14ac:dyDescent="0.3">
      <c r="T207" t="s">
        <v>403</v>
      </c>
      <c r="U207" s="6">
        <v>23139</v>
      </c>
      <c r="AH207" s="13">
        <v>43669</v>
      </c>
      <c r="AI207" s="11">
        <v>12431</v>
      </c>
    </row>
    <row r="208" spans="20:35" x14ac:dyDescent="0.3">
      <c r="T208" t="s">
        <v>921</v>
      </c>
      <c r="U208" s="6">
        <v>18656</v>
      </c>
      <c r="AH208" s="13">
        <v>43670</v>
      </c>
      <c r="AI208" s="11">
        <v>7347</v>
      </c>
    </row>
    <row r="209" spans="20:35" x14ac:dyDescent="0.3">
      <c r="T209" t="s">
        <v>311</v>
      </c>
      <c r="U209" s="6">
        <v>28612</v>
      </c>
      <c r="AH209" s="13">
        <v>43671</v>
      </c>
      <c r="AI209" s="11">
        <v>4730</v>
      </c>
    </row>
    <row r="210" spans="20:35" x14ac:dyDescent="0.3">
      <c r="T210" t="s">
        <v>557</v>
      </c>
      <c r="U210" s="6">
        <v>65202</v>
      </c>
      <c r="AH210" s="13">
        <v>43672</v>
      </c>
      <c r="AI210" s="11">
        <v>7752</v>
      </c>
    </row>
    <row r="211" spans="20:35" x14ac:dyDescent="0.3">
      <c r="T211" t="s">
        <v>693</v>
      </c>
      <c r="U211" s="6">
        <v>23440</v>
      </c>
      <c r="AH211" s="13">
        <v>43673</v>
      </c>
      <c r="AI211" s="11">
        <v>11725</v>
      </c>
    </row>
    <row r="212" spans="20:35" x14ac:dyDescent="0.3">
      <c r="T212" t="s">
        <v>694</v>
      </c>
      <c r="U212" s="6">
        <v>18202</v>
      </c>
      <c r="AH212" s="13">
        <v>43674</v>
      </c>
      <c r="AI212" s="11">
        <v>20777</v>
      </c>
    </row>
    <row r="213" spans="20:35" x14ac:dyDescent="0.3">
      <c r="T213" t="s">
        <v>506</v>
      </c>
      <c r="U213" s="6">
        <v>39254</v>
      </c>
      <c r="AH213" s="13">
        <v>43675</v>
      </c>
      <c r="AI213" s="11">
        <v>8481</v>
      </c>
    </row>
    <row r="214" spans="20:35" x14ac:dyDescent="0.3">
      <c r="T214" t="s">
        <v>331</v>
      </c>
      <c r="U214" s="6">
        <v>29239</v>
      </c>
      <c r="AH214" s="13">
        <v>43676</v>
      </c>
      <c r="AI214" s="11">
        <v>6557</v>
      </c>
    </row>
    <row r="215" spans="20:35" x14ac:dyDescent="0.3">
      <c r="T215" t="s">
        <v>109</v>
      </c>
      <c r="U215" s="6">
        <v>32822</v>
      </c>
      <c r="AH215" s="13">
        <v>43677</v>
      </c>
      <c r="AI215" s="11">
        <v>17105</v>
      </c>
    </row>
    <row r="216" spans="20:35" x14ac:dyDescent="0.3">
      <c r="T216" t="s">
        <v>852</v>
      </c>
      <c r="U216" s="6">
        <v>14170</v>
      </c>
      <c r="AH216" s="13">
        <v>43678</v>
      </c>
      <c r="AI216" s="11">
        <v>10162</v>
      </c>
    </row>
    <row r="217" spans="20:35" x14ac:dyDescent="0.3">
      <c r="T217" t="s">
        <v>234</v>
      </c>
      <c r="U217" s="6">
        <v>24593</v>
      </c>
      <c r="AH217" s="13">
        <v>43679</v>
      </c>
      <c r="AI217" s="11">
        <v>10694</v>
      </c>
    </row>
    <row r="218" spans="20:35" x14ac:dyDescent="0.3">
      <c r="T218" t="s">
        <v>564</v>
      </c>
      <c r="U218" s="6">
        <v>39081</v>
      </c>
      <c r="AH218" s="13">
        <v>43680</v>
      </c>
      <c r="AI218" s="11">
        <v>16036</v>
      </c>
    </row>
    <row r="219" spans="20:35" x14ac:dyDescent="0.3">
      <c r="T219" t="s">
        <v>478</v>
      </c>
      <c r="U219" s="6">
        <v>23743</v>
      </c>
      <c r="AH219" s="13">
        <v>43681</v>
      </c>
      <c r="AI219" s="11">
        <v>10676</v>
      </c>
    </row>
    <row r="220" spans="20:35" x14ac:dyDescent="0.3">
      <c r="T220" t="s">
        <v>466</v>
      </c>
      <c r="U220" s="6">
        <v>31850</v>
      </c>
      <c r="AH220" s="13">
        <v>43682</v>
      </c>
      <c r="AI220" s="11">
        <v>14010</v>
      </c>
    </row>
    <row r="221" spans="20:35" x14ac:dyDescent="0.3">
      <c r="T221" t="s">
        <v>321</v>
      </c>
      <c r="U221" s="6">
        <v>33294</v>
      </c>
      <c r="AH221" s="13">
        <v>43683</v>
      </c>
      <c r="AI221" s="11">
        <v>8363</v>
      </c>
    </row>
    <row r="222" spans="20:35" x14ac:dyDescent="0.3">
      <c r="T222" t="s">
        <v>337</v>
      </c>
      <c r="U222" s="6">
        <v>16774</v>
      </c>
      <c r="AH222" s="13">
        <v>43684</v>
      </c>
      <c r="AI222" s="11">
        <v>10055</v>
      </c>
    </row>
    <row r="223" spans="20:35" x14ac:dyDescent="0.3">
      <c r="T223" t="s">
        <v>695</v>
      </c>
      <c r="U223" s="6">
        <v>23043</v>
      </c>
      <c r="AH223" s="13">
        <v>43685</v>
      </c>
      <c r="AI223" s="11">
        <v>14649</v>
      </c>
    </row>
    <row r="224" spans="20:35" x14ac:dyDescent="0.3">
      <c r="T224" t="s">
        <v>243</v>
      </c>
      <c r="U224" s="6">
        <v>23533</v>
      </c>
      <c r="AH224" s="13">
        <v>43686</v>
      </c>
      <c r="AI224" s="11">
        <v>9505</v>
      </c>
    </row>
    <row r="225" spans="20:35" x14ac:dyDescent="0.3">
      <c r="T225" t="s">
        <v>329</v>
      </c>
      <c r="U225" s="6">
        <v>19525</v>
      </c>
      <c r="AH225" s="13">
        <v>43687</v>
      </c>
      <c r="AI225" s="11">
        <v>11026</v>
      </c>
    </row>
    <row r="226" spans="20:35" x14ac:dyDescent="0.3">
      <c r="T226" t="s">
        <v>135</v>
      </c>
      <c r="U226" s="6">
        <v>27820</v>
      </c>
      <c r="AH226" s="13">
        <v>43688</v>
      </c>
      <c r="AI226" s="11">
        <v>5183</v>
      </c>
    </row>
    <row r="227" spans="20:35" x14ac:dyDescent="0.3">
      <c r="T227" t="s">
        <v>410</v>
      </c>
      <c r="U227" s="6">
        <v>38255</v>
      </c>
      <c r="AH227" s="13">
        <v>43689</v>
      </c>
      <c r="AI227" s="11">
        <v>4596</v>
      </c>
    </row>
    <row r="228" spans="20:35" x14ac:dyDescent="0.3">
      <c r="T228" t="s">
        <v>130</v>
      </c>
      <c r="U228" s="6">
        <v>25012</v>
      </c>
      <c r="AH228" s="13">
        <v>43690</v>
      </c>
      <c r="AI228" s="11">
        <v>5841</v>
      </c>
    </row>
    <row r="229" spans="20:35" x14ac:dyDescent="0.3">
      <c r="T229" t="s">
        <v>197</v>
      </c>
      <c r="U229" s="6">
        <v>30750</v>
      </c>
      <c r="AH229" s="13">
        <v>43691</v>
      </c>
      <c r="AI229" s="11">
        <v>6258</v>
      </c>
    </row>
    <row r="230" spans="20:35" x14ac:dyDescent="0.3">
      <c r="T230" t="s">
        <v>465</v>
      </c>
      <c r="U230" s="6">
        <v>64261</v>
      </c>
      <c r="AH230" s="13">
        <v>43692</v>
      </c>
      <c r="AI230" s="11">
        <v>6032</v>
      </c>
    </row>
    <row r="231" spans="20:35" x14ac:dyDescent="0.3">
      <c r="T231" t="s">
        <v>696</v>
      </c>
      <c r="U231" s="6">
        <v>26675</v>
      </c>
      <c r="AH231" s="13">
        <v>43693</v>
      </c>
      <c r="AI231" s="11">
        <v>11577</v>
      </c>
    </row>
    <row r="232" spans="20:35" x14ac:dyDescent="0.3">
      <c r="T232" t="s">
        <v>211</v>
      </c>
      <c r="U232" s="6">
        <v>41936</v>
      </c>
      <c r="AH232" s="13">
        <v>43694</v>
      </c>
      <c r="AI232" s="11">
        <v>7607</v>
      </c>
    </row>
    <row r="233" spans="20:35" x14ac:dyDescent="0.3">
      <c r="T233" t="s">
        <v>134</v>
      </c>
      <c r="U233" s="6">
        <v>32785</v>
      </c>
      <c r="AH233" s="13">
        <v>43695</v>
      </c>
      <c r="AI233" s="11">
        <v>13956</v>
      </c>
    </row>
    <row r="234" spans="20:35" x14ac:dyDescent="0.3">
      <c r="T234" t="s">
        <v>387</v>
      </c>
      <c r="U234" s="6">
        <v>33261</v>
      </c>
      <c r="AH234" s="13">
        <v>43696</v>
      </c>
      <c r="AI234" s="11">
        <v>3700</v>
      </c>
    </row>
    <row r="235" spans="20:35" x14ac:dyDescent="0.3">
      <c r="T235" t="s">
        <v>460</v>
      </c>
      <c r="U235" s="6">
        <v>33080</v>
      </c>
      <c r="AH235" s="13">
        <v>43697</v>
      </c>
      <c r="AI235" s="11">
        <v>5157</v>
      </c>
    </row>
    <row r="236" spans="20:35" x14ac:dyDescent="0.3">
      <c r="T236" t="s">
        <v>697</v>
      </c>
      <c r="U236" s="6">
        <v>26276</v>
      </c>
      <c r="AH236" s="13">
        <v>43698</v>
      </c>
      <c r="AI236" s="11">
        <v>9723</v>
      </c>
    </row>
    <row r="237" spans="20:35" x14ac:dyDescent="0.3">
      <c r="T237" t="s">
        <v>698</v>
      </c>
      <c r="U237" s="6">
        <v>32337</v>
      </c>
      <c r="AH237" s="13">
        <v>43699</v>
      </c>
      <c r="AI237" s="11">
        <v>11713</v>
      </c>
    </row>
    <row r="238" spans="20:35" x14ac:dyDescent="0.3">
      <c r="T238" t="s">
        <v>364</v>
      </c>
      <c r="U238" s="6">
        <v>30966</v>
      </c>
      <c r="AH238" s="13">
        <v>43700</v>
      </c>
      <c r="AI238" s="11">
        <v>15840</v>
      </c>
    </row>
    <row r="239" spans="20:35" x14ac:dyDescent="0.3">
      <c r="T239" t="s">
        <v>85</v>
      </c>
      <c r="U239" s="6">
        <v>27071</v>
      </c>
      <c r="AH239" s="13">
        <v>43701</v>
      </c>
      <c r="AI239" s="11">
        <v>6959</v>
      </c>
    </row>
    <row r="240" spans="20:35" x14ac:dyDescent="0.3">
      <c r="T240" t="s">
        <v>131</v>
      </c>
      <c r="U240" s="6">
        <v>52935</v>
      </c>
      <c r="AH240" s="13">
        <v>43702</v>
      </c>
      <c r="AI240" s="11">
        <v>11299</v>
      </c>
    </row>
    <row r="241" spans="20:35" x14ac:dyDescent="0.3">
      <c r="T241" t="s">
        <v>404</v>
      </c>
      <c r="U241" s="6">
        <v>32143</v>
      </c>
      <c r="AH241" s="13">
        <v>43703</v>
      </c>
      <c r="AI241" s="11">
        <v>6673</v>
      </c>
    </row>
    <row r="242" spans="20:35" x14ac:dyDescent="0.3">
      <c r="T242" t="s">
        <v>601</v>
      </c>
      <c r="U242" s="6">
        <v>38254</v>
      </c>
      <c r="AH242" s="13">
        <v>43704</v>
      </c>
      <c r="AI242" s="11">
        <v>9684</v>
      </c>
    </row>
    <row r="243" spans="20:35" x14ac:dyDescent="0.3">
      <c r="T243" t="s">
        <v>699</v>
      </c>
      <c r="U243" s="6">
        <v>31418</v>
      </c>
      <c r="AH243" s="13">
        <v>43705</v>
      </c>
      <c r="AI243" s="11">
        <v>7697</v>
      </c>
    </row>
    <row r="244" spans="20:35" x14ac:dyDescent="0.3">
      <c r="T244" t="s">
        <v>386</v>
      </c>
      <c r="U244" s="6">
        <v>45686</v>
      </c>
      <c r="AH244" s="13">
        <v>43706</v>
      </c>
      <c r="AI244" s="11">
        <v>11974</v>
      </c>
    </row>
    <row r="245" spans="20:35" x14ac:dyDescent="0.3">
      <c r="T245" t="s">
        <v>700</v>
      </c>
      <c r="U245" s="6">
        <v>36124</v>
      </c>
      <c r="AH245" s="13">
        <v>43707</v>
      </c>
      <c r="AI245" s="11">
        <v>9122</v>
      </c>
    </row>
    <row r="246" spans="20:35" x14ac:dyDescent="0.3">
      <c r="T246" t="s">
        <v>701</v>
      </c>
      <c r="U246" s="6">
        <v>19738</v>
      </c>
      <c r="AH246" s="13">
        <v>43708</v>
      </c>
      <c r="AI246" s="11">
        <v>16231</v>
      </c>
    </row>
    <row r="247" spans="20:35" x14ac:dyDescent="0.3">
      <c r="T247" t="s">
        <v>702</v>
      </c>
      <c r="U247" s="6">
        <v>28872</v>
      </c>
      <c r="AH247" s="13">
        <v>43709</v>
      </c>
      <c r="AI247" s="11">
        <v>8104</v>
      </c>
    </row>
    <row r="248" spans="20:35" x14ac:dyDescent="0.3">
      <c r="T248" t="s">
        <v>853</v>
      </c>
      <c r="U248" s="6">
        <v>27904</v>
      </c>
      <c r="AH248" s="13">
        <v>43710</v>
      </c>
      <c r="AI248" s="11">
        <v>11531</v>
      </c>
    </row>
    <row r="249" spans="20:35" x14ac:dyDescent="0.3">
      <c r="T249" t="s">
        <v>537</v>
      </c>
      <c r="U249" s="6">
        <v>50247</v>
      </c>
      <c r="AH249" s="13">
        <v>43711</v>
      </c>
      <c r="AI249" s="11">
        <v>10381</v>
      </c>
    </row>
    <row r="250" spans="20:35" x14ac:dyDescent="0.3">
      <c r="T250" t="s">
        <v>105</v>
      </c>
      <c r="U250" s="6">
        <v>24940</v>
      </c>
      <c r="AH250" s="13">
        <v>43712</v>
      </c>
      <c r="AI250" s="11">
        <v>7741</v>
      </c>
    </row>
    <row r="251" spans="20:35" x14ac:dyDescent="0.3">
      <c r="T251" t="s">
        <v>703</v>
      </c>
      <c r="U251" s="6">
        <v>26149</v>
      </c>
      <c r="AH251" s="13">
        <v>43713</v>
      </c>
      <c r="AI251" s="11">
        <v>18318</v>
      </c>
    </row>
    <row r="252" spans="20:35" x14ac:dyDescent="0.3">
      <c r="T252" t="s">
        <v>704</v>
      </c>
      <c r="U252" s="6">
        <v>29770</v>
      </c>
      <c r="AH252" s="13">
        <v>43714</v>
      </c>
      <c r="AI252" s="11">
        <v>22444</v>
      </c>
    </row>
    <row r="253" spans="20:35" x14ac:dyDescent="0.3">
      <c r="T253" t="s">
        <v>854</v>
      </c>
      <c r="U253" s="6">
        <v>21443</v>
      </c>
      <c r="AH253" s="13">
        <v>43715</v>
      </c>
      <c r="AI253" s="11">
        <v>17422</v>
      </c>
    </row>
    <row r="254" spans="20:35" x14ac:dyDescent="0.3">
      <c r="T254" t="s">
        <v>705</v>
      </c>
      <c r="U254" s="6">
        <v>23887</v>
      </c>
      <c r="AH254" s="13">
        <v>43716</v>
      </c>
      <c r="AI254" s="11">
        <v>13156</v>
      </c>
    </row>
    <row r="255" spans="20:35" x14ac:dyDescent="0.3">
      <c r="T255" t="s">
        <v>593</v>
      </c>
      <c r="U255" s="6">
        <v>41222</v>
      </c>
      <c r="AH255" s="13">
        <v>43717</v>
      </c>
      <c r="AI255" s="11">
        <v>4998</v>
      </c>
    </row>
    <row r="256" spans="20:35" x14ac:dyDescent="0.3">
      <c r="T256" t="s">
        <v>855</v>
      </c>
      <c r="U256" s="6">
        <v>17762</v>
      </c>
      <c r="AH256" s="13">
        <v>43718</v>
      </c>
      <c r="AI256" s="11">
        <v>10382</v>
      </c>
    </row>
    <row r="257" spans="20:35" x14ac:dyDescent="0.3">
      <c r="T257" t="s">
        <v>706</v>
      </c>
      <c r="U257" s="6">
        <v>28493</v>
      </c>
      <c r="AH257" s="13">
        <v>43719</v>
      </c>
      <c r="AI257" s="11">
        <v>12097</v>
      </c>
    </row>
    <row r="258" spans="20:35" x14ac:dyDescent="0.3">
      <c r="T258" t="s">
        <v>209</v>
      </c>
      <c r="U258" s="6">
        <v>19763</v>
      </c>
      <c r="AH258" s="13">
        <v>43720</v>
      </c>
      <c r="AI258" s="11">
        <v>7062</v>
      </c>
    </row>
    <row r="259" spans="20:35" x14ac:dyDescent="0.3">
      <c r="T259" t="s">
        <v>236</v>
      </c>
      <c r="U259" s="6">
        <v>36529</v>
      </c>
      <c r="AH259" s="13">
        <v>43721</v>
      </c>
      <c r="AI259" s="11">
        <v>9491</v>
      </c>
    </row>
    <row r="260" spans="20:35" x14ac:dyDescent="0.3">
      <c r="T260" t="s">
        <v>856</v>
      </c>
      <c r="U260" s="6">
        <v>21238</v>
      </c>
      <c r="AH260" s="13">
        <v>43722</v>
      </c>
      <c r="AI260" s="11">
        <v>11839</v>
      </c>
    </row>
    <row r="261" spans="20:35" x14ac:dyDescent="0.3">
      <c r="T261" t="s">
        <v>275</v>
      </c>
      <c r="U261" s="6">
        <v>32790</v>
      </c>
      <c r="AH261" s="13">
        <v>43723</v>
      </c>
      <c r="AI261" s="11">
        <v>12795</v>
      </c>
    </row>
    <row r="262" spans="20:35" x14ac:dyDescent="0.3">
      <c r="T262" t="s">
        <v>319</v>
      </c>
      <c r="U262" s="6">
        <v>55910</v>
      </c>
      <c r="AH262" s="13">
        <v>43724</v>
      </c>
      <c r="AI262" s="11">
        <v>11992</v>
      </c>
    </row>
    <row r="263" spans="20:35" x14ac:dyDescent="0.3">
      <c r="T263" t="s">
        <v>480</v>
      </c>
      <c r="U263" s="6">
        <v>37655</v>
      </c>
      <c r="AH263" s="13">
        <v>43725</v>
      </c>
      <c r="AI263" s="11">
        <v>10672</v>
      </c>
    </row>
    <row r="264" spans="20:35" x14ac:dyDescent="0.3">
      <c r="T264" t="s">
        <v>707</v>
      </c>
      <c r="U264" s="6">
        <v>29122</v>
      </c>
      <c r="AH264" s="13">
        <v>43726</v>
      </c>
      <c r="AI264" s="11">
        <v>8874</v>
      </c>
    </row>
    <row r="265" spans="20:35" x14ac:dyDescent="0.3">
      <c r="T265" t="s">
        <v>857</v>
      </c>
      <c r="U265" s="6">
        <v>27019</v>
      </c>
      <c r="AH265" s="13">
        <v>43727</v>
      </c>
      <c r="AI265" s="11">
        <v>5025</v>
      </c>
    </row>
    <row r="266" spans="20:35" x14ac:dyDescent="0.3">
      <c r="T266" t="s">
        <v>299</v>
      </c>
      <c r="U266" s="6">
        <v>39412</v>
      </c>
      <c r="AH266" s="13">
        <v>43728</v>
      </c>
      <c r="AI266" s="11">
        <v>12870</v>
      </c>
    </row>
    <row r="267" spans="20:35" x14ac:dyDescent="0.3">
      <c r="T267" t="s">
        <v>906</v>
      </c>
      <c r="U267" s="6">
        <v>29394</v>
      </c>
      <c r="AH267" s="13">
        <v>43729</v>
      </c>
      <c r="AI267" s="11">
        <v>7599</v>
      </c>
    </row>
    <row r="268" spans="20:35" x14ac:dyDescent="0.3">
      <c r="T268" t="s">
        <v>227</v>
      </c>
      <c r="U268" s="6">
        <v>21448</v>
      </c>
      <c r="AH268" s="13">
        <v>43730</v>
      </c>
      <c r="AI268" s="11">
        <v>8921</v>
      </c>
    </row>
    <row r="269" spans="20:35" x14ac:dyDescent="0.3">
      <c r="T269" t="s">
        <v>708</v>
      </c>
      <c r="U269" s="6">
        <v>26371</v>
      </c>
      <c r="AH269" s="13">
        <v>43731</v>
      </c>
      <c r="AI269" s="11">
        <v>4112</v>
      </c>
    </row>
    <row r="270" spans="20:35" x14ac:dyDescent="0.3">
      <c r="T270" t="s">
        <v>323</v>
      </c>
      <c r="U270" s="6">
        <v>26474</v>
      </c>
      <c r="AH270" s="13">
        <v>43732</v>
      </c>
      <c r="AI270" s="11">
        <v>14971</v>
      </c>
    </row>
    <row r="271" spans="20:35" x14ac:dyDescent="0.3">
      <c r="T271" t="s">
        <v>558</v>
      </c>
      <c r="U271" s="6">
        <v>10584</v>
      </c>
      <c r="AH271" s="13">
        <v>43733</v>
      </c>
      <c r="AI271" s="11">
        <v>12857</v>
      </c>
    </row>
    <row r="272" spans="20:35" x14ac:dyDescent="0.3">
      <c r="T272" t="s">
        <v>454</v>
      </c>
      <c r="U272" s="6">
        <v>22005</v>
      </c>
      <c r="AH272" s="13">
        <v>43734</v>
      </c>
      <c r="AI272" s="11">
        <v>20619</v>
      </c>
    </row>
    <row r="273" spans="20:35" x14ac:dyDescent="0.3">
      <c r="T273" t="s">
        <v>182</v>
      </c>
      <c r="U273" s="6">
        <v>39837</v>
      </c>
      <c r="AH273" s="13">
        <v>43735</v>
      </c>
      <c r="AI273" s="11">
        <v>4909</v>
      </c>
    </row>
    <row r="274" spans="20:35" x14ac:dyDescent="0.3">
      <c r="T274" t="s">
        <v>228</v>
      </c>
      <c r="U274" s="6">
        <v>21445</v>
      </c>
      <c r="AH274" s="13">
        <v>43736</v>
      </c>
      <c r="AI274" s="11">
        <v>5639</v>
      </c>
    </row>
    <row r="275" spans="20:35" x14ac:dyDescent="0.3">
      <c r="T275" t="s">
        <v>709</v>
      </c>
      <c r="U275" s="6">
        <v>15294</v>
      </c>
      <c r="AH275" s="13">
        <v>43737</v>
      </c>
      <c r="AI275" s="11">
        <v>12857</v>
      </c>
    </row>
    <row r="276" spans="20:35" x14ac:dyDescent="0.3">
      <c r="T276" t="s">
        <v>456</v>
      </c>
      <c r="U276" s="6">
        <v>17728</v>
      </c>
      <c r="AH276" s="13">
        <v>43738</v>
      </c>
      <c r="AI276" s="11">
        <v>4839</v>
      </c>
    </row>
    <row r="277" spans="20:35" x14ac:dyDescent="0.3">
      <c r="T277" t="s">
        <v>710</v>
      </c>
      <c r="U277" s="6">
        <v>24941</v>
      </c>
      <c r="AH277" s="13">
        <v>43739</v>
      </c>
      <c r="AI277" s="11">
        <v>6361</v>
      </c>
    </row>
    <row r="278" spans="20:35" x14ac:dyDescent="0.3">
      <c r="T278" t="s">
        <v>101</v>
      </c>
      <c r="U278" s="6">
        <v>35408</v>
      </c>
      <c r="AH278" s="13">
        <v>43740</v>
      </c>
      <c r="AI278" s="11">
        <v>8533</v>
      </c>
    </row>
    <row r="279" spans="20:35" x14ac:dyDescent="0.3">
      <c r="T279" t="s">
        <v>711</v>
      </c>
      <c r="U279" s="6">
        <v>31880</v>
      </c>
      <c r="AH279" s="13">
        <v>43741</v>
      </c>
      <c r="AI279" s="11">
        <v>9163</v>
      </c>
    </row>
    <row r="280" spans="20:35" x14ac:dyDescent="0.3">
      <c r="T280" t="s">
        <v>142</v>
      </c>
      <c r="U280" s="6">
        <v>45438</v>
      </c>
      <c r="AH280" s="13">
        <v>43742</v>
      </c>
      <c r="AI280" s="11">
        <v>22309</v>
      </c>
    </row>
    <row r="281" spans="20:35" x14ac:dyDescent="0.3">
      <c r="T281" t="s">
        <v>363</v>
      </c>
      <c r="U281" s="6">
        <v>25769</v>
      </c>
      <c r="AH281" s="13">
        <v>43743</v>
      </c>
      <c r="AI281" s="11">
        <v>8564</v>
      </c>
    </row>
    <row r="282" spans="20:35" x14ac:dyDescent="0.3">
      <c r="T282" t="s">
        <v>125</v>
      </c>
      <c r="U282" s="6">
        <v>12597</v>
      </c>
      <c r="AH282" s="13">
        <v>43744</v>
      </c>
      <c r="AI282" s="11">
        <v>5881</v>
      </c>
    </row>
    <row r="283" spans="20:35" x14ac:dyDescent="0.3">
      <c r="T283" t="s">
        <v>712</v>
      </c>
      <c r="U283" s="6">
        <v>40171</v>
      </c>
      <c r="AH283" s="13">
        <v>43745</v>
      </c>
      <c r="AI283" s="11">
        <v>8276</v>
      </c>
    </row>
    <row r="284" spans="20:35" x14ac:dyDescent="0.3">
      <c r="T284" t="s">
        <v>431</v>
      </c>
      <c r="U284" s="6">
        <v>24171</v>
      </c>
      <c r="AH284" s="13">
        <v>43746</v>
      </c>
      <c r="AI284" s="11">
        <v>17763</v>
      </c>
    </row>
    <row r="285" spans="20:35" x14ac:dyDescent="0.3">
      <c r="T285" t="s">
        <v>290</v>
      </c>
      <c r="U285" s="6">
        <v>30915</v>
      </c>
      <c r="AH285" s="13">
        <v>43747</v>
      </c>
      <c r="AI285" s="11">
        <v>4613</v>
      </c>
    </row>
    <row r="286" spans="20:35" x14ac:dyDescent="0.3">
      <c r="T286" t="s">
        <v>713</v>
      </c>
      <c r="U286" s="6">
        <v>48017</v>
      </c>
      <c r="AH286" s="13">
        <v>43748</v>
      </c>
      <c r="AI286" s="11">
        <v>3734</v>
      </c>
    </row>
    <row r="287" spans="20:35" x14ac:dyDescent="0.3">
      <c r="T287" t="s">
        <v>714</v>
      </c>
      <c r="U287" s="6">
        <v>28155</v>
      </c>
      <c r="AH287" s="13">
        <v>43749</v>
      </c>
      <c r="AI287" s="11">
        <v>7592</v>
      </c>
    </row>
    <row r="288" spans="20:35" x14ac:dyDescent="0.3">
      <c r="T288" t="s">
        <v>715</v>
      </c>
      <c r="U288" s="6">
        <v>23754</v>
      </c>
      <c r="AH288" s="13">
        <v>43750</v>
      </c>
      <c r="AI288" s="11">
        <v>19349</v>
      </c>
    </row>
    <row r="289" spans="20:35" x14ac:dyDescent="0.3">
      <c r="T289" t="s">
        <v>457</v>
      </c>
      <c r="U289" s="6">
        <v>28234</v>
      </c>
      <c r="AH289" s="13">
        <v>43751</v>
      </c>
      <c r="AI289" s="11">
        <v>6542</v>
      </c>
    </row>
    <row r="290" spans="20:35" x14ac:dyDescent="0.3">
      <c r="T290" t="s">
        <v>858</v>
      </c>
      <c r="U290" s="6">
        <v>22739</v>
      </c>
      <c r="AH290" s="13">
        <v>43752</v>
      </c>
      <c r="AI290" s="11">
        <v>3613</v>
      </c>
    </row>
    <row r="291" spans="20:35" x14ac:dyDescent="0.3">
      <c r="T291" t="s">
        <v>208</v>
      </c>
      <c r="U291" s="6">
        <v>43447</v>
      </c>
      <c r="AH291" s="13">
        <v>43753</v>
      </c>
      <c r="AI291" s="11">
        <v>12027</v>
      </c>
    </row>
    <row r="292" spans="20:35" x14ac:dyDescent="0.3">
      <c r="T292" t="s">
        <v>716</v>
      </c>
      <c r="U292" s="6">
        <v>17446</v>
      </c>
      <c r="AH292" s="13">
        <v>43754</v>
      </c>
      <c r="AI292" s="11">
        <v>12324</v>
      </c>
    </row>
    <row r="293" spans="20:35" x14ac:dyDescent="0.3">
      <c r="T293" t="s">
        <v>242</v>
      </c>
      <c r="U293" s="6">
        <v>10620</v>
      </c>
      <c r="AH293" s="13">
        <v>43755</v>
      </c>
      <c r="AI293" s="11">
        <v>15611</v>
      </c>
    </row>
    <row r="294" spans="20:35" x14ac:dyDescent="0.3">
      <c r="T294" t="s">
        <v>859</v>
      </c>
      <c r="U294" s="6">
        <v>48731</v>
      </c>
      <c r="AH294" s="13">
        <v>43756</v>
      </c>
      <c r="AI294" s="11">
        <v>17264</v>
      </c>
    </row>
    <row r="295" spans="20:35" x14ac:dyDescent="0.3">
      <c r="T295" t="s">
        <v>180</v>
      </c>
      <c r="U295" s="6">
        <v>30030</v>
      </c>
      <c r="AH295" s="13">
        <v>43757</v>
      </c>
      <c r="AI295" s="11">
        <v>4978</v>
      </c>
    </row>
    <row r="296" spans="20:35" x14ac:dyDescent="0.3">
      <c r="T296" t="s">
        <v>860</v>
      </c>
      <c r="U296" s="6">
        <v>28885</v>
      </c>
      <c r="AH296" s="13">
        <v>43758</v>
      </c>
      <c r="AI296" s="11">
        <v>9420</v>
      </c>
    </row>
    <row r="297" spans="20:35" x14ac:dyDescent="0.3">
      <c r="T297" t="s">
        <v>717</v>
      </c>
      <c r="U297" s="6">
        <v>26285</v>
      </c>
      <c r="AH297" s="13">
        <v>43759</v>
      </c>
      <c r="AI297" s="11">
        <v>16097</v>
      </c>
    </row>
    <row r="298" spans="20:35" x14ac:dyDescent="0.3">
      <c r="T298" t="s">
        <v>336</v>
      </c>
      <c r="U298" s="6">
        <v>17858</v>
      </c>
      <c r="AH298" s="13">
        <v>43760</v>
      </c>
      <c r="AI298" s="11">
        <v>10637</v>
      </c>
    </row>
    <row r="299" spans="20:35" x14ac:dyDescent="0.3">
      <c r="T299" t="s">
        <v>195</v>
      </c>
      <c r="U299" s="6">
        <v>56937</v>
      </c>
      <c r="AH299" s="13">
        <v>43761</v>
      </c>
      <c r="AI299" s="11">
        <v>8636</v>
      </c>
    </row>
    <row r="300" spans="20:35" x14ac:dyDescent="0.3">
      <c r="T300" t="s">
        <v>718</v>
      </c>
      <c r="U300" s="6">
        <v>28052</v>
      </c>
      <c r="AH300" s="13">
        <v>43762</v>
      </c>
      <c r="AI300" s="11">
        <v>3569</v>
      </c>
    </row>
    <row r="301" spans="20:35" x14ac:dyDescent="0.3">
      <c r="T301" t="s">
        <v>262</v>
      </c>
      <c r="U301" s="6">
        <v>32506</v>
      </c>
      <c r="AH301" s="13">
        <v>43763</v>
      </c>
      <c r="AI301" s="11">
        <v>3617</v>
      </c>
    </row>
    <row r="302" spans="20:35" x14ac:dyDescent="0.3">
      <c r="T302" t="s">
        <v>462</v>
      </c>
      <c r="U302" s="6">
        <v>22572</v>
      </c>
      <c r="AH302" s="13">
        <v>43764</v>
      </c>
      <c r="AI302" s="11">
        <v>6141</v>
      </c>
    </row>
    <row r="303" spans="20:35" x14ac:dyDescent="0.3">
      <c r="T303" t="s">
        <v>719</v>
      </c>
      <c r="U303" s="6">
        <v>19135</v>
      </c>
      <c r="AH303" s="13">
        <v>43765</v>
      </c>
      <c r="AI303" s="11">
        <v>12590</v>
      </c>
    </row>
    <row r="304" spans="20:35" x14ac:dyDescent="0.3">
      <c r="T304" t="s">
        <v>720</v>
      </c>
      <c r="U304" s="6">
        <v>37089</v>
      </c>
      <c r="AH304" s="13">
        <v>43766</v>
      </c>
      <c r="AI304" s="11">
        <v>5799</v>
      </c>
    </row>
    <row r="305" spans="20:35" x14ac:dyDescent="0.3">
      <c r="T305" t="s">
        <v>277</v>
      </c>
      <c r="U305" s="6">
        <v>51773</v>
      </c>
      <c r="AH305" s="13">
        <v>43767</v>
      </c>
      <c r="AI305" s="11">
        <v>4440</v>
      </c>
    </row>
    <row r="306" spans="20:35" x14ac:dyDescent="0.3">
      <c r="T306" t="s">
        <v>721</v>
      </c>
      <c r="U306" s="6">
        <v>43563</v>
      </c>
      <c r="AH306" s="13">
        <v>43768</v>
      </c>
      <c r="AI306" s="11">
        <v>11107</v>
      </c>
    </row>
    <row r="307" spans="20:35" x14ac:dyDescent="0.3">
      <c r="T307" t="s">
        <v>375</v>
      </c>
      <c r="U307" s="6">
        <v>58656</v>
      </c>
      <c r="AH307" s="13">
        <v>43769</v>
      </c>
      <c r="AI307" s="11">
        <v>5193</v>
      </c>
    </row>
    <row r="308" spans="20:35" x14ac:dyDescent="0.3">
      <c r="T308" t="s">
        <v>722</v>
      </c>
      <c r="U308" s="6">
        <v>29479</v>
      </c>
      <c r="AH308" s="13">
        <v>43770</v>
      </c>
      <c r="AI308" s="11">
        <v>18234</v>
      </c>
    </row>
    <row r="309" spans="20:35" x14ac:dyDescent="0.3">
      <c r="T309" t="s">
        <v>861</v>
      </c>
      <c r="U309" s="6">
        <v>54057</v>
      </c>
      <c r="AH309" s="13">
        <v>43771</v>
      </c>
      <c r="AI309" s="11">
        <v>12157</v>
      </c>
    </row>
    <row r="310" spans="20:35" x14ac:dyDescent="0.3">
      <c r="T310" t="s">
        <v>274</v>
      </c>
      <c r="U310" s="6">
        <v>26982</v>
      </c>
      <c r="AH310" s="13">
        <v>43772</v>
      </c>
      <c r="AI310" s="11">
        <v>6571</v>
      </c>
    </row>
    <row r="311" spans="20:35" x14ac:dyDescent="0.3">
      <c r="T311" t="s">
        <v>723</v>
      </c>
      <c r="U311" s="6">
        <v>27975</v>
      </c>
      <c r="AH311" s="13">
        <v>43773</v>
      </c>
      <c r="AI311" s="11">
        <v>8420</v>
      </c>
    </row>
    <row r="312" spans="20:35" x14ac:dyDescent="0.3">
      <c r="T312" t="s">
        <v>344</v>
      </c>
      <c r="U312" s="6">
        <v>41516</v>
      </c>
      <c r="AH312" s="13">
        <v>43774</v>
      </c>
      <c r="AI312" s="11">
        <v>5945</v>
      </c>
    </row>
    <row r="313" spans="20:35" x14ac:dyDescent="0.3">
      <c r="T313" t="s">
        <v>569</v>
      </c>
      <c r="U313" s="6">
        <v>43743</v>
      </c>
      <c r="AH313" s="13">
        <v>43775</v>
      </c>
      <c r="AI313" s="11">
        <v>18053</v>
      </c>
    </row>
    <row r="314" spans="20:35" x14ac:dyDescent="0.3">
      <c r="T314" t="s">
        <v>724</v>
      </c>
      <c r="U314" s="6">
        <v>30752</v>
      </c>
      <c r="AH314" s="13">
        <v>43776</v>
      </c>
      <c r="AI314" s="11">
        <v>7524</v>
      </c>
    </row>
    <row r="315" spans="20:35" x14ac:dyDescent="0.3">
      <c r="T315" t="s">
        <v>198</v>
      </c>
      <c r="U315" s="6">
        <v>34784</v>
      </c>
      <c r="AH315" s="13">
        <v>43777</v>
      </c>
      <c r="AI315" s="11">
        <v>6659</v>
      </c>
    </row>
    <row r="316" spans="20:35" x14ac:dyDescent="0.3">
      <c r="T316" t="s">
        <v>455</v>
      </c>
      <c r="U316" s="6">
        <v>28945</v>
      </c>
      <c r="AH316" s="13">
        <v>43778</v>
      </c>
      <c r="AI316" s="11">
        <v>6458</v>
      </c>
    </row>
    <row r="317" spans="20:35" x14ac:dyDescent="0.3">
      <c r="T317" t="s">
        <v>450</v>
      </c>
      <c r="U317" s="6">
        <v>42564</v>
      </c>
      <c r="AH317" s="13">
        <v>43779</v>
      </c>
      <c r="AI317" s="11">
        <v>12508</v>
      </c>
    </row>
    <row r="318" spans="20:35" x14ac:dyDescent="0.3">
      <c r="T318" t="s">
        <v>194</v>
      </c>
      <c r="U318" s="6">
        <v>26019</v>
      </c>
      <c r="AH318" s="13">
        <v>43780</v>
      </c>
      <c r="AI318" s="11">
        <v>9573</v>
      </c>
    </row>
    <row r="319" spans="20:35" x14ac:dyDescent="0.3">
      <c r="T319" t="s">
        <v>306</v>
      </c>
      <c r="U319" s="6">
        <v>34843</v>
      </c>
      <c r="AH319" s="13">
        <v>43781</v>
      </c>
      <c r="AI319" s="11">
        <v>9789</v>
      </c>
    </row>
    <row r="320" spans="20:35" x14ac:dyDescent="0.3">
      <c r="T320" t="s">
        <v>862</v>
      </c>
      <c r="U320" s="6">
        <v>20529</v>
      </c>
      <c r="AH320" s="13">
        <v>43782</v>
      </c>
      <c r="AI320" s="11">
        <v>7719</v>
      </c>
    </row>
    <row r="321" spans="20:35" x14ac:dyDescent="0.3">
      <c r="T321" t="s">
        <v>381</v>
      </c>
      <c r="U321" s="6">
        <v>20508</v>
      </c>
      <c r="AH321" s="13">
        <v>43783</v>
      </c>
      <c r="AI321" s="11">
        <v>12639</v>
      </c>
    </row>
    <row r="322" spans="20:35" x14ac:dyDescent="0.3">
      <c r="T322" t="s">
        <v>725</v>
      </c>
      <c r="U322" s="6">
        <v>41149</v>
      </c>
      <c r="AH322" s="13">
        <v>43784</v>
      </c>
      <c r="AI322" s="11">
        <v>8649</v>
      </c>
    </row>
    <row r="323" spans="20:35" x14ac:dyDescent="0.3">
      <c r="T323" t="s">
        <v>922</v>
      </c>
      <c r="U323" s="6">
        <v>16070</v>
      </c>
      <c r="AH323" s="13">
        <v>43785</v>
      </c>
      <c r="AI323" s="11">
        <v>10679</v>
      </c>
    </row>
    <row r="324" spans="20:35" x14ac:dyDescent="0.3">
      <c r="T324" t="s">
        <v>492</v>
      </c>
      <c r="U324" s="6">
        <v>15613</v>
      </c>
      <c r="AH324" s="13">
        <v>43786</v>
      </c>
      <c r="AI324" s="11">
        <v>8059</v>
      </c>
    </row>
    <row r="325" spans="20:35" x14ac:dyDescent="0.3">
      <c r="T325" t="s">
        <v>205</v>
      </c>
      <c r="U325" s="6">
        <v>31121</v>
      </c>
      <c r="AH325" s="13">
        <v>43787</v>
      </c>
      <c r="AI325" s="11">
        <v>14888</v>
      </c>
    </row>
    <row r="326" spans="20:35" x14ac:dyDescent="0.3">
      <c r="T326" t="s">
        <v>256</v>
      </c>
      <c r="U326" s="6">
        <v>20399</v>
      </c>
      <c r="AH326" s="13">
        <v>43788</v>
      </c>
      <c r="AI326" s="11">
        <v>17323</v>
      </c>
    </row>
    <row r="327" spans="20:35" x14ac:dyDescent="0.3">
      <c r="T327" t="s">
        <v>143</v>
      </c>
      <c r="U327" s="6">
        <v>20568</v>
      </c>
      <c r="AH327" s="13">
        <v>43789</v>
      </c>
      <c r="AI327" s="11">
        <v>18086</v>
      </c>
    </row>
    <row r="328" spans="20:35" x14ac:dyDescent="0.3">
      <c r="T328" t="s">
        <v>726</v>
      </c>
      <c r="U328" s="6">
        <v>27119</v>
      </c>
      <c r="AH328" s="13">
        <v>43790</v>
      </c>
      <c r="AI328" s="11">
        <v>11813</v>
      </c>
    </row>
    <row r="329" spans="20:35" x14ac:dyDescent="0.3">
      <c r="T329" t="s">
        <v>93</v>
      </c>
      <c r="U329" s="6">
        <v>25722</v>
      </c>
      <c r="AH329" s="13">
        <v>43791</v>
      </c>
      <c r="AI329" s="11">
        <v>19874</v>
      </c>
    </row>
    <row r="330" spans="20:35" x14ac:dyDescent="0.3">
      <c r="T330" t="s">
        <v>727</v>
      </c>
      <c r="U330" s="6">
        <v>16513</v>
      </c>
      <c r="AH330" s="13">
        <v>43792</v>
      </c>
      <c r="AI330" s="11">
        <v>9350</v>
      </c>
    </row>
    <row r="331" spans="20:35" x14ac:dyDescent="0.3">
      <c r="T331" t="s">
        <v>568</v>
      </c>
      <c r="U331" s="6">
        <v>28151</v>
      </c>
      <c r="AH331" s="13">
        <v>43793</v>
      </c>
      <c r="AI331" s="11">
        <v>7141</v>
      </c>
    </row>
    <row r="332" spans="20:35" x14ac:dyDescent="0.3">
      <c r="T332" t="s">
        <v>129</v>
      </c>
      <c r="U332" s="6">
        <v>40151</v>
      </c>
      <c r="AH332" s="13">
        <v>43794</v>
      </c>
      <c r="AI332" s="11">
        <v>10945</v>
      </c>
    </row>
    <row r="333" spans="20:35" x14ac:dyDescent="0.3">
      <c r="T333" t="s">
        <v>314</v>
      </c>
      <c r="U333" s="6">
        <v>56460</v>
      </c>
      <c r="AH333" s="13">
        <v>43795</v>
      </c>
      <c r="AI333" s="11">
        <v>13083</v>
      </c>
    </row>
    <row r="334" spans="20:35" x14ac:dyDescent="0.3">
      <c r="T334" t="s">
        <v>863</v>
      </c>
      <c r="U334" s="6">
        <v>43345</v>
      </c>
      <c r="AH334" s="13">
        <v>43796</v>
      </c>
      <c r="AI334" s="11">
        <v>9031</v>
      </c>
    </row>
    <row r="335" spans="20:35" x14ac:dyDescent="0.3">
      <c r="T335" t="s">
        <v>447</v>
      </c>
      <c r="U335" s="6">
        <v>47282</v>
      </c>
      <c r="AH335" s="13">
        <v>43797</v>
      </c>
      <c r="AI335" s="11">
        <v>11680</v>
      </c>
    </row>
    <row r="336" spans="20:35" x14ac:dyDescent="0.3">
      <c r="T336" t="s">
        <v>394</v>
      </c>
      <c r="U336" s="6">
        <v>41551</v>
      </c>
      <c r="AH336" s="13">
        <v>43798</v>
      </c>
      <c r="AI336" s="11">
        <v>15997</v>
      </c>
    </row>
    <row r="337" spans="20:35" x14ac:dyDescent="0.3">
      <c r="T337" t="s">
        <v>728</v>
      </c>
      <c r="U337" s="6">
        <v>42434</v>
      </c>
      <c r="AH337" s="13">
        <v>43799</v>
      </c>
      <c r="AI337" s="11">
        <v>5983</v>
      </c>
    </row>
    <row r="338" spans="20:35" x14ac:dyDescent="0.3">
      <c r="T338" t="s">
        <v>545</v>
      </c>
      <c r="U338" s="6">
        <v>37162</v>
      </c>
      <c r="AH338" s="13">
        <v>43800</v>
      </c>
      <c r="AI338" s="11">
        <v>8599</v>
      </c>
    </row>
    <row r="339" spans="20:35" x14ac:dyDescent="0.3">
      <c r="T339" t="s">
        <v>91</v>
      </c>
      <c r="U339" s="6">
        <v>36727</v>
      </c>
      <c r="AH339" s="13">
        <v>43801</v>
      </c>
      <c r="AI339" s="11">
        <v>2880</v>
      </c>
    </row>
    <row r="340" spans="20:35" x14ac:dyDescent="0.3">
      <c r="T340" t="s">
        <v>152</v>
      </c>
      <c r="U340" s="6">
        <v>21994</v>
      </c>
      <c r="AH340" s="13">
        <v>43802</v>
      </c>
      <c r="AI340" s="11">
        <v>8866</v>
      </c>
    </row>
    <row r="341" spans="20:35" x14ac:dyDescent="0.3">
      <c r="T341" t="s">
        <v>448</v>
      </c>
      <c r="U341" s="6">
        <v>32653</v>
      </c>
      <c r="AH341" s="13">
        <v>43803</v>
      </c>
      <c r="AI341" s="11">
        <v>11272</v>
      </c>
    </row>
    <row r="342" spans="20:35" x14ac:dyDescent="0.3">
      <c r="T342" t="s">
        <v>157</v>
      </c>
      <c r="U342" s="6">
        <v>17984</v>
      </c>
      <c r="AH342" s="13">
        <v>43804</v>
      </c>
      <c r="AI342" s="11">
        <v>9983</v>
      </c>
    </row>
    <row r="343" spans="20:35" x14ac:dyDescent="0.3">
      <c r="T343" t="s">
        <v>729</v>
      </c>
      <c r="U343" s="6">
        <v>47415</v>
      </c>
      <c r="AH343" s="13">
        <v>43805</v>
      </c>
      <c r="AI343" s="11">
        <v>9712</v>
      </c>
    </row>
    <row r="344" spans="20:35" x14ac:dyDescent="0.3">
      <c r="T344" t="s">
        <v>342</v>
      </c>
      <c r="U344" s="6">
        <v>26657</v>
      </c>
      <c r="AH344" s="13">
        <v>43806</v>
      </c>
      <c r="AI344" s="11">
        <v>5836</v>
      </c>
    </row>
    <row r="345" spans="20:35" x14ac:dyDescent="0.3">
      <c r="T345" t="s">
        <v>864</v>
      </c>
      <c r="U345" s="6">
        <v>22813</v>
      </c>
      <c r="AH345" s="13">
        <v>43807</v>
      </c>
      <c r="AI345" s="11">
        <v>2341</v>
      </c>
    </row>
    <row r="346" spans="20:35" x14ac:dyDescent="0.3">
      <c r="T346" t="s">
        <v>399</v>
      </c>
      <c r="U346" s="6">
        <v>30874</v>
      </c>
      <c r="AH346" s="13">
        <v>43808</v>
      </c>
      <c r="AI346" s="11">
        <v>18143</v>
      </c>
    </row>
    <row r="347" spans="20:35" x14ac:dyDescent="0.3">
      <c r="T347" t="s">
        <v>507</v>
      </c>
      <c r="U347" s="6">
        <v>43083</v>
      </c>
      <c r="AH347" s="13">
        <v>43809</v>
      </c>
      <c r="AI347" s="11">
        <v>9606</v>
      </c>
    </row>
    <row r="348" spans="20:35" x14ac:dyDescent="0.3">
      <c r="T348" t="s">
        <v>352</v>
      </c>
      <c r="U348" s="6">
        <v>44800</v>
      </c>
      <c r="AH348" s="13">
        <v>43810</v>
      </c>
      <c r="AI348" s="11">
        <v>10335</v>
      </c>
    </row>
    <row r="349" spans="20:35" x14ac:dyDescent="0.3">
      <c r="T349" t="s">
        <v>730</v>
      </c>
      <c r="U349" s="6">
        <v>32928</v>
      </c>
      <c r="AH349" s="13">
        <v>43811</v>
      </c>
      <c r="AI349" s="11">
        <v>7254</v>
      </c>
    </row>
    <row r="350" spans="20:35" x14ac:dyDescent="0.3">
      <c r="T350" t="s">
        <v>169</v>
      </c>
      <c r="U350" s="6">
        <v>33533</v>
      </c>
      <c r="AH350" s="13">
        <v>43812</v>
      </c>
      <c r="AI350" s="11">
        <v>10578</v>
      </c>
    </row>
    <row r="351" spans="20:35" x14ac:dyDescent="0.3">
      <c r="T351" t="s">
        <v>141</v>
      </c>
      <c r="U351" s="6">
        <v>45295</v>
      </c>
      <c r="AH351" s="13">
        <v>43813</v>
      </c>
      <c r="AI351" s="11">
        <v>16862</v>
      </c>
    </row>
    <row r="352" spans="20:35" x14ac:dyDescent="0.3">
      <c r="T352" t="s">
        <v>355</v>
      </c>
      <c r="U352" s="6">
        <v>45196</v>
      </c>
      <c r="AH352" s="13">
        <v>43814</v>
      </c>
      <c r="AI352" s="11">
        <v>13358</v>
      </c>
    </row>
    <row r="353" spans="20:35" x14ac:dyDescent="0.3">
      <c r="T353" t="s">
        <v>532</v>
      </c>
      <c r="U353" s="6">
        <v>21296</v>
      </c>
      <c r="AH353" s="13">
        <v>43815</v>
      </c>
      <c r="AI353" s="11">
        <v>6924</v>
      </c>
    </row>
    <row r="354" spans="20:35" x14ac:dyDescent="0.3">
      <c r="T354" t="s">
        <v>161</v>
      </c>
      <c r="U354" s="6">
        <v>14025</v>
      </c>
      <c r="AH354" s="13">
        <v>43816</v>
      </c>
      <c r="AI354" s="11">
        <v>13184</v>
      </c>
    </row>
    <row r="355" spans="20:35" x14ac:dyDescent="0.3">
      <c r="T355" t="s">
        <v>202</v>
      </c>
      <c r="U355" s="6">
        <v>20729</v>
      </c>
      <c r="AH355" s="13">
        <v>43817</v>
      </c>
      <c r="AI355" s="11">
        <v>13363</v>
      </c>
    </row>
    <row r="356" spans="20:35" x14ac:dyDescent="0.3">
      <c r="T356" t="s">
        <v>276</v>
      </c>
      <c r="U356" s="6">
        <v>31273</v>
      </c>
      <c r="AH356" s="13">
        <v>43818</v>
      </c>
      <c r="AI356" s="11">
        <v>8790</v>
      </c>
    </row>
    <row r="357" spans="20:35" x14ac:dyDescent="0.3">
      <c r="T357" t="s">
        <v>731</v>
      </c>
      <c r="U357" s="6">
        <v>38613</v>
      </c>
      <c r="AH357" s="13">
        <v>43819</v>
      </c>
      <c r="AI357" s="11">
        <v>17462</v>
      </c>
    </row>
    <row r="358" spans="20:35" x14ac:dyDescent="0.3">
      <c r="T358" t="s">
        <v>84</v>
      </c>
      <c r="U358" s="6">
        <v>29623</v>
      </c>
      <c r="AH358" s="13">
        <v>43820</v>
      </c>
      <c r="AI358" s="11">
        <v>4803</v>
      </c>
    </row>
    <row r="359" spans="20:35" x14ac:dyDescent="0.3">
      <c r="T359" t="s">
        <v>285</v>
      </c>
      <c r="U359" s="6">
        <v>24144</v>
      </c>
      <c r="AH359" s="13">
        <v>43821</v>
      </c>
      <c r="AI359" s="11">
        <v>9880</v>
      </c>
    </row>
    <row r="360" spans="20:35" x14ac:dyDescent="0.3">
      <c r="T360" t="s">
        <v>178</v>
      </c>
      <c r="U360" s="6">
        <v>43113</v>
      </c>
      <c r="AH360" s="13">
        <v>43822</v>
      </c>
      <c r="AI360" s="11">
        <v>8307</v>
      </c>
    </row>
    <row r="361" spans="20:35" x14ac:dyDescent="0.3">
      <c r="T361" t="s">
        <v>418</v>
      </c>
      <c r="U361" s="6">
        <v>54047</v>
      </c>
      <c r="AH361" s="13">
        <v>43823</v>
      </c>
      <c r="AI361" s="11">
        <v>10202</v>
      </c>
    </row>
    <row r="362" spans="20:35" x14ac:dyDescent="0.3">
      <c r="T362" t="s">
        <v>98</v>
      </c>
      <c r="U362" s="6">
        <v>25078</v>
      </c>
      <c r="AH362" s="13">
        <v>43824</v>
      </c>
      <c r="AI362" s="11">
        <v>12826</v>
      </c>
    </row>
    <row r="363" spans="20:35" x14ac:dyDescent="0.3">
      <c r="T363" t="s">
        <v>732</v>
      </c>
      <c r="U363" s="6">
        <v>25479</v>
      </c>
      <c r="AH363" s="13">
        <v>43825</v>
      </c>
      <c r="AI363" s="11">
        <v>2447</v>
      </c>
    </row>
    <row r="364" spans="20:35" x14ac:dyDescent="0.3">
      <c r="T364" t="s">
        <v>865</v>
      </c>
      <c r="U364" s="6">
        <v>40528</v>
      </c>
      <c r="AH364" s="13">
        <v>43826</v>
      </c>
      <c r="AI364" s="11">
        <v>18041</v>
      </c>
    </row>
    <row r="365" spans="20:35" x14ac:dyDescent="0.3">
      <c r="T365" t="s">
        <v>542</v>
      </c>
      <c r="U365" s="6">
        <v>19859</v>
      </c>
      <c r="AH365" s="13">
        <v>43827</v>
      </c>
      <c r="AI365" s="11">
        <v>8442</v>
      </c>
    </row>
    <row r="366" spans="20:35" x14ac:dyDescent="0.3">
      <c r="T366" t="s">
        <v>115</v>
      </c>
      <c r="U366" s="6">
        <v>21859</v>
      </c>
      <c r="AH366" s="13">
        <v>43828</v>
      </c>
      <c r="AI366" s="11">
        <v>21157</v>
      </c>
    </row>
    <row r="367" spans="20:35" x14ac:dyDescent="0.3">
      <c r="T367" t="s">
        <v>591</v>
      </c>
      <c r="U367" s="6">
        <v>21541</v>
      </c>
      <c r="AH367" s="13">
        <v>43829</v>
      </c>
      <c r="AI367" s="11">
        <v>14756</v>
      </c>
    </row>
    <row r="368" spans="20:35" x14ac:dyDescent="0.3">
      <c r="T368" t="s">
        <v>866</v>
      </c>
      <c r="U368" s="6">
        <v>20095</v>
      </c>
      <c r="AH368" s="13">
        <v>43830</v>
      </c>
      <c r="AI368" s="11">
        <v>11592</v>
      </c>
    </row>
    <row r="369" spans="20:35" x14ac:dyDescent="0.3">
      <c r="T369" t="s">
        <v>328</v>
      </c>
      <c r="U369" s="6">
        <v>14371</v>
      </c>
      <c r="AH369" s="13">
        <v>43831</v>
      </c>
      <c r="AI369" s="11">
        <v>10672</v>
      </c>
    </row>
    <row r="370" spans="20:35" x14ac:dyDescent="0.3">
      <c r="T370" t="s">
        <v>733</v>
      </c>
      <c r="U370" s="6">
        <v>32922</v>
      </c>
      <c r="AH370" s="13">
        <v>43832</v>
      </c>
      <c r="AI370" s="11">
        <v>13042</v>
      </c>
    </row>
    <row r="371" spans="20:35" x14ac:dyDescent="0.3">
      <c r="T371" t="s">
        <v>534</v>
      </c>
      <c r="U371" s="6">
        <v>24016</v>
      </c>
      <c r="AH371" s="13">
        <v>43833</v>
      </c>
      <c r="AI371" s="11">
        <v>10359</v>
      </c>
    </row>
    <row r="372" spans="20:35" x14ac:dyDescent="0.3">
      <c r="T372" t="s">
        <v>80</v>
      </c>
      <c r="U372" s="6">
        <v>27904</v>
      </c>
      <c r="AH372" s="13">
        <v>43834</v>
      </c>
      <c r="AI372" s="11">
        <v>10897</v>
      </c>
    </row>
    <row r="373" spans="20:35" x14ac:dyDescent="0.3">
      <c r="T373" t="s">
        <v>378</v>
      </c>
      <c r="U373" s="6">
        <v>42933</v>
      </c>
      <c r="AH373" s="13">
        <v>43835</v>
      </c>
      <c r="AI373" s="11">
        <v>10708</v>
      </c>
    </row>
    <row r="374" spans="20:35" x14ac:dyDescent="0.3">
      <c r="T374" t="s">
        <v>734</v>
      </c>
      <c r="U374" s="6">
        <v>34061</v>
      </c>
      <c r="AH374" s="13">
        <v>43836</v>
      </c>
      <c r="AI374" s="11">
        <v>4722</v>
      </c>
    </row>
    <row r="375" spans="20:35" x14ac:dyDescent="0.3">
      <c r="T375" t="s">
        <v>735</v>
      </c>
      <c r="U375" s="6">
        <v>25185</v>
      </c>
      <c r="AH375" s="13">
        <v>43837</v>
      </c>
      <c r="AI375" s="11">
        <v>14149</v>
      </c>
    </row>
    <row r="376" spans="20:35" x14ac:dyDescent="0.3">
      <c r="T376" t="s">
        <v>453</v>
      </c>
      <c r="U376" s="6">
        <v>25555</v>
      </c>
      <c r="AH376" s="13">
        <v>43838</v>
      </c>
      <c r="AI376" s="11">
        <v>6760</v>
      </c>
    </row>
    <row r="377" spans="20:35" x14ac:dyDescent="0.3">
      <c r="T377" t="s">
        <v>424</v>
      </c>
      <c r="U377" s="6">
        <v>28438</v>
      </c>
      <c r="AH377" s="13">
        <v>43839</v>
      </c>
      <c r="AI377" s="11">
        <v>10811</v>
      </c>
    </row>
    <row r="378" spans="20:35" x14ac:dyDescent="0.3">
      <c r="T378" t="s">
        <v>458</v>
      </c>
      <c r="U378" s="6">
        <v>44380</v>
      </c>
      <c r="AH378" s="13">
        <v>43840</v>
      </c>
      <c r="AI378" s="11">
        <v>9344</v>
      </c>
    </row>
    <row r="379" spans="20:35" x14ac:dyDescent="0.3">
      <c r="T379" t="s">
        <v>412</v>
      </c>
      <c r="U379" s="6">
        <v>27502</v>
      </c>
      <c r="AH379" s="13">
        <v>43841</v>
      </c>
      <c r="AI379" s="11">
        <v>11347</v>
      </c>
    </row>
    <row r="380" spans="20:35" x14ac:dyDescent="0.3">
      <c r="T380" t="s">
        <v>736</v>
      </c>
      <c r="U380" s="6">
        <v>29640</v>
      </c>
      <c r="AH380" s="13">
        <v>43842</v>
      </c>
      <c r="AI380" s="11">
        <v>16976</v>
      </c>
    </row>
    <row r="381" spans="20:35" x14ac:dyDescent="0.3">
      <c r="T381" t="s">
        <v>867</v>
      </c>
      <c r="U381" s="6">
        <v>22285</v>
      </c>
      <c r="AH381" s="13">
        <v>43843</v>
      </c>
      <c r="AI381" s="11">
        <v>10999</v>
      </c>
    </row>
    <row r="382" spans="20:35" x14ac:dyDescent="0.3">
      <c r="T382" t="s">
        <v>868</v>
      </c>
      <c r="U382" s="6">
        <v>22155</v>
      </c>
      <c r="AH382" s="13">
        <v>43844</v>
      </c>
      <c r="AI382" s="11">
        <v>14610</v>
      </c>
    </row>
    <row r="383" spans="20:35" x14ac:dyDescent="0.3">
      <c r="T383" t="s">
        <v>408</v>
      </c>
      <c r="U383" s="6">
        <v>43337</v>
      </c>
      <c r="AH383" s="13">
        <v>43845</v>
      </c>
      <c r="AI383" s="11">
        <v>17530</v>
      </c>
    </row>
    <row r="384" spans="20:35" x14ac:dyDescent="0.3">
      <c r="T384" t="s">
        <v>600</v>
      </c>
      <c r="U384" s="6">
        <v>41949</v>
      </c>
      <c r="AH384" s="13">
        <v>43846</v>
      </c>
      <c r="AI384" s="11">
        <v>8844</v>
      </c>
    </row>
    <row r="385" spans="20:35" x14ac:dyDescent="0.3">
      <c r="T385" t="s">
        <v>594</v>
      </c>
      <c r="U385" s="6">
        <v>39368</v>
      </c>
      <c r="AH385" s="13">
        <v>43847</v>
      </c>
      <c r="AI385" s="11">
        <v>6973</v>
      </c>
    </row>
    <row r="386" spans="20:35" x14ac:dyDescent="0.3">
      <c r="T386" t="s">
        <v>207</v>
      </c>
      <c r="U386" s="6">
        <v>42889</v>
      </c>
      <c r="AH386" s="13">
        <v>43848</v>
      </c>
      <c r="AI386" s="11">
        <v>6539</v>
      </c>
    </row>
    <row r="387" spans="20:35" x14ac:dyDescent="0.3">
      <c r="T387" t="s">
        <v>518</v>
      </c>
      <c r="U387" s="6">
        <v>38979</v>
      </c>
      <c r="AH387" s="13">
        <v>43849</v>
      </c>
      <c r="AI387" s="11">
        <v>11330</v>
      </c>
    </row>
    <row r="388" spans="20:35" x14ac:dyDescent="0.3">
      <c r="T388" t="s">
        <v>869</v>
      </c>
      <c r="U388" s="6">
        <v>21174</v>
      </c>
      <c r="AH388" s="13">
        <v>43850</v>
      </c>
      <c r="AI388" s="11">
        <v>3782</v>
      </c>
    </row>
    <row r="389" spans="20:35" x14ac:dyDescent="0.3">
      <c r="T389" t="s">
        <v>565</v>
      </c>
      <c r="U389" s="6">
        <v>43695</v>
      </c>
      <c r="AH389" s="13">
        <v>43851</v>
      </c>
      <c r="AI389" s="11">
        <v>11634</v>
      </c>
    </row>
    <row r="390" spans="20:35" x14ac:dyDescent="0.3">
      <c r="T390" t="s">
        <v>737</v>
      </c>
      <c r="U390" s="6">
        <v>21226</v>
      </c>
      <c r="AH390" s="13">
        <v>43852</v>
      </c>
      <c r="AI390" s="11">
        <v>9162</v>
      </c>
    </row>
    <row r="391" spans="20:35" x14ac:dyDescent="0.3">
      <c r="T391" t="s">
        <v>738</v>
      </c>
      <c r="U391" s="6">
        <v>41278</v>
      </c>
      <c r="AH391" s="13">
        <v>43853</v>
      </c>
      <c r="AI391" s="11">
        <v>5326</v>
      </c>
    </row>
    <row r="392" spans="20:35" x14ac:dyDescent="0.3">
      <c r="T392" t="s">
        <v>372</v>
      </c>
      <c r="U392" s="6">
        <v>13465</v>
      </c>
      <c r="AH392" s="13">
        <v>43854</v>
      </c>
      <c r="AI392" s="11">
        <v>1694</v>
      </c>
    </row>
    <row r="393" spans="20:35" x14ac:dyDescent="0.3">
      <c r="T393" t="s">
        <v>739</v>
      </c>
      <c r="U393" s="6">
        <v>23419</v>
      </c>
      <c r="AH393" s="13">
        <v>43855</v>
      </c>
      <c r="AI393" s="11">
        <v>8989</v>
      </c>
    </row>
    <row r="394" spans="20:35" x14ac:dyDescent="0.3">
      <c r="T394" t="s">
        <v>120</v>
      </c>
      <c r="U394" s="6">
        <v>40151</v>
      </c>
      <c r="AH394" s="13">
        <v>43856</v>
      </c>
      <c r="AI394" s="11">
        <v>14554</v>
      </c>
    </row>
    <row r="395" spans="20:35" x14ac:dyDescent="0.3">
      <c r="T395" t="s">
        <v>257</v>
      </c>
      <c r="U395" s="6">
        <v>19042</v>
      </c>
      <c r="AH395" s="13">
        <v>43857</v>
      </c>
      <c r="AI395" s="11">
        <v>9712</v>
      </c>
    </row>
    <row r="396" spans="20:35" x14ac:dyDescent="0.3">
      <c r="T396" t="s">
        <v>499</v>
      </c>
      <c r="U396" s="6">
        <v>42780</v>
      </c>
      <c r="AH396" s="13">
        <v>43858</v>
      </c>
      <c r="AI396" s="11">
        <v>5363</v>
      </c>
    </row>
    <row r="397" spans="20:35" x14ac:dyDescent="0.3">
      <c r="T397" t="s">
        <v>509</v>
      </c>
      <c r="U397" s="6">
        <v>28308</v>
      </c>
      <c r="AH397" s="13">
        <v>43859</v>
      </c>
      <c r="AI397" s="11">
        <v>5044</v>
      </c>
    </row>
    <row r="398" spans="20:35" x14ac:dyDescent="0.3">
      <c r="T398" t="s">
        <v>907</v>
      </c>
      <c r="U398" s="6">
        <v>15946</v>
      </c>
      <c r="AH398" s="13">
        <v>43860</v>
      </c>
      <c r="AI398" s="11">
        <v>9795</v>
      </c>
    </row>
    <row r="399" spans="20:35" x14ac:dyDescent="0.3">
      <c r="T399" t="s">
        <v>340</v>
      </c>
      <c r="U399" s="6">
        <v>30474</v>
      </c>
      <c r="AH399" s="13">
        <v>43861</v>
      </c>
      <c r="AI399" s="11">
        <v>9927</v>
      </c>
    </row>
    <row r="400" spans="20:35" x14ac:dyDescent="0.3">
      <c r="T400" t="s">
        <v>191</v>
      </c>
      <c r="U400" s="6">
        <v>40970</v>
      </c>
      <c r="AH400" s="13">
        <v>43862</v>
      </c>
      <c r="AI400" s="11">
        <v>10108</v>
      </c>
    </row>
    <row r="401" spans="20:35" x14ac:dyDescent="0.3">
      <c r="T401" t="s">
        <v>740</v>
      </c>
      <c r="U401" s="6">
        <v>22837</v>
      </c>
      <c r="AH401" s="13">
        <v>43863</v>
      </c>
      <c r="AI401" s="11">
        <v>7300</v>
      </c>
    </row>
    <row r="402" spans="20:35" x14ac:dyDescent="0.3">
      <c r="T402" t="s">
        <v>497</v>
      </c>
      <c r="U402" s="6">
        <v>29117</v>
      </c>
      <c r="AH402" s="13">
        <v>43864</v>
      </c>
      <c r="AI402" s="11">
        <v>9749</v>
      </c>
    </row>
    <row r="403" spans="20:35" x14ac:dyDescent="0.3">
      <c r="T403" t="s">
        <v>365</v>
      </c>
      <c r="U403" s="6">
        <v>40652</v>
      </c>
      <c r="AH403" s="13">
        <v>43865</v>
      </c>
      <c r="AI403" s="11">
        <v>15097</v>
      </c>
    </row>
    <row r="404" spans="20:35" x14ac:dyDescent="0.3">
      <c r="T404" t="s">
        <v>870</v>
      </c>
      <c r="U404" s="6">
        <v>42529</v>
      </c>
      <c r="AH404" s="13">
        <v>43866</v>
      </c>
      <c r="AI404" s="11">
        <v>9603</v>
      </c>
    </row>
    <row r="405" spans="20:35" x14ac:dyDescent="0.3">
      <c r="T405" t="s">
        <v>392</v>
      </c>
      <c r="U405" s="6">
        <v>44055</v>
      </c>
      <c r="AH405" s="13">
        <v>43867</v>
      </c>
      <c r="AI405" s="11">
        <v>5792</v>
      </c>
    </row>
    <row r="406" spans="20:35" x14ac:dyDescent="0.3">
      <c r="T406" t="s">
        <v>871</v>
      </c>
      <c r="U406" s="6">
        <v>19365</v>
      </c>
      <c r="AH406" s="13">
        <v>43868</v>
      </c>
      <c r="AI406" s="11">
        <v>16289</v>
      </c>
    </row>
    <row r="407" spans="20:35" x14ac:dyDescent="0.3">
      <c r="T407" t="s">
        <v>923</v>
      </c>
      <c r="U407" s="6">
        <v>19221</v>
      </c>
      <c r="AH407" s="13">
        <v>43869</v>
      </c>
      <c r="AI407" s="11">
        <v>10578</v>
      </c>
    </row>
    <row r="408" spans="20:35" x14ac:dyDescent="0.3">
      <c r="T408" t="s">
        <v>741</v>
      </c>
      <c r="U408" s="6">
        <v>51606</v>
      </c>
      <c r="AH408" s="13">
        <v>43870</v>
      </c>
      <c r="AI408" s="11">
        <v>12110</v>
      </c>
    </row>
    <row r="409" spans="20:35" x14ac:dyDescent="0.3">
      <c r="T409" t="s">
        <v>872</v>
      </c>
      <c r="U409" s="6">
        <v>32051</v>
      </c>
      <c r="AH409" s="13">
        <v>43871</v>
      </c>
      <c r="AI409" s="11">
        <v>7380</v>
      </c>
    </row>
    <row r="410" spans="20:35" x14ac:dyDescent="0.3">
      <c r="T410" t="s">
        <v>428</v>
      </c>
      <c r="U410" s="6">
        <v>12433</v>
      </c>
      <c r="AH410" s="13">
        <v>43872</v>
      </c>
      <c r="AI410" s="11">
        <v>4261</v>
      </c>
    </row>
    <row r="411" spans="20:35" x14ac:dyDescent="0.3">
      <c r="T411" t="s">
        <v>742</v>
      </c>
      <c r="U411" s="6">
        <v>30480</v>
      </c>
      <c r="AH411" s="13">
        <v>43873</v>
      </c>
      <c r="AI411" s="11">
        <v>6539</v>
      </c>
    </row>
    <row r="412" spans="20:35" x14ac:dyDescent="0.3">
      <c r="T412" t="s">
        <v>411</v>
      </c>
      <c r="U412" s="6">
        <v>18193</v>
      </c>
      <c r="AH412" s="13">
        <v>43874</v>
      </c>
      <c r="AI412" s="11">
        <v>9756</v>
      </c>
    </row>
    <row r="413" spans="20:35" x14ac:dyDescent="0.3">
      <c r="T413" t="s">
        <v>539</v>
      </c>
      <c r="U413" s="6">
        <v>35470</v>
      </c>
      <c r="AH413" s="13">
        <v>43875</v>
      </c>
      <c r="AI413" s="11">
        <v>6182</v>
      </c>
    </row>
    <row r="414" spans="20:35" x14ac:dyDescent="0.3">
      <c r="T414" t="s">
        <v>429</v>
      </c>
      <c r="U414" s="6">
        <v>30091</v>
      </c>
      <c r="AH414" s="13">
        <v>43876</v>
      </c>
      <c r="AI414" s="11">
        <v>15549</v>
      </c>
    </row>
    <row r="415" spans="20:35" x14ac:dyDescent="0.3">
      <c r="T415" t="s">
        <v>442</v>
      </c>
      <c r="U415" s="6">
        <v>40371</v>
      </c>
      <c r="AH415" s="13">
        <v>43877</v>
      </c>
      <c r="AI415" s="11">
        <v>7890</v>
      </c>
    </row>
    <row r="416" spans="20:35" x14ac:dyDescent="0.3">
      <c r="T416" t="s">
        <v>510</v>
      </c>
      <c r="U416" s="6">
        <v>25778</v>
      </c>
      <c r="AH416" s="13">
        <v>43878</v>
      </c>
      <c r="AI416" s="11">
        <v>10608</v>
      </c>
    </row>
    <row r="417" spans="20:35" x14ac:dyDescent="0.3">
      <c r="T417" t="s">
        <v>743</v>
      </c>
      <c r="U417" s="6">
        <v>14044</v>
      </c>
      <c r="AH417" s="13">
        <v>43879</v>
      </c>
      <c r="AI417" s="11">
        <v>15357</v>
      </c>
    </row>
    <row r="418" spans="20:35" x14ac:dyDescent="0.3">
      <c r="T418" t="s">
        <v>744</v>
      </c>
      <c r="U418" s="6">
        <v>28232</v>
      </c>
      <c r="AH418" s="13">
        <v>43880</v>
      </c>
      <c r="AI418" s="11">
        <v>13265</v>
      </c>
    </row>
    <row r="419" spans="20:35" x14ac:dyDescent="0.3">
      <c r="T419" t="s">
        <v>166</v>
      </c>
      <c r="U419" s="6">
        <v>24895</v>
      </c>
      <c r="AH419" s="13">
        <v>43881</v>
      </c>
      <c r="AI419" s="11">
        <v>9271</v>
      </c>
    </row>
    <row r="420" spans="20:35" x14ac:dyDescent="0.3">
      <c r="T420" t="s">
        <v>745</v>
      </c>
      <c r="U420" s="6">
        <v>42175</v>
      </c>
      <c r="AH420" s="13">
        <v>43882</v>
      </c>
      <c r="AI420" s="11">
        <v>12086</v>
      </c>
    </row>
    <row r="421" spans="20:35" x14ac:dyDescent="0.3">
      <c r="T421" t="s">
        <v>118</v>
      </c>
      <c r="U421" s="6">
        <v>41922</v>
      </c>
      <c r="AH421" s="13">
        <v>43883</v>
      </c>
      <c r="AI421" s="11">
        <v>14174</v>
      </c>
    </row>
    <row r="422" spans="20:35" x14ac:dyDescent="0.3">
      <c r="T422" t="s">
        <v>362</v>
      </c>
      <c r="U422" s="6">
        <v>39874</v>
      </c>
      <c r="AH422" s="13">
        <v>43884</v>
      </c>
      <c r="AI422" s="11">
        <v>10693</v>
      </c>
    </row>
    <row r="423" spans="20:35" x14ac:dyDescent="0.3">
      <c r="T423" t="s">
        <v>924</v>
      </c>
      <c r="U423" s="6">
        <v>15930</v>
      </c>
      <c r="AH423" s="13">
        <v>43885</v>
      </c>
      <c r="AI423" s="11">
        <v>17204</v>
      </c>
    </row>
    <row r="424" spans="20:35" x14ac:dyDescent="0.3">
      <c r="T424" t="s">
        <v>216</v>
      </c>
      <c r="U424" s="6">
        <v>36514</v>
      </c>
      <c r="AH424" s="13">
        <v>43886</v>
      </c>
      <c r="AI424" s="11">
        <v>2641</v>
      </c>
    </row>
    <row r="425" spans="20:35" x14ac:dyDescent="0.3">
      <c r="T425" t="s">
        <v>513</v>
      </c>
      <c r="U425" s="6">
        <v>27350</v>
      </c>
      <c r="AH425" s="13">
        <v>43887</v>
      </c>
      <c r="AI425" s="11">
        <v>8176</v>
      </c>
    </row>
    <row r="426" spans="20:35" x14ac:dyDescent="0.3">
      <c r="T426" t="s">
        <v>117</v>
      </c>
      <c r="U426" s="6">
        <v>32419</v>
      </c>
      <c r="AH426" s="13">
        <v>43888</v>
      </c>
      <c r="AI426" s="11">
        <v>6775</v>
      </c>
    </row>
    <row r="427" spans="20:35" x14ac:dyDescent="0.3">
      <c r="T427" t="s">
        <v>746</v>
      </c>
      <c r="U427" s="6">
        <v>24030</v>
      </c>
      <c r="AH427" s="13">
        <v>43889</v>
      </c>
      <c r="AI427" s="11">
        <v>9939</v>
      </c>
    </row>
    <row r="428" spans="20:35" x14ac:dyDescent="0.3">
      <c r="T428" t="s">
        <v>183</v>
      </c>
      <c r="U428" s="6">
        <v>19232</v>
      </c>
      <c r="AH428" s="13">
        <v>43890</v>
      </c>
      <c r="AI428" s="11">
        <v>15006</v>
      </c>
    </row>
    <row r="429" spans="20:35" x14ac:dyDescent="0.3">
      <c r="T429" t="s">
        <v>100</v>
      </c>
      <c r="U429" s="6">
        <v>36307</v>
      </c>
      <c r="AH429" s="13">
        <v>43891</v>
      </c>
      <c r="AI429" s="11">
        <v>7355</v>
      </c>
    </row>
    <row r="430" spans="20:35" x14ac:dyDescent="0.3">
      <c r="T430" t="s">
        <v>925</v>
      </c>
      <c r="U430" s="6">
        <v>21024</v>
      </c>
      <c r="AH430" s="13">
        <v>43892</v>
      </c>
      <c r="AI430" s="11">
        <v>8337</v>
      </c>
    </row>
    <row r="431" spans="20:35" x14ac:dyDescent="0.3">
      <c r="T431" t="s">
        <v>551</v>
      </c>
      <c r="U431" s="6">
        <v>33580</v>
      </c>
      <c r="AH431" s="13">
        <v>43893</v>
      </c>
      <c r="AI431" s="11">
        <v>12826</v>
      </c>
    </row>
    <row r="432" spans="20:35" x14ac:dyDescent="0.3">
      <c r="T432" t="s">
        <v>501</v>
      </c>
      <c r="U432" s="6">
        <v>33525</v>
      </c>
      <c r="AH432" s="13">
        <v>43894</v>
      </c>
      <c r="AI432" s="11">
        <v>16212</v>
      </c>
    </row>
    <row r="433" spans="20:35" x14ac:dyDescent="0.3">
      <c r="T433" t="s">
        <v>360</v>
      </c>
      <c r="U433" s="6">
        <v>43479</v>
      </c>
      <c r="AH433" s="13">
        <v>43895</v>
      </c>
      <c r="AI433" s="11">
        <v>12163</v>
      </c>
    </row>
    <row r="434" spans="20:35" x14ac:dyDescent="0.3">
      <c r="T434" t="s">
        <v>516</v>
      </c>
      <c r="U434" s="6">
        <v>42650</v>
      </c>
      <c r="AH434" s="13">
        <v>43896</v>
      </c>
      <c r="AI434" s="11">
        <v>9243</v>
      </c>
    </row>
    <row r="435" spans="20:35" x14ac:dyDescent="0.3">
      <c r="T435" t="s">
        <v>305</v>
      </c>
      <c r="U435" s="6">
        <v>37479</v>
      </c>
      <c r="AH435" s="13">
        <v>43897</v>
      </c>
      <c r="AI435" s="11">
        <v>8132</v>
      </c>
    </row>
    <row r="436" spans="20:35" x14ac:dyDescent="0.3">
      <c r="T436" t="s">
        <v>747</v>
      </c>
      <c r="U436" s="6">
        <v>27046</v>
      </c>
      <c r="AH436" s="13">
        <v>43898</v>
      </c>
      <c r="AI436" s="11">
        <v>10710</v>
      </c>
    </row>
    <row r="437" spans="20:35" x14ac:dyDescent="0.3">
      <c r="T437" t="s">
        <v>926</v>
      </c>
      <c r="U437" s="6">
        <v>25468</v>
      </c>
      <c r="AH437" s="13">
        <v>43899</v>
      </c>
      <c r="AI437" s="11">
        <v>6904</v>
      </c>
    </row>
    <row r="438" spans="20:35" x14ac:dyDescent="0.3">
      <c r="T438" t="s">
        <v>748</v>
      </c>
      <c r="U438" s="6">
        <v>46179</v>
      </c>
      <c r="AH438" s="13">
        <v>43900</v>
      </c>
      <c r="AI438" s="11">
        <v>10047</v>
      </c>
    </row>
    <row r="439" spans="20:35" x14ac:dyDescent="0.3">
      <c r="T439" t="s">
        <v>481</v>
      </c>
      <c r="U439" s="6">
        <v>21300</v>
      </c>
      <c r="AH439" s="13">
        <v>43901</v>
      </c>
      <c r="AI439" s="11">
        <v>6586</v>
      </c>
    </row>
    <row r="440" spans="20:35" x14ac:dyDescent="0.3">
      <c r="T440" t="s">
        <v>102</v>
      </c>
      <c r="U440" s="6">
        <v>21991</v>
      </c>
      <c r="AH440" s="13">
        <v>43902</v>
      </c>
      <c r="AI440" s="11">
        <v>12491</v>
      </c>
    </row>
    <row r="441" spans="20:35" x14ac:dyDescent="0.3">
      <c r="T441" t="s">
        <v>749</v>
      </c>
      <c r="U441" s="6">
        <v>58038</v>
      </c>
      <c r="AH441" s="13">
        <v>43903</v>
      </c>
      <c r="AI441" s="11">
        <v>10277</v>
      </c>
    </row>
    <row r="442" spans="20:35" x14ac:dyDescent="0.3">
      <c r="T442" t="s">
        <v>137</v>
      </c>
      <c r="U442" s="6">
        <v>18876</v>
      </c>
      <c r="AH442" s="13">
        <v>43904</v>
      </c>
      <c r="AI442" s="11">
        <v>5845</v>
      </c>
    </row>
    <row r="443" spans="20:35" x14ac:dyDescent="0.3">
      <c r="T443" t="s">
        <v>343</v>
      </c>
      <c r="U443" s="6">
        <v>25542</v>
      </c>
      <c r="AH443" s="13">
        <v>43905</v>
      </c>
      <c r="AI443" s="11">
        <v>7703</v>
      </c>
    </row>
    <row r="444" spans="20:35" x14ac:dyDescent="0.3">
      <c r="T444" t="s">
        <v>927</v>
      </c>
      <c r="U444" s="6">
        <v>48840</v>
      </c>
      <c r="AH444" s="13">
        <v>43906</v>
      </c>
      <c r="AI444" s="11">
        <v>9539</v>
      </c>
    </row>
    <row r="445" spans="20:35" x14ac:dyDescent="0.3">
      <c r="T445" t="s">
        <v>446</v>
      </c>
      <c r="U445" s="6">
        <v>43352</v>
      </c>
      <c r="AH445" s="13">
        <v>43907</v>
      </c>
      <c r="AI445" s="11">
        <v>10023</v>
      </c>
    </row>
    <row r="446" spans="20:35" x14ac:dyDescent="0.3">
      <c r="T446" t="s">
        <v>468</v>
      </c>
      <c r="U446" s="6">
        <v>52353</v>
      </c>
      <c r="AH446" s="13">
        <v>43908</v>
      </c>
      <c r="AI446" s="11">
        <v>14929</v>
      </c>
    </row>
    <row r="447" spans="20:35" x14ac:dyDescent="0.3">
      <c r="T447" t="s">
        <v>220</v>
      </c>
      <c r="U447" s="6">
        <v>33665</v>
      </c>
      <c r="AH447" s="13">
        <v>43909</v>
      </c>
      <c r="AI447" s="11">
        <v>14040</v>
      </c>
    </row>
    <row r="448" spans="20:35" x14ac:dyDescent="0.3">
      <c r="T448" t="s">
        <v>873</v>
      </c>
      <c r="U448" s="6">
        <v>30008</v>
      </c>
      <c r="AH448" s="13">
        <v>43910</v>
      </c>
      <c r="AI448" s="11">
        <v>11042</v>
      </c>
    </row>
    <row r="449" spans="20:35" x14ac:dyDescent="0.3">
      <c r="T449" t="s">
        <v>154</v>
      </c>
      <c r="U449" s="6">
        <v>29660</v>
      </c>
      <c r="AH449" s="13">
        <v>43911</v>
      </c>
      <c r="AI449" s="11">
        <v>9680</v>
      </c>
    </row>
    <row r="450" spans="20:35" x14ac:dyDescent="0.3">
      <c r="T450" t="s">
        <v>212</v>
      </c>
      <c r="U450" s="6">
        <v>33896</v>
      </c>
      <c r="AH450" s="13">
        <v>43912</v>
      </c>
      <c r="AI450" s="11">
        <v>5669</v>
      </c>
    </row>
    <row r="451" spans="20:35" x14ac:dyDescent="0.3">
      <c r="T451" t="s">
        <v>566</v>
      </c>
      <c r="U451" s="6">
        <v>42813</v>
      </c>
      <c r="AH451" s="13">
        <v>43913</v>
      </c>
      <c r="AI451" s="11">
        <v>16935</v>
      </c>
    </row>
    <row r="452" spans="20:35" x14ac:dyDescent="0.3">
      <c r="T452" t="s">
        <v>193</v>
      </c>
      <c r="U452" s="6">
        <v>41831</v>
      </c>
      <c r="AH452" s="13">
        <v>43914</v>
      </c>
      <c r="AI452" s="11">
        <v>9313</v>
      </c>
    </row>
    <row r="453" spans="20:35" x14ac:dyDescent="0.3">
      <c r="T453" t="s">
        <v>247</v>
      </c>
      <c r="U453" s="6">
        <v>41971</v>
      </c>
      <c r="AH453" s="13">
        <v>43915</v>
      </c>
      <c r="AI453" s="11">
        <v>15381</v>
      </c>
    </row>
    <row r="454" spans="20:35" x14ac:dyDescent="0.3">
      <c r="T454" t="s">
        <v>229</v>
      </c>
      <c r="U454" s="6">
        <v>47895</v>
      </c>
      <c r="AH454" s="13">
        <v>43916</v>
      </c>
      <c r="AI454" s="11">
        <v>9190</v>
      </c>
    </row>
    <row r="455" spans="20:35" x14ac:dyDescent="0.3">
      <c r="T455" t="s">
        <v>874</v>
      </c>
      <c r="U455" s="6">
        <v>23856</v>
      </c>
      <c r="AH455" s="13">
        <v>43917</v>
      </c>
      <c r="AI455" s="11">
        <v>8174</v>
      </c>
    </row>
    <row r="456" spans="20:35" x14ac:dyDescent="0.3">
      <c r="T456" t="s">
        <v>908</v>
      </c>
      <c r="U456" s="6">
        <v>32977</v>
      </c>
      <c r="AH456" s="13">
        <v>43918</v>
      </c>
      <c r="AI456" s="11">
        <v>13443</v>
      </c>
    </row>
    <row r="457" spans="20:35" x14ac:dyDescent="0.3">
      <c r="T457" t="s">
        <v>750</v>
      </c>
      <c r="U457" s="6">
        <v>34130</v>
      </c>
      <c r="AH457" s="13">
        <v>43919</v>
      </c>
      <c r="AI457" s="11">
        <v>12667</v>
      </c>
    </row>
    <row r="458" spans="20:35" x14ac:dyDescent="0.3">
      <c r="T458" t="s">
        <v>174</v>
      </c>
      <c r="U458" s="6">
        <v>31685</v>
      </c>
      <c r="AH458" s="13">
        <v>43920</v>
      </c>
      <c r="AI458" s="11">
        <v>10206</v>
      </c>
    </row>
    <row r="459" spans="20:35" x14ac:dyDescent="0.3">
      <c r="T459" t="s">
        <v>252</v>
      </c>
      <c r="U459" s="6">
        <v>9154</v>
      </c>
      <c r="AH459" s="13">
        <v>43921</v>
      </c>
      <c r="AI459" s="11">
        <v>6128</v>
      </c>
    </row>
    <row r="460" spans="20:35" x14ac:dyDescent="0.3">
      <c r="T460" t="s">
        <v>751</v>
      </c>
      <c r="U460" s="6">
        <v>37088</v>
      </c>
      <c r="AH460" s="13">
        <v>43922</v>
      </c>
      <c r="AI460" s="11">
        <v>12958</v>
      </c>
    </row>
    <row r="461" spans="20:35" x14ac:dyDescent="0.3">
      <c r="T461" t="s">
        <v>97</v>
      </c>
      <c r="U461" s="6">
        <v>50363</v>
      </c>
      <c r="AH461" s="13">
        <v>43923</v>
      </c>
      <c r="AI461" s="11">
        <v>3014</v>
      </c>
    </row>
    <row r="462" spans="20:35" x14ac:dyDescent="0.3">
      <c r="T462" t="s">
        <v>583</v>
      </c>
      <c r="U462" s="6">
        <v>19079</v>
      </c>
      <c r="AH462" s="13">
        <v>43924</v>
      </c>
      <c r="AI462" s="11">
        <v>14708</v>
      </c>
    </row>
    <row r="463" spans="20:35" x14ac:dyDescent="0.3">
      <c r="T463" t="s">
        <v>138</v>
      </c>
      <c r="U463" s="6">
        <v>24903</v>
      </c>
      <c r="AH463" s="13">
        <v>43925</v>
      </c>
      <c r="AI463" s="11">
        <v>13282</v>
      </c>
    </row>
    <row r="464" spans="20:35" x14ac:dyDescent="0.3">
      <c r="T464" t="s">
        <v>875</v>
      </c>
      <c r="U464" s="6">
        <v>30972</v>
      </c>
      <c r="AH464" s="13">
        <v>43926</v>
      </c>
      <c r="AI464" s="11">
        <v>12621</v>
      </c>
    </row>
    <row r="465" spans="20:35" x14ac:dyDescent="0.3">
      <c r="T465" t="s">
        <v>470</v>
      </c>
      <c r="U465" s="6">
        <v>32504</v>
      </c>
      <c r="AH465" s="13">
        <v>43927</v>
      </c>
      <c r="AI465" s="11">
        <v>14945</v>
      </c>
    </row>
    <row r="466" spans="20:35" x14ac:dyDescent="0.3">
      <c r="T466" t="s">
        <v>752</v>
      </c>
      <c r="U466" s="6">
        <v>29101</v>
      </c>
      <c r="AH466" s="13">
        <v>43928</v>
      </c>
      <c r="AI466" s="11">
        <v>8578</v>
      </c>
    </row>
    <row r="467" spans="20:35" x14ac:dyDescent="0.3">
      <c r="T467" t="s">
        <v>753</v>
      </c>
      <c r="U467" s="6">
        <v>9811</v>
      </c>
      <c r="AH467" s="13">
        <v>43929</v>
      </c>
      <c r="AI467" s="11">
        <v>8070</v>
      </c>
    </row>
    <row r="468" spans="20:35" x14ac:dyDescent="0.3">
      <c r="T468" t="s">
        <v>485</v>
      </c>
      <c r="U468" s="6">
        <v>32036</v>
      </c>
      <c r="AH468" s="13">
        <v>43930</v>
      </c>
      <c r="AI468" s="11">
        <v>18310</v>
      </c>
    </row>
    <row r="469" spans="20:35" x14ac:dyDescent="0.3">
      <c r="T469" t="s">
        <v>876</v>
      </c>
      <c r="U469" s="6">
        <v>37461</v>
      </c>
      <c r="AH469" s="13">
        <v>43931</v>
      </c>
      <c r="AI469" s="11">
        <v>13728</v>
      </c>
    </row>
    <row r="470" spans="20:35" x14ac:dyDescent="0.3">
      <c r="T470" t="s">
        <v>581</v>
      </c>
      <c r="U470" s="6">
        <v>42764</v>
      </c>
      <c r="AH470" s="13">
        <v>43932</v>
      </c>
      <c r="AI470" s="11">
        <v>10837</v>
      </c>
    </row>
    <row r="471" spans="20:35" x14ac:dyDescent="0.3">
      <c r="T471" t="s">
        <v>575</v>
      </c>
      <c r="U471" s="6">
        <v>29703</v>
      </c>
      <c r="AH471" s="13">
        <v>43933</v>
      </c>
      <c r="AI471" s="11">
        <v>8111</v>
      </c>
    </row>
    <row r="472" spans="20:35" x14ac:dyDescent="0.3">
      <c r="T472" t="s">
        <v>754</v>
      </c>
      <c r="U472" s="6">
        <v>42467</v>
      </c>
      <c r="AH472" s="13">
        <v>43934</v>
      </c>
      <c r="AI472" s="11">
        <v>8738</v>
      </c>
    </row>
    <row r="473" spans="20:35" x14ac:dyDescent="0.3">
      <c r="T473" t="s">
        <v>755</v>
      </c>
      <c r="U473" s="6">
        <v>26150</v>
      </c>
      <c r="AH473" s="13">
        <v>43935</v>
      </c>
      <c r="AI473" s="11">
        <v>14406</v>
      </c>
    </row>
    <row r="474" spans="20:35" x14ac:dyDescent="0.3">
      <c r="T474" t="s">
        <v>523</v>
      </c>
      <c r="U474" s="6">
        <v>36954</v>
      </c>
      <c r="AH474" s="13">
        <v>43936</v>
      </c>
      <c r="AI474" s="11">
        <v>10749</v>
      </c>
    </row>
    <row r="475" spans="20:35" x14ac:dyDescent="0.3">
      <c r="T475" t="s">
        <v>512</v>
      </c>
      <c r="U475" s="6">
        <v>47316</v>
      </c>
      <c r="AH475" s="13">
        <v>43937</v>
      </c>
      <c r="AI475" s="11">
        <v>2938</v>
      </c>
    </row>
    <row r="476" spans="20:35" x14ac:dyDescent="0.3">
      <c r="T476" t="s">
        <v>582</v>
      </c>
      <c r="U476" s="6">
        <v>49064</v>
      </c>
      <c r="AH476" s="13">
        <v>43938</v>
      </c>
      <c r="AI476" s="11">
        <v>9201</v>
      </c>
    </row>
    <row r="477" spans="20:35" x14ac:dyDescent="0.3">
      <c r="T477" t="s">
        <v>255</v>
      </c>
      <c r="U477" s="6">
        <v>20291</v>
      </c>
      <c r="AH477" s="13">
        <v>43939</v>
      </c>
      <c r="AI477" s="11">
        <v>8483</v>
      </c>
    </row>
    <row r="478" spans="20:35" x14ac:dyDescent="0.3">
      <c r="T478" t="s">
        <v>877</v>
      </c>
      <c r="U478" s="6">
        <v>50315</v>
      </c>
      <c r="AH478" s="13">
        <v>43940</v>
      </c>
      <c r="AI478" s="11">
        <v>6335</v>
      </c>
    </row>
    <row r="479" spans="20:35" x14ac:dyDescent="0.3">
      <c r="T479" t="s">
        <v>587</v>
      </c>
      <c r="U479" s="6">
        <v>33644</v>
      </c>
      <c r="AH479" s="13">
        <v>43941</v>
      </c>
      <c r="AI479" s="11">
        <v>28954</v>
      </c>
    </row>
    <row r="480" spans="20:35" x14ac:dyDescent="0.3">
      <c r="T480" t="s">
        <v>756</v>
      </c>
      <c r="U480" s="6">
        <v>25478</v>
      </c>
      <c r="AH480" s="13">
        <v>43942</v>
      </c>
      <c r="AI480" s="11">
        <v>19924</v>
      </c>
    </row>
    <row r="481" spans="20:35" x14ac:dyDescent="0.3">
      <c r="T481" t="s">
        <v>500</v>
      </c>
      <c r="U481" s="6">
        <v>25559</v>
      </c>
      <c r="AH481" s="13">
        <v>43943</v>
      </c>
      <c r="AI481" s="11">
        <v>9683</v>
      </c>
    </row>
    <row r="482" spans="20:35" x14ac:dyDescent="0.3">
      <c r="T482" t="s">
        <v>385</v>
      </c>
      <c r="U482" s="6">
        <v>34620</v>
      </c>
      <c r="AH482" s="13">
        <v>43944</v>
      </c>
      <c r="AI482" s="11">
        <v>6883</v>
      </c>
    </row>
    <row r="483" spans="20:35" x14ac:dyDescent="0.3">
      <c r="T483" t="s">
        <v>284</v>
      </c>
      <c r="U483" s="6">
        <v>23212</v>
      </c>
      <c r="AH483" s="13">
        <v>43945</v>
      </c>
      <c r="AI483" s="11">
        <v>13993</v>
      </c>
    </row>
    <row r="484" spans="20:35" x14ac:dyDescent="0.3">
      <c r="T484" t="s">
        <v>757</v>
      </c>
      <c r="U484" s="6">
        <v>34735</v>
      </c>
      <c r="AH484" s="13">
        <v>43946</v>
      </c>
      <c r="AI484" s="11">
        <v>6014</v>
      </c>
    </row>
    <row r="485" spans="20:35" x14ac:dyDescent="0.3">
      <c r="T485" t="s">
        <v>514</v>
      </c>
      <c r="U485" s="6">
        <v>36843</v>
      </c>
      <c r="AH485" s="13">
        <v>43947</v>
      </c>
      <c r="AI485" s="11">
        <v>8635</v>
      </c>
    </row>
    <row r="486" spans="20:35" x14ac:dyDescent="0.3">
      <c r="T486" t="s">
        <v>490</v>
      </c>
      <c r="U486" s="6">
        <v>11507</v>
      </c>
      <c r="AH486" s="13">
        <v>43948</v>
      </c>
      <c r="AI486" s="11">
        <v>13534</v>
      </c>
    </row>
    <row r="487" spans="20:35" x14ac:dyDescent="0.3">
      <c r="T487" t="s">
        <v>758</v>
      </c>
      <c r="U487" s="6">
        <v>34737</v>
      </c>
      <c r="AH487" s="13">
        <v>43949</v>
      </c>
      <c r="AI487" s="11">
        <v>6599</v>
      </c>
    </row>
    <row r="488" spans="20:35" x14ac:dyDescent="0.3">
      <c r="T488" t="s">
        <v>759</v>
      </c>
      <c r="U488" s="6">
        <v>34688</v>
      </c>
      <c r="AH488" s="13">
        <v>43950</v>
      </c>
      <c r="AI488" s="11">
        <v>9023</v>
      </c>
    </row>
    <row r="489" spans="20:35" x14ac:dyDescent="0.3">
      <c r="T489" t="s">
        <v>330</v>
      </c>
      <c r="U489" s="6">
        <v>32215</v>
      </c>
      <c r="AH489" s="13">
        <v>43951</v>
      </c>
      <c r="AI489" s="11">
        <v>9712</v>
      </c>
    </row>
    <row r="490" spans="20:35" x14ac:dyDescent="0.3">
      <c r="T490" t="s">
        <v>438</v>
      </c>
      <c r="U490" s="6">
        <v>39040</v>
      </c>
      <c r="AH490" s="13">
        <v>43952</v>
      </c>
      <c r="AI490" s="11">
        <v>19593</v>
      </c>
    </row>
    <row r="491" spans="20:35" x14ac:dyDescent="0.3">
      <c r="T491" t="s">
        <v>655</v>
      </c>
      <c r="U491" s="6">
        <v>48904</v>
      </c>
      <c r="AH491" s="13">
        <v>43953</v>
      </c>
      <c r="AI491" s="11">
        <v>5929</v>
      </c>
    </row>
    <row r="492" spans="20:35" x14ac:dyDescent="0.3">
      <c r="T492" t="s">
        <v>760</v>
      </c>
      <c r="U492" s="6">
        <v>13489</v>
      </c>
      <c r="AH492" s="13">
        <v>43954</v>
      </c>
      <c r="AI492" s="11">
        <v>5529</v>
      </c>
    </row>
    <row r="493" spans="20:35" x14ac:dyDescent="0.3">
      <c r="T493" t="s">
        <v>226</v>
      </c>
      <c r="U493" s="6">
        <v>22017</v>
      </c>
      <c r="AH493" s="13">
        <v>43955</v>
      </c>
      <c r="AI493" s="11">
        <v>8307</v>
      </c>
    </row>
    <row r="494" spans="20:35" x14ac:dyDescent="0.3">
      <c r="T494" t="s">
        <v>128</v>
      </c>
      <c r="U494" s="6">
        <v>49703</v>
      </c>
      <c r="AH494" s="13">
        <v>43956</v>
      </c>
      <c r="AI494" s="11">
        <v>8323</v>
      </c>
    </row>
    <row r="495" spans="20:35" x14ac:dyDescent="0.3">
      <c r="T495" t="s">
        <v>302</v>
      </c>
      <c r="U495" s="6">
        <v>35732</v>
      </c>
      <c r="AH495" s="13">
        <v>43957</v>
      </c>
      <c r="AI495" s="11">
        <v>4894</v>
      </c>
    </row>
    <row r="496" spans="20:35" x14ac:dyDescent="0.3">
      <c r="T496" t="s">
        <v>761</v>
      </c>
      <c r="U496" s="6">
        <v>33097</v>
      </c>
      <c r="AH496" s="13">
        <v>43958</v>
      </c>
      <c r="AI496" s="11">
        <v>10001</v>
      </c>
    </row>
    <row r="497" spans="20:35" x14ac:dyDescent="0.3">
      <c r="T497" t="s">
        <v>878</v>
      </c>
      <c r="U497" s="6">
        <v>22464</v>
      </c>
      <c r="AH497" s="13">
        <v>43959</v>
      </c>
      <c r="AI497" s="11">
        <v>10104</v>
      </c>
    </row>
    <row r="498" spans="20:35" x14ac:dyDescent="0.3">
      <c r="T498" t="s">
        <v>201</v>
      </c>
      <c r="U498" s="6">
        <v>22831</v>
      </c>
      <c r="AH498" s="13">
        <v>43960</v>
      </c>
      <c r="AI498" s="11">
        <v>11332</v>
      </c>
    </row>
    <row r="499" spans="20:35" x14ac:dyDescent="0.3">
      <c r="T499" t="s">
        <v>367</v>
      </c>
      <c r="U499" s="6">
        <v>21414</v>
      </c>
      <c r="AH499" s="13">
        <v>43961</v>
      </c>
      <c r="AI499" s="11">
        <v>5926</v>
      </c>
    </row>
    <row r="500" spans="20:35" x14ac:dyDescent="0.3">
      <c r="T500" t="s">
        <v>484</v>
      </c>
      <c r="U500" s="6">
        <v>20716</v>
      </c>
      <c r="AH500" s="13">
        <v>43962</v>
      </c>
      <c r="AI500" s="11">
        <v>11321</v>
      </c>
    </row>
    <row r="501" spans="20:35" x14ac:dyDescent="0.3">
      <c r="T501" t="s">
        <v>762</v>
      </c>
      <c r="U501" s="6">
        <v>27014</v>
      </c>
      <c r="AH501" s="13">
        <v>43963</v>
      </c>
      <c r="AI501" s="11">
        <v>14106</v>
      </c>
    </row>
    <row r="502" spans="20:35" x14ac:dyDescent="0.3">
      <c r="T502" t="s">
        <v>496</v>
      </c>
      <c r="U502" s="6">
        <v>30790</v>
      </c>
      <c r="AH502" s="13">
        <v>43964</v>
      </c>
      <c r="AI502" s="11">
        <v>14994</v>
      </c>
    </row>
    <row r="503" spans="20:35" x14ac:dyDescent="0.3">
      <c r="T503" t="s">
        <v>230</v>
      </c>
      <c r="U503" s="6">
        <v>23920</v>
      </c>
      <c r="AH503" s="13">
        <v>43965</v>
      </c>
      <c r="AI503" s="11">
        <v>8544</v>
      </c>
    </row>
    <row r="504" spans="20:35" x14ac:dyDescent="0.3">
      <c r="T504" t="s">
        <v>879</v>
      </c>
      <c r="U504" s="6">
        <v>30977</v>
      </c>
      <c r="AH504" s="13">
        <v>43966</v>
      </c>
      <c r="AI504" s="11">
        <v>7203</v>
      </c>
    </row>
    <row r="505" spans="20:35" x14ac:dyDescent="0.3">
      <c r="T505" t="s">
        <v>461</v>
      </c>
      <c r="U505" s="6">
        <v>24258</v>
      </c>
      <c r="AH505" s="13">
        <v>43967</v>
      </c>
      <c r="AI505" s="11">
        <v>8641</v>
      </c>
    </row>
    <row r="506" spans="20:35" x14ac:dyDescent="0.3">
      <c r="T506" t="s">
        <v>521</v>
      </c>
      <c r="U506" s="6">
        <v>39789</v>
      </c>
      <c r="AH506" s="13">
        <v>43968</v>
      </c>
      <c r="AI506" s="11">
        <v>12330</v>
      </c>
    </row>
    <row r="507" spans="20:35" x14ac:dyDescent="0.3">
      <c r="T507" t="s">
        <v>177</v>
      </c>
      <c r="U507" s="6">
        <v>18516</v>
      </c>
      <c r="AH507" s="13">
        <v>43969</v>
      </c>
      <c r="AI507" s="11">
        <v>7884</v>
      </c>
    </row>
    <row r="508" spans="20:35" x14ac:dyDescent="0.3">
      <c r="T508" t="s">
        <v>763</v>
      </c>
      <c r="U508" s="6">
        <v>15863</v>
      </c>
      <c r="AH508" s="13">
        <v>43970</v>
      </c>
      <c r="AI508" s="11">
        <v>8778</v>
      </c>
    </row>
    <row r="509" spans="20:35" x14ac:dyDescent="0.3">
      <c r="T509" t="s">
        <v>880</v>
      </c>
      <c r="U509" s="6">
        <v>35272</v>
      </c>
      <c r="AH509" s="13">
        <v>43971</v>
      </c>
      <c r="AI509" s="11">
        <v>11284</v>
      </c>
    </row>
    <row r="510" spans="20:35" x14ac:dyDescent="0.3">
      <c r="T510" t="s">
        <v>353</v>
      </c>
      <c r="U510" s="6">
        <v>19347</v>
      </c>
      <c r="AH510" s="13">
        <v>43972</v>
      </c>
      <c r="AI510" s="11">
        <v>7631</v>
      </c>
    </row>
    <row r="511" spans="20:35" x14ac:dyDescent="0.3">
      <c r="T511" t="s">
        <v>881</v>
      </c>
      <c r="U511" s="6">
        <v>21657</v>
      </c>
      <c r="AH511" s="13">
        <v>43973</v>
      </c>
      <c r="AI511" s="11">
        <v>10886</v>
      </c>
    </row>
    <row r="512" spans="20:35" x14ac:dyDescent="0.3">
      <c r="T512" t="s">
        <v>181</v>
      </c>
      <c r="U512" s="6">
        <v>28270</v>
      </c>
      <c r="AH512" s="13">
        <v>43974</v>
      </c>
      <c r="AI512" s="11">
        <v>7364</v>
      </c>
    </row>
    <row r="513" spans="20:35" x14ac:dyDescent="0.3">
      <c r="T513" t="s">
        <v>82</v>
      </c>
      <c r="U513" s="6">
        <v>36138</v>
      </c>
      <c r="AH513" s="13">
        <v>43975</v>
      </c>
      <c r="AI513" s="11">
        <v>13768</v>
      </c>
    </row>
    <row r="514" spans="20:35" x14ac:dyDescent="0.3">
      <c r="T514" t="s">
        <v>764</v>
      </c>
      <c r="U514" s="6">
        <v>38758</v>
      </c>
      <c r="AH514" s="13">
        <v>43976</v>
      </c>
      <c r="AI514" s="11">
        <v>5180</v>
      </c>
    </row>
    <row r="515" spans="20:35" x14ac:dyDescent="0.3">
      <c r="T515" t="s">
        <v>231</v>
      </c>
      <c r="U515" s="6">
        <v>21520</v>
      </c>
      <c r="AH515" s="13">
        <v>43977</v>
      </c>
      <c r="AI515" s="11">
        <v>4312</v>
      </c>
    </row>
    <row r="516" spans="20:35" x14ac:dyDescent="0.3">
      <c r="T516" t="s">
        <v>765</v>
      </c>
      <c r="U516" s="6">
        <v>43388</v>
      </c>
      <c r="AH516" s="13">
        <v>43978</v>
      </c>
      <c r="AI516" s="11">
        <v>3959</v>
      </c>
    </row>
    <row r="517" spans="20:35" x14ac:dyDescent="0.3">
      <c r="T517" t="s">
        <v>215</v>
      </c>
      <c r="U517" s="6">
        <v>64794</v>
      </c>
      <c r="AH517" s="13">
        <v>43979</v>
      </c>
      <c r="AI517" s="11">
        <v>7666</v>
      </c>
    </row>
    <row r="518" spans="20:35" x14ac:dyDescent="0.3">
      <c r="T518" t="s">
        <v>409</v>
      </c>
      <c r="U518" s="6">
        <v>9689</v>
      </c>
      <c r="AH518" s="13">
        <v>43980</v>
      </c>
      <c r="AI518" s="11">
        <v>16991</v>
      </c>
    </row>
    <row r="519" spans="20:35" x14ac:dyDescent="0.3">
      <c r="T519" t="s">
        <v>361</v>
      </c>
      <c r="U519" s="6">
        <v>38426</v>
      </c>
      <c r="AH519" s="13">
        <v>43981</v>
      </c>
      <c r="AI519" s="11">
        <v>10436</v>
      </c>
    </row>
    <row r="520" spans="20:35" x14ac:dyDescent="0.3">
      <c r="T520" t="s">
        <v>483</v>
      </c>
      <c r="U520" s="6">
        <v>32679</v>
      </c>
      <c r="AH520" s="13">
        <v>43982</v>
      </c>
      <c r="AI520" s="11">
        <v>9079</v>
      </c>
    </row>
    <row r="521" spans="20:35" x14ac:dyDescent="0.3">
      <c r="T521" t="s">
        <v>270</v>
      </c>
      <c r="U521" s="6">
        <v>32829</v>
      </c>
      <c r="AH521" s="13">
        <v>43983</v>
      </c>
      <c r="AI521" s="11">
        <v>10763</v>
      </c>
    </row>
    <row r="522" spans="20:35" x14ac:dyDescent="0.3">
      <c r="T522" t="s">
        <v>413</v>
      </c>
      <c r="U522" s="6">
        <v>22877</v>
      </c>
      <c r="AH522" s="13">
        <v>43984</v>
      </c>
      <c r="AI522" s="11">
        <v>12426</v>
      </c>
    </row>
    <row r="523" spans="20:35" x14ac:dyDescent="0.3">
      <c r="T523" t="s">
        <v>288</v>
      </c>
      <c r="U523" s="6">
        <v>48795</v>
      </c>
      <c r="AH523" s="13">
        <v>43985</v>
      </c>
      <c r="AI523" s="11">
        <v>10740</v>
      </c>
    </row>
    <row r="524" spans="20:35" x14ac:dyDescent="0.3">
      <c r="T524" t="s">
        <v>766</v>
      </c>
      <c r="U524" s="6">
        <v>35907</v>
      </c>
      <c r="AH524" s="13">
        <v>43986</v>
      </c>
      <c r="AI524" s="11">
        <v>11899</v>
      </c>
    </row>
    <row r="525" spans="20:35" x14ac:dyDescent="0.3">
      <c r="T525" t="s">
        <v>767</v>
      </c>
      <c r="U525" s="6">
        <v>22064</v>
      </c>
      <c r="AH525" s="13">
        <v>43987</v>
      </c>
      <c r="AI525" s="11">
        <v>8086</v>
      </c>
    </row>
    <row r="526" spans="20:35" x14ac:dyDescent="0.3">
      <c r="T526" t="s">
        <v>192</v>
      </c>
      <c r="U526" s="6">
        <v>26013</v>
      </c>
      <c r="AH526" s="13">
        <v>43988</v>
      </c>
      <c r="AI526" s="11">
        <v>14762</v>
      </c>
    </row>
    <row r="527" spans="20:35" x14ac:dyDescent="0.3">
      <c r="T527" t="s">
        <v>425</v>
      </c>
      <c r="U527" s="6">
        <v>29599</v>
      </c>
      <c r="AH527" s="13">
        <v>43989</v>
      </c>
      <c r="AI527" s="11">
        <v>8058</v>
      </c>
    </row>
    <row r="528" spans="20:35" x14ac:dyDescent="0.3">
      <c r="T528" t="s">
        <v>491</v>
      </c>
      <c r="U528" s="6">
        <v>27192</v>
      </c>
      <c r="AH528" s="13">
        <v>43990</v>
      </c>
      <c r="AI528" s="11">
        <v>12038</v>
      </c>
    </row>
    <row r="529" spans="20:35" x14ac:dyDescent="0.3">
      <c r="T529" t="s">
        <v>264</v>
      </c>
      <c r="U529" s="6">
        <v>12998</v>
      </c>
      <c r="AH529" s="13">
        <v>43991</v>
      </c>
      <c r="AI529" s="11">
        <v>11853</v>
      </c>
    </row>
    <row r="530" spans="20:35" x14ac:dyDescent="0.3">
      <c r="T530" t="s">
        <v>768</v>
      </c>
      <c r="U530" s="6">
        <v>21339</v>
      </c>
      <c r="AH530" s="13">
        <v>43992</v>
      </c>
      <c r="AI530" s="11">
        <v>8431</v>
      </c>
    </row>
    <row r="531" spans="20:35" x14ac:dyDescent="0.3">
      <c r="T531" t="s">
        <v>538</v>
      </c>
      <c r="U531" s="6">
        <v>6434</v>
      </c>
      <c r="AH531" s="13">
        <v>43993</v>
      </c>
      <c r="AI531" s="11">
        <v>8868</v>
      </c>
    </row>
    <row r="532" spans="20:35" x14ac:dyDescent="0.3">
      <c r="T532" t="s">
        <v>882</v>
      </c>
      <c r="U532" s="6">
        <v>14667</v>
      </c>
      <c r="AH532" s="13">
        <v>43994</v>
      </c>
      <c r="AI532" s="11">
        <v>13522</v>
      </c>
    </row>
    <row r="533" spans="20:35" x14ac:dyDescent="0.3">
      <c r="T533" t="s">
        <v>883</v>
      </c>
      <c r="U533" s="6">
        <v>40837</v>
      </c>
      <c r="AH533" s="13">
        <v>43995</v>
      </c>
      <c r="AI533" s="11">
        <v>15382</v>
      </c>
    </row>
    <row r="534" spans="20:35" x14ac:dyDescent="0.3">
      <c r="T534" t="s">
        <v>769</v>
      </c>
      <c r="U534" s="6">
        <v>35857</v>
      </c>
      <c r="AH534" s="13">
        <v>43996</v>
      </c>
      <c r="AI534" s="11">
        <v>12026</v>
      </c>
    </row>
    <row r="535" spans="20:35" x14ac:dyDescent="0.3">
      <c r="T535" t="s">
        <v>132</v>
      </c>
      <c r="U535" s="6">
        <v>37564</v>
      </c>
      <c r="AH535" s="13">
        <v>43997</v>
      </c>
      <c r="AI535" s="11">
        <v>7588</v>
      </c>
    </row>
    <row r="536" spans="20:35" x14ac:dyDescent="0.3">
      <c r="T536" t="s">
        <v>535</v>
      </c>
      <c r="U536" s="6">
        <v>11943</v>
      </c>
      <c r="AH536" s="13">
        <v>43998</v>
      </c>
      <c r="AI536" s="11">
        <v>7357</v>
      </c>
    </row>
    <row r="537" spans="20:35" x14ac:dyDescent="0.3">
      <c r="T537" t="s">
        <v>598</v>
      </c>
      <c r="U537" s="6">
        <v>57014</v>
      </c>
      <c r="AH537" s="13">
        <v>43999</v>
      </c>
      <c r="AI537" s="11">
        <v>7228</v>
      </c>
    </row>
    <row r="538" spans="20:35" x14ac:dyDescent="0.3">
      <c r="T538" t="s">
        <v>261</v>
      </c>
      <c r="U538" s="6">
        <v>42127</v>
      </c>
      <c r="AH538" s="13">
        <v>44000</v>
      </c>
      <c r="AI538" s="11">
        <v>7364</v>
      </c>
    </row>
    <row r="539" spans="20:35" x14ac:dyDescent="0.3">
      <c r="T539" t="s">
        <v>232</v>
      </c>
      <c r="U539" s="6">
        <v>51857</v>
      </c>
      <c r="AH539" s="13">
        <v>44001</v>
      </c>
      <c r="AI539" s="11">
        <v>8225</v>
      </c>
    </row>
    <row r="540" spans="20:35" x14ac:dyDescent="0.3">
      <c r="T540" t="s">
        <v>430</v>
      </c>
      <c r="U540" s="6">
        <v>25377</v>
      </c>
      <c r="AH540" s="13">
        <v>44002</v>
      </c>
      <c r="AI540" s="11">
        <v>7852</v>
      </c>
    </row>
    <row r="541" spans="20:35" x14ac:dyDescent="0.3">
      <c r="T541" t="s">
        <v>884</v>
      </c>
      <c r="U541" s="6">
        <v>30090</v>
      </c>
      <c r="AH541" s="13">
        <v>44003</v>
      </c>
      <c r="AI541" s="11">
        <v>7972</v>
      </c>
    </row>
    <row r="542" spans="20:35" x14ac:dyDescent="0.3">
      <c r="T542" t="s">
        <v>300</v>
      </c>
      <c r="U542" s="6">
        <v>60629</v>
      </c>
      <c r="AH542" s="13">
        <v>44004</v>
      </c>
      <c r="AI542" s="11">
        <v>15509</v>
      </c>
    </row>
    <row r="543" spans="20:35" x14ac:dyDescent="0.3">
      <c r="T543" t="s">
        <v>928</v>
      </c>
      <c r="U543" s="6">
        <v>25285</v>
      </c>
      <c r="AH543" s="13">
        <v>44005</v>
      </c>
      <c r="AI543" s="11">
        <v>14249</v>
      </c>
    </row>
    <row r="544" spans="20:35" x14ac:dyDescent="0.3">
      <c r="T544" t="s">
        <v>885</v>
      </c>
      <c r="U544" s="6">
        <v>34555</v>
      </c>
      <c r="AH544" s="13">
        <v>44006</v>
      </c>
      <c r="AI544" s="11">
        <v>11991</v>
      </c>
    </row>
    <row r="545" spans="20:35" x14ac:dyDescent="0.3">
      <c r="T545" t="s">
        <v>368</v>
      </c>
      <c r="U545" s="6">
        <v>35469</v>
      </c>
      <c r="AH545" s="13">
        <v>44007</v>
      </c>
      <c r="AI545" s="11">
        <v>17234</v>
      </c>
    </row>
    <row r="546" spans="20:35" x14ac:dyDescent="0.3">
      <c r="T546" t="s">
        <v>770</v>
      </c>
      <c r="U546" s="6">
        <v>36795</v>
      </c>
      <c r="AH546" s="13">
        <v>44008</v>
      </c>
      <c r="AI546" s="11">
        <v>6831</v>
      </c>
    </row>
    <row r="547" spans="20:35" x14ac:dyDescent="0.3">
      <c r="T547" t="s">
        <v>304</v>
      </c>
      <c r="U547" s="6">
        <v>26530</v>
      </c>
      <c r="AH547" s="13">
        <v>44009</v>
      </c>
      <c r="AI547" s="11">
        <v>10471</v>
      </c>
    </row>
    <row r="548" spans="20:35" x14ac:dyDescent="0.3">
      <c r="T548" t="s">
        <v>771</v>
      </c>
      <c r="U548" s="6">
        <v>29129</v>
      </c>
      <c r="AH548" s="13">
        <v>44010</v>
      </c>
      <c r="AI548" s="11">
        <v>7278</v>
      </c>
    </row>
    <row r="549" spans="20:35" x14ac:dyDescent="0.3">
      <c r="T549" t="s">
        <v>127</v>
      </c>
      <c r="U549" s="6">
        <v>28087</v>
      </c>
      <c r="AH549" s="13">
        <v>44011</v>
      </c>
      <c r="AI549" s="11">
        <v>12470</v>
      </c>
    </row>
    <row r="550" spans="20:35" x14ac:dyDescent="0.3">
      <c r="T550" t="s">
        <v>772</v>
      </c>
      <c r="U550" s="6">
        <v>32521</v>
      </c>
      <c r="AH550" s="13">
        <v>44012</v>
      </c>
      <c r="AI550" s="11">
        <v>19847</v>
      </c>
    </row>
    <row r="551" spans="20:35" x14ac:dyDescent="0.3">
      <c r="T551" t="s">
        <v>265</v>
      </c>
      <c r="U551" s="6">
        <v>17322</v>
      </c>
      <c r="AH551" s="13">
        <v>44013</v>
      </c>
      <c r="AI551" s="11">
        <v>10483</v>
      </c>
    </row>
    <row r="552" spans="20:35" x14ac:dyDescent="0.3">
      <c r="T552" t="s">
        <v>162</v>
      </c>
      <c r="U552" s="6">
        <v>38353</v>
      </c>
      <c r="AH552" s="13">
        <v>44014</v>
      </c>
      <c r="AI552" s="11">
        <v>6420</v>
      </c>
    </row>
    <row r="553" spans="20:35" x14ac:dyDescent="0.3">
      <c r="T553" t="s">
        <v>773</v>
      </c>
      <c r="U553" s="6">
        <v>31955</v>
      </c>
      <c r="AH553" s="13">
        <v>44015</v>
      </c>
      <c r="AI553" s="11">
        <v>5439</v>
      </c>
    </row>
    <row r="554" spans="20:35" x14ac:dyDescent="0.3">
      <c r="T554" t="s">
        <v>111</v>
      </c>
      <c r="U554" s="6">
        <v>30108</v>
      </c>
      <c r="AH554" s="13">
        <v>44016</v>
      </c>
      <c r="AI554" s="11">
        <v>14868</v>
      </c>
    </row>
    <row r="555" spans="20:35" x14ac:dyDescent="0.3">
      <c r="T555" t="s">
        <v>886</v>
      </c>
      <c r="U555" s="6">
        <v>32211</v>
      </c>
      <c r="AH555" s="13">
        <v>44017</v>
      </c>
      <c r="AI555" s="11">
        <v>16266</v>
      </c>
    </row>
    <row r="556" spans="20:35" x14ac:dyDescent="0.3">
      <c r="T556" t="s">
        <v>433</v>
      </c>
      <c r="U556" s="6">
        <v>46867</v>
      </c>
      <c r="AH556" s="13">
        <v>44018</v>
      </c>
      <c r="AI556" s="11">
        <v>16499</v>
      </c>
    </row>
    <row r="557" spans="20:35" x14ac:dyDescent="0.3">
      <c r="T557" t="s">
        <v>139</v>
      </c>
      <c r="U557" s="6">
        <v>34220</v>
      </c>
      <c r="AH557" s="13">
        <v>44019</v>
      </c>
      <c r="AI557" s="11">
        <v>13003</v>
      </c>
    </row>
    <row r="558" spans="20:35" x14ac:dyDescent="0.3">
      <c r="T558" t="s">
        <v>398</v>
      </c>
      <c r="U558" s="6">
        <v>34623</v>
      </c>
      <c r="AH558" s="13">
        <v>44020</v>
      </c>
      <c r="AI558" s="11">
        <v>7830</v>
      </c>
    </row>
    <row r="559" spans="20:35" x14ac:dyDescent="0.3">
      <c r="T559" t="s">
        <v>774</v>
      </c>
      <c r="U559" s="6">
        <v>43808</v>
      </c>
      <c r="AH559" s="13">
        <v>44021</v>
      </c>
      <c r="AI559" s="11">
        <v>7901</v>
      </c>
    </row>
    <row r="560" spans="20:35" x14ac:dyDescent="0.3">
      <c r="T560" t="s">
        <v>550</v>
      </c>
      <c r="U560" s="6">
        <v>33693</v>
      </c>
      <c r="AH560" s="13">
        <v>44022</v>
      </c>
      <c r="AI560" s="11">
        <v>12070</v>
      </c>
    </row>
    <row r="561" spans="20:35" x14ac:dyDescent="0.3">
      <c r="T561" t="s">
        <v>775</v>
      </c>
      <c r="U561" s="6">
        <v>13346</v>
      </c>
      <c r="AH561" s="13">
        <v>44023</v>
      </c>
      <c r="AI561" s="11">
        <v>6730</v>
      </c>
    </row>
    <row r="562" spans="20:35" x14ac:dyDescent="0.3">
      <c r="T562" t="s">
        <v>254</v>
      </c>
      <c r="U562" s="6">
        <v>32669</v>
      </c>
      <c r="AH562" s="13">
        <v>44024</v>
      </c>
      <c r="AI562" s="11">
        <v>8829</v>
      </c>
    </row>
    <row r="563" spans="20:35" x14ac:dyDescent="0.3">
      <c r="T563" t="s">
        <v>103</v>
      </c>
      <c r="U563" s="6">
        <v>19553</v>
      </c>
      <c r="AH563" s="13">
        <v>44025</v>
      </c>
      <c r="AI563" s="11">
        <v>11169</v>
      </c>
    </row>
    <row r="564" spans="20:35" x14ac:dyDescent="0.3">
      <c r="T564" t="s">
        <v>776</v>
      </c>
      <c r="U564" s="6">
        <v>35824</v>
      </c>
      <c r="AH564" s="13">
        <v>44026</v>
      </c>
      <c r="AI564" s="11">
        <v>9236</v>
      </c>
    </row>
    <row r="565" spans="20:35" x14ac:dyDescent="0.3">
      <c r="T565" t="s">
        <v>435</v>
      </c>
      <c r="U565" s="6">
        <v>31896</v>
      </c>
      <c r="AH565" s="13">
        <v>44027</v>
      </c>
      <c r="AI565" s="11">
        <v>16336</v>
      </c>
    </row>
    <row r="566" spans="20:35" x14ac:dyDescent="0.3">
      <c r="T566" t="s">
        <v>95</v>
      </c>
      <c r="U566" s="6">
        <v>26326</v>
      </c>
      <c r="AH566" s="13">
        <v>44028</v>
      </c>
      <c r="AI566" s="11">
        <v>3503</v>
      </c>
    </row>
    <row r="567" spans="20:35" x14ac:dyDescent="0.3">
      <c r="T567" t="s">
        <v>339</v>
      </c>
      <c r="U567" s="6">
        <v>24582</v>
      </c>
      <c r="AH567" s="13">
        <v>44029</v>
      </c>
      <c r="AI567" s="11">
        <v>11080</v>
      </c>
    </row>
    <row r="568" spans="20:35" x14ac:dyDescent="0.3">
      <c r="T568" t="s">
        <v>498</v>
      </c>
      <c r="U568" s="6">
        <v>31739</v>
      </c>
      <c r="AH568" s="13">
        <v>44030</v>
      </c>
      <c r="AI568" s="11">
        <v>11347</v>
      </c>
    </row>
    <row r="569" spans="20:35" x14ac:dyDescent="0.3">
      <c r="T569" t="s">
        <v>887</v>
      </c>
      <c r="U569" s="6">
        <v>39986</v>
      </c>
      <c r="AH569" s="13">
        <v>44031</v>
      </c>
      <c r="AI569" s="11">
        <v>7299</v>
      </c>
    </row>
    <row r="570" spans="20:35" x14ac:dyDescent="0.3">
      <c r="T570" t="s">
        <v>777</v>
      </c>
      <c r="U570" s="6">
        <v>39619</v>
      </c>
      <c r="AH570" s="13">
        <v>44032</v>
      </c>
      <c r="AI570" s="11">
        <v>4556</v>
      </c>
    </row>
    <row r="571" spans="20:35" x14ac:dyDescent="0.3">
      <c r="T571" t="s">
        <v>203</v>
      </c>
      <c r="U571" s="6">
        <v>30499</v>
      </c>
      <c r="AH571" s="13">
        <v>44033</v>
      </c>
      <c r="AI571" s="11">
        <v>4874</v>
      </c>
    </row>
    <row r="572" spans="20:35" x14ac:dyDescent="0.3">
      <c r="T572" t="s">
        <v>778</v>
      </c>
      <c r="U572" s="6">
        <v>30056</v>
      </c>
      <c r="AH572" s="13">
        <v>44034</v>
      </c>
      <c r="AI572" s="11">
        <v>8895</v>
      </c>
    </row>
    <row r="573" spans="20:35" x14ac:dyDescent="0.3">
      <c r="T573" t="s">
        <v>779</v>
      </c>
      <c r="U573" s="6">
        <v>16168</v>
      </c>
      <c r="AH573" s="13">
        <v>44035</v>
      </c>
      <c r="AI573" s="11">
        <v>3596</v>
      </c>
    </row>
    <row r="574" spans="20:35" x14ac:dyDescent="0.3">
      <c r="T574" t="s">
        <v>489</v>
      </c>
      <c r="U574" s="6">
        <v>35733</v>
      </c>
      <c r="AH574" s="13">
        <v>44036</v>
      </c>
      <c r="AI574" s="11">
        <v>5931</v>
      </c>
    </row>
    <row r="575" spans="20:35" x14ac:dyDescent="0.3">
      <c r="T575" t="s">
        <v>780</v>
      </c>
      <c r="U575" s="6">
        <v>39007</v>
      </c>
      <c r="AH575" s="13">
        <v>44037</v>
      </c>
      <c r="AI575" s="11">
        <v>10144</v>
      </c>
    </row>
    <row r="576" spans="20:35" x14ac:dyDescent="0.3">
      <c r="T576" t="s">
        <v>269</v>
      </c>
      <c r="U576" s="6">
        <v>37573</v>
      </c>
      <c r="AH576" s="13">
        <v>44038</v>
      </c>
      <c r="AI576" s="11">
        <v>14015</v>
      </c>
    </row>
    <row r="577" spans="20:35" x14ac:dyDescent="0.3">
      <c r="T577" t="s">
        <v>781</v>
      </c>
      <c r="U577" s="6">
        <v>44892</v>
      </c>
      <c r="AH577" s="13">
        <v>44039</v>
      </c>
      <c r="AI577" s="11">
        <v>12367</v>
      </c>
    </row>
    <row r="578" spans="20:35" x14ac:dyDescent="0.3">
      <c r="T578" t="s">
        <v>316</v>
      </c>
      <c r="U578" s="6">
        <v>37378</v>
      </c>
      <c r="AH578" s="13">
        <v>44040</v>
      </c>
      <c r="AI578" s="11">
        <v>8899</v>
      </c>
    </row>
    <row r="579" spans="20:35" x14ac:dyDescent="0.3">
      <c r="T579" t="s">
        <v>782</v>
      </c>
      <c r="U579" s="6">
        <v>39664</v>
      </c>
      <c r="AH579" s="13">
        <v>44041</v>
      </c>
      <c r="AI579" s="11">
        <v>14639</v>
      </c>
    </row>
    <row r="580" spans="20:35" x14ac:dyDescent="0.3">
      <c r="T580" t="s">
        <v>146</v>
      </c>
      <c r="U580" s="6">
        <v>33448</v>
      </c>
      <c r="AH580" s="13">
        <v>44042</v>
      </c>
      <c r="AI580" s="11">
        <v>4570</v>
      </c>
    </row>
    <row r="581" spans="20:35" x14ac:dyDescent="0.3">
      <c r="T581" t="s">
        <v>783</v>
      </c>
      <c r="U581" s="6">
        <v>28639</v>
      </c>
      <c r="AH581" s="13">
        <v>44043</v>
      </c>
      <c r="AI581" s="11">
        <v>9304</v>
      </c>
    </row>
    <row r="582" spans="20:35" x14ac:dyDescent="0.3">
      <c r="T582" t="s">
        <v>784</v>
      </c>
      <c r="U582" s="6">
        <v>12579</v>
      </c>
      <c r="AH582" s="13">
        <v>44044</v>
      </c>
      <c r="AI582" s="11">
        <v>11805</v>
      </c>
    </row>
    <row r="583" spans="20:35" x14ac:dyDescent="0.3">
      <c r="T583" t="s">
        <v>272</v>
      </c>
      <c r="U583" s="6">
        <v>17699</v>
      </c>
      <c r="AH583" s="13">
        <v>44045</v>
      </c>
      <c r="AI583" s="11">
        <v>11216</v>
      </c>
    </row>
    <row r="584" spans="20:35" x14ac:dyDescent="0.3">
      <c r="T584" t="s">
        <v>389</v>
      </c>
      <c r="U584" s="6">
        <v>30145</v>
      </c>
      <c r="AH584" s="13">
        <v>44046</v>
      </c>
      <c r="AI584" s="11">
        <v>12273</v>
      </c>
    </row>
    <row r="585" spans="20:35" x14ac:dyDescent="0.3">
      <c r="T585" t="s">
        <v>124</v>
      </c>
      <c r="U585" s="6">
        <v>29505</v>
      </c>
      <c r="AH585" s="13">
        <v>44047</v>
      </c>
      <c r="AI585" s="11">
        <v>7312</v>
      </c>
    </row>
    <row r="586" spans="20:35" x14ac:dyDescent="0.3">
      <c r="T586" t="s">
        <v>785</v>
      </c>
      <c r="U586" s="6">
        <v>29916</v>
      </c>
      <c r="AH586" s="13">
        <v>44048</v>
      </c>
      <c r="AI586" s="11">
        <v>13945</v>
      </c>
    </row>
    <row r="587" spans="20:35" x14ac:dyDescent="0.3">
      <c r="T587" t="s">
        <v>563</v>
      </c>
      <c r="U587" s="6">
        <v>39113</v>
      </c>
      <c r="AH587" s="13">
        <v>44049</v>
      </c>
      <c r="AI587" s="11">
        <v>8919</v>
      </c>
    </row>
    <row r="588" spans="20:35" x14ac:dyDescent="0.3">
      <c r="T588" t="s">
        <v>379</v>
      </c>
      <c r="U588" s="6">
        <v>18376</v>
      </c>
      <c r="AH588" s="13">
        <v>44050</v>
      </c>
      <c r="AI588" s="11">
        <v>6296</v>
      </c>
    </row>
    <row r="589" spans="20:35" x14ac:dyDescent="0.3">
      <c r="T589" t="s">
        <v>786</v>
      </c>
      <c r="U589" s="6">
        <v>12066</v>
      </c>
      <c r="AH589" s="13">
        <v>44051</v>
      </c>
      <c r="AI589" s="11">
        <v>11694</v>
      </c>
    </row>
    <row r="590" spans="20:35" x14ac:dyDescent="0.3">
      <c r="T590" t="s">
        <v>173</v>
      </c>
      <c r="U590" s="6">
        <v>49289</v>
      </c>
      <c r="AH590" s="13">
        <v>44052</v>
      </c>
      <c r="AI590" s="11">
        <v>7129</v>
      </c>
    </row>
    <row r="591" spans="20:35" x14ac:dyDescent="0.3">
      <c r="T591" t="s">
        <v>373</v>
      </c>
      <c r="U591" s="6">
        <v>35597</v>
      </c>
      <c r="AH591" s="13">
        <v>44053</v>
      </c>
      <c r="AI591" s="11">
        <v>8163</v>
      </c>
    </row>
    <row r="592" spans="20:35" x14ac:dyDescent="0.3">
      <c r="T592" t="s">
        <v>92</v>
      </c>
      <c r="U592" s="6">
        <v>35044</v>
      </c>
      <c r="AH592" s="13">
        <v>44054</v>
      </c>
      <c r="AI592" s="11">
        <v>4718</v>
      </c>
    </row>
    <row r="593" spans="20:35" x14ac:dyDescent="0.3">
      <c r="T593" t="s">
        <v>517</v>
      </c>
      <c r="U593" s="6">
        <v>46819</v>
      </c>
      <c r="AH593" s="13">
        <v>44055</v>
      </c>
      <c r="AI593" s="11">
        <v>3560</v>
      </c>
    </row>
    <row r="594" spans="20:35" x14ac:dyDescent="0.3">
      <c r="T594" t="s">
        <v>259</v>
      </c>
      <c r="U594" s="6">
        <v>17924</v>
      </c>
      <c r="AH594" s="13">
        <v>44056</v>
      </c>
      <c r="AI594" s="11">
        <v>6656</v>
      </c>
    </row>
    <row r="595" spans="20:35" x14ac:dyDescent="0.3">
      <c r="T595" t="s">
        <v>463</v>
      </c>
      <c r="U595" s="6">
        <v>16604</v>
      </c>
      <c r="AH595" s="13">
        <v>44057</v>
      </c>
      <c r="AI595" s="11">
        <v>9848</v>
      </c>
    </row>
    <row r="596" spans="20:35" x14ac:dyDescent="0.3">
      <c r="T596" t="s">
        <v>223</v>
      </c>
      <c r="U596" s="6">
        <v>19731</v>
      </c>
      <c r="AH596" s="13">
        <v>44058</v>
      </c>
      <c r="AI596" s="11">
        <v>20679</v>
      </c>
    </row>
    <row r="597" spans="20:35" x14ac:dyDescent="0.3">
      <c r="T597" t="s">
        <v>787</v>
      </c>
      <c r="U597" s="6">
        <v>34413</v>
      </c>
      <c r="AH597" s="13">
        <v>44059</v>
      </c>
      <c r="AI597" s="11">
        <v>6834</v>
      </c>
    </row>
    <row r="598" spans="20:35" x14ac:dyDescent="0.3">
      <c r="T598" t="s">
        <v>292</v>
      </c>
      <c r="U598" s="6">
        <v>31606</v>
      </c>
      <c r="AH598" s="13">
        <v>44060</v>
      </c>
      <c r="AI598" s="11">
        <v>6152</v>
      </c>
    </row>
    <row r="599" spans="20:35" x14ac:dyDescent="0.3">
      <c r="T599" t="s">
        <v>333</v>
      </c>
      <c r="U599" s="6">
        <v>41662</v>
      </c>
      <c r="AH599" s="13">
        <v>44061</v>
      </c>
      <c r="AI599" s="11">
        <v>17362</v>
      </c>
    </row>
    <row r="600" spans="20:35" x14ac:dyDescent="0.3">
      <c r="T600" t="s">
        <v>589</v>
      </c>
      <c r="U600" s="6">
        <v>28245</v>
      </c>
      <c r="AH600" s="13">
        <v>44062</v>
      </c>
      <c r="AI600" s="11">
        <v>14846</v>
      </c>
    </row>
    <row r="601" spans="20:35" x14ac:dyDescent="0.3">
      <c r="T601" t="s">
        <v>788</v>
      </c>
      <c r="U601" s="6">
        <v>44117</v>
      </c>
      <c r="AH601" s="13">
        <v>44063</v>
      </c>
      <c r="AI601" s="11">
        <v>9909</v>
      </c>
    </row>
    <row r="602" spans="20:35" x14ac:dyDescent="0.3">
      <c r="T602" t="s">
        <v>547</v>
      </c>
      <c r="U602" s="6">
        <v>35719</v>
      </c>
      <c r="AH602" s="13">
        <v>44064</v>
      </c>
      <c r="AI602" s="11">
        <v>10475</v>
      </c>
    </row>
    <row r="603" spans="20:35" x14ac:dyDescent="0.3">
      <c r="T603" t="s">
        <v>278</v>
      </c>
      <c r="U603" s="6">
        <v>49464</v>
      </c>
      <c r="AH603" s="13">
        <v>44065</v>
      </c>
      <c r="AI603" s="11">
        <v>6429</v>
      </c>
    </row>
    <row r="604" spans="20:35" x14ac:dyDescent="0.3">
      <c r="T604" t="s">
        <v>441</v>
      </c>
      <c r="U604" s="6">
        <v>42579</v>
      </c>
      <c r="AH604" s="13">
        <v>44066</v>
      </c>
      <c r="AI604" s="11">
        <v>10849</v>
      </c>
    </row>
    <row r="605" spans="20:35" x14ac:dyDescent="0.3">
      <c r="T605" t="s">
        <v>322</v>
      </c>
      <c r="U605" s="6">
        <v>31972</v>
      </c>
      <c r="AH605" s="13">
        <v>44067</v>
      </c>
      <c r="AI605" s="11">
        <v>11661</v>
      </c>
    </row>
    <row r="606" spans="20:35" x14ac:dyDescent="0.3">
      <c r="T606" t="s">
        <v>588</v>
      </c>
      <c r="U606" s="6">
        <v>44626</v>
      </c>
      <c r="AH606" s="13">
        <v>44068</v>
      </c>
      <c r="AI606" s="11">
        <v>8255</v>
      </c>
    </row>
    <row r="607" spans="20:35" x14ac:dyDescent="0.3">
      <c r="T607" t="s">
        <v>789</v>
      </c>
      <c r="U607" s="6">
        <v>38691</v>
      </c>
      <c r="AH607" s="13">
        <v>44069</v>
      </c>
      <c r="AI607" s="11">
        <v>15930</v>
      </c>
    </row>
    <row r="608" spans="20:35" x14ac:dyDescent="0.3">
      <c r="T608" t="s">
        <v>407</v>
      </c>
      <c r="U608" s="6">
        <v>26859</v>
      </c>
      <c r="AH608" s="13">
        <v>44070</v>
      </c>
      <c r="AI608" s="11">
        <v>4966</v>
      </c>
    </row>
    <row r="609" spans="20:35" x14ac:dyDescent="0.3">
      <c r="T609" t="s">
        <v>309</v>
      </c>
      <c r="U609" s="6">
        <v>53261</v>
      </c>
      <c r="AH609" s="13">
        <v>44071</v>
      </c>
      <c r="AI609" s="11">
        <v>5086</v>
      </c>
    </row>
    <row r="610" spans="20:35" x14ac:dyDescent="0.3">
      <c r="T610" t="s">
        <v>175</v>
      </c>
      <c r="U610" s="6">
        <v>19450</v>
      </c>
      <c r="AH610" s="13">
        <v>44072</v>
      </c>
      <c r="AI610" s="11">
        <v>8887</v>
      </c>
    </row>
    <row r="611" spans="20:35" x14ac:dyDescent="0.3">
      <c r="T611" t="s">
        <v>443</v>
      </c>
      <c r="U611" s="6">
        <v>46751</v>
      </c>
      <c r="AH611" s="13">
        <v>44073</v>
      </c>
      <c r="AI611" s="11">
        <v>2726</v>
      </c>
    </row>
    <row r="612" spans="20:35" x14ac:dyDescent="0.3">
      <c r="T612" t="s">
        <v>90</v>
      </c>
      <c r="U612" s="6">
        <v>35344</v>
      </c>
      <c r="AH612" s="13">
        <v>44074</v>
      </c>
      <c r="AI612" s="11">
        <v>7155</v>
      </c>
    </row>
    <row r="613" spans="20:35" x14ac:dyDescent="0.3">
      <c r="T613" t="s">
        <v>244</v>
      </c>
      <c r="U613" s="6">
        <v>43893</v>
      </c>
      <c r="AH613" s="13">
        <v>44075</v>
      </c>
      <c r="AI613" s="11">
        <v>9560</v>
      </c>
    </row>
    <row r="614" spans="20:35" x14ac:dyDescent="0.3">
      <c r="T614" t="s">
        <v>790</v>
      </c>
      <c r="U614" s="6">
        <v>25316</v>
      </c>
      <c r="AH614" s="13">
        <v>44076</v>
      </c>
      <c r="AI614" s="11">
        <v>15489</v>
      </c>
    </row>
    <row r="615" spans="20:35" x14ac:dyDescent="0.3">
      <c r="T615" t="s">
        <v>136</v>
      </c>
      <c r="U615" s="6">
        <v>29153</v>
      </c>
      <c r="AH615" s="13">
        <v>44077</v>
      </c>
      <c r="AI615" s="11">
        <v>3916</v>
      </c>
    </row>
    <row r="616" spans="20:35" x14ac:dyDescent="0.3">
      <c r="T616" t="s">
        <v>148</v>
      </c>
      <c r="U616" s="6">
        <v>26643</v>
      </c>
      <c r="AH616" s="13">
        <v>44078</v>
      </c>
      <c r="AI616" s="11">
        <v>9760</v>
      </c>
    </row>
    <row r="617" spans="20:35" x14ac:dyDescent="0.3">
      <c r="T617" t="s">
        <v>224</v>
      </c>
      <c r="U617" s="6">
        <v>34886</v>
      </c>
      <c r="AH617" s="13">
        <v>44079</v>
      </c>
      <c r="AI617" s="11">
        <v>8305</v>
      </c>
    </row>
    <row r="618" spans="20:35" x14ac:dyDescent="0.3">
      <c r="T618" t="s">
        <v>791</v>
      </c>
      <c r="U618" s="6">
        <v>30020</v>
      </c>
      <c r="AH618" s="13">
        <v>44080</v>
      </c>
      <c r="AI618" s="11">
        <v>16960</v>
      </c>
    </row>
    <row r="619" spans="20:35" x14ac:dyDescent="0.3">
      <c r="T619" t="s">
        <v>792</v>
      </c>
      <c r="U619" s="6">
        <v>19003</v>
      </c>
      <c r="AH619" s="13">
        <v>44081</v>
      </c>
      <c r="AI619" s="11">
        <v>13295</v>
      </c>
    </row>
    <row r="620" spans="20:35" x14ac:dyDescent="0.3">
      <c r="T620" t="s">
        <v>380</v>
      </c>
      <c r="U620" s="6">
        <v>28418</v>
      </c>
      <c r="AH620" s="13">
        <v>44082</v>
      </c>
      <c r="AI620" s="11">
        <v>6961</v>
      </c>
    </row>
    <row r="621" spans="20:35" x14ac:dyDescent="0.3">
      <c r="T621" t="s">
        <v>391</v>
      </c>
      <c r="U621" s="6">
        <v>24009</v>
      </c>
      <c r="AH621" s="13">
        <v>44083</v>
      </c>
      <c r="AI621" s="11">
        <v>7740</v>
      </c>
    </row>
    <row r="622" spans="20:35" x14ac:dyDescent="0.3">
      <c r="T622" t="s">
        <v>271</v>
      </c>
      <c r="U622" s="6">
        <v>25825</v>
      </c>
      <c r="AH622" s="13">
        <v>44084</v>
      </c>
      <c r="AI622" s="11">
        <v>15179</v>
      </c>
    </row>
    <row r="623" spans="20:35" x14ac:dyDescent="0.3">
      <c r="T623" t="s">
        <v>164</v>
      </c>
      <c r="U623" s="6">
        <v>13557</v>
      </c>
      <c r="AH623" s="13">
        <v>44085</v>
      </c>
      <c r="AI623" s="11">
        <v>7686</v>
      </c>
    </row>
    <row r="624" spans="20:35" x14ac:dyDescent="0.3">
      <c r="T624" t="s">
        <v>793</v>
      </c>
      <c r="U624" s="6">
        <v>34889</v>
      </c>
      <c r="AH624" s="13">
        <v>44086</v>
      </c>
      <c r="AI624" s="11">
        <v>8097</v>
      </c>
    </row>
    <row r="625" spans="20:35" x14ac:dyDescent="0.3">
      <c r="T625" t="s">
        <v>794</v>
      </c>
      <c r="U625" s="6">
        <v>38741</v>
      </c>
      <c r="AH625" s="13">
        <v>44087</v>
      </c>
      <c r="AI625" s="11">
        <v>6739</v>
      </c>
    </row>
    <row r="626" spans="20:35" x14ac:dyDescent="0.3">
      <c r="T626" t="s">
        <v>346</v>
      </c>
      <c r="U626" s="6">
        <v>30566</v>
      </c>
      <c r="AH626" s="13">
        <v>44088</v>
      </c>
      <c r="AI626" s="11">
        <v>5639</v>
      </c>
    </row>
    <row r="627" spans="20:35" x14ac:dyDescent="0.3">
      <c r="T627" t="s">
        <v>233</v>
      </c>
      <c r="U627" s="6">
        <v>19418</v>
      </c>
      <c r="AH627" s="13">
        <v>44089</v>
      </c>
      <c r="AI627" s="11">
        <v>9180</v>
      </c>
    </row>
    <row r="628" spans="20:35" x14ac:dyDescent="0.3">
      <c r="T628" t="s">
        <v>795</v>
      </c>
      <c r="U628" s="6">
        <v>17059</v>
      </c>
      <c r="AH628" s="13">
        <v>44090</v>
      </c>
      <c r="AI628" s="11">
        <v>19666</v>
      </c>
    </row>
    <row r="629" spans="20:35" x14ac:dyDescent="0.3">
      <c r="T629" t="s">
        <v>327</v>
      </c>
      <c r="U629" s="6">
        <v>33544</v>
      </c>
      <c r="AH629" s="13">
        <v>44091</v>
      </c>
      <c r="AI629" s="11">
        <v>3911</v>
      </c>
    </row>
    <row r="630" spans="20:35" x14ac:dyDescent="0.3">
      <c r="T630" t="s">
        <v>289</v>
      </c>
      <c r="U630" s="6">
        <v>35145</v>
      </c>
      <c r="AH630" s="13">
        <v>44092</v>
      </c>
      <c r="AI630" s="11">
        <v>3093</v>
      </c>
    </row>
    <row r="631" spans="20:35" x14ac:dyDescent="0.3">
      <c r="T631" t="s">
        <v>168</v>
      </c>
      <c r="U631" s="6">
        <v>55306</v>
      </c>
      <c r="AH631" s="13">
        <v>44093</v>
      </c>
      <c r="AI631" s="11">
        <v>10538</v>
      </c>
    </row>
    <row r="632" spans="20:35" x14ac:dyDescent="0.3">
      <c r="T632" t="s">
        <v>796</v>
      </c>
      <c r="U632" s="6">
        <v>24999</v>
      </c>
      <c r="AH632" s="13">
        <v>44094</v>
      </c>
      <c r="AI632" s="11">
        <v>12197</v>
      </c>
    </row>
    <row r="633" spans="20:35" x14ac:dyDescent="0.3">
      <c r="T633" t="s">
        <v>268</v>
      </c>
      <c r="U633" s="6">
        <v>19479</v>
      </c>
      <c r="AH633" s="13">
        <v>44095</v>
      </c>
      <c r="AI633" s="11">
        <v>7368</v>
      </c>
    </row>
    <row r="634" spans="20:35" x14ac:dyDescent="0.3">
      <c r="T634" t="s">
        <v>104</v>
      </c>
      <c r="U634" s="6">
        <v>11963</v>
      </c>
      <c r="AH634" s="13">
        <v>44096</v>
      </c>
      <c r="AI634" s="11">
        <v>6127</v>
      </c>
    </row>
    <row r="635" spans="20:35" x14ac:dyDescent="0.3">
      <c r="T635" t="s">
        <v>530</v>
      </c>
      <c r="U635" s="6">
        <v>22443</v>
      </c>
      <c r="AH635" s="13">
        <v>44097</v>
      </c>
      <c r="AI635" s="11">
        <v>10332</v>
      </c>
    </row>
    <row r="636" spans="20:35" x14ac:dyDescent="0.3">
      <c r="T636" t="s">
        <v>348</v>
      </c>
      <c r="U636" s="6">
        <v>42390</v>
      </c>
      <c r="AH636" s="13">
        <v>44098</v>
      </c>
      <c r="AI636" s="11">
        <v>8216</v>
      </c>
    </row>
    <row r="637" spans="20:35" x14ac:dyDescent="0.3">
      <c r="T637" t="s">
        <v>797</v>
      </c>
      <c r="U637" s="6">
        <v>33636</v>
      </c>
      <c r="AH637" s="13">
        <v>44099</v>
      </c>
      <c r="AI637" s="11">
        <v>10598</v>
      </c>
    </row>
    <row r="638" spans="20:35" x14ac:dyDescent="0.3">
      <c r="T638" t="s">
        <v>888</v>
      </c>
      <c r="U638" s="6">
        <v>26828</v>
      </c>
      <c r="AH638" s="13">
        <v>44100</v>
      </c>
      <c r="AI638" s="11">
        <v>9942</v>
      </c>
    </row>
    <row r="639" spans="20:35" x14ac:dyDescent="0.3">
      <c r="T639" t="s">
        <v>296</v>
      </c>
      <c r="U639" s="6">
        <v>40750</v>
      </c>
      <c r="AH639" s="13">
        <v>44101</v>
      </c>
      <c r="AI639" s="11">
        <v>14228</v>
      </c>
    </row>
    <row r="640" spans="20:35" x14ac:dyDescent="0.3">
      <c r="T640" t="s">
        <v>929</v>
      </c>
      <c r="U640" s="6">
        <v>40345</v>
      </c>
      <c r="AH640" s="13">
        <v>44102</v>
      </c>
      <c r="AI640" s="11">
        <v>9996</v>
      </c>
    </row>
    <row r="641" spans="20:35" x14ac:dyDescent="0.3">
      <c r="T641" t="s">
        <v>889</v>
      </c>
      <c r="U641" s="6">
        <v>40586</v>
      </c>
      <c r="AH641" s="13">
        <v>44103</v>
      </c>
      <c r="AI641" s="11">
        <v>6446</v>
      </c>
    </row>
    <row r="642" spans="20:35" x14ac:dyDescent="0.3">
      <c r="T642" t="s">
        <v>250</v>
      </c>
      <c r="U642" s="6">
        <v>20292</v>
      </c>
      <c r="AH642" s="13">
        <v>44104</v>
      </c>
      <c r="AI642" s="11">
        <v>16693</v>
      </c>
    </row>
    <row r="643" spans="20:35" x14ac:dyDescent="0.3">
      <c r="T643" t="s">
        <v>798</v>
      </c>
      <c r="U643" s="6">
        <v>21931</v>
      </c>
      <c r="AH643" s="13">
        <v>44105</v>
      </c>
      <c r="AI643" s="11">
        <v>3407</v>
      </c>
    </row>
    <row r="644" spans="20:35" x14ac:dyDescent="0.3">
      <c r="T644" t="s">
        <v>237</v>
      </c>
      <c r="U644" s="6">
        <v>67824</v>
      </c>
      <c r="AH644" s="13">
        <v>44106</v>
      </c>
      <c r="AI644" s="11">
        <v>7959</v>
      </c>
    </row>
    <row r="645" spans="20:35" x14ac:dyDescent="0.3">
      <c r="T645" t="s">
        <v>444</v>
      </c>
      <c r="U645" s="6">
        <v>23732</v>
      </c>
      <c r="AH645" s="13">
        <v>44107</v>
      </c>
      <c r="AI645" s="11">
        <v>10173</v>
      </c>
    </row>
    <row r="646" spans="20:35" x14ac:dyDescent="0.3">
      <c r="T646" t="s">
        <v>570</v>
      </c>
      <c r="U646" s="6">
        <v>25248</v>
      </c>
      <c r="AH646" s="13">
        <v>44108</v>
      </c>
      <c r="AI646" s="11">
        <v>14523</v>
      </c>
    </row>
    <row r="647" spans="20:35" x14ac:dyDescent="0.3">
      <c r="T647" t="s">
        <v>383</v>
      </c>
      <c r="U647" s="6">
        <v>27216</v>
      </c>
      <c r="AH647" s="13">
        <v>44109</v>
      </c>
      <c r="AI647" s="11">
        <v>11690</v>
      </c>
    </row>
    <row r="648" spans="20:35" x14ac:dyDescent="0.3">
      <c r="T648" t="s">
        <v>297</v>
      </c>
      <c r="U648" s="6">
        <v>29172</v>
      </c>
      <c r="AH648" s="13">
        <v>44110</v>
      </c>
      <c r="AI648" s="11">
        <v>10893</v>
      </c>
    </row>
    <row r="649" spans="20:35" x14ac:dyDescent="0.3">
      <c r="T649" t="s">
        <v>531</v>
      </c>
      <c r="U649" s="6">
        <v>20971</v>
      </c>
      <c r="AH649" s="13">
        <v>44111</v>
      </c>
      <c r="AI649" s="11">
        <v>11726</v>
      </c>
    </row>
    <row r="650" spans="20:35" x14ac:dyDescent="0.3">
      <c r="T650" t="s">
        <v>890</v>
      </c>
      <c r="U650" s="6">
        <v>35729</v>
      </c>
      <c r="AH650" s="13">
        <v>44112</v>
      </c>
      <c r="AI650" s="11">
        <v>6603</v>
      </c>
    </row>
    <row r="651" spans="20:35" x14ac:dyDescent="0.3">
      <c r="T651" t="s">
        <v>891</v>
      </c>
      <c r="U651" s="6">
        <v>33918</v>
      </c>
      <c r="AH651" s="13">
        <v>44113</v>
      </c>
      <c r="AI651" s="11">
        <v>6060</v>
      </c>
    </row>
    <row r="652" spans="20:35" x14ac:dyDescent="0.3">
      <c r="T652" t="s">
        <v>892</v>
      </c>
      <c r="U652" s="6">
        <v>27283</v>
      </c>
      <c r="AH652" s="13">
        <v>44114</v>
      </c>
      <c r="AI652" s="11">
        <v>13069</v>
      </c>
    </row>
    <row r="653" spans="20:35" x14ac:dyDescent="0.3">
      <c r="T653" t="s">
        <v>167</v>
      </c>
      <c r="U653" s="6">
        <v>40088</v>
      </c>
      <c r="AH653" s="13">
        <v>44115</v>
      </c>
      <c r="AI653" s="11">
        <v>9127</v>
      </c>
    </row>
    <row r="654" spans="20:35" x14ac:dyDescent="0.3">
      <c r="T654" t="s">
        <v>110</v>
      </c>
      <c r="U654" s="6">
        <v>20014</v>
      </c>
      <c r="AH654" s="13">
        <v>44116</v>
      </c>
      <c r="AI654" s="11">
        <v>16356</v>
      </c>
    </row>
    <row r="655" spans="20:35" x14ac:dyDescent="0.3">
      <c r="T655" t="s">
        <v>320</v>
      </c>
      <c r="U655" s="6">
        <v>27962</v>
      </c>
      <c r="AH655" s="13">
        <v>44117</v>
      </c>
      <c r="AI655" s="11">
        <v>14234</v>
      </c>
    </row>
    <row r="656" spans="20:35" x14ac:dyDescent="0.3">
      <c r="T656" t="s">
        <v>165</v>
      </c>
      <c r="U656" s="6">
        <v>30475</v>
      </c>
      <c r="AH656" s="13">
        <v>44118</v>
      </c>
      <c r="AI656" s="11">
        <v>10669</v>
      </c>
    </row>
    <row r="657" spans="20:35" x14ac:dyDescent="0.3">
      <c r="T657" t="s">
        <v>548</v>
      </c>
      <c r="U657" s="6">
        <v>46242</v>
      </c>
      <c r="AH657" s="13">
        <v>44119</v>
      </c>
      <c r="AI657" s="11">
        <v>4614</v>
      </c>
    </row>
    <row r="658" spans="20:35" x14ac:dyDescent="0.3">
      <c r="T658" t="s">
        <v>301</v>
      </c>
      <c r="U658" s="6">
        <v>58791</v>
      </c>
      <c r="AH658" s="13">
        <v>44120</v>
      </c>
      <c r="AI658" s="11">
        <v>6728</v>
      </c>
    </row>
    <row r="659" spans="20:35" x14ac:dyDescent="0.3">
      <c r="T659" t="s">
        <v>171</v>
      </c>
      <c r="U659" s="6">
        <v>42074</v>
      </c>
      <c r="AH659" s="13">
        <v>44121</v>
      </c>
      <c r="AI659" s="11">
        <v>14810</v>
      </c>
    </row>
    <row r="660" spans="20:35" x14ac:dyDescent="0.3">
      <c r="T660" t="s">
        <v>176</v>
      </c>
      <c r="U660" s="6">
        <v>24953</v>
      </c>
      <c r="AH660" s="13">
        <v>44122</v>
      </c>
      <c r="AI660" s="11">
        <v>6135</v>
      </c>
    </row>
    <row r="661" spans="20:35" x14ac:dyDescent="0.3">
      <c r="T661" t="s">
        <v>799</v>
      </c>
      <c r="U661" s="6">
        <v>37163</v>
      </c>
      <c r="AH661" s="13">
        <v>44123</v>
      </c>
      <c r="AI661" s="11">
        <v>14001</v>
      </c>
    </row>
    <row r="662" spans="20:35" x14ac:dyDescent="0.3">
      <c r="T662" t="s">
        <v>586</v>
      </c>
      <c r="U662" s="6">
        <v>29847</v>
      </c>
      <c r="AH662" s="13">
        <v>44124</v>
      </c>
      <c r="AI662" s="11">
        <v>12430</v>
      </c>
    </row>
    <row r="663" spans="20:35" x14ac:dyDescent="0.3">
      <c r="T663" t="s">
        <v>561</v>
      </c>
      <c r="U663" s="6">
        <v>27296</v>
      </c>
      <c r="AH663" s="13">
        <v>44125</v>
      </c>
      <c r="AI663" s="11">
        <v>4456</v>
      </c>
    </row>
    <row r="664" spans="20:35" x14ac:dyDescent="0.3">
      <c r="T664" t="s">
        <v>800</v>
      </c>
      <c r="U664" s="6">
        <v>34849</v>
      </c>
      <c r="AH664" s="13">
        <v>44126</v>
      </c>
      <c r="AI664" s="11">
        <v>7182</v>
      </c>
    </row>
    <row r="665" spans="20:35" x14ac:dyDescent="0.3">
      <c r="T665" t="s">
        <v>801</v>
      </c>
      <c r="U665" s="6">
        <v>35238</v>
      </c>
      <c r="AH665" s="13">
        <v>44127</v>
      </c>
      <c r="AI665" s="11">
        <v>6797</v>
      </c>
    </row>
    <row r="666" spans="20:35" x14ac:dyDescent="0.3">
      <c r="T666" t="s">
        <v>802</v>
      </c>
      <c r="U666" s="6">
        <v>41412</v>
      </c>
      <c r="AH666" s="13">
        <v>44128</v>
      </c>
      <c r="AI666" s="11">
        <v>10972</v>
      </c>
    </row>
    <row r="667" spans="20:35" x14ac:dyDescent="0.3">
      <c r="T667" t="s">
        <v>803</v>
      </c>
      <c r="U667" s="6">
        <v>34860</v>
      </c>
      <c r="AH667" s="13">
        <v>44129</v>
      </c>
      <c r="AI667" s="11">
        <v>10482</v>
      </c>
    </row>
    <row r="668" spans="20:35" x14ac:dyDescent="0.3">
      <c r="T668" t="s">
        <v>199</v>
      </c>
      <c r="U668" s="6">
        <v>19393</v>
      </c>
      <c r="AH668" s="13">
        <v>44130</v>
      </c>
      <c r="AI668" s="11">
        <v>20208</v>
      </c>
    </row>
    <row r="669" spans="20:35" x14ac:dyDescent="0.3">
      <c r="T669" t="s">
        <v>804</v>
      </c>
      <c r="U669" s="6">
        <v>40469</v>
      </c>
      <c r="AH669" s="13">
        <v>44131</v>
      </c>
      <c r="AI669" s="11">
        <v>12565</v>
      </c>
    </row>
    <row r="670" spans="20:35" x14ac:dyDescent="0.3">
      <c r="T670" t="s">
        <v>464</v>
      </c>
      <c r="U670" s="6">
        <v>40823</v>
      </c>
      <c r="AH670" s="13">
        <v>44132</v>
      </c>
      <c r="AI670" s="11">
        <v>11213</v>
      </c>
    </row>
    <row r="671" spans="20:35" x14ac:dyDescent="0.3">
      <c r="T671" t="s">
        <v>108</v>
      </c>
      <c r="U671" s="6">
        <v>60669</v>
      </c>
      <c r="AH671" s="13">
        <v>44133</v>
      </c>
      <c r="AI671" s="11">
        <v>12242</v>
      </c>
    </row>
    <row r="672" spans="20:35" x14ac:dyDescent="0.3">
      <c r="T672" t="s">
        <v>805</v>
      </c>
      <c r="U672" s="6">
        <v>51758</v>
      </c>
      <c r="AH672" s="13">
        <v>44134</v>
      </c>
      <c r="AI672" s="11">
        <v>10680</v>
      </c>
    </row>
    <row r="673" spans="20:35" x14ac:dyDescent="0.3">
      <c r="T673" t="s">
        <v>324</v>
      </c>
      <c r="U673" s="6">
        <v>14803</v>
      </c>
      <c r="AH673" s="13">
        <v>44135</v>
      </c>
      <c r="AI673" s="11">
        <v>8710</v>
      </c>
    </row>
    <row r="674" spans="20:35" x14ac:dyDescent="0.3">
      <c r="T674" t="s">
        <v>508</v>
      </c>
      <c r="U674" s="6">
        <v>36739</v>
      </c>
      <c r="AH674" s="13">
        <v>44136</v>
      </c>
      <c r="AI674" s="11">
        <v>10612</v>
      </c>
    </row>
    <row r="675" spans="20:35" x14ac:dyDescent="0.3">
      <c r="T675" t="s">
        <v>893</v>
      </c>
      <c r="U675" s="6">
        <v>24684</v>
      </c>
      <c r="AH675" s="13">
        <v>44137</v>
      </c>
      <c r="AI675" s="11">
        <v>12180</v>
      </c>
    </row>
    <row r="676" spans="20:35" x14ac:dyDescent="0.3">
      <c r="T676" t="s">
        <v>151</v>
      </c>
      <c r="U676" s="6">
        <v>16930</v>
      </c>
      <c r="AH676" s="13">
        <v>44138</v>
      </c>
      <c r="AI676" s="11">
        <v>13907</v>
      </c>
    </row>
    <row r="677" spans="20:35" x14ac:dyDescent="0.3">
      <c r="T677" t="s">
        <v>147</v>
      </c>
      <c r="U677" s="6">
        <v>22630</v>
      </c>
      <c r="AH677" s="13">
        <v>44139</v>
      </c>
      <c r="AI677" s="11">
        <v>13221</v>
      </c>
    </row>
    <row r="678" spans="20:35" x14ac:dyDescent="0.3">
      <c r="T678" t="s">
        <v>493</v>
      </c>
      <c r="U678" s="6">
        <v>32095</v>
      </c>
      <c r="AH678" s="13">
        <v>44140</v>
      </c>
      <c r="AI678" s="11">
        <v>16034</v>
      </c>
    </row>
    <row r="679" spans="20:35" x14ac:dyDescent="0.3">
      <c r="T679" t="s">
        <v>471</v>
      </c>
      <c r="U679" s="6">
        <v>26930</v>
      </c>
      <c r="AH679" s="13">
        <v>44141</v>
      </c>
      <c r="AI679" s="11">
        <v>11516</v>
      </c>
    </row>
    <row r="680" spans="20:35" x14ac:dyDescent="0.3">
      <c r="T680" t="s">
        <v>221</v>
      </c>
      <c r="U680" s="6">
        <v>23103</v>
      </c>
      <c r="AH680" s="13">
        <v>44142</v>
      </c>
      <c r="AI680" s="11">
        <v>12850</v>
      </c>
    </row>
    <row r="681" spans="20:35" x14ac:dyDescent="0.3">
      <c r="T681" t="s">
        <v>298</v>
      </c>
      <c r="U681" s="6">
        <v>59852</v>
      </c>
      <c r="AH681" s="13">
        <v>44143</v>
      </c>
      <c r="AI681" s="11">
        <v>6737</v>
      </c>
    </row>
    <row r="682" spans="20:35" x14ac:dyDescent="0.3">
      <c r="T682" t="s">
        <v>294</v>
      </c>
      <c r="U682" s="6">
        <v>26491</v>
      </c>
      <c r="AH682" s="13">
        <v>44144</v>
      </c>
      <c r="AI682" s="11">
        <v>8610</v>
      </c>
    </row>
    <row r="683" spans="20:35" x14ac:dyDescent="0.3">
      <c r="T683" t="s">
        <v>217</v>
      </c>
      <c r="U683" s="6">
        <v>41275</v>
      </c>
      <c r="AH683" s="13">
        <v>44145</v>
      </c>
      <c r="AI683" s="11">
        <v>7568</v>
      </c>
    </row>
    <row r="684" spans="20:35" x14ac:dyDescent="0.3">
      <c r="T684" t="s">
        <v>426</v>
      </c>
      <c r="U684" s="6">
        <v>31178</v>
      </c>
      <c r="AH684" s="13">
        <v>44146</v>
      </c>
      <c r="AI684" s="11">
        <v>12050</v>
      </c>
    </row>
    <row r="685" spans="20:35" x14ac:dyDescent="0.3">
      <c r="T685" t="s">
        <v>806</v>
      </c>
      <c r="U685" s="6">
        <v>48374</v>
      </c>
      <c r="AH685" s="13">
        <v>44147</v>
      </c>
      <c r="AI685" s="11">
        <v>17289</v>
      </c>
    </row>
    <row r="686" spans="20:35" x14ac:dyDescent="0.3">
      <c r="T686" t="s">
        <v>807</v>
      </c>
      <c r="U686" s="6">
        <v>37364</v>
      </c>
      <c r="AH686" s="13">
        <v>44148</v>
      </c>
      <c r="AI686" s="11">
        <v>13077</v>
      </c>
    </row>
    <row r="687" spans="20:35" x14ac:dyDescent="0.3">
      <c r="T687" t="s">
        <v>808</v>
      </c>
      <c r="U687" s="6">
        <v>25866</v>
      </c>
      <c r="AH687" s="13">
        <v>44149</v>
      </c>
      <c r="AI687" s="11">
        <v>10147</v>
      </c>
    </row>
    <row r="688" spans="20:35" x14ac:dyDescent="0.3">
      <c r="T688" t="s">
        <v>266</v>
      </c>
      <c r="U688" s="6">
        <v>32566</v>
      </c>
      <c r="AH688" s="13">
        <v>44150</v>
      </c>
      <c r="AI688" s="11">
        <v>3956</v>
      </c>
    </row>
    <row r="689" spans="20:35" x14ac:dyDescent="0.3">
      <c r="T689" t="s">
        <v>158</v>
      </c>
      <c r="U689" s="6">
        <v>31509</v>
      </c>
      <c r="AH689" s="13">
        <v>44151</v>
      </c>
      <c r="AI689" s="11">
        <v>10382</v>
      </c>
    </row>
    <row r="690" spans="20:35" x14ac:dyDescent="0.3">
      <c r="T690" t="s">
        <v>930</v>
      </c>
      <c r="U690" s="6">
        <v>18841</v>
      </c>
      <c r="AH690" s="13">
        <v>44152</v>
      </c>
      <c r="AI690" s="11">
        <v>18994</v>
      </c>
    </row>
    <row r="691" spans="20:35" x14ac:dyDescent="0.3">
      <c r="T691" t="s">
        <v>434</v>
      </c>
      <c r="U691" s="6">
        <v>16647</v>
      </c>
      <c r="AH691" s="13">
        <v>44153</v>
      </c>
      <c r="AI691" s="11">
        <v>12739</v>
      </c>
    </row>
    <row r="692" spans="20:35" x14ac:dyDescent="0.3">
      <c r="T692" t="s">
        <v>909</v>
      </c>
      <c r="U692" s="6">
        <v>12162</v>
      </c>
      <c r="AH692" s="13">
        <v>44154</v>
      </c>
      <c r="AI692" s="11">
        <v>8926</v>
      </c>
    </row>
    <row r="693" spans="20:35" x14ac:dyDescent="0.3">
      <c r="T693" t="s">
        <v>580</v>
      </c>
      <c r="U693" s="6">
        <v>37075</v>
      </c>
      <c r="AH693" s="13">
        <v>44155</v>
      </c>
      <c r="AI693" s="11">
        <v>15454</v>
      </c>
    </row>
    <row r="694" spans="20:35" x14ac:dyDescent="0.3">
      <c r="T694" t="s">
        <v>910</v>
      </c>
      <c r="U694" s="6">
        <v>29531</v>
      </c>
      <c r="AH694" s="13">
        <v>44156</v>
      </c>
      <c r="AI694" s="11">
        <v>15168</v>
      </c>
    </row>
    <row r="695" spans="20:35" x14ac:dyDescent="0.3">
      <c r="T695" t="s">
        <v>809</v>
      </c>
      <c r="U695" s="6">
        <v>16620</v>
      </c>
      <c r="AH695" s="13">
        <v>44157</v>
      </c>
      <c r="AI695" s="11">
        <v>6824</v>
      </c>
    </row>
    <row r="696" spans="20:35" x14ac:dyDescent="0.3">
      <c r="T696" t="s">
        <v>810</v>
      </c>
      <c r="U696" s="6">
        <v>22230</v>
      </c>
      <c r="AH696" s="13">
        <v>44158</v>
      </c>
      <c r="AI696" s="11">
        <v>6122</v>
      </c>
    </row>
    <row r="697" spans="20:35" x14ac:dyDescent="0.3">
      <c r="T697" t="s">
        <v>894</v>
      </c>
      <c r="U697" s="6">
        <v>31731</v>
      </c>
      <c r="AH697" s="13">
        <v>44159</v>
      </c>
      <c r="AI697" s="11">
        <v>8442</v>
      </c>
    </row>
    <row r="698" spans="20:35" x14ac:dyDescent="0.3">
      <c r="T698" t="s">
        <v>811</v>
      </c>
      <c r="U698" s="6">
        <v>48400</v>
      </c>
      <c r="AH698" s="13">
        <v>44160</v>
      </c>
      <c r="AI698" s="11">
        <v>8848</v>
      </c>
    </row>
    <row r="699" spans="20:35" x14ac:dyDescent="0.3">
      <c r="T699" t="s">
        <v>812</v>
      </c>
      <c r="U699" s="6">
        <v>19047</v>
      </c>
      <c r="AH699" s="13">
        <v>44161</v>
      </c>
      <c r="AI699" s="11">
        <v>10595</v>
      </c>
    </row>
    <row r="700" spans="20:35" x14ac:dyDescent="0.3">
      <c r="T700" t="s">
        <v>555</v>
      </c>
      <c r="U700" s="6">
        <v>39848</v>
      </c>
      <c r="AH700" s="13">
        <v>44162</v>
      </c>
      <c r="AI700" s="11">
        <v>9535</v>
      </c>
    </row>
    <row r="701" spans="20:35" x14ac:dyDescent="0.3">
      <c r="T701" t="s">
        <v>813</v>
      </c>
      <c r="U701" s="6">
        <v>24363</v>
      </c>
      <c r="AH701" s="13">
        <v>44163</v>
      </c>
      <c r="AI701" s="11">
        <v>8590</v>
      </c>
    </row>
    <row r="702" spans="20:35" x14ac:dyDescent="0.3">
      <c r="T702" t="s">
        <v>406</v>
      </c>
      <c r="U702" s="6">
        <v>42413</v>
      </c>
      <c r="AH702" s="13">
        <v>44164</v>
      </c>
      <c r="AI702" s="11">
        <v>11796</v>
      </c>
    </row>
    <row r="703" spans="20:35" x14ac:dyDescent="0.3">
      <c r="T703" t="s">
        <v>814</v>
      </c>
      <c r="U703" s="6">
        <v>47987</v>
      </c>
      <c r="AH703" s="13">
        <v>44165</v>
      </c>
      <c r="AI703" s="11">
        <v>4916</v>
      </c>
    </row>
    <row r="704" spans="20:35" x14ac:dyDescent="0.3">
      <c r="T704" t="s">
        <v>357</v>
      </c>
      <c r="U704" s="6">
        <v>30229</v>
      </c>
      <c r="AH704" s="13">
        <v>44166</v>
      </c>
      <c r="AI704" s="11">
        <v>15448</v>
      </c>
    </row>
    <row r="705" spans="20:35" x14ac:dyDescent="0.3">
      <c r="T705" t="s">
        <v>188</v>
      </c>
      <c r="U705" s="6">
        <v>45613</v>
      </c>
      <c r="AH705" s="13">
        <v>44167</v>
      </c>
      <c r="AI705" s="11">
        <v>8781</v>
      </c>
    </row>
    <row r="706" spans="20:35" x14ac:dyDescent="0.3">
      <c r="T706" t="s">
        <v>347</v>
      </c>
      <c r="U706" s="6">
        <v>28264</v>
      </c>
      <c r="AH706" s="13">
        <v>44168</v>
      </c>
      <c r="AI706" s="11">
        <v>5083</v>
      </c>
    </row>
    <row r="707" spans="20:35" x14ac:dyDescent="0.3">
      <c r="T707" t="s">
        <v>113</v>
      </c>
      <c r="U707" s="6">
        <v>42348</v>
      </c>
      <c r="AH707" s="13">
        <v>44169</v>
      </c>
      <c r="AI707" s="11">
        <v>8901</v>
      </c>
    </row>
    <row r="708" spans="20:35" x14ac:dyDescent="0.3">
      <c r="T708" t="s">
        <v>106</v>
      </c>
      <c r="U708" s="6">
        <v>65193</v>
      </c>
      <c r="AH708" s="13">
        <v>44170</v>
      </c>
      <c r="AI708" s="11">
        <v>8090</v>
      </c>
    </row>
    <row r="709" spans="20:35" x14ac:dyDescent="0.3">
      <c r="T709" t="s">
        <v>815</v>
      </c>
      <c r="U709" s="6">
        <v>18213</v>
      </c>
      <c r="AH709" s="13">
        <v>44171</v>
      </c>
      <c r="AI709" s="11">
        <v>18526</v>
      </c>
    </row>
    <row r="710" spans="20:35" x14ac:dyDescent="0.3">
      <c r="T710" t="s">
        <v>911</v>
      </c>
      <c r="U710" s="6">
        <v>37573</v>
      </c>
      <c r="AH710" s="13">
        <v>44172</v>
      </c>
      <c r="AI710" s="11">
        <v>11361</v>
      </c>
    </row>
    <row r="711" spans="20:35" x14ac:dyDescent="0.3">
      <c r="T711" t="s">
        <v>816</v>
      </c>
      <c r="U711" s="6">
        <v>38179</v>
      </c>
      <c r="AH711" s="13">
        <v>44173</v>
      </c>
      <c r="AI711" s="11">
        <v>10093</v>
      </c>
    </row>
    <row r="712" spans="20:35" x14ac:dyDescent="0.3">
      <c r="T712" t="s">
        <v>817</v>
      </c>
      <c r="U712" s="6">
        <v>22570</v>
      </c>
      <c r="AH712" s="13">
        <v>44174</v>
      </c>
      <c r="AI712" s="11">
        <v>7797</v>
      </c>
    </row>
    <row r="713" spans="20:35" x14ac:dyDescent="0.3">
      <c r="T713" t="s">
        <v>536</v>
      </c>
      <c r="U713" s="6">
        <v>30322</v>
      </c>
      <c r="AH713" s="13">
        <v>44175</v>
      </c>
      <c r="AI713" s="11">
        <v>8278</v>
      </c>
    </row>
    <row r="714" spans="20:35" x14ac:dyDescent="0.3">
      <c r="T714" t="s">
        <v>818</v>
      </c>
      <c r="U714" s="6">
        <v>32703</v>
      </c>
      <c r="AH714" s="13">
        <v>44176</v>
      </c>
      <c r="AI714" s="11">
        <v>25595</v>
      </c>
    </row>
    <row r="715" spans="20:35" x14ac:dyDescent="0.3">
      <c r="T715" t="s">
        <v>449</v>
      </c>
      <c r="U715" s="6">
        <v>46228</v>
      </c>
      <c r="AH715" s="13">
        <v>44177</v>
      </c>
      <c r="AI715" s="11">
        <v>12710</v>
      </c>
    </row>
    <row r="716" spans="20:35" x14ac:dyDescent="0.3">
      <c r="T716" t="s">
        <v>358</v>
      </c>
      <c r="U716" s="6">
        <v>29438</v>
      </c>
      <c r="AH716" s="13">
        <v>44178</v>
      </c>
      <c r="AI716" s="11">
        <v>4742</v>
      </c>
    </row>
    <row r="717" spans="20:35" x14ac:dyDescent="0.3">
      <c r="T717" t="s">
        <v>351</v>
      </c>
      <c r="U717" s="6">
        <v>24973</v>
      </c>
      <c r="AH717" s="13">
        <v>44179</v>
      </c>
      <c r="AI717" s="11">
        <v>12213</v>
      </c>
    </row>
    <row r="718" spans="20:35" x14ac:dyDescent="0.3">
      <c r="T718" t="s">
        <v>819</v>
      </c>
      <c r="U718" s="6">
        <v>37801</v>
      </c>
      <c r="AH718" s="13">
        <v>44180</v>
      </c>
      <c r="AI718" s="11">
        <v>11318</v>
      </c>
    </row>
    <row r="719" spans="20:35" x14ac:dyDescent="0.3">
      <c r="T719" t="s">
        <v>820</v>
      </c>
      <c r="U719" s="6">
        <v>32838</v>
      </c>
      <c r="AH719" s="13">
        <v>44181</v>
      </c>
      <c r="AI719" s="11">
        <v>10032</v>
      </c>
    </row>
    <row r="720" spans="20:35" x14ac:dyDescent="0.3">
      <c r="T720" t="s">
        <v>505</v>
      </c>
      <c r="U720" s="6">
        <v>29174</v>
      </c>
      <c r="AH720" s="13">
        <v>44182</v>
      </c>
      <c r="AI720" s="11">
        <v>5815</v>
      </c>
    </row>
    <row r="721" spans="20:35" x14ac:dyDescent="0.3">
      <c r="T721" t="s">
        <v>556</v>
      </c>
      <c r="U721" s="6">
        <v>38609</v>
      </c>
      <c r="AH721" s="13">
        <v>44183</v>
      </c>
      <c r="AI721" s="11">
        <v>7318</v>
      </c>
    </row>
    <row r="722" spans="20:35" x14ac:dyDescent="0.3">
      <c r="T722" t="s">
        <v>206</v>
      </c>
      <c r="U722" s="6">
        <v>23228</v>
      </c>
      <c r="AH722" s="13">
        <v>44184</v>
      </c>
      <c r="AI722" s="11">
        <v>15737</v>
      </c>
    </row>
    <row r="723" spans="20:35" x14ac:dyDescent="0.3">
      <c r="T723" t="s">
        <v>552</v>
      </c>
      <c r="U723" s="6">
        <v>31850</v>
      </c>
      <c r="AH723" s="13">
        <v>44185</v>
      </c>
      <c r="AI723" s="11">
        <v>7178</v>
      </c>
    </row>
    <row r="724" spans="20:35" x14ac:dyDescent="0.3">
      <c r="T724" t="s">
        <v>821</v>
      </c>
      <c r="U724" s="6">
        <v>27270</v>
      </c>
      <c r="AH724" s="13">
        <v>44186</v>
      </c>
      <c r="AI724" s="11">
        <v>14768</v>
      </c>
    </row>
    <row r="725" spans="20:35" x14ac:dyDescent="0.3">
      <c r="T725" t="s">
        <v>144</v>
      </c>
      <c r="U725" s="6">
        <v>39808</v>
      </c>
      <c r="AH725" s="13">
        <v>44187</v>
      </c>
      <c r="AI725" s="11">
        <v>12623</v>
      </c>
    </row>
    <row r="726" spans="20:35" x14ac:dyDescent="0.3">
      <c r="T726" t="s">
        <v>341</v>
      </c>
      <c r="U726" s="6">
        <v>30759</v>
      </c>
      <c r="AH726" s="13">
        <v>44188</v>
      </c>
      <c r="AI726" s="11">
        <v>14601</v>
      </c>
    </row>
    <row r="727" spans="20:35" x14ac:dyDescent="0.3">
      <c r="T727" t="s">
        <v>354</v>
      </c>
      <c r="U727" s="6">
        <v>38242</v>
      </c>
      <c r="AH727" s="13">
        <v>44189</v>
      </c>
      <c r="AI727" s="11">
        <v>8655</v>
      </c>
    </row>
    <row r="728" spans="20:35" x14ac:dyDescent="0.3">
      <c r="T728" t="s">
        <v>822</v>
      </c>
      <c r="U728" s="6">
        <v>16531</v>
      </c>
      <c r="AH728" s="13">
        <v>44190</v>
      </c>
      <c r="AI728" s="11">
        <v>17830</v>
      </c>
    </row>
    <row r="729" spans="20:35" x14ac:dyDescent="0.3">
      <c r="T729" t="s">
        <v>526</v>
      </c>
      <c r="U729" s="6">
        <v>30099</v>
      </c>
      <c r="AH729" s="13">
        <v>44191</v>
      </c>
      <c r="AI729" s="11">
        <v>11191</v>
      </c>
    </row>
    <row r="730" spans="20:35" x14ac:dyDescent="0.3">
      <c r="T730" t="s">
        <v>476</v>
      </c>
      <c r="U730" s="6">
        <v>14723</v>
      </c>
      <c r="AH730" s="13">
        <v>44192</v>
      </c>
      <c r="AI730" s="11">
        <v>13537</v>
      </c>
    </row>
    <row r="731" spans="20:35" x14ac:dyDescent="0.3">
      <c r="T731" t="s">
        <v>823</v>
      </c>
      <c r="U731" s="6">
        <v>19261</v>
      </c>
      <c r="AH731" s="13">
        <v>44193</v>
      </c>
      <c r="AI731" s="11">
        <v>8083</v>
      </c>
    </row>
    <row r="732" spans="20:35" x14ac:dyDescent="0.3">
      <c r="T732" t="s">
        <v>312</v>
      </c>
      <c r="U732" s="6">
        <v>63373</v>
      </c>
      <c r="AH732" s="13">
        <v>44194</v>
      </c>
      <c r="AI732" s="11">
        <v>5970</v>
      </c>
    </row>
    <row r="733" spans="20:35" x14ac:dyDescent="0.3">
      <c r="T733" t="s">
        <v>540</v>
      </c>
      <c r="U733" s="6">
        <v>30659</v>
      </c>
      <c r="AH733" s="13">
        <v>44195</v>
      </c>
      <c r="AI733" s="11">
        <v>16022</v>
      </c>
    </row>
    <row r="734" spans="20:35" x14ac:dyDescent="0.3">
      <c r="T734" t="s">
        <v>150</v>
      </c>
      <c r="U734" s="6">
        <v>11092</v>
      </c>
      <c r="AH734" s="13">
        <v>44196</v>
      </c>
      <c r="AI734" s="11">
        <v>11077</v>
      </c>
    </row>
    <row r="735" spans="20:35" x14ac:dyDescent="0.3">
      <c r="T735" t="s">
        <v>414</v>
      </c>
      <c r="U735" s="6">
        <v>29812</v>
      </c>
      <c r="AH735" s="13">
        <v>44197</v>
      </c>
      <c r="AI735" s="11">
        <v>4448</v>
      </c>
    </row>
    <row r="736" spans="20:35" x14ac:dyDescent="0.3">
      <c r="T736" t="s">
        <v>585</v>
      </c>
      <c r="U736" s="6">
        <v>36080</v>
      </c>
      <c r="AH736" s="13">
        <v>44198</v>
      </c>
      <c r="AI736" s="11">
        <v>4111</v>
      </c>
    </row>
    <row r="737" spans="20:35" x14ac:dyDescent="0.3">
      <c r="T737" t="s">
        <v>486</v>
      </c>
      <c r="U737" s="6">
        <v>24348</v>
      </c>
      <c r="AH737" s="13">
        <v>44199</v>
      </c>
      <c r="AI737" s="11">
        <v>8905</v>
      </c>
    </row>
    <row r="738" spans="20:35" x14ac:dyDescent="0.3">
      <c r="T738" t="s">
        <v>824</v>
      </c>
      <c r="U738" s="6">
        <v>48588</v>
      </c>
      <c r="AH738" s="13">
        <v>44200</v>
      </c>
      <c r="AI738" s="11">
        <v>11578</v>
      </c>
    </row>
    <row r="739" spans="20:35" x14ac:dyDescent="0.3">
      <c r="T739" t="s">
        <v>405</v>
      </c>
      <c r="U739" s="6">
        <v>27407</v>
      </c>
      <c r="AH739" s="13">
        <v>44201</v>
      </c>
      <c r="AI739" s="11">
        <v>11700</v>
      </c>
    </row>
    <row r="740" spans="20:35" x14ac:dyDescent="0.3">
      <c r="T740" t="s">
        <v>895</v>
      </c>
      <c r="U740" s="6">
        <v>15078</v>
      </c>
      <c r="AH740" s="13">
        <v>44202</v>
      </c>
      <c r="AI740" s="11">
        <v>8882</v>
      </c>
    </row>
    <row r="741" spans="20:35" x14ac:dyDescent="0.3">
      <c r="T741" t="s">
        <v>494</v>
      </c>
      <c r="U741" s="6">
        <v>19255</v>
      </c>
      <c r="AH741" s="13">
        <v>44203</v>
      </c>
      <c r="AI741" s="11">
        <v>15550</v>
      </c>
    </row>
    <row r="742" spans="20:35" x14ac:dyDescent="0.3">
      <c r="T742" t="s">
        <v>482</v>
      </c>
      <c r="U742" s="6">
        <v>28658</v>
      </c>
      <c r="AH742" s="13">
        <v>44204</v>
      </c>
      <c r="AI742" s="11">
        <v>7893</v>
      </c>
    </row>
    <row r="743" spans="20:35" x14ac:dyDescent="0.3">
      <c r="T743" t="s">
        <v>445</v>
      </c>
      <c r="U743" s="6">
        <v>28999</v>
      </c>
      <c r="AH743" s="13">
        <v>44205</v>
      </c>
      <c r="AI743" s="11">
        <v>15526</v>
      </c>
    </row>
    <row r="744" spans="20:35" x14ac:dyDescent="0.3">
      <c r="T744" t="s">
        <v>283</v>
      </c>
      <c r="U744" s="6">
        <v>13409</v>
      </c>
      <c r="AH744" s="13">
        <v>44206</v>
      </c>
      <c r="AI744" s="11">
        <v>6589</v>
      </c>
    </row>
    <row r="745" spans="20:35" x14ac:dyDescent="0.3">
      <c r="T745" t="s">
        <v>825</v>
      </c>
      <c r="U745" s="6">
        <v>36428</v>
      </c>
      <c r="AH745" s="13">
        <v>44207</v>
      </c>
      <c r="AI745" s="11">
        <v>4845</v>
      </c>
    </row>
    <row r="746" spans="20:35" x14ac:dyDescent="0.3">
      <c r="T746" t="s">
        <v>896</v>
      </c>
      <c r="U746" s="6">
        <v>28488</v>
      </c>
      <c r="AH746" s="13">
        <v>44208</v>
      </c>
      <c r="AI746" s="11">
        <v>2957</v>
      </c>
    </row>
    <row r="747" spans="20:35" x14ac:dyDescent="0.3">
      <c r="T747" t="s">
        <v>350</v>
      </c>
      <c r="U747" s="6">
        <v>30311</v>
      </c>
      <c r="AH747" s="13">
        <v>44209</v>
      </c>
      <c r="AI747" s="11">
        <v>16612</v>
      </c>
    </row>
    <row r="748" spans="20:35" x14ac:dyDescent="0.3">
      <c r="T748" t="s">
        <v>345</v>
      </c>
      <c r="U748" s="6">
        <v>24449</v>
      </c>
      <c r="AH748" s="13">
        <v>44210</v>
      </c>
      <c r="AI748" s="11">
        <v>5456</v>
      </c>
    </row>
    <row r="749" spans="20:35" x14ac:dyDescent="0.3">
      <c r="T749" t="s">
        <v>163</v>
      </c>
      <c r="U749" s="6">
        <v>24071</v>
      </c>
      <c r="AH749" s="13">
        <v>44211</v>
      </c>
      <c r="AI749" s="11">
        <v>8349</v>
      </c>
    </row>
    <row r="750" spans="20:35" x14ac:dyDescent="0.3">
      <c r="T750" t="s">
        <v>826</v>
      </c>
      <c r="U750" s="6">
        <v>29853</v>
      </c>
      <c r="AH750" s="13">
        <v>44212</v>
      </c>
      <c r="AI750" s="11">
        <v>13335</v>
      </c>
    </row>
    <row r="751" spans="20:35" x14ac:dyDescent="0.3">
      <c r="T751" t="s">
        <v>931</v>
      </c>
      <c r="U751" s="6">
        <v>20616</v>
      </c>
      <c r="AH751" s="13">
        <v>44213</v>
      </c>
      <c r="AI751" s="11">
        <v>12589</v>
      </c>
    </row>
    <row r="752" spans="20:35" x14ac:dyDescent="0.3">
      <c r="T752" t="s">
        <v>932</v>
      </c>
      <c r="U752" s="6">
        <v>31902</v>
      </c>
      <c r="AH752" s="13">
        <v>44214</v>
      </c>
      <c r="AI752" s="11">
        <v>6262</v>
      </c>
    </row>
    <row r="753" spans="20:35" x14ac:dyDescent="0.3">
      <c r="T753" t="s">
        <v>827</v>
      </c>
      <c r="U753" s="6">
        <v>22032</v>
      </c>
      <c r="AH753" s="13">
        <v>44215</v>
      </c>
      <c r="AI753" s="11">
        <v>12186</v>
      </c>
    </row>
    <row r="754" spans="20:35" x14ac:dyDescent="0.3">
      <c r="T754" t="s">
        <v>246</v>
      </c>
      <c r="U754" s="6">
        <v>52923</v>
      </c>
      <c r="AH754" s="13">
        <v>44216</v>
      </c>
      <c r="AI754" s="11">
        <v>9160</v>
      </c>
    </row>
    <row r="755" spans="20:35" x14ac:dyDescent="0.3">
      <c r="T755" t="s">
        <v>897</v>
      </c>
      <c r="U755" s="6">
        <v>44803</v>
      </c>
      <c r="AH755" s="13">
        <v>44217</v>
      </c>
      <c r="AI755" s="11">
        <v>3221</v>
      </c>
    </row>
    <row r="756" spans="20:35" x14ac:dyDescent="0.3">
      <c r="T756" t="s">
        <v>126</v>
      </c>
      <c r="U756" s="6">
        <v>24408</v>
      </c>
      <c r="AH756" s="13">
        <v>44218</v>
      </c>
      <c r="AI756" s="11">
        <v>6844</v>
      </c>
    </row>
    <row r="757" spans="20:35" x14ac:dyDescent="0.3">
      <c r="T757" t="s">
        <v>828</v>
      </c>
      <c r="U757" s="6">
        <v>27570</v>
      </c>
      <c r="AH757" s="13">
        <v>44219</v>
      </c>
      <c r="AI757" s="11">
        <v>7257</v>
      </c>
    </row>
    <row r="758" spans="20:35" x14ac:dyDescent="0.3">
      <c r="T758" t="s">
        <v>477</v>
      </c>
      <c r="U758" s="6">
        <v>40170</v>
      </c>
      <c r="AH758" s="13">
        <v>44220</v>
      </c>
      <c r="AI758" s="11">
        <v>6099</v>
      </c>
    </row>
    <row r="759" spans="20:35" x14ac:dyDescent="0.3">
      <c r="T759" t="s">
        <v>179</v>
      </c>
      <c r="U759" s="6">
        <v>37566</v>
      </c>
      <c r="AH759" s="13">
        <v>44221</v>
      </c>
      <c r="AI759" s="11">
        <v>12260</v>
      </c>
    </row>
    <row r="760" spans="20:35" x14ac:dyDescent="0.3">
      <c r="T760" t="s">
        <v>898</v>
      </c>
      <c r="U760" s="6">
        <v>35318</v>
      </c>
      <c r="AH760" s="13">
        <v>44222</v>
      </c>
      <c r="AI760" s="11">
        <v>10451</v>
      </c>
    </row>
    <row r="761" spans="20:35" x14ac:dyDescent="0.3">
      <c r="T761" t="s">
        <v>829</v>
      </c>
      <c r="U761" s="6">
        <v>27491</v>
      </c>
      <c r="AH761" s="13">
        <v>44223</v>
      </c>
      <c r="AI761" s="11">
        <v>7189</v>
      </c>
    </row>
    <row r="762" spans="20:35" x14ac:dyDescent="0.3">
      <c r="T762" t="s">
        <v>899</v>
      </c>
      <c r="U762" s="6">
        <v>14904</v>
      </c>
      <c r="AH762" s="13">
        <v>44224</v>
      </c>
      <c r="AI762" s="11">
        <v>6604</v>
      </c>
    </row>
    <row r="763" spans="20:35" x14ac:dyDescent="0.3">
      <c r="T763" t="s">
        <v>204</v>
      </c>
      <c r="U763" s="6">
        <v>38837</v>
      </c>
      <c r="AH763" s="13">
        <v>44225</v>
      </c>
      <c r="AI763" s="11">
        <v>14874</v>
      </c>
    </row>
    <row r="764" spans="20:35" x14ac:dyDescent="0.3">
      <c r="T764" t="s">
        <v>334</v>
      </c>
      <c r="U764" s="6">
        <v>14870</v>
      </c>
      <c r="AH764" s="13">
        <v>44226</v>
      </c>
      <c r="AI764" s="11">
        <v>5721</v>
      </c>
    </row>
    <row r="765" spans="20:35" x14ac:dyDescent="0.3">
      <c r="T765" t="s">
        <v>200</v>
      </c>
      <c r="U765" s="6">
        <v>37477</v>
      </c>
      <c r="AH765" s="13">
        <v>44227</v>
      </c>
      <c r="AI765" s="11">
        <v>15494</v>
      </c>
    </row>
    <row r="766" spans="20:35" x14ac:dyDescent="0.3">
      <c r="T766" t="s">
        <v>830</v>
      </c>
      <c r="U766" s="6">
        <v>20430</v>
      </c>
      <c r="AH766" s="13">
        <v>44228</v>
      </c>
      <c r="AI766" s="11">
        <v>10060</v>
      </c>
    </row>
    <row r="767" spans="20:35" x14ac:dyDescent="0.3">
      <c r="T767" t="s">
        <v>245</v>
      </c>
      <c r="U767" s="6">
        <v>9029</v>
      </c>
      <c r="AH767" s="13">
        <v>44229</v>
      </c>
      <c r="AI767" s="11">
        <v>11020</v>
      </c>
    </row>
    <row r="768" spans="20:35" x14ac:dyDescent="0.3">
      <c r="T768" t="s">
        <v>307</v>
      </c>
      <c r="U768" s="6">
        <v>22523</v>
      </c>
      <c r="AH768" s="13">
        <v>44230</v>
      </c>
      <c r="AI768" s="11">
        <v>15491</v>
      </c>
    </row>
    <row r="769" spans="20:35" x14ac:dyDescent="0.3">
      <c r="T769" t="s">
        <v>553</v>
      </c>
      <c r="U769" s="6">
        <v>38769</v>
      </c>
      <c r="AH769" s="13">
        <v>44231</v>
      </c>
      <c r="AI769" s="11">
        <v>9325</v>
      </c>
    </row>
    <row r="770" spans="20:35" x14ac:dyDescent="0.3">
      <c r="T770" t="s">
        <v>86</v>
      </c>
      <c r="U770" s="6">
        <v>16267</v>
      </c>
      <c r="AH770" s="13">
        <v>44232</v>
      </c>
      <c r="AI770" s="11">
        <v>11969</v>
      </c>
    </row>
    <row r="771" spans="20:35" x14ac:dyDescent="0.3">
      <c r="T771" t="s">
        <v>831</v>
      </c>
      <c r="U771" s="6">
        <v>38850</v>
      </c>
      <c r="AH771" s="13">
        <v>44233</v>
      </c>
      <c r="AI771" s="11">
        <v>14717</v>
      </c>
    </row>
    <row r="772" spans="20:35" x14ac:dyDescent="0.3">
      <c r="T772" t="s">
        <v>81</v>
      </c>
      <c r="U772" s="6">
        <v>21896</v>
      </c>
      <c r="AH772" s="13">
        <v>44234</v>
      </c>
      <c r="AI772" s="11">
        <v>17993</v>
      </c>
    </row>
    <row r="773" spans="20:35" x14ac:dyDescent="0.3">
      <c r="T773" t="s">
        <v>900</v>
      </c>
      <c r="U773" s="6">
        <v>35240</v>
      </c>
      <c r="AH773" s="13">
        <v>44235</v>
      </c>
      <c r="AI773" s="11">
        <v>8611</v>
      </c>
    </row>
    <row r="774" spans="20:35" x14ac:dyDescent="0.3">
      <c r="T774" t="s">
        <v>422</v>
      </c>
      <c r="U774" s="6">
        <v>50457</v>
      </c>
      <c r="AH774" s="13">
        <v>44236</v>
      </c>
      <c r="AI774" s="11">
        <v>12409</v>
      </c>
    </row>
    <row r="775" spans="20:35" x14ac:dyDescent="0.3">
      <c r="T775" t="s">
        <v>432</v>
      </c>
      <c r="U775" s="6">
        <v>43052</v>
      </c>
      <c r="AH775" s="13">
        <v>44237</v>
      </c>
      <c r="AI775" s="11">
        <v>8271</v>
      </c>
    </row>
    <row r="776" spans="20:35" x14ac:dyDescent="0.3">
      <c r="T776" t="s">
        <v>839</v>
      </c>
      <c r="U776" s="6">
        <v>25746</v>
      </c>
      <c r="AH776" s="13">
        <v>44238</v>
      </c>
      <c r="AI776" s="11">
        <v>18883</v>
      </c>
    </row>
    <row r="777" spans="20:35" x14ac:dyDescent="0.3">
      <c r="T777" t="s">
        <v>832</v>
      </c>
      <c r="U777" s="6">
        <v>26101</v>
      </c>
      <c r="AH777" s="13">
        <v>44239</v>
      </c>
      <c r="AI777" s="11">
        <v>12928</v>
      </c>
    </row>
    <row r="778" spans="20:35" x14ac:dyDescent="0.3">
      <c r="T778" t="s">
        <v>901</v>
      </c>
      <c r="U778" s="6">
        <v>36286</v>
      </c>
      <c r="AH778" s="13">
        <v>44240</v>
      </c>
      <c r="AI778" s="11">
        <v>9336</v>
      </c>
    </row>
    <row r="779" spans="20:35" x14ac:dyDescent="0.3">
      <c r="T779" t="s">
        <v>417</v>
      </c>
      <c r="U779" s="6">
        <v>26479</v>
      </c>
      <c r="AH779" s="13">
        <v>44241</v>
      </c>
      <c r="AI779" s="11">
        <v>8819</v>
      </c>
    </row>
    <row r="780" spans="20:35" x14ac:dyDescent="0.3">
      <c r="T780" t="s">
        <v>123</v>
      </c>
      <c r="U780" s="6">
        <v>34802</v>
      </c>
      <c r="AH780" s="13">
        <v>44242</v>
      </c>
      <c r="AI780" s="11">
        <v>12067</v>
      </c>
    </row>
    <row r="781" spans="20:35" x14ac:dyDescent="0.3">
      <c r="T781" t="s">
        <v>833</v>
      </c>
      <c r="U781" s="6">
        <v>21538</v>
      </c>
      <c r="AH781" s="13">
        <v>44243</v>
      </c>
      <c r="AI781" s="11">
        <v>3738</v>
      </c>
    </row>
    <row r="782" spans="20:35" x14ac:dyDescent="0.3">
      <c r="T782" t="s">
        <v>214</v>
      </c>
      <c r="U782" s="6">
        <v>40652</v>
      </c>
      <c r="AH782" s="13">
        <v>44244</v>
      </c>
      <c r="AI782" s="11">
        <v>9578</v>
      </c>
    </row>
    <row r="783" spans="20:35" x14ac:dyDescent="0.3">
      <c r="T783" t="s">
        <v>834</v>
      </c>
      <c r="U783" s="6">
        <v>46705</v>
      </c>
      <c r="AH783" s="13">
        <v>44245</v>
      </c>
      <c r="AI783" s="11">
        <v>3409</v>
      </c>
    </row>
    <row r="784" spans="20:35" x14ac:dyDescent="0.3">
      <c r="T784" t="s">
        <v>577</v>
      </c>
      <c r="U784" s="6">
        <v>27431</v>
      </c>
      <c r="AH784" s="13">
        <v>44246</v>
      </c>
      <c r="AI784" s="11">
        <v>10730</v>
      </c>
    </row>
    <row r="785" spans="20:35" x14ac:dyDescent="0.3">
      <c r="T785" t="s">
        <v>402</v>
      </c>
      <c r="U785" s="6">
        <v>42939</v>
      </c>
      <c r="AH785" s="13">
        <v>44247</v>
      </c>
      <c r="AI785" s="11">
        <v>11352</v>
      </c>
    </row>
    <row r="786" spans="20:35" x14ac:dyDescent="0.3">
      <c r="T786" t="s">
        <v>835</v>
      </c>
      <c r="U786" s="6">
        <v>24330</v>
      </c>
      <c r="AH786" s="13">
        <v>44248</v>
      </c>
      <c r="AI786" s="11">
        <v>12524</v>
      </c>
    </row>
    <row r="787" spans="20:35" x14ac:dyDescent="0.3">
      <c r="T787" t="s">
        <v>287</v>
      </c>
      <c r="U787" s="6">
        <v>39759</v>
      </c>
      <c r="AH787" s="13">
        <v>44249</v>
      </c>
      <c r="AI787" s="11">
        <v>13297</v>
      </c>
    </row>
    <row r="788" spans="20:35" x14ac:dyDescent="0.3">
      <c r="T788" t="s">
        <v>836</v>
      </c>
      <c r="U788" s="6">
        <v>18113</v>
      </c>
      <c r="AH788" s="13">
        <v>44250</v>
      </c>
      <c r="AI788" s="11">
        <v>18039</v>
      </c>
    </row>
    <row r="789" spans="20:35" x14ac:dyDescent="0.3">
      <c r="T789" t="s">
        <v>595</v>
      </c>
      <c r="U789" s="6">
        <v>32111</v>
      </c>
      <c r="AH789" s="13">
        <v>44251</v>
      </c>
      <c r="AI789" s="11">
        <v>15884</v>
      </c>
    </row>
    <row r="790" spans="20:35" x14ac:dyDescent="0.3">
      <c r="T790" t="s">
        <v>902</v>
      </c>
      <c r="U790" s="6">
        <v>12705</v>
      </c>
      <c r="AH790" s="13">
        <v>44252</v>
      </c>
      <c r="AI790" s="11">
        <v>6358</v>
      </c>
    </row>
    <row r="791" spans="20:35" x14ac:dyDescent="0.3">
      <c r="T791" t="s">
        <v>837</v>
      </c>
      <c r="U791" s="6">
        <v>35172</v>
      </c>
      <c r="AH791" s="13">
        <v>44253</v>
      </c>
      <c r="AI791" s="11">
        <v>13414</v>
      </c>
    </row>
    <row r="792" spans="20:35" x14ac:dyDescent="0.3">
      <c r="T792" t="s">
        <v>475</v>
      </c>
      <c r="U792" s="6">
        <v>62571</v>
      </c>
      <c r="AH792" s="13">
        <v>44254</v>
      </c>
      <c r="AI792" s="11">
        <v>11339</v>
      </c>
    </row>
    <row r="793" spans="20:35" x14ac:dyDescent="0.3">
      <c r="T793" t="s">
        <v>525</v>
      </c>
      <c r="U793" s="6">
        <v>34287</v>
      </c>
      <c r="AH793" s="13">
        <v>44255</v>
      </c>
      <c r="AI793" s="11">
        <v>12169</v>
      </c>
    </row>
    <row r="794" spans="20:35" x14ac:dyDescent="0.3">
      <c r="T794" t="s">
        <v>549</v>
      </c>
      <c r="U794" s="6">
        <v>37894</v>
      </c>
      <c r="AH794" s="13">
        <v>44256</v>
      </c>
      <c r="AI794" s="11">
        <v>10197</v>
      </c>
    </row>
    <row r="795" spans="20:35" x14ac:dyDescent="0.3">
      <c r="T795" t="s">
        <v>436</v>
      </c>
      <c r="U795" s="6">
        <v>29210</v>
      </c>
      <c r="AH795" s="13">
        <v>44257</v>
      </c>
      <c r="AI795" s="11">
        <v>15431</v>
      </c>
    </row>
    <row r="796" spans="20:35" x14ac:dyDescent="0.3">
      <c r="T796" t="s">
        <v>554</v>
      </c>
      <c r="U796" s="6">
        <v>32772</v>
      </c>
      <c r="AH796" s="13">
        <v>44258</v>
      </c>
      <c r="AI796" s="11">
        <v>12715</v>
      </c>
    </row>
    <row r="797" spans="20:35" x14ac:dyDescent="0.3">
      <c r="T797" t="s">
        <v>903</v>
      </c>
      <c r="U797" s="6">
        <v>32980</v>
      </c>
      <c r="AH797" s="13">
        <v>44259</v>
      </c>
      <c r="AI797" s="11">
        <v>7371</v>
      </c>
    </row>
    <row r="798" spans="20:35" x14ac:dyDescent="0.3">
      <c r="T798" t="s">
        <v>308</v>
      </c>
      <c r="U798" s="6">
        <v>38092</v>
      </c>
      <c r="AH798" s="13">
        <v>44260</v>
      </c>
      <c r="AI798" s="11">
        <v>25133</v>
      </c>
    </row>
    <row r="799" spans="20:35" x14ac:dyDescent="0.3">
      <c r="T799" t="s">
        <v>838</v>
      </c>
      <c r="U799" s="6">
        <v>41106</v>
      </c>
      <c r="AH799" s="13">
        <v>44261</v>
      </c>
      <c r="AI799" s="11">
        <v>12050</v>
      </c>
    </row>
    <row r="800" spans="20:35" x14ac:dyDescent="0.3">
      <c r="T800" t="s">
        <v>366</v>
      </c>
      <c r="U800" s="6">
        <v>14581</v>
      </c>
      <c r="AH800" s="13">
        <v>44262</v>
      </c>
      <c r="AI800" s="11">
        <v>12106</v>
      </c>
    </row>
    <row r="801" spans="20:35" x14ac:dyDescent="0.3">
      <c r="T801" t="s">
        <v>159</v>
      </c>
      <c r="U801" s="6">
        <v>38564</v>
      </c>
      <c r="AH801" s="13">
        <v>44263</v>
      </c>
      <c r="AI801" s="11">
        <v>8823</v>
      </c>
    </row>
    <row r="802" spans="20:35" x14ac:dyDescent="0.3">
      <c r="T802" t="s">
        <v>488</v>
      </c>
      <c r="U802" s="6">
        <v>20165</v>
      </c>
      <c r="AH802" s="13">
        <v>44264</v>
      </c>
      <c r="AI802" s="11">
        <v>14581</v>
      </c>
    </row>
    <row r="803" spans="20:35" x14ac:dyDescent="0.3">
      <c r="T803" t="s">
        <v>390</v>
      </c>
      <c r="U803" s="6">
        <v>39974</v>
      </c>
      <c r="AH803" s="13">
        <v>44265</v>
      </c>
      <c r="AI803" s="11">
        <v>13739</v>
      </c>
    </row>
    <row r="804" spans="20:35" x14ac:dyDescent="0.3">
      <c r="T804" t="s">
        <v>196</v>
      </c>
      <c r="U804" s="6">
        <v>27791</v>
      </c>
      <c r="AH804" s="13">
        <v>44266</v>
      </c>
      <c r="AI804" s="11">
        <v>6695</v>
      </c>
    </row>
    <row r="805" spans="20:35" x14ac:dyDescent="0.3">
      <c r="AH805" s="13">
        <v>44267</v>
      </c>
      <c r="AI805" s="11">
        <v>7969</v>
      </c>
    </row>
    <row r="806" spans="20:35" x14ac:dyDescent="0.3">
      <c r="AH806" s="13">
        <v>44268</v>
      </c>
      <c r="AI806" s="11">
        <v>12493</v>
      </c>
    </row>
    <row r="807" spans="20:35" x14ac:dyDescent="0.3">
      <c r="AH807" s="13">
        <v>44269</v>
      </c>
      <c r="AI807" s="11">
        <v>8717</v>
      </c>
    </row>
    <row r="808" spans="20:35" x14ac:dyDescent="0.3">
      <c r="AH808" s="13">
        <v>44270</v>
      </c>
      <c r="AI808" s="11">
        <v>7111</v>
      </c>
    </row>
    <row r="811" spans="20:35" x14ac:dyDescent="0.3">
      <c r="AI811" s="6"/>
    </row>
  </sheetData>
  <pageMargins left="0.7" right="0.7" top="0.75" bottom="0.75" header="0.3" footer="0.3"/>
  <pageSetup paperSize="9" orientation="portrait" verticalDpi="0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Dashboard</vt:lpstr>
      <vt:lpstr>Analysis_1</vt:lpstr>
      <vt:lpstr>Analysis_2</vt:lpstr>
      <vt:lpstr>Month</vt:lpstr>
      <vt:lpstr>Sellected_month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</dc:creator>
  <cp:lastModifiedBy>GA</cp:lastModifiedBy>
  <cp:lastPrinted>2024-03-12T10:30:01Z</cp:lastPrinted>
  <dcterms:created xsi:type="dcterms:W3CDTF">2023-10-14T21:13:37Z</dcterms:created>
  <dcterms:modified xsi:type="dcterms:W3CDTF">2025-02-09T18:05:44Z</dcterms:modified>
</cp:coreProperties>
</file>